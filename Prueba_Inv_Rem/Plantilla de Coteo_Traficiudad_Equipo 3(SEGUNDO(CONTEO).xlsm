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VENTARIOS\Documents\ANGELICA\Traficiudad_2023\Inventario Traficiudad_2023\Equipos de Conteos\"/>
    </mc:Choice>
  </mc:AlternateContent>
  <xr:revisionPtr revIDLastSave="0" documentId="13_ncr:1_{387F8C02-1C4C-4F1D-9223-AA4C37FB3DFA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NVENTARIO" sheetId="1" state="hidden" r:id="rId1"/>
    <sheet name="SCAN PT" sheetId="2" r:id="rId2"/>
  </sheets>
  <functionGroups builtInGroupCount="19"/>
  <definedNames>
    <definedName name="_xlnm._FilterDatabase" localSheetId="0" hidden="1">INVENTARIO!$A$1:$B$329</definedName>
    <definedName name="Z_2823F285_EC37_464C_9463_7569505F04CE_.wvu.Cols" localSheetId="1" hidden="1">'SCAN PT'!#REF!</definedName>
    <definedName name="Z_2823F285_EC37_464C_9463_7569505F04CE_.wvu.FilterData" localSheetId="0" hidden="1">INVENTARIO!$A$1:$B$329</definedName>
    <definedName name="Z_F5CEECC2_1AB8_48CD_8B07_22140D0181D3_.wvu.Cols" localSheetId="1" hidden="1">'SCAN PT'!#REF!</definedName>
    <definedName name="Z_F5CEECC2_1AB8_48CD_8B07_22140D0181D3_.wvu.FilterData" localSheetId="0" hidden="1">INVENTARIO!$A$1:$B$329</definedName>
  </definedNames>
  <calcPr calcId="191029"/>
  <customWorkbookViews>
    <customWorkbookView name="Martinez, Jose  (MX-TOL1) - Vista personalizada" guid="{2823F285-EC37-464C-9463-7569505F04CE}" mergeInterval="0" personalView="1" maximized="1" xWindow="-8" yWindow="-8" windowWidth="1936" windowHeight="1056" activeSheetId="3"/>
    <customWorkbookView name="Orta, Misael (MX-TOL1) - Vista personalizada" guid="{F5CEECC2-1AB8-48CD-8B07-22140D0181D3}" mergeInterval="0" personalView="1" maximized="1" xWindow="-11" yWindow="-11" windowWidth="1942" windowHeight="1042" activeSheetId="3"/>
  </customWorkbookViews>
</workbook>
</file>

<file path=xl/calcChain.xml><?xml version="1.0" encoding="utf-8"?>
<calcChain xmlns="http://schemas.openxmlformats.org/spreadsheetml/2006/main">
  <c r="B33" i="2" l="1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97" i="2" l="1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98" i="2" l="1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I18" i="2" l="1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16" i="2"/>
  <c r="I17" i="2"/>
  <c r="A2942" i="2" l="1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16" i="2"/>
  <c r="F2942" i="2" l="1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A93" i="2" s="1"/>
  <c r="F92" i="2"/>
  <c r="A92" i="2" s="1"/>
  <c r="F91" i="2"/>
  <c r="A91" i="2" s="1"/>
  <c r="F90" i="2"/>
  <c r="A90" i="2" s="1"/>
  <c r="F89" i="2"/>
  <c r="A89" i="2" s="1"/>
  <c r="F88" i="2"/>
  <c r="A88" i="2" s="1"/>
  <c r="F87" i="2"/>
  <c r="A87" i="2" s="1"/>
  <c r="F86" i="2"/>
  <c r="A86" i="2" s="1"/>
  <c r="F85" i="2"/>
  <c r="A85" i="2" s="1"/>
  <c r="F84" i="2"/>
  <c r="A84" i="2" s="1"/>
  <c r="F83" i="2"/>
  <c r="A83" i="2" s="1"/>
  <c r="F82" i="2"/>
  <c r="A82" i="2" s="1"/>
  <c r="F81" i="2"/>
  <c r="A81" i="2" s="1"/>
  <c r="F80" i="2"/>
  <c r="A80" i="2" s="1"/>
  <c r="F79" i="2"/>
  <c r="A79" i="2" s="1"/>
  <c r="F78" i="2"/>
  <c r="A78" i="2" s="1"/>
  <c r="F77" i="2"/>
  <c r="A77" i="2" s="1"/>
  <c r="F76" i="2"/>
  <c r="A76" i="2" s="1"/>
  <c r="F75" i="2"/>
  <c r="A75" i="2" s="1"/>
  <c r="F74" i="2"/>
  <c r="A74" i="2" s="1"/>
  <c r="F73" i="2"/>
  <c r="A73" i="2" s="1"/>
  <c r="F72" i="2"/>
  <c r="A72" i="2" s="1"/>
  <c r="F71" i="2"/>
  <c r="A71" i="2" s="1"/>
  <c r="F70" i="2"/>
  <c r="A70" i="2" s="1"/>
  <c r="F69" i="2"/>
  <c r="A69" i="2" s="1"/>
  <c r="F68" i="2"/>
  <c r="A68" i="2" s="1"/>
  <c r="F67" i="2"/>
  <c r="A67" i="2" s="1"/>
  <c r="F66" i="2"/>
  <c r="A66" i="2" s="1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A17" i="2" s="1"/>
  <c r="F16" i="2"/>
  <c r="E18" i="2"/>
  <c r="G18" i="2"/>
  <c r="H18" i="2"/>
  <c r="E19" i="2"/>
  <c r="G19" i="2"/>
  <c r="H19" i="2"/>
  <c r="E20" i="2"/>
  <c r="G20" i="2"/>
  <c r="H20" i="2"/>
  <c r="E21" i="2"/>
  <c r="G21" i="2"/>
  <c r="H21" i="2"/>
  <c r="E22" i="2"/>
  <c r="G22" i="2"/>
  <c r="H22" i="2"/>
  <c r="E23" i="2"/>
  <c r="G23" i="2"/>
  <c r="H23" i="2"/>
  <c r="E24" i="2"/>
  <c r="G24" i="2"/>
  <c r="H24" i="2"/>
  <c r="E25" i="2"/>
  <c r="G25" i="2"/>
  <c r="H25" i="2"/>
  <c r="E26" i="2"/>
  <c r="G26" i="2"/>
  <c r="H26" i="2"/>
  <c r="E27" i="2"/>
  <c r="G27" i="2"/>
  <c r="H27" i="2"/>
  <c r="E28" i="2"/>
  <c r="G28" i="2"/>
  <c r="H28" i="2"/>
  <c r="E29" i="2"/>
  <c r="G29" i="2"/>
  <c r="H29" i="2"/>
  <c r="E30" i="2"/>
  <c r="G30" i="2"/>
  <c r="H30" i="2"/>
  <c r="E31" i="2"/>
  <c r="G31" i="2"/>
  <c r="H31" i="2"/>
  <c r="E32" i="2"/>
  <c r="G32" i="2"/>
  <c r="H32" i="2"/>
  <c r="E33" i="2"/>
  <c r="G33" i="2"/>
  <c r="H33" i="2"/>
  <c r="E34" i="2"/>
  <c r="G34" i="2"/>
  <c r="H34" i="2"/>
  <c r="E35" i="2"/>
  <c r="G35" i="2"/>
  <c r="H35" i="2"/>
  <c r="E36" i="2"/>
  <c r="G36" i="2"/>
  <c r="H36" i="2"/>
  <c r="E37" i="2"/>
  <c r="G37" i="2"/>
  <c r="H37" i="2"/>
  <c r="E38" i="2"/>
  <c r="G38" i="2"/>
  <c r="H38" i="2"/>
  <c r="E39" i="2"/>
  <c r="G39" i="2"/>
  <c r="H39" i="2"/>
  <c r="E40" i="2"/>
  <c r="G40" i="2"/>
  <c r="H40" i="2"/>
  <c r="E41" i="2"/>
  <c r="G41" i="2"/>
  <c r="H41" i="2"/>
  <c r="E42" i="2"/>
  <c r="G42" i="2"/>
  <c r="H42" i="2"/>
  <c r="E43" i="2"/>
  <c r="G43" i="2"/>
  <c r="H43" i="2"/>
  <c r="E44" i="2"/>
  <c r="G44" i="2"/>
  <c r="H44" i="2"/>
  <c r="E45" i="2"/>
  <c r="G45" i="2"/>
  <c r="H45" i="2"/>
  <c r="E46" i="2"/>
  <c r="G46" i="2"/>
  <c r="H46" i="2"/>
  <c r="E47" i="2"/>
  <c r="G47" i="2"/>
  <c r="H47" i="2"/>
  <c r="E48" i="2"/>
  <c r="G48" i="2"/>
  <c r="H48" i="2"/>
  <c r="E49" i="2"/>
  <c r="G49" i="2"/>
  <c r="H49" i="2"/>
  <c r="E50" i="2"/>
  <c r="G50" i="2"/>
  <c r="H50" i="2"/>
  <c r="E51" i="2"/>
  <c r="G51" i="2"/>
  <c r="H51" i="2"/>
  <c r="E52" i="2"/>
  <c r="G52" i="2"/>
  <c r="H52" i="2"/>
  <c r="E53" i="2"/>
  <c r="G53" i="2"/>
  <c r="H53" i="2"/>
  <c r="E54" i="2"/>
  <c r="G54" i="2"/>
  <c r="H54" i="2"/>
  <c r="E55" i="2"/>
  <c r="G55" i="2"/>
  <c r="H55" i="2"/>
  <c r="E56" i="2"/>
  <c r="G56" i="2"/>
  <c r="H56" i="2"/>
  <c r="E57" i="2"/>
  <c r="G57" i="2"/>
  <c r="H57" i="2"/>
  <c r="E58" i="2"/>
  <c r="G58" i="2"/>
  <c r="H58" i="2"/>
  <c r="E59" i="2"/>
  <c r="G59" i="2"/>
  <c r="H59" i="2"/>
  <c r="E60" i="2"/>
  <c r="G60" i="2"/>
  <c r="H60" i="2"/>
  <c r="E61" i="2"/>
  <c r="G61" i="2"/>
  <c r="H61" i="2"/>
  <c r="E62" i="2"/>
  <c r="G62" i="2"/>
  <c r="H62" i="2"/>
  <c r="E63" i="2"/>
  <c r="G63" i="2"/>
  <c r="H63" i="2"/>
  <c r="E64" i="2"/>
  <c r="G64" i="2"/>
  <c r="H64" i="2"/>
  <c r="E65" i="2"/>
  <c r="G65" i="2"/>
  <c r="H65" i="2"/>
  <c r="E66" i="2"/>
  <c r="G66" i="2"/>
  <c r="H66" i="2"/>
  <c r="E67" i="2"/>
  <c r="G67" i="2"/>
  <c r="H67" i="2"/>
  <c r="E68" i="2"/>
  <c r="G68" i="2"/>
  <c r="H68" i="2"/>
  <c r="E69" i="2"/>
  <c r="G69" i="2"/>
  <c r="H69" i="2"/>
  <c r="E70" i="2"/>
  <c r="G70" i="2"/>
  <c r="H70" i="2"/>
  <c r="E71" i="2"/>
  <c r="G71" i="2"/>
  <c r="H71" i="2"/>
  <c r="E72" i="2"/>
  <c r="G72" i="2"/>
  <c r="H72" i="2"/>
  <c r="E73" i="2"/>
  <c r="G73" i="2"/>
  <c r="H73" i="2"/>
  <c r="E74" i="2"/>
  <c r="G74" i="2"/>
  <c r="H74" i="2"/>
  <c r="E75" i="2"/>
  <c r="G75" i="2"/>
  <c r="H75" i="2"/>
  <c r="E76" i="2"/>
  <c r="G76" i="2"/>
  <c r="H76" i="2"/>
  <c r="E77" i="2"/>
  <c r="G77" i="2"/>
  <c r="H77" i="2"/>
  <c r="E78" i="2"/>
  <c r="G78" i="2"/>
  <c r="H78" i="2"/>
  <c r="E79" i="2"/>
  <c r="G79" i="2"/>
  <c r="H79" i="2"/>
  <c r="E80" i="2"/>
  <c r="G80" i="2"/>
  <c r="H80" i="2"/>
  <c r="E81" i="2"/>
  <c r="G81" i="2"/>
  <c r="H81" i="2"/>
  <c r="E82" i="2"/>
  <c r="G82" i="2"/>
  <c r="H82" i="2"/>
  <c r="E83" i="2"/>
  <c r="G83" i="2"/>
  <c r="H83" i="2"/>
  <c r="E84" i="2"/>
  <c r="G84" i="2"/>
  <c r="H84" i="2"/>
  <c r="E85" i="2"/>
  <c r="G85" i="2"/>
  <c r="H85" i="2"/>
  <c r="E86" i="2"/>
  <c r="G86" i="2"/>
  <c r="H86" i="2"/>
  <c r="E87" i="2"/>
  <c r="G87" i="2"/>
  <c r="H87" i="2"/>
  <c r="E88" i="2"/>
  <c r="G88" i="2"/>
  <c r="H88" i="2"/>
  <c r="E89" i="2"/>
  <c r="G89" i="2"/>
  <c r="H89" i="2"/>
  <c r="E90" i="2"/>
  <c r="G90" i="2"/>
  <c r="H90" i="2"/>
  <c r="E91" i="2"/>
  <c r="G91" i="2"/>
  <c r="H91" i="2"/>
  <c r="E92" i="2"/>
  <c r="G92" i="2"/>
  <c r="H92" i="2"/>
  <c r="E93" i="2"/>
  <c r="G93" i="2"/>
  <c r="H93" i="2"/>
  <c r="E94" i="2"/>
  <c r="G94" i="2"/>
  <c r="H94" i="2"/>
  <c r="E95" i="2"/>
  <c r="G95" i="2"/>
  <c r="H95" i="2"/>
  <c r="E96" i="2"/>
  <c r="G96" i="2"/>
  <c r="H96" i="2"/>
  <c r="E97" i="2"/>
  <c r="G97" i="2"/>
  <c r="H97" i="2"/>
  <c r="E98" i="2"/>
  <c r="G98" i="2"/>
  <c r="H98" i="2"/>
  <c r="E99" i="2"/>
  <c r="G99" i="2"/>
  <c r="H99" i="2"/>
  <c r="E100" i="2"/>
  <c r="G100" i="2"/>
  <c r="H100" i="2"/>
  <c r="E101" i="2"/>
  <c r="G101" i="2"/>
  <c r="H101" i="2"/>
  <c r="E102" i="2"/>
  <c r="G102" i="2"/>
  <c r="H102" i="2"/>
  <c r="E103" i="2"/>
  <c r="G103" i="2"/>
  <c r="H103" i="2"/>
  <c r="E104" i="2"/>
  <c r="G104" i="2"/>
  <c r="H104" i="2"/>
  <c r="E105" i="2"/>
  <c r="G105" i="2"/>
  <c r="H105" i="2"/>
  <c r="E106" i="2"/>
  <c r="G106" i="2"/>
  <c r="H106" i="2"/>
  <c r="E107" i="2"/>
  <c r="G107" i="2"/>
  <c r="H107" i="2"/>
  <c r="E108" i="2"/>
  <c r="G108" i="2"/>
  <c r="H108" i="2"/>
  <c r="E109" i="2"/>
  <c r="G109" i="2"/>
  <c r="H109" i="2"/>
  <c r="E110" i="2"/>
  <c r="G110" i="2"/>
  <c r="H110" i="2"/>
  <c r="E111" i="2"/>
  <c r="G111" i="2"/>
  <c r="H111" i="2"/>
  <c r="E112" i="2"/>
  <c r="G112" i="2"/>
  <c r="H112" i="2"/>
  <c r="E113" i="2"/>
  <c r="G113" i="2"/>
  <c r="H113" i="2"/>
  <c r="E114" i="2"/>
  <c r="G114" i="2"/>
  <c r="H114" i="2"/>
  <c r="E115" i="2"/>
  <c r="G115" i="2"/>
  <c r="H115" i="2"/>
  <c r="E116" i="2"/>
  <c r="G116" i="2"/>
  <c r="H116" i="2"/>
  <c r="E117" i="2"/>
  <c r="G117" i="2"/>
  <c r="H117" i="2"/>
  <c r="E118" i="2"/>
  <c r="G118" i="2"/>
  <c r="H118" i="2"/>
  <c r="E119" i="2"/>
  <c r="G119" i="2"/>
  <c r="H119" i="2"/>
  <c r="E120" i="2"/>
  <c r="G120" i="2"/>
  <c r="H120" i="2"/>
  <c r="E121" i="2"/>
  <c r="G121" i="2"/>
  <c r="H121" i="2"/>
  <c r="E122" i="2"/>
  <c r="G122" i="2"/>
  <c r="H122" i="2"/>
  <c r="E123" i="2"/>
  <c r="G123" i="2"/>
  <c r="H123" i="2"/>
  <c r="E124" i="2"/>
  <c r="G124" i="2"/>
  <c r="H124" i="2"/>
  <c r="E125" i="2"/>
  <c r="G125" i="2"/>
  <c r="H125" i="2"/>
  <c r="E126" i="2"/>
  <c r="G126" i="2"/>
  <c r="H126" i="2"/>
  <c r="E127" i="2"/>
  <c r="G127" i="2"/>
  <c r="H127" i="2"/>
  <c r="E128" i="2"/>
  <c r="G128" i="2"/>
  <c r="H128" i="2"/>
  <c r="E129" i="2"/>
  <c r="G129" i="2"/>
  <c r="H129" i="2"/>
  <c r="E130" i="2"/>
  <c r="G130" i="2"/>
  <c r="H130" i="2"/>
  <c r="E131" i="2"/>
  <c r="G131" i="2"/>
  <c r="H131" i="2"/>
  <c r="E132" i="2"/>
  <c r="G132" i="2"/>
  <c r="H132" i="2"/>
  <c r="E133" i="2"/>
  <c r="G133" i="2"/>
  <c r="H133" i="2"/>
  <c r="E134" i="2"/>
  <c r="G134" i="2"/>
  <c r="H134" i="2"/>
  <c r="E135" i="2"/>
  <c r="G135" i="2"/>
  <c r="H135" i="2"/>
  <c r="E136" i="2"/>
  <c r="G136" i="2"/>
  <c r="H136" i="2"/>
  <c r="E137" i="2"/>
  <c r="G137" i="2"/>
  <c r="H137" i="2"/>
  <c r="E138" i="2"/>
  <c r="G138" i="2"/>
  <c r="H138" i="2"/>
  <c r="E139" i="2"/>
  <c r="G139" i="2"/>
  <c r="H139" i="2"/>
  <c r="E140" i="2"/>
  <c r="G140" i="2"/>
  <c r="H140" i="2"/>
  <c r="E141" i="2"/>
  <c r="G141" i="2"/>
  <c r="H141" i="2"/>
  <c r="E142" i="2"/>
  <c r="G142" i="2"/>
  <c r="H142" i="2"/>
  <c r="E143" i="2"/>
  <c r="G143" i="2"/>
  <c r="H143" i="2"/>
  <c r="E144" i="2"/>
  <c r="G144" i="2"/>
  <c r="H144" i="2"/>
  <c r="E145" i="2"/>
  <c r="G145" i="2"/>
  <c r="H145" i="2"/>
  <c r="E146" i="2"/>
  <c r="G146" i="2"/>
  <c r="H146" i="2"/>
  <c r="E147" i="2"/>
  <c r="G147" i="2"/>
  <c r="H147" i="2"/>
  <c r="E148" i="2"/>
  <c r="G148" i="2"/>
  <c r="H148" i="2"/>
  <c r="E149" i="2"/>
  <c r="G149" i="2"/>
  <c r="H149" i="2"/>
  <c r="E150" i="2"/>
  <c r="G150" i="2"/>
  <c r="H150" i="2"/>
  <c r="E151" i="2"/>
  <c r="G151" i="2"/>
  <c r="H151" i="2"/>
  <c r="E152" i="2"/>
  <c r="G152" i="2"/>
  <c r="H152" i="2"/>
  <c r="E153" i="2"/>
  <c r="G153" i="2"/>
  <c r="H153" i="2"/>
  <c r="E154" i="2"/>
  <c r="G154" i="2"/>
  <c r="H154" i="2"/>
  <c r="E155" i="2"/>
  <c r="G155" i="2"/>
  <c r="H155" i="2"/>
  <c r="E156" i="2"/>
  <c r="G156" i="2"/>
  <c r="H156" i="2"/>
  <c r="E157" i="2"/>
  <c r="G157" i="2"/>
  <c r="H157" i="2"/>
  <c r="E158" i="2"/>
  <c r="G158" i="2"/>
  <c r="H158" i="2"/>
  <c r="E159" i="2"/>
  <c r="G159" i="2"/>
  <c r="H159" i="2"/>
  <c r="E160" i="2"/>
  <c r="G160" i="2"/>
  <c r="H160" i="2"/>
  <c r="E161" i="2"/>
  <c r="G161" i="2"/>
  <c r="H161" i="2"/>
  <c r="E162" i="2"/>
  <c r="G162" i="2"/>
  <c r="H162" i="2"/>
  <c r="E163" i="2"/>
  <c r="G163" i="2"/>
  <c r="H163" i="2"/>
  <c r="E164" i="2"/>
  <c r="G164" i="2"/>
  <c r="H164" i="2"/>
  <c r="E165" i="2"/>
  <c r="G165" i="2"/>
  <c r="H165" i="2"/>
  <c r="E166" i="2"/>
  <c r="G166" i="2"/>
  <c r="H166" i="2"/>
  <c r="E167" i="2"/>
  <c r="G167" i="2"/>
  <c r="H167" i="2"/>
  <c r="E168" i="2"/>
  <c r="G168" i="2"/>
  <c r="H168" i="2"/>
  <c r="E169" i="2"/>
  <c r="G169" i="2"/>
  <c r="H169" i="2"/>
  <c r="E170" i="2"/>
  <c r="G170" i="2"/>
  <c r="H170" i="2"/>
  <c r="E171" i="2"/>
  <c r="G171" i="2"/>
  <c r="H171" i="2"/>
  <c r="E172" i="2"/>
  <c r="G172" i="2"/>
  <c r="H172" i="2"/>
  <c r="E173" i="2"/>
  <c r="G173" i="2"/>
  <c r="H173" i="2"/>
  <c r="E174" i="2"/>
  <c r="G174" i="2"/>
  <c r="H174" i="2"/>
  <c r="E175" i="2"/>
  <c r="G175" i="2"/>
  <c r="H175" i="2"/>
  <c r="E176" i="2"/>
  <c r="G176" i="2"/>
  <c r="H176" i="2"/>
  <c r="E177" i="2"/>
  <c r="G177" i="2"/>
  <c r="H177" i="2"/>
  <c r="E178" i="2"/>
  <c r="G178" i="2"/>
  <c r="H178" i="2"/>
  <c r="E179" i="2"/>
  <c r="G179" i="2"/>
  <c r="H179" i="2"/>
  <c r="E180" i="2"/>
  <c r="G180" i="2"/>
  <c r="H180" i="2"/>
  <c r="E181" i="2"/>
  <c r="G181" i="2"/>
  <c r="H181" i="2"/>
  <c r="E182" i="2"/>
  <c r="G182" i="2"/>
  <c r="H182" i="2"/>
  <c r="E183" i="2"/>
  <c r="G183" i="2"/>
  <c r="H183" i="2"/>
  <c r="E184" i="2"/>
  <c r="G184" i="2"/>
  <c r="H184" i="2"/>
  <c r="E185" i="2"/>
  <c r="G185" i="2"/>
  <c r="H185" i="2"/>
  <c r="E186" i="2"/>
  <c r="G186" i="2"/>
  <c r="H186" i="2"/>
  <c r="E187" i="2"/>
  <c r="G187" i="2"/>
  <c r="H187" i="2"/>
  <c r="E188" i="2"/>
  <c r="G188" i="2"/>
  <c r="H188" i="2"/>
  <c r="E189" i="2"/>
  <c r="G189" i="2"/>
  <c r="H189" i="2"/>
  <c r="E190" i="2"/>
  <c r="G190" i="2"/>
  <c r="H190" i="2"/>
  <c r="E191" i="2"/>
  <c r="G191" i="2"/>
  <c r="H191" i="2"/>
  <c r="E192" i="2"/>
  <c r="G192" i="2"/>
  <c r="H192" i="2"/>
  <c r="E193" i="2"/>
  <c r="G193" i="2"/>
  <c r="H193" i="2"/>
  <c r="E194" i="2"/>
  <c r="G194" i="2"/>
  <c r="H194" i="2"/>
  <c r="E195" i="2"/>
  <c r="G195" i="2"/>
  <c r="H195" i="2"/>
  <c r="E196" i="2"/>
  <c r="G196" i="2"/>
  <c r="H196" i="2"/>
  <c r="E197" i="2"/>
  <c r="G197" i="2"/>
  <c r="H197" i="2"/>
  <c r="E198" i="2"/>
  <c r="G198" i="2"/>
  <c r="H198" i="2"/>
  <c r="E199" i="2"/>
  <c r="G199" i="2"/>
  <c r="H199" i="2"/>
  <c r="E200" i="2"/>
  <c r="G200" i="2"/>
  <c r="H200" i="2"/>
  <c r="E201" i="2"/>
  <c r="G201" i="2"/>
  <c r="H201" i="2"/>
  <c r="E202" i="2"/>
  <c r="G202" i="2"/>
  <c r="H202" i="2"/>
  <c r="E203" i="2"/>
  <c r="G203" i="2"/>
  <c r="H203" i="2"/>
  <c r="E204" i="2"/>
  <c r="G204" i="2"/>
  <c r="H204" i="2"/>
  <c r="E205" i="2"/>
  <c r="G205" i="2"/>
  <c r="H205" i="2"/>
  <c r="E206" i="2"/>
  <c r="G206" i="2"/>
  <c r="H206" i="2"/>
  <c r="E207" i="2"/>
  <c r="G207" i="2"/>
  <c r="H207" i="2"/>
  <c r="E208" i="2"/>
  <c r="G208" i="2"/>
  <c r="H208" i="2"/>
  <c r="E209" i="2"/>
  <c r="G209" i="2"/>
  <c r="H209" i="2"/>
  <c r="E210" i="2"/>
  <c r="G210" i="2"/>
  <c r="H210" i="2"/>
  <c r="E211" i="2"/>
  <c r="G211" i="2"/>
  <c r="H211" i="2"/>
  <c r="E212" i="2"/>
  <c r="G212" i="2"/>
  <c r="H212" i="2"/>
  <c r="E213" i="2"/>
  <c r="G213" i="2"/>
  <c r="H213" i="2"/>
  <c r="E214" i="2"/>
  <c r="G214" i="2"/>
  <c r="H214" i="2"/>
  <c r="E215" i="2"/>
  <c r="G215" i="2"/>
  <c r="H215" i="2"/>
  <c r="E216" i="2"/>
  <c r="G216" i="2"/>
  <c r="H216" i="2"/>
  <c r="E217" i="2"/>
  <c r="G217" i="2"/>
  <c r="H217" i="2"/>
  <c r="E218" i="2"/>
  <c r="G218" i="2"/>
  <c r="H218" i="2"/>
  <c r="E219" i="2"/>
  <c r="G219" i="2"/>
  <c r="H219" i="2"/>
  <c r="E220" i="2"/>
  <c r="G220" i="2"/>
  <c r="H220" i="2"/>
  <c r="E221" i="2"/>
  <c r="G221" i="2"/>
  <c r="H221" i="2"/>
  <c r="E222" i="2"/>
  <c r="G222" i="2"/>
  <c r="H222" i="2"/>
  <c r="E223" i="2"/>
  <c r="G223" i="2"/>
  <c r="H223" i="2"/>
  <c r="E224" i="2"/>
  <c r="G224" i="2"/>
  <c r="H224" i="2"/>
  <c r="E225" i="2"/>
  <c r="G225" i="2"/>
  <c r="H225" i="2"/>
  <c r="E226" i="2"/>
  <c r="G226" i="2"/>
  <c r="H226" i="2"/>
  <c r="E227" i="2"/>
  <c r="G227" i="2"/>
  <c r="H227" i="2"/>
  <c r="E228" i="2"/>
  <c r="G228" i="2"/>
  <c r="H228" i="2"/>
  <c r="E229" i="2"/>
  <c r="G229" i="2"/>
  <c r="H229" i="2"/>
  <c r="E230" i="2"/>
  <c r="G230" i="2"/>
  <c r="H230" i="2"/>
  <c r="E231" i="2"/>
  <c r="G231" i="2"/>
  <c r="H231" i="2"/>
  <c r="E232" i="2"/>
  <c r="G232" i="2"/>
  <c r="H232" i="2"/>
  <c r="E233" i="2"/>
  <c r="G233" i="2"/>
  <c r="H233" i="2"/>
  <c r="E234" i="2"/>
  <c r="G234" i="2"/>
  <c r="H234" i="2"/>
  <c r="E235" i="2"/>
  <c r="G235" i="2"/>
  <c r="H235" i="2"/>
  <c r="E236" i="2"/>
  <c r="G236" i="2"/>
  <c r="H236" i="2"/>
  <c r="E237" i="2"/>
  <c r="G237" i="2"/>
  <c r="H237" i="2"/>
  <c r="E238" i="2"/>
  <c r="G238" i="2"/>
  <c r="H238" i="2"/>
  <c r="E239" i="2"/>
  <c r="G239" i="2"/>
  <c r="H239" i="2"/>
  <c r="E240" i="2"/>
  <c r="G240" i="2"/>
  <c r="H240" i="2"/>
  <c r="E241" i="2"/>
  <c r="G241" i="2"/>
  <c r="H241" i="2"/>
  <c r="E242" i="2"/>
  <c r="G242" i="2"/>
  <c r="H242" i="2"/>
  <c r="E243" i="2"/>
  <c r="G243" i="2"/>
  <c r="H243" i="2"/>
  <c r="E244" i="2"/>
  <c r="G244" i="2"/>
  <c r="H244" i="2"/>
  <c r="E245" i="2"/>
  <c r="G245" i="2"/>
  <c r="H245" i="2"/>
  <c r="E246" i="2"/>
  <c r="G246" i="2"/>
  <c r="H246" i="2"/>
  <c r="E247" i="2"/>
  <c r="G247" i="2"/>
  <c r="H247" i="2"/>
  <c r="E248" i="2"/>
  <c r="G248" i="2"/>
  <c r="H248" i="2"/>
  <c r="E249" i="2"/>
  <c r="G249" i="2"/>
  <c r="H249" i="2"/>
  <c r="E250" i="2"/>
  <c r="G250" i="2"/>
  <c r="H250" i="2"/>
  <c r="E251" i="2"/>
  <c r="G251" i="2"/>
  <c r="H251" i="2"/>
  <c r="E252" i="2"/>
  <c r="G252" i="2"/>
  <c r="H252" i="2"/>
  <c r="E253" i="2"/>
  <c r="G253" i="2"/>
  <c r="H253" i="2"/>
  <c r="E254" i="2"/>
  <c r="G254" i="2"/>
  <c r="H254" i="2"/>
  <c r="E255" i="2"/>
  <c r="G255" i="2"/>
  <c r="H255" i="2"/>
  <c r="E256" i="2"/>
  <c r="G256" i="2"/>
  <c r="H256" i="2"/>
  <c r="E257" i="2"/>
  <c r="G257" i="2"/>
  <c r="H257" i="2"/>
  <c r="E258" i="2"/>
  <c r="G258" i="2"/>
  <c r="H258" i="2"/>
  <c r="E259" i="2"/>
  <c r="G259" i="2"/>
  <c r="H259" i="2"/>
  <c r="E260" i="2"/>
  <c r="G260" i="2"/>
  <c r="H260" i="2"/>
  <c r="E261" i="2"/>
  <c r="G261" i="2"/>
  <c r="H261" i="2"/>
  <c r="E262" i="2"/>
  <c r="G262" i="2"/>
  <c r="H262" i="2"/>
  <c r="E263" i="2"/>
  <c r="G263" i="2"/>
  <c r="H263" i="2"/>
  <c r="E264" i="2"/>
  <c r="G264" i="2"/>
  <c r="H264" i="2"/>
  <c r="E265" i="2"/>
  <c r="G265" i="2"/>
  <c r="H265" i="2"/>
  <c r="E266" i="2"/>
  <c r="G266" i="2"/>
  <c r="H266" i="2"/>
  <c r="E267" i="2"/>
  <c r="G267" i="2"/>
  <c r="H267" i="2"/>
  <c r="E268" i="2"/>
  <c r="G268" i="2"/>
  <c r="H268" i="2"/>
  <c r="E269" i="2"/>
  <c r="G269" i="2"/>
  <c r="H269" i="2"/>
  <c r="E270" i="2"/>
  <c r="G270" i="2"/>
  <c r="H270" i="2"/>
  <c r="E271" i="2"/>
  <c r="G271" i="2"/>
  <c r="H271" i="2"/>
  <c r="E272" i="2"/>
  <c r="G272" i="2"/>
  <c r="H272" i="2"/>
  <c r="E273" i="2"/>
  <c r="G273" i="2"/>
  <c r="H273" i="2"/>
  <c r="E274" i="2"/>
  <c r="G274" i="2"/>
  <c r="H274" i="2"/>
  <c r="E275" i="2"/>
  <c r="G275" i="2"/>
  <c r="H275" i="2"/>
  <c r="E276" i="2"/>
  <c r="G276" i="2"/>
  <c r="H276" i="2"/>
  <c r="E277" i="2"/>
  <c r="G277" i="2"/>
  <c r="H277" i="2"/>
  <c r="E278" i="2"/>
  <c r="G278" i="2"/>
  <c r="H278" i="2"/>
  <c r="E279" i="2"/>
  <c r="G279" i="2"/>
  <c r="H279" i="2"/>
  <c r="E280" i="2"/>
  <c r="G280" i="2"/>
  <c r="H280" i="2"/>
  <c r="E281" i="2"/>
  <c r="G281" i="2"/>
  <c r="H281" i="2"/>
  <c r="E282" i="2"/>
  <c r="G282" i="2"/>
  <c r="H282" i="2"/>
  <c r="E283" i="2"/>
  <c r="G283" i="2"/>
  <c r="H283" i="2"/>
  <c r="E284" i="2"/>
  <c r="G284" i="2"/>
  <c r="H284" i="2"/>
  <c r="E285" i="2"/>
  <c r="G285" i="2"/>
  <c r="H285" i="2"/>
  <c r="E286" i="2"/>
  <c r="G286" i="2"/>
  <c r="H286" i="2"/>
  <c r="E287" i="2"/>
  <c r="G287" i="2"/>
  <c r="H287" i="2"/>
  <c r="E288" i="2"/>
  <c r="G288" i="2"/>
  <c r="H288" i="2"/>
  <c r="E289" i="2"/>
  <c r="G289" i="2"/>
  <c r="H289" i="2"/>
  <c r="E290" i="2"/>
  <c r="G290" i="2"/>
  <c r="H290" i="2"/>
  <c r="E291" i="2"/>
  <c r="G291" i="2"/>
  <c r="H291" i="2"/>
  <c r="E292" i="2"/>
  <c r="G292" i="2"/>
  <c r="H292" i="2"/>
  <c r="E293" i="2"/>
  <c r="G293" i="2"/>
  <c r="H293" i="2"/>
  <c r="E294" i="2"/>
  <c r="G294" i="2"/>
  <c r="H294" i="2"/>
  <c r="E295" i="2"/>
  <c r="G295" i="2"/>
  <c r="H295" i="2"/>
  <c r="E296" i="2"/>
  <c r="G296" i="2"/>
  <c r="H296" i="2"/>
  <c r="E297" i="2"/>
  <c r="G297" i="2"/>
  <c r="H297" i="2"/>
  <c r="E298" i="2"/>
  <c r="G298" i="2"/>
  <c r="H298" i="2"/>
  <c r="E299" i="2"/>
  <c r="G299" i="2"/>
  <c r="H299" i="2"/>
  <c r="E300" i="2"/>
  <c r="G300" i="2"/>
  <c r="H300" i="2"/>
  <c r="E301" i="2"/>
  <c r="G301" i="2"/>
  <c r="H301" i="2"/>
  <c r="E302" i="2"/>
  <c r="G302" i="2"/>
  <c r="H302" i="2"/>
  <c r="E303" i="2"/>
  <c r="G303" i="2"/>
  <c r="H303" i="2"/>
  <c r="E304" i="2"/>
  <c r="G304" i="2"/>
  <c r="H304" i="2"/>
  <c r="E305" i="2"/>
  <c r="G305" i="2"/>
  <c r="H305" i="2"/>
  <c r="E306" i="2"/>
  <c r="G306" i="2"/>
  <c r="H306" i="2"/>
  <c r="E307" i="2"/>
  <c r="G307" i="2"/>
  <c r="H307" i="2"/>
  <c r="E308" i="2"/>
  <c r="G308" i="2"/>
  <c r="H308" i="2"/>
  <c r="E309" i="2"/>
  <c r="G309" i="2"/>
  <c r="H309" i="2"/>
  <c r="E310" i="2"/>
  <c r="G310" i="2"/>
  <c r="H310" i="2"/>
  <c r="E311" i="2"/>
  <c r="G311" i="2"/>
  <c r="H311" i="2"/>
  <c r="E312" i="2"/>
  <c r="G312" i="2"/>
  <c r="H312" i="2"/>
  <c r="E313" i="2"/>
  <c r="G313" i="2"/>
  <c r="H313" i="2"/>
  <c r="E314" i="2"/>
  <c r="G314" i="2"/>
  <c r="H314" i="2"/>
  <c r="E315" i="2"/>
  <c r="G315" i="2"/>
  <c r="H315" i="2"/>
  <c r="E316" i="2"/>
  <c r="G316" i="2"/>
  <c r="H316" i="2"/>
  <c r="E317" i="2"/>
  <c r="G317" i="2"/>
  <c r="H317" i="2"/>
  <c r="E318" i="2"/>
  <c r="G318" i="2"/>
  <c r="H318" i="2"/>
  <c r="E319" i="2"/>
  <c r="G319" i="2"/>
  <c r="H319" i="2"/>
  <c r="E320" i="2"/>
  <c r="G320" i="2"/>
  <c r="H320" i="2"/>
  <c r="E321" i="2"/>
  <c r="G321" i="2"/>
  <c r="H321" i="2"/>
  <c r="E322" i="2"/>
  <c r="G322" i="2"/>
  <c r="H322" i="2"/>
  <c r="E323" i="2"/>
  <c r="G323" i="2"/>
  <c r="H323" i="2"/>
  <c r="E324" i="2"/>
  <c r="G324" i="2"/>
  <c r="H324" i="2"/>
  <c r="E325" i="2"/>
  <c r="G325" i="2"/>
  <c r="H325" i="2"/>
  <c r="E326" i="2"/>
  <c r="G326" i="2"/>
  <c r="H326" i="2"/>
  <c r="E327" i="2"/>
  <c r="G327" i="2"/>
  <c r="H327" i="2"/>
  <c r="E328" i="2"/>
  <c r="G328" i="2"/>
  <c r="H328" i="2"/>
  <c r="E329" i="2"/>
  <c r="G329" i="2"/>
  <c r="H329" i="2"/>
  <c r="E330" i="2"/>
  <c r="G330" i="2"/>
  <c r="H330" i="2"/>
  <c r="E331" i="2"/>
  <c r="G331" i="2"/>
  <c r="H331" i="2"/>
  <c r="E332" i="2"/>
  <c r="G332" i="2"/>
  <c r="H332" i="2"/>
  <c r="E333" i="2"/>
  <c r="G333" i="2"/>
  <c r="H333" i="2"/>
  <c r="E334" i="2"/>
  <c r="G334" i="2"/>
  <c r="H334" i="2"/>
  <c r="E335" i="2"/>
  <c r="G335" i="2"/>
  <c r="H335" i="2"/>
  <c r="E336" i="2"/>
  <c r="G336" i="2"/>
  <c r="H336" i="2"/>
  <c r="E337" i="2"/>
  <c r="G337" i="2"/>
  <c r="H337" i="2"/>
  <c r="E338" i="2"/>
  <c r="G338" i="2"/>
  <c r="H338" i="2"/>
  <c r="E339" i="2"/>
  <c r="G339" i="2"/>
  <c r="H339" i="2"/>
  <c r="E340" i="2"/>
  <c r="G340" i="2"/>
  <c r="H340" i="2"/>
  <c r="E341" i="2"/>
  <c r="G341" i="2"/>
  <c r="H341" i="2"/>
  <c r="E342" i="2"/>
  <c r="G342" i="2"/>
  <c r="H342" i="2"/>
  <c r="E343" i="2"/>
  <c r="G343" i="2"/>
  <c r="H343" i="2"/>
  <c r="E344" i="2"/>
  <c r="G344" i="2"/>
  <c r="H344" i="2"/>
  <c r="E345" i="2"/>
  <c r="G345" i="2"/>
  <c r="H345" i="2"/>
  <c r="E346" i="2"/>
  <c r="G346" i="2"/>
  <c r="H346" i="2"/>
  <c r="E347" i="2"/>
  <c r="G347" i="2"/>
  <c r="H347" i="2"/>
  <c r="E348" i="2"/>
  <c r="G348" i="2"/>
  <c r="H348" i="2"/>
  <c r="E349" i="2"/>
  <c r="G349" i="2"/>
  <c r="H349" i="2"/>
  <c r="E350" i="2"/>
  <c r="G350" i="2"/>
  <c r="H350" i="2"/>
  <c r="E351" i="2"/>
  <c r="G351" i="2"/>
  <c r="H351" i="2"/>
  <c r="E352" i="2"/>
  <c r="G352" i="2"/>
  <c r="H352" i="2"/>
  <c r="E353" i="2"/>
  <c r="G353" i="2"/>
  <c r="H353" i="2"/>
  <c r="E354" i="2"/>
  <c r="G354" i="2"/>
  <c r="H354" i="2"/>
  <c r="E355" i="2"/>
  <c r="G355" i="2"/>
  <c r="H355" i="2"/>
  <c r="E356" i="2"/>
  <c r="G356" i="2"/>
  <c r="H356" i="2"/>
  <c r="E357" i="2"/>
  <c r="G357" i="2"/>
  <c r="H357" i="2"/>
  <c r="E358" i="2"/>
  <c r="G358" i="2"/>
  <c r="H358" i="2"/>
  <c r="E359" i="2"/>
  <c r="G359" i="2"/>
  <c r="H359" i="2"/>
  <c r="E360" i="2"/>
  <c r="G360" i="2"/>
  <c r="H360" i="2"/>
  <c r="E361" i="2"/>
  <c r="G361" i="2"/>
  <c r="H361" i="2"/>
  <c r="E362" i="2"/>
  <c r="G362" i="2"/>
  <c r="H362" i="2"/>
  <c r="E363" i="2"/>
  <c r="G363" i="2"/>
  <c r="H363" i="2"/>
  <c r="E364" i="2"/>
  <c r="G364" i="2"/>
  <c r="H364" i="2"/>
  <c r="E365" i="2"/>
  <c r="G365" i="2"/>
  <c r="H365" i="2"/>
  <c r="E366" i="2"/>
  <c r="G366" i="2"/>
  <c r="H366" i="2"/>
  <c r="E367" i="2"/>
  <c r="G367" i="2"/>
  <c r="H367" i="2"/>
  <c r="E368" i="2"/>
  <c r="G368" i="2"/>
  <c r="H368" i="2"/>
  <c r="E369" i="2"/>
  <c r="G369" i="2"/>
  <c r="H369" i="2"/>
  <c r="E370" i="2"/>
  <c r="G370" i="2"/>
  <c r="H370" i="2"/>
  <c r="E371" i="2"/>
  <c r="G371" i="2"/>
  <c r="H371" i="2"/>
  <c r="E372" i="2"/>
  <c r="G372" i="2"/>
  <c r="H372" i="2"/>
  <c r="E373" i="2"/>
  <c r="G373" i="2"/>
  <c r="H373" i="2"/>
  <c r="E374" i="2"/>
  <c r="G374" i="2"/>
  <c r="H374" i="2"/>
  <c r="E375" i="2"/>
  <c r="G375" i="2"/>
  <c r="H375" i="2"/>
  <c r="E376" i="2"/>
  <c r="G376" i="2"/>
  <c r="H376" i="2"/>
  <c r="E377" i="2"/>
  <c r="G377" i="2"/>
  <c r="H377" i="2"/>
  <c r="E378" i="2"/>
  <c r="G378" i="2"/>
  <c r="H378" i="2"/>
  <c r="E379" i="2"/>
  <c r="G379" i="2"/>
  <c r="H379" i="2"/>
  <c r="E380" i="2"/>
  <c r="G380" i="2"/>
  <c r="H380" i="2"/>
  <c r="E381" i="2"/>
  <c r="G381" i="2"/>
  <c r="H381" i="2"/>
  <c r="E382" i="2"/>
  <c r="G382" i="2"/>
  <c r="H382" i="2"/>
  <c r="E383" i="2"/>
  <c r="G383" i="2"/>
  <c r="H383" i="2"/>
  <c r="E384" i="2"/>
  <c r="G384" i="2"/>
  <c r="H384" i="2"/>
  <c r="E385" i="2"/>
  <c r="G385" i="2"/>
  <c r="H385" i="2"/>
  <c r="E386" i="2"/>
  <c r="G386" i="2"/>
  <c r="H386" i="2"/>
  <c r="E387" i="2"/>
  <c r="G387" i="2"/>
  <c r="H387" i="2"/>
  <c r="E388" i="2"/>
  <c r="G388" i="2"/>
  <c r="H388" i="2"/>
  <c r="E389" i="2"/>
  <c r="G389" i="2"/>
  <c r="H389" i="2"/>
  <c r="E390" i="2"/>
  <c r="G390" i="2"/>
  <c r="H390" i="2"/>
  <c r="E391" i="2"/>
  <c r="G391" i="2"/>
  <c r="H391" i="2"/>
  <c r="E392" i="2"/>
  <c r="G392" i="2"/>
  <c r="H392" i="2"/>
  <c r="E393" i="2"/>
  <c r="G393" i="2"/>
  <c r="H393" i="2"/>
  <c r="E394" i="2"/>
  <c r="G394" i="2"/>
  <c r="H394" i="2"/>
  <c r="E395" i="2"/>
  <c r="G395" i="2"/>
  <c r="H395" i="2"/>
  <c r="E396" i="2"/>
  <c r="G396" i="2"/>
  <c r="H396" i="2"/>
  <c r="E397" i="2"/>
  <c r="G397" i="2"/>
  <c r="H397" i="2"/>
  <c r="E398" i="2"/>
  <c r="G398" i="2"/>
  <c r="H398" i="2"/>
  <c r="E399" i="2"/>
  <c r="G399" i="2"/>
  <c r="H399" i="2"/>
  <c r="E400" i="2"/>
  <c r="G400" i="2"/>
  <c r="H400" i="2"/>
  <c r="E401" i="2"/>
  <c r="G401" i="2"/>
  <c r="H401" i="2"/>
  <c r="E402" i="2"/>
  <c r="G402" i="2"/>
  <c r="H402" i="2"/>
  <c r="E403" i="2"/>
  <c r="G403" i="2"/>
  <c r="H403" i="2"/>
  <c r="E404" i="2"/>
  <c r="G404" i="2"/>
  <c r="H404" i="2"/>
  <c r="E405" i="2"/>
  <c r="G405" i="2"/>
  <c r="H405" i="2"/>
  <c r="E406" i="2"/>
  <c r="G406" i="2"/>
  <c r="H406" i="2"/>
  <c r="E407" i="2"/>
  <c r="G407" i="2"/>
  <c r="H407" i="2"/>
  <c r="E408" i="2"/>
  <c r="G408" i="2"/>
  <c r="H408" i="2"/>
  <c r="E409" i="2"/>
  <c r="G409" i="2"/>
  <c r="H409" i="2"/>
  <c r="E410" i="2"/>
  <c r="G410" i="2"/>
  <c r="H410" i="2"/>
  <c r="E411" i="2"/>
  <c r="G411" i="2"/>
  <c r="H411" i="2"/>
  <c r="E412" i="2"/>
  <c r="G412" i="2"/>
  <c r="H412" i="2"/>
  <c r="E413" i="2"/>
  <c r="G413" i="2"/>
  <c r="H413" i="2"/>
  <c r="E414" i="2"/>
  <c r="G414" i="2"/>
  <c r="H414" i="2"/>
  <c r="E415" i="2"/>
  <c r="G415" i="2"/>
  <c r="H415" i="2"/>
  <c r="E416" i="2"/>
  <c r="G416" i="2"/>
  <c r="H416" i="2"/>
  <c r="E417" i="2"/>
  <c r="G417" i="2"/>
  <c r="H417" i="2"/>
  <c r="E418" i="2"/>
  <c r="G418" i="2"/>
  <c r="H418" i="2"/>
  <c r="E419" i="2"/>
  <c r="G419" i="2"/>
  <c r="H419" i="2"/>
  <c r="E420" i="2"/>
  <c r="G420" i="2"/>
  <c r="H420" i="2"/>
  <c r="E421" i="2"/>
  <c r="G421" i="2"/>
  <c r="H421" i="2"/>
  <c r="E422" i="2"/>
  <c r="G422" i="2"/>
  <c r="H422" i="2"/>
  <c r="E423" i="2"/>
  <c r="G423" i="2"/>
  <c r="H423" i="2"/>
  <c r="E424" i="2"/>
  <c r="G424" i="2"/>
  <c r="H424" i="2"/>
  <c r="E425" i="2"/>
  <c r="G425" i="2"/>
  <c r="H425" i="2"/>
  <c r="E426" i="2"/>
  <c r="G426" i="2"/>
  <c r="H426" i="2"/>
  <c r="E427" i="2"/>
  <c r="G427" i="2"/>
  <c r="H427" i="2"/>
  <c r="E428" i="2"/>
  <c r="G428" i="2"/>
  <c r="H428" i="2"/>
  <c r="E429" i="2"/>
  <c r="G429" i="2"/>
  <c r="H429" i="2"/>
  <c r="E430" i="2"/>
  <c r="G430" i="2"/>
  <c r="H430" i="2"/>
  <c r="E431" i="2"/>
  <c r="G431" i="2"/>
  <c r="H431" i="2"/>
  <c r="E432" i="2"/>
  <c r="G432" i="2"/>
  <c r="H432" i="2"/>
  <c r="E433" i="2"/>
  <c r="G433" i="2"/>
  <c r="H433" i="2"/>
  <c r="E434" i="2"/>
  <c r="G434" i="2"/>
  <c r="H434" i="2"/>
  <c r="E435" i="2"/>
  <c r="G435" i="2"/>
  <c r="H435" i="2"/>
  <c r="E436" i="2"/>
  <c r="G436" i="2"/>
  <c r="H436" i="2"/>
  <c r="E437" i="2"/>
  <c r="G437" i="2"/>
  <c r="H437" i="2"/>
  <c r="E438" i="2"/>
  <c r="G438" i="2"/>
  <c r="H438" i="2"/>
  <c r="E439" i="2"/>
  <c r="G439" i="2"/>
  <c r="H439" i="2"/>
  <c r="E440" i="2"/>
  <c r="G440" i="2"/>
  <c r="H440" i="2"/>
  <c r="E441" i="2"/>
  <c r="G441" i="2"/>
  <c r="H441" i="2"/>
  <c r="E442" i="2"/>
  <c r="G442" i="2"/>
  <c r="H442" i="2"/>
  <c r="E443" i="2"/>
  <c r="G443" i="2"/>
  <c r="H443" i="2"/>
  <c r="E444" i="2"/>
  <c r="G444" i="2"/>
  <c r="H444" i="2"/>
  <c r="E445" i="2"/>
  <c r="G445" i="2"/>
  <c r="H445" i="2"/>
  <c r="E446" i="2"/>
  <c r="G446" i="2"/>
  <c r="H446" i="2"/>
  <c r="E447" i="2"/>
  <c r="G447" i="2"/>
  <c r="H447" i="2"/>
  <c r="E448" i="2"/>
  <c r="G448" i="2"/>
  <c r="H448" i="2"/>
  <c r="E449" i="2"/>
  <c r="G449" i="2"/>
  <c r="H449" i="2"/>
  <c r="E450" i="2"/>
  <c r="G450" i="2"/>
  <c r="H450" i="2"/>
  <c r="E451" i="2"/>
  <c r="G451" i="2"/>
  <c r="H451" i="2"/>
  <c r="E452" i="2"/>
  <c r="G452" i="2"/>
  <c r="H452" i="2"/>
  <c r="E453" i="2"/>
  <c r="G453" i="2"/>
  <c r="H453" i="2"/>
  <c r="E454" i="2"/>
  <c r="G454" i="2"/>
  <c r="H454" i="2"/>
  <c r="E455" i="2"/>
  <c r="G455" i="2"/>
  <c r="H455" i="2"/>
  <c r="E456" i="2"/>
  <c r="G456" i="2"/>
  <c r="H456" i="2"/>
  <c r="E457" i="2"/>
  <c r="G457" i="2"/>
  <c r="H457" i="2"/>
  <c r="E458" i="2"/>
  <c r="G458" i="2"/>
  <c r="H458" i="2"/>
  <c r="E459" i="2"/>
  <c r="G459" i="2"/>
  <c r="H459" i="2"/>
  <c r="E460" i="2"/>
  <c r="G460" i="2"/>
  <c r="H460" i="2"/>
  <c r="E461" i="2"/>
  <c r="G461" i="2"/>
  <c r="H461" i="2"/>
  <c r="E462" i="2"/>
  <c r="G462" i="2"/>
  <c r="H462" i="2"/>
  <c r="E463" i="2"/>
  <c r="G463" i="2"/>
  <c r="H463" i="2"/>
  <c r="E464" i="2"/>
  <c r="G464" i="2"/>
  <c r="H464" i="2"/>
  <c r="E465" i="2"/>
  <c r="G465" i="2"/>
  <c r="H465" i="2"/>
  <c r="E466" i="2"/>
  <c r="G466" i="2"/>
  <c r="H466" i="2"/>
  <c r="E467" i="2"/>
  <c r="G467" i="2"/>
  <c r="H467" i="2"/>
  <c r="E468" i="2"/>
  <c r="G468" i="2"/>
  <c r="H468" i="2"/>
  <c r="E469" i="2"/>
  <c r="G469" i="2"/>
  <c r="H469" i="2"/>
  <c r="E470" i="2"/>
  <c r="G470" i="2"/>
  <c r="H470" i="2"/>
  <c r="E471" i="2"/>
  <c r="G471" i="2"/>
  <c r="H471" i="2"/>
  <c r="E472" i="2"/>
  <c r="G472" i="2"/>
  <c r="H472" i="2"/>
  <c r="E473" i="2"/>
  <c r="G473" i="2"/>
  <c r="H473" i="2"/>
  <c r="E474" i="2"/>
  <c r="G474" i="2"/>
  <c r="H474" i="2"/>
  <c r="E475" i="2"/>
  <c r="G475" i="2"/>
  <c r="H475" i="2"/>
  <c r="E476" i="2"/>
  <c r="G476" i="2"/>
  <c r="H476" i="2"/>
  <c r="E477" i="2"/>
  <c r="G477" i="2"/>
  <c r="H477" i="2"/>
  <c r="E478" i="2"/>
  <c r="G478" i="2"/>
  <c r="H478" i="2"/>
  <c r="E479" i="2"/>
  <c r="G479" i="2"/>
  <c r="H479" i="2"/>
  <c r="E480" i="2"/>
  <c r="G480" i="2"/>
  <c r="H480" i="2"/>
  <c r="E481" i="2"/>
  <c r="G481" i="2"/>
  <c r="H481" i="2"/>
  <c r="E482" i="2"/>
  <c r="G482" i="2"/>
  <c r="H482" i="2"/>
  <c r="E483" i="2"/>
  <c r="G483" i="2"/>
  <c r="H483" i="2"/>
  <c r="E484" i="2"/>
  <c r="G484" i="2"/>
  <c r="H484" i="2"/>
  <c r="E485" i="2"/>
  <c r="G485" i="2"/>
  <c r="H485" i="2"/>
  <c r="E486" i="2"/>
  <c r="G486" i="2"/>
  <c r="H486" i="2"/>
  <c r="E487" i="2"/>
  <c r="G487" i="2"/>
  <c r="H487" i="2"/>
  <c r="E488" i="2"/>
  <c r="G488" i="2"/>
  <c r="H488" i="2"/>
  <c r="E489" i="2"/>
  <c r="G489" i="2"/>
  <c r="H489" i="2"/>
  <c r="E490" i="2"/>
  <c r="G490" i="2"/>
  <c r="H490" i="2"/>
  <c r="E491" i="2"/>
  <c r="G491" i="2"/>
  <c r="H491" i="2"/>
  <c r="E492" i="2"/>
  <c r="G492" i="2"/>
  <c r="H492" i="2"/>
  <c r="E493" i="2"/>
  <c r="G493" i="2"/>
  <c r="H493" i="2"/>
  <c r="E494" i="2"/>
  <c r="G494" i="2"/>
  <c r="H494" i="2"/>
  <c r="E495" i="2"/>
  <c r="G495" i="2"/>
  <c r="H495" i="2"/>
  <c r="E496" i="2"/>
  <c r="G496" i="2"/>
  <c r="H496" i="2"/>
  <c r="E497" i="2"/>
  <c r="G497" i="2"/>
  <c r="H497" i="2"/>
  <c r="E498" i="2"/>
  <c r="G498" i="2"/>
  <c r="H498" i="2"/>
  <c r="E499" i="2"/>
  <c r="G499" i="2"/>
  <c r="H499" i="2"/>
  <c r="E500" i="2"/>
  <c r="G500" i="2"/>
  <c r="H500" i="2"/>
  <c r="E501" i="2"/>
  <c r="G501" i="2"/>
  <c r="H501" i="2"/>
  <c r="E502" i="2"/>
  <c r="G502" i="2"/>
  <c r="H502" i="2"/>
  <c r="E503" i="2"/>
  <c r="G503" i="2"/>
  <c r="H503" i="2"/>
  <c r="E504" i="2"/>
  <c r="G504" i="2"/>
  <c r="H504" i="2"/>
  <c r="E505" i="2"/>
  <c r="G505" i="2"/>
  <c r="H505" i="2"/>
  <c r="E506" i="2"/>
  <c r="G506" i="2"/>
  <c r="H506" i="2"/>
  <c r="E507" i="2"/>
  <c r="G507" i="2"/>
  <c r="H507" i="2"/>
  <c r="E508" i="2"/>
  <c r="G508" i="2"/>
  <c r="H508" i="2"/>
  <c r="E509" i="2"/>
  <c r="G509" i="2"/>
  <c r="H509" i="2"/>
  <c r="E510" i="2"/>
  <c r="G510" i="2"/>
  <c r="H510" i="2"/>
  <c r="E511" i="2"/>
  <c r="G511" i="2"/>
  <c r="H511" i="2"/>
  <c r="E512" i="2"/>
  <c r="G512" i="2"/>
  <c r="H512" i="2"/>
  <c r="E513" i="2"/>
  <c r="G513" i="2"/>
  <c r="H513" i="2"/>
  <c r="E514" i="2"/>
  <c r="G514" i="2"/>
  <c r="H514" i="2"/>
  <c r="E515" i="2"/>
  <c r="G515" i="2"/>
  <c r="H515" i="2"/>
  <c r="E516" i="2"/>
  <c r="G516" i="2"/>
  <c r="H516" i="2"/>
  <c r="E517" i="2"/>
  <c r="G517" i="2"/>
  <c r="H517" i="2"/>
  <c r="E518" i="2"/>
  <c r="G518" i="2"/>
  <c r="H518" i="2"/>
  <c r="E519" i="2"/>
  <c r="G519" i="2"/>
  <c r="H519" i="2"/>
  <c r="E520" i="2"/>
  <c r="G520" i="2"/>
  <c r="H520" i="2"/>
  <c r="E521" i="2"/>
  <c r="G521" i="2"/>
  <c r="H521" i="2"/>
  <c r="E522" i="2"/>
  <c r="G522" i="2"/>
  <c r="H522" i="2"/>
  <c r="E523" i="2"/>
  <c r="G523" i="2"/>
  <c r="H523" i="2"/>
  <c r="E524" i="2"/>
  <c r="G524" i="2"/>
  <c r="H524" i="2"/>
  <c r="E525" i="2"/>
  <c r="G525" i="2"/>
  <c r="H525" i="2"/>
  <c r="E526" i="2"/>
  <c r="G526" i="2"/>
  <c r="H526" i="2"/>
  <c r="E527" i="2"/>
  <c r="G527" i="2"/>
  <c r="H527" i="2"/>
  <c r="E528" i="2"/>
  <c r="G528" i="2"/>
  <c r="H528" i="2"/>
  <c r="E529" i="2"/>
  <c r="G529" i="2"/>
  <c r="H529" i="2"/>
  <c r="E530" i="2"/>
  <c r="G530" i="2"/>
  <c r="H530" i="2"/>
  <c r="E531" i="2"/>
  <c r="G531" i="2"/>
  <c r="H531" i="2"/>
  <c r="E532" i="2"/>
  <c r="G532" i="2"/>
  <c r="H532" i="2"/>
  <c r="E533" i="2"/>
  <c r="G533" i="2"/>
  <c r="H533" i="2"/>
  <c r="E534" i="2"/>
  <c r="G534" i="2"/>
  <c r="H534" i="2"/>
  <c r="E535" i="2"/>
  <c r="G535" i="2"/>
  <c r="H535" i="2"/>
  <c r="E536" i="2"/>
  <c r="G536" i="2"/>
  <c r="H536" i="2"/>
  <c r="E537" i="2"/>
  <c r="G537" i="2"/>
  <c r="H537" i="2"/>
  <c r="E538" i="2"/>
  <c r="G538" i="2"/>
  <c r="H538" i="2"/>
  <c r="E539" i="2"/>
  <c r="G539" i="2"/>
  <c r="H539" i="2"/>
  <c r="E540" i="2"/>
  <c r="G540" i="2"/>
  <c r="H540" i="2"/>
  <c r="E541" i="2"/>
  <c r="G541" i="2"/>
  <c r="H541" i="2"/>
  <c r="E542" i="2"/>
  <c r="G542" i="2"/>
  <c r="H542" i="2"/>
  <c r="E543" i="2"/>
  <c r="G543" i="2"/>
  <c r="H543" i="2"/>
  <c r="E544" i="2"/>
  <c r="G544" i="2"/>
  <c r="H544" i="2"/>
  <c r="E545" i="2"/>
  <c r="G545" i="2"/>
  <c r="H545" i="2"/>
  <c r="E546" i="2"/>
  <c r="G546" i="2"/>
  <c r="H546" i="2"/>
  <c r="E547" i="2"/>
  <c r="G547" i="2"/>
  <c r="H547" i="2"/>
  <c r="E548" i="2"/>
  <c r="G548" i="2"/>
  <c r="H548" i="2"/>
  <c r="E549" i="2"/>
  <c r="G549" i="2"/>
  <c r="H549" i="2"/>
  <c r="E550" i="2"/>
  <c r="G550" i="2"/>
  <c r="H550" i="2"/>
  <c r="E551" i="2"/>
  <c r="G551" i="2"/>
  <c r="H551" i="2"/>
  <c r="E552" i="2"/>
  <c r="G552" i="2"/>
  <c r="H552" i="2"/>
  <c r="E553" i="2"/>
  <c r="G553" i="2"/>
  <c r="H553" i="2"/>
  <c r="E554" i="2"/>
  <c r="G554" i="2"/>
  <c r="H554" i="2"/>
  <c r="E555" i="2"/>
  <c r="G555" i="2"/>
  <c r="H555" i="2"/>
  <c r="E556" i="2"/>
  <c r="G556" i="2"/>
  <c r="H556" i="2"/>
  <c r="E557" i="2"/>
  <c r="G557" i="2"/>
  <c r="H557" i="2"/>
  <c r="E558" i="2"/>
  <c r="G558" i="2"/>
  <c r="H558" i="2"/>
  <c r="E559" i="2"/>
  <c r="G559" i="2"/>
  <c r="H559" i="2"/>
  <c r="E560" i="2"/>
  <c r="G560" i="2"/>
  <c r="H560" i="2"/>
  <c r="E561" i="2"/>
  <c r="G561" i="2"/>
  <c r="H561" i="2"/>
  <c r="E562" i="2"/>
  <c r="G562" i="2"/>
  <c r="H562" i="2"/>
  <c r="E563" i="2"/>
  <c r="G563" i="2"/>
  <c r="H563" i="2"/>
  <c r="E564" i="2"/>
  <c r="G564" i="2"/>
  <c r="H564" i="2"/>
  <c r="E565" i="2"/>
  <c r="G565" i="2"/>
  <c r="H565" i="2"/>
  <c r="E566" i="2"/>
  <c r="G566" i="2"/>
  <c r="H566" i="2"/>
  <c r="E567" i="2"/>
  <c r="G567" i="2"/>
  <c r="H567" i="2"/>
  <c r="E568" i="2"/>
  <c r="G568" i="2"/>
  <c r="H568" i="2"/>
  <c r="E569" i="2"/>
  <c r="G569" i="2"/>
  <c r="H569" i="2"/>
  <c r="E570" i="2"/>
  <c r="G570" i="2"/>
  <c r="H570" i="2"/>
  <c r="E571" i="2"/>
  <c r="G571" i="2"/>
  <c r="H571" i="2"/>
  <c r="E572" i="2"/>
  <c r="G572" i="2"/>
  <c r="H572" i="2"/>
  <c r="E573" i="2"/>
  <c r="G573" i="2"/>
  <c r="H573" i="2"/>
  <c r="E574" i="2"/>
  <c r="G574" i="2"/>
  <c r="H574" i="2"/>
  <c r="E575" i="2"/>
  <c r="G575" i="2"/>
  <c r="H575" i="2"/>
  <c r="E576" i="2"/>
  <c r="G576" i="2"/>
  <c r="H576" i="2"/>
  <c r="E577" i="2"/>
  <c r="G577" i="2"/>
  <c r="H577" i="2"/>
  <c r="E578" i="2"/>
  <c r="G578" i="2"/>
  <c r="H578" i="2"/>
  <c r="E579" i="2"/>
  <c r="G579" i="2"/>
  <c r="H579" i="2"/>
  <c r="E580" i="2"/>
  <c r="G580" i="2"/>
  <c r="H580" i="2"/>
  <c r="E581" i="2"/>
  <c r="G581" i="2"/>
  <c r="H581" i="2"/>
  <c r="E582" i="2"/>
  <c r="G582" i="2"/>
  <c r="H582" i="2"/>
  <c r="E583" i="2"/>
  <c r="G583" i="2"/>
  <c r="H583" i="2"/>
  <c r="E584" i="2"/>
  <c r="G584" i="2"/>
  <c r="H584" i="2"/>
  <c r="E585" i="2"/>
  <c r="G585" i="2"/>
  <c r="H585" i="2"/>
  <c r="E586" i="2"/>
  <c r="G586" i="2"/>
  <c r="H586" i="2"/>
  <c r="E587" i="2"/>
  <c r="G587" i="2"/>
  <c r="H587" i="2"/>
  <c r="E588" i="2"/>
  <c r="G588" i="2"/>
  <c r="H588" i="2"/>
  <c r="E589" i="2"/>
  <c r="G589" i="2"/>
  <c r="H589" i="2"/>
  <c r="E590" i="2"/>
  <c r="G590" i="2"/>
  <c r="H590" i="2"/>
  <c r="E591" i="2"/>
  <c r="G591" i="2"/>
  <c r="H591" i="2"/>
  <c r="E592" i="2"/>
  <c r="G592" i="2"/>
  <c r="H592" i="2"/>
  <c r="E593" i="2"/>
  <c r="G593" i="2"/>
  <c r="H593" i="2"/>
  <c r="E594" i="2"/>
  <c r="G594" i="2"/>
  <c r="H594" i="2"/>
  <c r="E595" i="2"/>
  <c r="G595" i="2"/>
  <c r="H595" i="2"/>
  <c r="E596" i="2"/>
  <c r="G596" i="2"/>
  <c r="H596" i="2"/>
  <c r="E597" i="2"/>
  <c r="G597" i="2"/>
  <c r="H597" i="2"/>
  <c r="E598" i="2"/>
  <c r="G598" i="2"/>
  <c r="H598" i="2"/>
  <c r="E599" i="2"/>
  <c r="G599" i="2"/>
  <c r="H599" i="2"/>
  <c r="E600" i="2"/>
  <c r="G600" i="2"/>
  <c r="H600" i="2"/>
  <c r="E601" i="2"/>
  <c r="G601" i="2"/>
  <c r="H601" i="2"/>
  <c r="E602" i="2"/>
  <c r="G602" i="2"/>
  <c r="H602" i="2"/>
  <c r="E603" i="2"/>
  <c r="G603" i="2"/>
  <c r="H603" i="2"/>
  <c r="E604" i="2"/>
  <c r="G604" i="2"/>
  <c r="H604" i="2"/>
  <c r="E605" i="2"/>
  <c r="G605" i="2"/>
  <c r="H605" i="2"/>
  <c r="E606" i="2"/>
  <c r="G606" i="2"/>
  <c r="H606" i="2"/>
  <c r="E607" i="2"/>
  <c r="G607" i="2"/>
  <c r="H607" i="2"/>
  <c r="E608" i="2"/>
  <c r="G608" i="2"/>
  <c r="H608" i="2"/>
  <c r="E609" i="2"/>
  <c r="G609" i="2"/>
  <c r="H609" i="2"/>
  <c r="E610" i="2"/>
  <c r="G610" i="2"/>
  <c r="H610" i="2"/>
  <c r="E611" i="2"/>
  <c r="G611" i="2"/>
  <c r="H611" i="2"/>
  <c r="E612" i="2"/>
  <c r="G612" i="2"/>
  <c r="H612" i="2"/>
  <c r="E613" i="2"/>
  <c r="G613" i="2"/>
  <c r="H613" i="2"/>
  <c r="E614" i="2"/>
  <c r="G614" i="2"/>
  <c r="H614" i="2"/>
  <c r="E615" i="2"/>
  <c r="G615" i="2"/>
  <c r="H615" i="2"/>
  <c r="E616" i="2"/>
  <c r="G616" i="2"/>
  <c r="H616" i="2"/>
  <c r="E617" i="2"/>
  <c r="G617" i="2"/>
  <c r="H617" i="2"/>
  <c r="E618" i="2"/>
  <c r="G618" i="2"/>
  <c r="H618" i="2"/>
  <c r="E619" i="2"/>
  <c r="G619" i="2"/>
  <c r="H619" i="2"/>
  <c r="E620" i="2"/>
  <c r="G620" i="2"/>
  <c r="H620" i="2"/>
  <c r="E621" i="2"/>
  <c r="G621" i="2"/>
  <c r="H621" i="2"/>
  <c r="E622" i="2"/>
  <c r="G622" i="2"/>
  <c r="H622" i="2"/>
  <c r="E623" i="2"/>
  <c r="G623" i="2"/>
  <c r="H623" i="2"/>
  <c r="E624" i="2"/>
  <c r="G624" i="2"/>
  <c r="H624" i="2"/>
  <c r="E625" i="2"/>
  <c r="G625" i="2"/>
  <c r="H625" i="2"/>
  <c r="E626" i="2"/>
  <c r="G626" i="2"/>
  <c r="H626" i="2"/>
  <c r="E627" i="2"/>
  <c r="G627" i="2"/>
  <c r="H627" i="2"/>
  <c r="E628" i="2"/>
  <c r="G628" i="2"/>
  <c r="H628" i="2"/>
  <c r="E629" i="2"/>
  <c r="G629" i="2"/>
  <c r="H629" i="2"/>
  <c r="E630" i="2"/>
  <c r="G630" i="2"/>
  <c r="H630" i="2"/>
  <c r="E631" i="2"/>
  <c r="G631" i="2"/>
  <c r="H631" i="2"/>
  <c r="E632" i="2"/>
  <c r="G632" i="2"/>
  <c r="H632" i="2"/>
  <c r="E633" i="2"/>
  <c r="G633" i="2"/>
  <c r="H633" i="2"/>
  <c r="E634" i="2"/>
  <c r="G634" i="2"/>
  <c r="H634" i="2"/>
  <c r="E635" i="2"/>
  <c r="G635" i="2"/>
  <c r="H635" i="2"/>
  <c r="E636" i="2"/>
  <c r="G636" i="2"/>
  <c r="H636" i="2"/>
  <c r="E637" i="2"/>
  <c r="G637" i="2"/>
  <c r="H637" i="2"/>
  <c r="E638" i="2"/>
  <c r="G638" i="2"/>
  <c r="H638" i="2"/>
  <c r="E639" i="2"/>
  <c r="G639" i="2"/>
  <c r="H639" i="2"/>
  <c r="E640" i="2"/>
  <c r="G640" i="2"/>
  <c r="H640" i="2"/>
  <c r="E641" i="2"/>
  <c r="G641" i="2"/>
  <c r="H641" i="2"/>
  <c r="E642" i="2"/>
  <c r="G642" i="2"/>
  <c r="H642" i="2"/>
  <c r="E643" i="2"/>
  <c r="G643" i="2"/>
  <c r="H643" i="2"/>
  <c r="E644" i="2"/>
  <c r="G644" i="2"/>
  <c r="H644" i="2"/>
  <c r="E645" i="2"/>
  <c r="G645" i="2"/>
  <c r="H645" i="2"/>
  <c r="E646" i="2"/>
  <c r="G646" i="2"/>
  <c r="H646" i="2"/>
  <c r="E647" i="2"/>
  <c r="G647" i="2"/>
  <c r="H647" i="2"/>
  <c r="E648" i="2"/>
  <c r="G648" i="2"/>
  <c r="H648" i="2"/>
  <c r="E649" i="2"/>
  <c r="G649" i="2"/>
  <c r="H649" i="2"/>
  <c r="E650" i="2"/>
  <c r="G650" i="2"/>
  <c r="H650" i="2"/>
  <c r="E651" i="2"/>
  <c r="G651" i="2"/>
  <c r="H651" i="2"/>
  <c r="E652" i="2"/>
  <c r="G652" i="2"/>
  <c r="H652" i="2"/>
  <c r="E653" i="2"/>
  <c r="G653" i="2"/>
  <c r="H653" i="2"/>
  <c r="E654" i="2"/>
  <c r="G654" i="2"/>
  <c r="H654" i="2"/>
  <c r="E655" i="2"/>
  <c r="G655" i="2"/>
  <c r="H655" i="2"/>
  <c r="E656" i="2"/>
  <c r="G656" i="2"/>
  <c r="H656" i="2"/>
  <c r="E657" i="2"/>
  <c r="G657" i="2"/>
  <c r="H657" i="2"/>
  <c r="E658" i="2"/>
  <c r="G658" i="2"/>
  <c r="H658" i="2"/>
  <c r="E659" i="2"/>
  <c r="G659" i="2"/>
  <c r="H659" i="2"/>
  <c r="E660" i="2"/>
  <c r="G660" i="2"/>
  <c r="H660" i="2"/>
  <c r="E661" i="2"/>
  <c r="G661" i="2"/>
  <c r="H661" i="2"/>
  <c r="E662" i="2"/>
  <c r="G662" i="2"/>
  <c r="H662" i="2"/>
  <c r="E663" i="2"/>
  <c r="G663" i="2"/>
  <c r="H663" i="2"/>
  <c r="E664" i="2"/>
  <c r="G664" i="2"/>
  <c r="H664" i="2"/>
  <c r="E665" i="2"/>
  <c r="G665" i="2"/>
  <c r="H665" i="2"/>
  <c r="E666" i="2"/>
  <c r="G666" i="2"/>
  <c r="H666" i="2"/>
  <c r="E667" i="2"/>
  <c r="G667" i="2"/>
  <c r="H667" i="2"/>
  <c r="E668" i="2"/>
  <c r="G668" i="2"/>
  <c r="H668" i="2"/>
  <c r="E669" i="2"/>
  <c r="G669" i="2"/>
  <c r="H669" i="2"/>
  <c r="E670" i="2"/>
  <c r="G670" i="2"/>
  <c r="H670" i="2"/>
  <c r="E671" i="2"/>
  <c r="G671" i="2"/>
  <c r="H671" i="2"/>
  <c r="E672" i="2"/>
  <c r="G672" i="2"/>
  <c r="H672" i="2"/>
  <c r="E673" i="2"/>
  <c r="G673" i="2"/>
  <c r="H673" i="2"/>
  <c r="E674" i="2"/>
  <c r="G674" i="2"/>
  <c r="H674" i="2"/>
  <c r="E675" i="2"/>
  <c r="G675" i="2"/>
  <c r="H675" i="2"/>
  <c r="E676" i="2"/>
  <c r="G676" i="2"/>
  <c r="H676" i="2"/>
  <c r="E677" i="2"/>
  <c r="G677" i="2"/>
  <c r="H677" i="2"/>
  <c r="E678" i="2"/>
  <c r="G678" i="2"/>
  <c r="H678" i="2"/>
  <c r="E679" i="2"/>
  <c r="G679" i="2"/>
  <c r="H679" i="2"/>
  <c r="E680" i="2"/>
  <c r="G680" i="2"/>
  <c r="H680" i="2"/>
  <c r="E681" i="2"/>
  <c r="G681" i="2"/>
  <c r="H681" i="2"/>
  <c r="E682" i="2"/>
  <c r="G682" i="2"/>
  <c r="H682" i="2"/>
  <c r="E683" i="2"/>
  <c r="G683" i="2"/>
  <c r="H683" i="2"/>
  <c r="E684" i="2"/>
  <c r="G684" i="2"/>
  <c r="H684" i="2"/>
  <c r="E685" i="2"/>
  <c r="G685" i="2"/>
  <c r="H685" i="2"/>
  <c r="E686" i="2"/>
  <c r="G686" i="2"/>
  <c r="H686" i="2"/>
  <c r="E687" i="2"/>
  <c r="G687" i="2"/>
  <c r="H687" i="2"/>
  <c r="E688" i="2"/>
  <c r="G688" i="2"/>
  <c r="H688" i="2"/>
  <c r="E689" i="2"/>
  <c r="G689" i="2"/>
  <c r="H689" i="2"/>
  <c r="E690" i="2"/>
  <c r="G690" i="2"/>
  <c r="H690" i="2"/>
  <c r="E691" i="2"/>
  <c r="G691" i="2"/>
  <c r="H691" i="2"/>
  <c r="E692" i="2"/>
  <c r="G692" i="2"/>
  <c r="H692" i="2"/>
  <c r="E693" i="2"/>
  <c r="G693" i="2"/>
  <c r="H693" i="2"/>
  <c r="E694" i="2"/>
  <c r="G694" i="2"/>
  <c r="H694" i="2"/>
  <c r="E695" i="2"/>
  <c r="G695" i="2"/>
  <c r="H695" i="2"/>
  <c r="E696" i="2"/>
  <c r="G696" i="2"/>
  <c r="H696" i="2"/>
  <c r="E697" i="2"/>
  <c r="G697" i="2"/>
  <c r="H697" i="2"/>
  <c r="E698" i="2"/>
  <c r="G698" i="2"/>
  <c r="H698" i="2"/>
  <c r="E699" i="2"/>
  <c r="G699" i="2"/>
  <c r="H699" i="2"/>
  <c r="E700" i="2"/>
  <c r="G700" i="2"/>
  <c r="H700" i="2"/>
  <c r="E701" i="2"/>
  <c r="G701" i="2"/>
  <c r="H701" i="2"/>
  <c r="E702" i="2"/>
  <c r="G702" i="2"/>
  <c r="H702" i="2"/>
  <c r="E703" i="2"/>
  <c r="G703" i="2"/>
  <c r="H703" i="2"/>
  <c r="E704" i="2"/>
  <c r="G704" i="2"/>
  <c r="H704" i="2"/>
  <c r="E705" i="2"/>
  <c r="G705" i="2"/>
  <c r="H705" i="2"/>
  <c r="E706" i="2"/>
  <c r="G706" i="2"/>
  <c r="H706" i="2"/>
  <c r="E707" i="2"/>
  <c r="G707" i="2"/>
  <c r="H707" i="2"/>
  <c r="E708" i="2"/>
  <c r="G708" i="2"/>
  <c r="H708" i="2"/>
  <c r="E709" i="2"/>
  <c r="G709" i="2"/>
  <c r="H709" i="2"/>
  <c r="E710" i="2"/>
  <c r="G710" i="2"/>
  <c r="H710" i="2"/>
  <c r="E711" i="2"/>
  <c r="G711" i="2"/>
  <c r="H711" i="2"/>
  <c r="E712" i="2"/>
  <c r="G712" i="2"/>
  <c r="H712" i="2"/>
  <c r="E713" i="2"/>
  <c r="G713" i="2"/>
  <c r="H713" i="2"/>
  <c r="E714" i="2"/>
  <c r="G714" i="2"/>
  <c r="H714" i="2"/>
  <c r="E715" i="2"/>
  <c r="G715" i="2"/>
  <c r="H715" i="2"/>
  <c r="E716" i="2"/>
  <c r="G716" i="2"/>
  <c r="H716" i="2"/>
  <c r="E717" i="2"/>
  <c r="G717" i="2"/>
  <c r="H717" i="2"/>
  <c r="E718" i="2"/>
  <c r="G718" i="2"/>
  <c r="H718" i="2"/>
  <c r="E719" i="2"/>
  <c r="G719" i="2"/>
  <c r="H719" i="2"/>
  <c r="E720" i="2"/>
  <c r="G720" i="2"/>
  <c r="H720" i="2"/>
  <c r="E721" i="2"/>
  <c r="G721" i="2"/>
  <c r="H721" i="2"/>
  <c r="E722" i="2"/>
  <c r="G722" i="2"/>
  <c r="H722" i="2"/>
  <c r="E723" i="2"/>
  <c r="G723" i="2"/>
  <c r="H723" i="2"/>
  <c r="E724" i="2"/>
  <c r="G724" i="2"/>
  <c r="H724" i="2"/>
  <c r="E725" i="2"/>
  <c r="G725" i="2"/>
  <c r="H725" i="2"/>
  <c r="E726" i="2"/>
  <c r="G726" i="2"/>
  <c r="H726" i="2"/>
  <c r="E727" i="2"/>
  <c r="G727" i="2"/>
  <c r="H727" i="2"/>
  <c r="E728" i="2"/>
  <c r="G728" i="2"/>
  <c r="H728" i="2"/>
  <c r="E729" i="2"/>
  <c r="G729" i="2"/>
  <c r="H729" i="2"/>
  <c r="E730" i="2"/>
  <c r="G730" i="2"/>
  <c r="H730" i="2"/>
  <c r="E731" i="2"/>
  <c r="G731" i="2"/>
  <c r="H731" i="2"/>
  <c r="E732" i="2"/>
  <c r="G732" i="2"/>
  <c r="H732" i="2"/>
  <c r="E733" i="2"/>
  <c r="G733" i="2"/>
  <c r="H733" i="2"/>
  <c r="E734" i="2"/>
  <c r="G734" i="2"/>
  <c r="H734" i="2"/>
  <c r="E735" i="2"/>
  <c r="G735" i="2"/>
  <c r="H735" i="2"/>
  <c r="E736" i="2"/>
  <c r="G736" i="2"/>
  <c r="H736" i="2"/>
  <c r="E737" i="2"/>
  <c r="G737" i="2"/>
  <c r="H737" i="2"/>
  <c r="E738" i="2"/>
  <c r="G738" i="2"/>
  <c r="H738" i="2"/>
  <c r="E739" i="2"/>
  <c r="G739" i="2"/>
  <c r="H739" i="2"/>
  <c r="E740" i="2"/>
  <c r="G740" i="2"/>
  <c r="H740" i="2"/>
  <c r="E741" i="2"/>
  <c r="G741" i="2"/>
  <c r="H741" i="2"/>
  <c r="E742" i="2"/>
  <c r="G742" i="2"/>
  <c r="H742" i="2"/>
  <c r="E743" i="2"/>
  <c r="G743" i="2"/>
  <c r="H743" i="2"/>
  <c r="E744" i="2"/>
  <c r="G744" i="2"/>
  <c r="H744" i="2"/>
  <c r="E745" i="2"/>
  <c r="G745" i="2"/>
  <c r="H745" i="2"/>
  <c r="E746" i="2"/>
  <c r="G746" i="2"/>
  <c r="H746" i="2"/>
  <c r="E747" i="2"/>
  <c r="G747" i="2"/>
  <c r="H747" i="2"/>
  <c r="E748" i="2"/>
  <c r="G748" i="2"/>
  <c r="H748" i="2"/>
  <c r="E749" i="2"/>
  <c r="G749" i="2"/>
  <c r="H749" i="2"/>
  <c r="E750" i="2"/>
  <c r="G750" i="2"/>
  <c r="H750" i="2"/>
  <c r="E751" i="2"/>
  <c r="G751" i="2"/>
  <c r="H751" i="2"/>
  <c r="E752" i="2"/>
  <c r="G752" i="2"/>
  <c r="H752" i="2"/>
  <c r="E753" i="2"/>
  <c r="G753" i="2"/>
  <c r="H753" i="2"/>
  <c r="E754" i="2"/>
  <c r="G754" i="2"/>
  <c r="H754" i="2"/>
  <c r="E755" i="2"/>
  <c r="G755" i="2"/>
  <c r="H755" i="2"/>
  <c r="E756" i="2"/>
  <c r="G756" i="2"/>
  <c r="H756" i="2"/>
  <c r="E757" i="2"/>
  <c r="G757" i="2"/>
  <c r="H757" i="2"/>
  <c r="E758" i="2"/>
  <c r="G758" i="2"/>
  <c r="H758" i="2"/>
  <c r="E759" i="2"/>
  <c r="G759" i="2"/>
  <c r="H759" i="2"/>
  <c r="E760" i="2"/>
  <c r="G760" i="2"/>
  <c r="H760" i="2"/>
  <c r="E761" i="2"/>
  <c r="G761" i="2"/>
  <c r="H761" i="2"/>
  <c r="E762" i="2"/>
  <c r="G762" i="2"/>
  <c r="H762" i="2"/>
  <c r="E763" i="2"/>
  <c r="G763" i="2"/>
  <c r="H763" i="2"/>
  <c r="E764" i="2"/>
  <c r="G764" i="2"/>
  <c r="H764" i="2"/>
  <c r="E765" i="2"/>
  <c r="G765" i="2"/>
  <c r="H765" i="2"/>
  <c r="E766" i="2"/>
  <c r="G766" i="2"/>
  <c r="H766" i="2"/>
  <c r="E767" i="2"/>
  <c r="G767" i="2"/>
  <c r="H767" i="2"/>
  <c r="E768" i="2"/>
  <c r="G768" i="2"/>
  <c r="H768" i="2"/>
  <c r="E769" i="2"/>
  <c r="G769" i="2"/>
  <c r="H769" i="2"/>
  <c r="E770" i="2"/>
  <c r="G770" i="2"/>
  <c r="H770" i="2"/>
  <c r="E771" i="2"/>
  <c r="G771" i="2"/>
  <c r="H771" i="2"/>
  <c r="E772" i="2"/>
  <c r="G772" i="2"/>
  <c r="H772" i="2"/>
  <c r="E773" i="2"/>
  <c r="G773" i="2"/>
  <c r="H773" i="2"/>
  <c r="E774" i="2"/>
  <c r="G774" i="2"/>
  <c r="H774" i="2"/>
  <c r="E775" i="2"/>
  <c r="G775" i="2"/>
  <c r="H775" i="2"/>
  <c r="E776" i="2"/>
  <c r="G776" i="2"/>
  <c r="H776" i="2"/>
  <c r="E777" i="2"/>
  <c r="G777" i="2"/>
  <c r="H777" i="2"/>
  <c r="E778" i="2"/>
  <c r="G778" i="2"/>
  <c r="H778" i="2"/>
  <c r="E779" i="2"/>
  <c r="G779" i="2"/>
  <c r="H779" i="2"/>
  <c r="E780" i="2"/>
  <c r="G780" i="2"/>
  <c r="H780" i="2"/>
  <c r="E781" i="2"/>
  <c r="G781" i="2"/>
  <c r="H781" i="2"/>
  <c r="E782" i="2"/>
  <c r="G782" i="2"/>
  <c r="H782" i="2"/>
  <c r="E783" i="2"/>
  <c r="G783" i="2"/>
  <c r="H783" i="2"/>
  <c r="E784" i="2"/>
  <c r="G784" i="2"/>
  <c r="H784" i="2"/>
  <c r="E785" i="2"/>
  <c r="G785" i="2"/>
  <c r="H785" i="2"/>
  <c r="E786" i="2"/>
  <c r="G786" i="2"/>
  <c r="H786" i="2"/>
  <c r="E787" i="2"/>
  <c r="G787" i="2"/>
  <c r="H787" i="2"/>
  <c r="E788" i="2"/>
  <c r="G788" i="2"/>
  <c r="H788" i="2"/>
  <c r="E789" i="2"/>
  <c r="G789" i="2"/>
  <c r="H789" i="2"/>
  <c r="E790" i="2"/>
  <c r="G790" i="2"/>
  <c r="H790" i="2"/>
  <c r="E791" i="2"/>
  <c r="G791" i="2"/>
  <c r="H791" i="2"/>
  <c r="E792" i="2"/>
  <c r="G792" i="2"/>
  <c r="H792" i="2"/>
  <c r="E793" i="2"/>
  <c r="G793" i="2"/>
  <c r="H793" i="2"/>
  <c r="E794" i="2"/>
  <c r="G794" i="2"/>
  <c r="H794" i="2"/>
  <c r="E795" i="2"/>
  <c r="G795" i="2"/>
  <c r="H795" i="2"/>
  <c r="E796" i="2"/>
  <c r="G796" i="2"/>
  <c r="H796" i="2"/>
  <c r="E797" i="2"/>
  <c r="G797" i="2"/>
  <c r="H797" i="2"/>
  <c r="E798" i="2"/>
  <c r="G798" i="2"/>
  <c r="H798" i="2"/>
  <c r="E799" i="2"/>
  <c r="G799" i="2"/>
  <c r="H799" i="2"/>
  <c r="E800" i="2"/>
  <c r="G800" i="2"/>
  <c r="H800" i="2"/>
  <c r="E801" i="2"/>
  <c r="G801" i="2"/>
  <c r="H801" i="2"/>
  <c r="E802" i="2"/>
  <c r="G802" i="2"/>
  <c r="H802" i="2"/>
  <c r="E803" i="2"/>
  <c r="G803" i="2"/>
  <c r="H803" i="2"/>
  <c r="E804" i="2"/>
  <c r="G804" i="2"/>
  <c r="H804" i="2"/>
  <c r="E805" i="2"/>
  <c r="G805" i="2"/>
  <c r="H805" i="2"/>
  <c r="E806" i="2"/>
  <c r="G806" i="2"/>
  <c r="H806" i="2"/>
  <c r="E807" i="2"/>
  <c r="G807" i="2"/>
  <c r="H807" i="2"/>
  <c r="E808" i="2"/>
  <c r="G808" i="2"/>
  <c r="H808" i="2"/>
  <c r="E809" i="2"/>
  <c r="G809" i="2"/>
  <c r="H809" i="2"/>
  <c r="E810" i="2"/>
  <c r="G810" i="2"/>
  <c r="H810" i="2"/>
  <c r="E811" i="2"/>
  <c r="G811" i="2"/>
  <c r="H811" i="2"/>
  <c r="E812" i="2"/>
  <c r="G812" i="2"/>
  <c r="H812" i="2"/>
  <c r="E813" i="2"/>
  <c r="G813" i="2"/>
  <c r="H813" i="2"/>
  <c r="E814" i="2"/>
  <c r="G814" i="2"/>
  <c r="H814" i="2"/>
  <c r="E815" i="2"/>
  <c r="G815" i="2"/>
  <c r="H815" i="2"/>
  <c r="E816" i="2"/>
  <c r="G816" i="2"/>
  <c r="H816" i="2"/>
  <c r="E817" i="2"/>
  <c r="G817" i="2"/>
  <c r="H817" i="2"/>
  <c r="E818" i="2"/>
  <c r="G818" i="2"/>
  <c r="H818" i="2"/>
  <c r="E819" i="2"/>
  <c r="G819" i="2"/>
  <c r="H819" i="2"/>
  <c r="E820" i="2"/>
  <c r="G820" i="2"/>
  <c r="H820" i="2"/>
  <c r="E821" i="2"/>
  <c r="G821" i="2"/>
  <c r="H821" i="2"/>
  <c r="E822" i="2"/>
  <c r="G822" i="2"/>
  <c r="H822" i="2"/>
  <c r="E823" i="2"/>
  <c r="G823" i="2"/>
  <c r="H823" i="2"/>
  <c r="E824" i="2"/>
  <c r="G824" i="2"/>
  <c r="H824" i="2"/>
  <c r="E825" i="2"/>
  <c r="G825" i="2"/>
  <c r="H825" i="2"/>
  <c r="E826" i="2"/>
  <c r="G826" i="2"/>
  <c r="H826" i="2"/>
  <c r="E827" i="2"/>
  <c r="G827" i="2"/>
  <c r="H827" i="2"/>
  <c r="E828" i="2"/>
  <c r="G828" i="2"/>
  <c r="H828" i="2"/>
  <c r="E829" i="2"/>
  <c r="G829" i="2"/>
  <c r="H829" i="2"/>
  <c r="E830" i="2"/>
  <c r="G830" i="2"/>
  <c r="H830" i="2"/>
  <c r="E831" i="2"/>
  <c r="G831" i="2"/>
  <c r="H831" i="2"/>
  <c r="E832" i="2"/>
  <c r="G832" i="2"/>
  <c r="H832" i="2"/>
  <c r="E833" i="2"/>
  <c r="G833" i="2"/>
  <c r="H833" i="2"/>
  <c r="E834" i="2"/>
  <c r="G834" i="2"/>
  <c r="H834" i="2"/>
  <c r="E835" i="2"/>
  <c r="G835" i="2"/>
  <c r="H835" i="2"/>
  <c r="E836" i="2"/>
  <c r="G836" i="2"/>
  <c r="H836" i="2"/>
  <c r="E837" i="2"/>
  <c r="G837" i="2"/>
  <c r="H837" i="2"/>
  <c r="E838" i="2"/>
  <c r="G838" i="2"/>
  <c r="H838" i="2"/>
  <c r="E839" i="2"/>
  <c r="G839" i="2"/>
  <c r="H839" i="2"/>
  <c r="E840" i="2"/>
  <c r="G840" i="2"/>
  <c r="H840" i="2"/>
  <c r="E841" i="2"/>
  <c r="G841" i="2"/>
  <c r="H841" i="2"/>
  <c r="E842" i="2"/>
  <c r="G842" i="2"/>
  <c r="H842" i="2"/>
  <c r="E843" i="2"/>
  <c r="G843" i="2"/>
  <c r="H843" i="2"/>
  <c r="E844" i="2"/>
  <c r="G844" i="2"/>
  <c r="H844" i="2"/>
  <c r="E845" i="2"/>
  <c r="G845" i="2"/>
  <c r="H845" i="2"/>
  <c r="E846" i="2"/>
  <c r="G846" i="2"/>
  <c r="H846" i="2"/>
  <c r="E847" i="2"/>
  <c r="G847" i="2"/>
  <c r="H847" i="2"/>
  <c r="E848" i="2"/>
  <c r="G848" i="2"/>
  <c r="H848" i="2"/>
  <c r="E849" i="2"/>
  <c r="G849" i="2"/>
  <c r="H849" i="2"/>
  <c r="E850" i="2"/>
  <c r="G850" i="2"/>
  <c r="H850" i="2"/>
  <c r="E851" i="2"/>
  <c r="G851" i="2"/>
  <c r="H851" i="2"/>
  <c r="E852" i="2"/>
  <c r="G852" i="2"/>
  <c r="H852" i="2"/>
  <c r="E853" i="2"/>
  <c r="G853" i="2"/>
  <c r="H853" i="2"/>
  <c r="E854" i="2"/>
  <c r="G854" i="2"/>
  <c r="H854" i="2"/>
  <c r="E855" i="2"/>
  <c r="G855" i="2"/>
  <c r="H855" i="2"/>
  <c r="E856" i="2"/>
  <c r="G856" i="2"/>
  <c r="H856" i="2"/>
  <c r="E857" i="2"/>
  <c r="G857" i="2"/>
  <c r="H857" i="2"/>
  <c r="E858" i="2"/>
  <c r="G858" i="2"/>
  <c r="H858" i="2"/>
  <c r="E859" i="2"/>
  <c r="G859" i="2"/>
  <c r="H859" i="2"/>
  <c r="E860" i="2"/>
  <c r="G860" i="2"/>
  <c r="H860" i="2"/>
  <c r="E861" i="2"/>
  <c r="G861" i="2"/>
  <c r="H861" i="2"/>
  <c r="E862" i="2"/>
  <c r="G862" i="2"/>
  <c r="H862" i="2"/>
  <c r="E863" i="2"/>
  <c r="G863" i="2"/>
  <c r="H863" i="2"/>
  <c r="E864" i="2"/>
  <c r="G864" i="2"/>
  <c r="H864" i="2"/>
  <c r="E865" i="2"/>
  <c r="G865" i="2"/>
  <c r="H865" i="2"/>
  <c r="E866" i="2"/>
  <c r="G866" i="2"/>
  <c r="H866" i="2"/>
  <c r="E867" i="2"/>
  <c r="G867" i="2"/>
  <c r="H867" i="2"/>
  <c r="E868" i="2"/>
  <c r="G868" i="2"/>
  <c r="H868" i="2"/>
  <c r="E869" i="2"/>
  <c r="G869" i="2"/>
  <c r="H869" i="2"/>
  <c r="E870" i="2"/>
  <c r="G870" i="2"/>
  <c r="H870" i="2"/>
  <c r="E871" i="2"/>
  <c r="G871" i="2"/>
  <c r="H871" i="2"/>
  <c r="E872" i="2"/>
  <c r="G872" i="2"/>
  <c r="H872" i="2"/>
  <c r="E873" i="2"/>
  <c r="G873" i="2"/>
  <c r="H873" i="2"/>
  <c r="E874" i="2"/>
  <c r="G874" i="2"/>
  <c r="H874" i="2"/>
  <c r="E875" i="2"/>
  <c r="G875" i="2"/>
  <c r="H875" i="2"/>
  <c r="E876" i="2"/>
  <c r="G876" i="2"/>
  <c r="H876" i="2"/>
  <c r="E877" i="2"/>
  <c r="G877" i="2"/>
  <c r="H877" i="2"/>
  <c r="E878" i="2"/>
  <c r="G878" i="2"/>
  <c r="H878" i="2"/>
  <c r="E879" i="2"/>
  <c r="G879" i="2"/>
  <c r="H879" i="2"/>
  <c r="E880" i="2"/>
  <c r="G880" i="2"/>
  <c r="H880" i="2"/>
  <c r="E881" i="2"/>
  <c r="G881" i="2"/>
  <c r="H881" i="2"/>
  <c r="E882" i="2"/>
  <c r="G882" i="2"/>
  <c r="H882" i="2"/>
  <c r="E883" i="2"/>
  <c r="G883" i="2"/>
  <c r="H883" i="2"/>
  <c r="E884" i="2"/>
  <c r="G884" i="2"/>
  <c r="H884" i="2"/>
  <c r="E885" i="2"/>
  <c r="G885" i="2"/>
  <c r="H885" i="2"/>
  <c r="E886" i="2"/>
  <c r="G886" i="2"/>
  <c r="H886" i="2"/>
  <c r="E887" i="2"/>
  <c r="G887" i="2"/>
  <c r="H887" i="2"/>
  <c r="E888" i="2"/>
  <c r="G888" i="2"/>
  <c r="H888" i="2"/>
  <c r="E889" i="2"/>
  <c r="G889" i="2"/>
  <c r="H889" i="2"/>
  <c r="E890" i="2"/>
  <c r="G890" i="2"/>
  <c r="H890" i="2"/>
  <c r="E891" i="2"/>
  <c r="G891" i="2"/>
  <c r="H891" i="2"/>
  <c r="E892" i="2"/>
  <c r="G892" i="2"/>
  <c r="H892" i="2"/>
  <c r="E893" i="2"/>
  <c r="G893" i="2"/>
  <c r="H893" i="2"/>
  <c r="E894" i="2"/>
  <c r="G894" i="2"/>
  <c r="H894" i="2"/>
  <c r="E895" i="2"/>
  <c r="G895" i="2"/>
  <c r="H895" i="2"/>
  <c r="E896" i="2"/>
  <c r="G896" i="2"/>
  <c r="H896" i="2"/>
  <c r="E897" i="2"/>
  <c r="G897" i="2"/>
  <c r="H897" i="2"/>
  <c r="E898" i="2"/>
  <c r="G898" i="2"/>
  <c r="H898" i="2"/>
  <c r="E899" i="2"/>
  <c r="G899" i="2"/>
  <c r="H899" i="2"/>
  <c r="E900" i="2"/>
  <c r="G900" i="2"/>
  <c r="H900" i="2"/>
  <c r="E901" i="2"/>
  <c r="G901" i="2"/>
  <c r="H901" i="2"/>
  <c r="E902" i="2"/>
  <c r="G902" i="2"/>
  <c r="H902" i="2"/>
  <c r="E903" i="2"/>
  <c r="G903" i="2"/>
  <c r="H903" i="2"/>
  <c r="E904" i="2"/>
  <c r="G904" i="2"/>
  <c r="H904" i="2"/>
  <c r="E905" i="2"/>
  <c r="G905" i="2"/>
  <c r="H905" i="2"/>
  <c r="E906" i="2"/>
  <c r="G906" i="2"/>
  <c r="H906" i="2"/>
  <c r="E907" i="2"/>
  <c r="G907" i="2"/>
  <c r="H907" i="2"/>
  <c r="E908" i="2"/>
  <c r="G908" i="2"/>
  <c r="H908" i="2"/>
  <c r="E909" i="2"/>
  <c r="G909" i="2"/>
  <c r="H909" i="2"/>
  <c r="E910" i="2"/>
  <c r="G910" i="2"/>
  <c r="H910" i="2"/>
  <c r="E911" i="2"/>
  <c r="G911" i="2"/>
  <c r="H911" i="2"/>
  <c r="E912" i="2"/>
  <c r="G912" i="2"/>
  <c r="H912" i="2"/>
  <c r="E913" i="2"/>
  <c r="G913" i="2"/>
  <c r="H913" i="2"/>
  <c r="E914" i="2"/>
  <c r="G914" i="2"/>
  <c r="H914" i="2"/>
  <c r="E915" i="2"/>
  <c r="G915" i="2"/>
  <c r="H915" i="2"/>
  <c r="E916" i="2"/>
  <c r="G916" i="2"/>
  <c r="H916" i="2"/>
  <c r="E917" i="2"/>
  <c r="G917" i="2"/>
  <c r="H917" i="2"/>
  <c r="E918" i="2"/>
  <c r="G918" i="2"/>
  <c r="H918" i="2"/>
  <c r="E919" i="2"/>
  <c r="G919" i="2"/>
  <c r="H919" i="2"/>
  <c r="E920" i="2"/>
  <c r="G920" i="2"/>
  <c r="H920" i="2"/>
  <c r="E921" i="2"/>
  <c r="G921" i="2"/>
  <c r="H921" i="2"/>
  <c r="E922" i="2"/>
  <c r="G922" i="2"/>
  <c r="H922" i="2"/>
  <c r="E923" i="2"/>
  <c r="G923" i="2"/>
  <c r="H923" i="2"/>
  <c r="E924" i="2"/>
  <c r="G924" i="2"/>
  <c r="H924" i="2"/>
  <c r="E925" i="2"/>
  <c r="G925" i="2"/>
  <c r="H925" i="2"/>
  <c r="E926" i="2"/>
  <c r="G926" i="2"/>
  <c r="H926" i="2"/>
  <c r="E927" i="2"/>
  <c r="G927" i="2"/>
  <c r="H927" i="2"/>
  <c r="E928" i="2"/>
  <c r="G928" i="2"/>
  <c r="H928" i="2"/>
  <c r="E929" i="2"/>
  <c r="G929" i="2"/>
  <c r="H929" i="2"/>
  <c r="E930" i="2"/>
  <c r="G930" i="2"/>
  <c r="H930" i="2"/>
  <c r="E931" i="2"/>
  <c r="G931" i="2"/>
  <c r="H931" i="2"/>
  <c r="E932" i="2"/>
  <c r="G932" i="2"/>
  <c r="H932" i="2"/>
  <c r="E933" i="2"/>
  <c r="G933" i="2"/>
  <c r="H933" i="2"/>
  <c r="E934" i="2"/>
  <c r="G934" i="2"/>
  <c r="H934" i="2"/>
  <c r="E935" i="2"/>
  <c r="G935" i="2"/>
  <c r="H935" i="2"/>
  <c r="E936" i="2"/>
  <c r="G936" i="2"/>
  <c r="H936" i="2"/>
  <c r="E937" i="2"/>
  <c r="G937" i="2"/>
  <c r="H937" i="2"/>
  <c r="E938" i="2"/>
  <c r="G938" i="2"/>
  <c r="H938" i="2"/>
  <c r="E939" i="2"/>
  <c r="G939" i="2"/>
  <c r="H939" i="2"/>
  <c r="E940" i="2"/>
  <c r="G940" i="2"/>
  <c r="H940" i="2"/>
  <c r="E941" i="2"/>
  <c r="G941" i="2"/>
  <c r="H941" i="2"/>
  <c r="E942" i="2"/>
  <c r="G942" i="2"/>
  <c r="H942" i="2"/>
  <c r="E943" i="2"/>
  <c r="G943" i="2"/>
  <c r="H943" i="2"/>
  <c r="E944" i="2"/>
  <c r="G944" i="2"/>
  <c r="H944" i="2"/>
  <c r="E945" i="2"/>
  <c r="G945" i="2"/>
  <c r="H945" i="2"/>
  <c r="E946" i="2"/>
  <c r="G946" i="2"/>
  <c r="H946" i="2"/>
  <c r="E947" i="2"/>
  <c r="G947" i="2"/>
  <c r="H947" i="2"/>
  <c r="E948" i="2"/>
  <c r="G948" i="2"/>
  <c r="H948" i="2"/>
  <c r="E949" i="2"/>
  <c r="G949" i="2"/>
  <c r="H949" i="2"/>
  <c r="E950" i="2"/>
  <c r="G950" i="2"/>
  <c r="H950" i="2"/>
  <c r="E951" i="2"/>
  <c r="G951" i="2"/>
  <c r="H951" i="2"/>
  <c r="E952" i="2"/>
  <c r="G952" i="2"/>
  <c r="H952" i="2"/>
  <c r="E953" i="2"/>
  <c r="G953" i="2"/>
  <c r="H953" i="2"/>
  <c r="E954" i="2"/>
  <c r="G954" i="2"/>
  <c r="H954" i="2"/>
  <c r="E955" i="2"/>
  <c r="G955" i="2"/>
  <c r="H955" i="2"/>
  <c r="E956" i="2"/>
  <c r="G956" i="2"/>
  <c r="H956" i="2"/>
  <c r="E957" i="2"/>
  <c r="G957" i="2"/>
  <c r="H957" i="2"/>
  <c r="E958" i="2"/>
  <c r="G958" i="2"/>
  <c r="H958" i="2"/>
  <c r="E959" i="2"/>
  <c r="G959" i="2"/>
  <c r="H959" i="2"/>
  <c r="E960" i="2"/>
  <c r="G960" i="2"/>
  <c r="H960" i="2"/>
  <c r="E961" i="2"/>
  <c r="G961" i="2"/>
  <c r="H961" i="2"/>
  <c r="E962" i="2"/>
  <c r="G962" i="2"/>
  <c r="H962" i="2"/>
  <c r="E963" i="2"/>
  <c r="G963" i="2"/>
  <c r="H963" i="2"/>
  <c r="E964" i="2"/>
  <c r="G964" i="2"/>
  <c r="H964" i="2"/>
  <c r="E965" i="2"/>
  <c r="G965" i="2"/>
  <c r="H965" i="2"/>
  <c r="E966" i="2"/>
  <c r="G966" i="2"/>
  <c r="H966" i="2"/>
  <c r="E967" i="2"/>
  <c r="G967" i="2"/>
  <c r="H967" i="2"/>
  <c r="E968" i="2"/>
  <c r="G968" i="2"/>
  <c r="H968" i="2"/>
  <c r="E969" i="2"/>
  <c r="G969" i="2"/>
  <c r="H969" i="2"/>
  <c r="E970" i="2"/>
  <c r="G970" i="2"/>
  <c r="H970" i="2"/>
  <c r="E971" i="2"/>
  <c r="G971" i="2"/>
  <c r="H971" i="2"/>
  <c r="E972" i="2"/>
  <c r="G972" i="2"/>
  <c r="H972" i="2"/>
  <c r="E973" i="2"/>
  <c r="G973" i="2"/>
  <c r="H973" i="2"/>
  <c r="E974" i="2"/>
  <c r="G974" i="2"/>
  <c r="H974" i="2"/>
  <c r="E975" i="2"/>
  <c r="G975" i="2"/>
  <c r="H975" i="2"/>
  <c r="E976" i="2"/>
  <c r="G976" i="2"/>
  <c r="H976" i="2"/>
  <c r="E977" i="2"/>
  <c r="G977" i="2"/>
  <c r="H977" i="2"/>
  <c r="E978" i="2"/>
  <c r="G978" i="2"/>
  <c r="H978" i="2"/>
  <c r="E979" i="2"/>
  <c r="G979" i="2"/>
  <c r="H979" i="2"/>
  <c r="E980" i="2"/>
  <c r="G980" i="2"/>
  <c r="H980" i="2"/>
  <c r="E981" i="2"/>
  <c r="G981" i="2"/>
  <c r="H981" i="2"/>
  <c r="E982" i="2"/>
  <c r="G982" i="2"/>
  <c r="H982" i="2"/>
  <c r="E983" i="2"/>
  <c r="G983" i="2"/>
  <c r="H983" i="2"/>
  <c r="E984" i="2"/>
  <c r="G984" i="2"/>
  <c r="H984" i="2"/>
  <c r="E985" i="2"/>
  <c r="G985" i="2"/>
  <c r="H985" i="2"/>
  <c r="E986" i="2"/>
  <c r="G986" i="2"/>
  <c r="H986" i="2"/>
  <c r="E987" i="2"/>
  <c r="G987" i="2"/>
  <c r="H987" i="2"/>
  <c r="E988" i="2"/>
  <c r="G988" i="2"/>
  <c r="H988" i="2"/>
  <c r="E989" i="2"/>
  <c r="G989" i="2"/>
  <c r="H989" i="2"/>
  <c r="E990" i="2"/>
  <c r="G990" i="2"/>
  <c r="H990" i="2"/>
  <c r="E991" i="2"/>
  <c r="G991" i="2"/>
  <c r="H991" i="2"/>
  <c r="E992" i="2"/>
  <c r="G992" i="2"/>
  <c r="H992" i="2"/>
  <c r="E993" i="2"/>
  <c r="G993" i="2"/>
  <c r="H993" i="2"/>
  <c r="E994" i="2"/>
  <c r="G994" i="2"/>
  <c r="H994" i="2"/>
  <c r="E995" i="2"/>
  <c r="G995" i="2"/>
  <c r="H995" i="2"/>
  <c r="E996" i="2"/>
  <c r="G996" i="2"/>
  <c r="H996" i="2"/>
  <c r="E997" i="2"/>
  <c r="G997" i="2"/>
  <c r="H997" i="2"/>
  <c r="E998" i="2"/>
  <c r="G998" i="2"/>
  <c r="H998" i="2"/>
  <c r="E999" i="2"/>
  <c r="G999" i="2"/>
  <c r="H999" i="2"/>
  <c r="E1000" i="2"/>
  <c r="G1000" i="2"/>
  <c r="H1000" i="2"/>
  <c r="E1001" i="2"/>
  <c r="G1001" i="2"/>
  <c r="H1001" i="2"/>
  <c r="E1002" i="2"/>
  <c r="G1002" i="2"/>
  <c r="H1002" i="2"/>
  <c r="E1003" i="2"/>
  <c r="G1003" i="2"/>
  <c r="H1003" i="2"/>
  <c r="E1004" i="2"/>
  <c r="G1004" i="2"/>
  <c r="H1004" i="2"/>
  <c r="E1005" i="2"/>
  <c r="G1005" i="2"/>
  <c r="H1005" i="2"/>
  <c r="E1006" i="2"/>
  <c r="G1006" i="2"/>
  <c r="H1006" i="2"/>
  <c r="E1007" i="2"/>
  <c r="G1007" i="2"/>
  <c r="H1007" i="2"/>
  <c r="E1008" i="2"/>
  <c r="G1008" i="2"/>
  <c r="H1008" i="2"/>
  <c r="E1009" i="2"/>
  <c r="G1009" i="2"/>
  <c r="H1009" i="2"/>
  <c r="E1010" i="2"/>
  <c r="G1010" i="2"/>
  <c r="H1010" i="2"/>
  <c r="E1011" i="2"/>
  <c r="G1011" i="2"/>
  <c r="H1011" i="2"/>
  <c r="E1012" i="2"/>
  <c r="G1012" i="2"/>
  <c r="H1012" i="2"/>
  <c r="E1013" i="2"/>
  <c r="G1013" i="2"/>
  <c r="H1013" i="2"/>
  <c r="E1014" i="2"/>
  <c r="G1014" i="2"/>
  <c r="H1014" i="2"/>
  <c r="E1015" i="2"/>
  <c r="G1015" i="2"/>
  <c r="H1015" i="2"/>
  <c r="E1016" i="2"/>
  <c r="G1016" i="2"/>
  <c r="H1016" i="2"/>
  <c r="E1017" i="2"/>
  <c r="G1017" i="2"/>
  <c r="H1017" i="2"/>
  <c r="E1018" i="2"/>
  <c r="G1018" i="2"/>
  <c r="H1018" i="2"/>
  <c r="E1019" i="2"/>
  <c r="G1019" i="2"/>
  <c r="H1019" i="2"/>
  <c r="E1020" i="2"/>
  <c r="G1020" i="2"/>
  <c r="H1020" i="2"/>
  <c r="E1021" i="2"/>
  <c r="G1021" i="2"/>
  <c r="H1021" i="2"/>
  <c r="E1022" i="2"/>
  <c r="G1022" i="2"/>
  <c r="H1022" i="2"/>
  <c r="E1023" i="2"/>
  <c r="G1023" i="2"/>
  <c r="H1023" i="2"/>
  <c r="E1024" i="2"/>
  <c r="G1024" i="2"/>
  <c r="H1024" i="2"/>
  <c r="E1025" i="2"/>
  <c r="G1025" i="2"/>
  <c r="H1025" i="2"/>
  <c r="E1026" i="2"/>
  <c r="G1026" i="2"/>
  <c r="H1026" i="2"/>
  <c r="E1027" i="2"/>
  <c r="G1027" i="2"/>
  <c r="H1027" i="2"/>
  <c r="E1028" i="2"/>
  <c r="G1028" i="2"/>
  <c r="H1028" i="2"/>
  <c r="E1029" i="2"/>
  <c r="G1029" i="2"/>
  <c r="H1029" i="2"/>
  <c r="E1030" i="2"/>
  <c r="G1030" i="2"/>
  <c r="H1030" i="2"/>
  <c r="E1031" i="2"/>
  <c r="G1031" i="2"/>
  <c r="H1031" i="2"/>
  <c r="E1032" i="2"/>
  <c r="G1032" i="2"/>
  <c r="H1032" i="2"/>
  <c r="E1033" i="2"/>
  <c r="G1033" i="2"/>
  <c r="H1033" i="2"/>
  <c r="E1034" i="2"/>
  <c r="G1034" i="2"/>
  <c r="H1034" i="2"/>
  <c r="E1035" i="2"/>
  <c r="G1035" i="2"/>
  <c r="H1035" i="2"/>
  <c r="E1036" i="2"/>
  <c r="G1036" i="2"/>
  <c r="H1036" i="2"/>
  <c r="E1037" i="2"/>
  <c r="G1037" i="2"/>
  <c r="H1037" i="2"/>
  <c r="E1038" i="2"/>
  <c r="G1038" i="2"/>
  <c r="H1038" i="2"/>
  <c r="E1039" i="2"/>
  <c r="G1039" i="2"/>
  <c r="H1039" i="2"/>
  <c r="E1040" i="2"/>
  <c r="G1040" i="2"/>
  <c r="H1040" i="2"/>
  <c r="E1041" i="2"/>
  <c r="G1041" i="2"/>
  <c r="H1041" i="2"/>
  <c r="E1042" i="2"/>
  <c r="G1042" i="2"/>
  <c r="H1042" i="2"/>
  <c r="E1043" i="2"/>
  <c r="G1043" i="2"/>
  <c r="H1043" i="2"/>
  <c r="E1044" i="2"/>
  <c r="G1044" i="2"/>
  <c r="H1044" i="2"/>
  <c r="E1045" i="2"/>
  <c r="G1045" i="2"/>
  <c r="H1045" i="2"/>
  <c r="E1046" i="2"/>
  <c r="G1046" i="2"/>
  <c r="H1046" i="2"/>
  <c r="E1047" i="2"/>
  <c r="G1047" i="2"/>
  <c r="H1047" i="2"/>
  <c r="E1048" i="2"/>
  <c r="G1048" i="2"/>
  <c r="H1048" i="2"/>
  <c r="E1049" i="2"/>
  <c r="G1049" i="2"/>
  <c r="H1049" i="2"/>
  <c r="E1050" i="2"/>
  <c r="G1050" i="2"/>
  <c r="H1050" i="2"/>
  <c r="E1051" i="2"/>
  <c r="G1051" i="2"/>
  <c r="H1051" i="2"/>
  <c r="E1052" i="2"/>
  <c r="G1052" i="2"/>
  <c r="H1052" i="2"/>
  <c r="E1053" i="2"/>
  <c r="G1053" i="2"/>
  <c r="H1053" i="2"/>
  <c r="E1054" i="2"/>
  <c r="G1054" i="2"/>
  <c r="H1054" i="2"/>
  <c r="E1055" i="2"/>
  <c r="G1055" i="2"/>
  <c r="H1055" i="2"/>
  <c r="E1056" i="2"/>
  <c r="G1056" i="2"/>
  <c r="H1056" i="2"/>
  <c r="E1057" i="2"/>
  <c r="G1057" i="2"/>
  <c r="H1057" i="2"/>
  <c r="E1058" i="2"/>
  <c r="G1058" i="2"/>
  <c r="H1058" i="2"/>
  <c r="E1059" i="2"/>
  <c r="G1059" i="2"/>
  <c r="H1059" i="2"/>
  <c r="E1060" i="2"/>
  <c r="G1060" i="2"/>
  <c r="H1060" i="2"/>
  <c r="E1061" i="2"/>
  <c r="G1061" i="2"/>
  <c r="H1061" i="2"/>
  <c r="E1062" i="2"/>
  <c r="G1062" i="2"/>
  <c r="H1062" i="2"/>
  <c r="E1063" i="2"/>
  <c r="G1063" i="2"/>
  <c r="H1063" i="2"/>
  <c r="E1064" i="2"/>
  <c r="G1064" i="2"/>
  <c r="H1064" i="2"/>
  <c r="E1065" i="2"/>
  <c r="G1065" i="2"/>
  <c r="H1065" i="2"/>
  <c r="E1066" i="2"/>
  <c r="G1066" i="2"/>
  <c r="H1066" i="2"/>
  <c r="E1067" i="2"/>
  <c r="G1067" i="2"/>
  <c r="H1067" i="2"/>
  <c r="E1068" i="2"/>
  <c r="G1068" i="2"/>
  <c r="H1068" i="2"/>
  <c r="E1069" i="2"/>
  <c r="G1069" i="2"/>
  <c r="H1069" i="2"/>
  <c r="E1070" i="2"/>
  <c r="G1070" i="2"/>
  <c r="H1070" i="2"/>
  <c r="E1071" i="2"/>
  <c r="G1071" i="2"/>
  <c r="H1071" i="2"/>
  <c r="E1072" i="2"/>
  <c r="G1072" i="2"/>
  <c r="H1072" i="2"/>
  <c r="E1073" i="2"/>
  <c r="G1073" i="2"/>
  <c r="H1073" i="2"/>
  <c r="E1074" i="2"/>
  <c r="G1074" i="2"/>
  <c r="H1074" i="2"/>
  <c r="E1075" i="2"/>
  <c r="G1075" i="2"/>
  <c r="H1075" i="2"/>
  <c r="E1076" i="2"/>
  <c r="G1076" i="2"/>
  <c r="H1076" i="2"/>
  <c r="E1077" i="2"/>
  <c r="G1077" i="2"/>
  <c r="H1077" i="2"/>
  <c r="E1078" i="2"/>
  <c r="G1078" i="2"/>
  <c r="H1078" i="2"/>
  <c r="E1079" i="2"/>
  <c r="G1079" i="2"/>
  <c r="H1079" i="2"/>
  <c r="E1080" i="2"/>
  <c r="G1080" i="2"/>
  <c r="H1080" i="2"/>
  <c r="E1081" i="2"/>
  <c r="G1081" i="2"/>
  <c r="H1081" i="2"/>
  <c r="E1082" i="2"/>
  <c r="G1082" i="2"/>
  <c r="H1082" i="2"/>
  <c r="E1083" i="2"/>
  <c r="G1083" i="2"/>
  <c r="H1083" i="2"/>
  <c r="E1084" i="2"/>
  <c r="G1084" i="2"/>
  <c r="H1084" i="2"/>
  <c r="E1085" i="2"/>
  <c r="G1085" i="2"/>
  <c r="H1085" i="2"/>
  <c r="E1086" i="2"/>
  <c r="G1086" i="2"/>
  <c r="H1086" i="2"/>
  <c r="E1087" i="2"/>
  <c r="G1087" i="2"/>
  <c r="H1087" i="2"/>
  <c r="E1088" i="2"/>
  <c r="G1088" i="2"/>
  <c r="H1088" i="2"/>
  <c r="E1089" i="2"/>
  <c r="G1089" i="2"/>
  <c r="H1089" i="2"/>
  <c r="E1090" i="2"/>
  <c r="G1090" i="2"/>
  <c r="H1090" i="2"/>
  <c r="E1091" i="2"/>
  <c r="G1091" i="2"/>
  <c r="H1091" i="2"/>
  <c r="E1092" i="2"/>
  <c r="G1092" i="2"/>
  <c r="H1092" i="2"/>
  <c r="E1093" i="2"/>
  <c r="G1093" i="2"/>
  <c r="H1093" i="2"/>
  <c r="E1094" i="2"/>
  <c r="G1094" i="2"/>
  <c r="H1094" i="2"/>
  <c r="E1095" i="2"/>
  <c r="G1095" i="2"/>
  <c r="H1095" i="2"/>
  <c r="E1096" i="2"/>
  <c r="G1096" i="2"/>
  <c r="H1096" i="2"/>
  <c r="E1097" i="2"/>
  <c r="G1097" i="2"/>
  <c r="H1097" i="2"/>
  <c r="E1098" i="2"/>
  <c r="G1098" i="2"/>
  <c r="H1098" i="2"/>
  <c r="E1099" i="2"/>
  <c r="G1099" i="2"/>
  <c r="H1099" i="2"/>
  <c r="E1100" i="2"/>
  <c r="G1100" i="2"/>
  <c r="H1100" i="2"/>
  <c r="E1101" i="2"/>
  <c r="G1101" i="2"/>
  <c r="H1101" i="2"/>
  <c r="E1102" i="2"/>
  <c r="G1102" i="2"/>
  <c r="H1102" i="2"/>
  <c r="E1103" i="2"/>
  <c r="G1103" i="2"/>
  <c r="H1103" i="2"/>
  <c r="E1104" i="2"/>
  <c r="G1104" i="2"/>
  <c r="H1104" i="2"/>
  <c r="E1105" i="2"/>
  <c r="G1105" i="2"/>
  <c r="H1105" i="2"/>
  <c r="E1106" i="2"/>
  <c r="G1106" i="2"/>
  <c r="H1106" i="2"/>
  <c r="E1107" i="2"/>
  <c r="G1107" i="2"/>
  <c r="H1107" i="2"/>
  <c r="E1108" i="2"/>
  <c r="G1108" i="2"/>
  <c r="H1108" i="2"/>
  <c r="E1109" i="2"/>
  <c r="G1109" i="2"/>
  <c r="H1109" i="2"/>
  <c r="E1110" i="2"/>
  <c r="G1110" i="2"/>
  <c r="H1110" i="2"/>
  <c r="E1111" i="2"/>
  <c r="G1111" i="2"/>
  <c r="H1111" i="2"/>
  <c r="E1112" i="2"/>
  <c r="G1112" i="2"/>
  <c r="H1112" i="2"/>
  <c r="E1113" i="2"/>
  <c r="G1113" i="2"/>
  <c r="H1113" i="2"/>
  <c r="E1114" i="2"/>
  <c r="G1114" i="2"/>
  <c r="H1114" i="2"/>
  <c r="E1115" i="2"/>
  <c r="G1115" i="2"/>
  <c r="H1115" i="2"/>
  <c r="E1116" i="2"/>
  <c r="G1116" i="2"/>
  <c r="H1116" i="2"/>
  <c r="E1117" i="2"/>
  <c r="G1117" i="2"/>
  <c r="H1117" i="2"/>
  <c r="E1118" i="2"/>
  <c r="G1118" i="2"/>
  <c r="H1118" i="2"/>
  <c r="E1119" i="2"/>
  <c r="G1119" i="2"/>
  <c r="H1119" i="2"/>
  <c r="E1120" i="2"/>
  <c r="G1120" i="2"/>
  <c r="H1120" i="2"/>
  <c r="E1121" i="2"/>
  <c r="G1121" i="2"/>
  <c r="H1121" i="2"/>
  <c r="E1122" i="2"/>
  <c r="G1122" i="2"/>
  <c r="H1122" i="2"/>
  <c r="E1123" i="2"/>
  <c r="G1123" i="2"/>
  <c r="H1123" i="2"/>
  <c r="E1124" i="2"/>
  <c r="G1124" i="2"/>
  <c r="H1124" i="2"/>
  <c r="E1125" i="2"/>
  <c r="G1125" i="2"/>
  <c r="H1125" i="2"/>
  <c r="E1126" i="2"/>
  <c r="G1126" i="2"/>
  <c r="H1126" i="2"/>
  <c r="E1127" i="2"/>
  <c r="G1127" i="2"/>
  <c r="H1127" i="2"/>
  <c r="E1128" i="2"/>
  <c r="G1128" i="2"/>
  <c r="H1128" i="2"/>
  <c r="E1129" i="2"/>
  <c r="G1129" i="2"/>
  <c r="H1129" i="2"/>
  <c r="E1130" i="2"/>
  <c r="G1130" i="2"/>
  <c r="H1130" i="2"/>
  <c r="E1131" i="2"/>
  <c r="G1131" i="2"/>
  <c r="H1131" i="2"/>
  <c r="E1132" i="2"/>
  <c r="G1132" i="2"/>
  <c r="H1132" i="2"/>
  <c r="E1133" i="2"/>
  <c r="G1133" i="2"/>
  <c r="H1133" i="2"/>
  <c r="E1134" i="2"/>
  <c r="G1134" i="2"/>
  <c r="H1134" i="2"/>
  <c r="E1135" i="2"/>
  <c r="G1135" i="2"/>
  <c r="H1135" i="2"/>
  <c r="E1136" i="2"/>
  <c r="G1136" i="2"/>
  <c r="H1136" i="2"/>
  <c r="E1137" i="2"/>
  <c r="G1137" i="2"/>
  <c r="H1137" i="2"/>
  <c r="E1138" i="2"/>
  <c r="G1138" i="2"/>
  <c r="H1138" i="2"/>
  <c r="E1139" i="2"/>
  <c r="G1139" i="2"/>
  <c r="H1139" i="2"/>
  <c r="E1140" i="2"/>
  <c r="G1140" i="2"/>
  <c r="H1140" i="2"/>
  <c r="E1141" i="2"/>
  <c r="G1141" i="2"/>
  <c r="H1141" i="2"/>
  <c r="E1142" i="2"/>
  <c r="G1142" i="2"/>
  <c r="H1142" i="2"/>
  <c r="E1143" i="2"/>
  <c r="G1143" i="2"/>
  <c r="H1143" i="2"/>
  <c r="E1144" i="2"/>
  <c r="G1144" i="2"/>
  <c r="H1144" i="2"/>
  <c r="E1145" i="2"/>
  <c r="G1145" i="2"/>
  <c r="H1145" i="2"/>
  <c r="E1146" i="2"/>
  <c r="G1146" i="2"/>
  <c r="H1146" i="2"/>
  <c r="E1147" i="2"/>
  <c r="G1147" i="2"/>
  <c r="H1147" i="2"/>
  <c r="E1148" i="2"/>
  <c r="G1148" i="2"/>
  <c r="H1148" i="2"/>
  <c r="E1149" i="2"/>
  <c r="G1149" i="2"/>
  <c r="H1149" i="2"/>
  <c r="E1150" i="2"/>
  <c r="G1150" i="2"/>
  <c r="H1150" i="2"/>
  <c r="E1151" i="2"/>
  <c r="G1151" i="2"/>
  <c r="H1151" i="2"/>
  <c r="E1152" i="2"/>
  <c r="G1152" i="2"/>
  <c r="H1152" i="2"/>
  <c r="E1153" i="2"/>
  <c r="G1153" i="2"/>
  <c r="H1153" i="2"/>
  <c r="E1154" i="2"/>
  <c r="G1154" i="2"/>
  <c r="H1154" i="2"/>
  <c r="E1155" i="2"/>
  <c r="G1155" i="2"/>
  <c r="H1155" i="2"/>
  <c r="E1156" i="2"/>
  <c r="G1156" i="2"/>
  <c r="H1156" i="2"/>
  <c r="E1157" i="2"/>
  <c r="G1157" i="2"/>
  <c r="H1157" i="2"/>
  <c r="E1158" i="2"/>
  <c r="G1158" i="2"/>
  <c r="H1158" i="2"/>
  <c r="E1159" i="2"/>
  <c r="G1159" i="2"/>
  <c r="H1159" i="2"/>
  <c r="E1160" i="2"/>
  <c r="G1160" i="2"/>
  <c r="H1160" i="2"/>
  <c r="E1161" i="2"/>
  <c r="G1161" i="2"/>
  <c r="H1161" i="2"/>
  <c r="E1162" i="2"/>
  <c r="G1162" i="2"/>
  <c r="H1162" i="2"/>
  <c r="E1163" i="2"/>
  <c r="G1163" i="2"/>
  <c r="H1163" i="2"/>
  <c r="E1164" i="2"/>
  <c r="G1164" i="2"/>
  <c r="H1164" i="2"/>
  <c r="E1165" i="2"/>
  <c r="G1165" i="2"/>
  <c r="H1165" i="2"/>
  <c r="E1166" i="2"/>
  <c r="G1166" i="2"/>
  <c r="H1166" i="2"/>
  <c r="E1167" i="2"/>
  <c r="G1167" i="2"/>
  <c r="H1167" i="2"/>
  <c r="E1168" i="2"/>
  <c r="G1168" i="2"/>
  <c r="H1168" i="2"/>
  <c r="E1169" i="2"/>
  <c r="G1169" i="2"/>
  <c r="H1169" i="2"/>
  <c r="E1170" i="2"/>
  <c r="G1170" i="2"/>
  <c r="H1170" i="2"/>
  <c r="E1171" i="2"/>
  <c r="G1171" i="2"/>
  <c r="H1171" i="2"/>
  <c r="E1172" i="2"/>
  <c r="G1172" i="2"/>
  <c r="H1172" i="2"/>
  <c r="E1173" i="2"/>
  <c r="G1173" i="2"/>
  <c r="H1173" i="2"/>
  <c r="E1174" i="2"/>
  <c r="G1174" i="2"/>
  <c r="H1174" i="2"/>
  <c r="E1175" i="2"/>
  <c r="G1175" i="2"/>
  <c r="H1175" i="2"/>
  <c r="E1176" i="2"/>
  <c r="G1176" i="2"/>
  <c r="H1176" i="2"/>
  <c r="E1177" i="2"/>
  <c r="G1177" i="2"/>
  <c r="H1177" i="2"/>
  <c r="E1178" i="2"/>
  <c r="G1178" i="2"/>
  <c r="H1178" i="2"/>
  <c r="E1179" i="2"/>
  <c r="G1179" i="2"/>
  <c r="H1179" i="2"/>
  <c r="E1180" i="2"/>
  <c r="G1180" i="2"/>
  <c r="H1180" i="2"/>
  <c r="E1181" i="2"/>
  <c r="G1181" i="2"/>
  <c r="H1181" i="2"/>
  <c r="E1182" i="2"/>
  <c r="G1182" i="2"/>
  <c r="H1182" i="2"/>
  <c r="E1183" i="2"/>
  <c r="G1183" i="2"/>
  <c r="H1183" i="2"/>
  <c r="E1184" i="2"/>
  <c r="G1184" i="2"/>
  <c r="H1184" i="2"/>
  <c r="E1185" i="2"/>
  <c r="G1185" i="2"/>
  <c r="H1185" i="2"/>
  <c r="E1186" i="2"/>
  <c r="G1186" i="2"/>
  <c r="H1186" i="2"/>
  <c r="E1187" i="2"/>
  <c r="G1187" i="2"/>
  <c r="H1187" i="2"/>
  <c r="E1188" i="2"/>
  <c r="G1188" i="2"/>
  <c r="H1188" i="2"/>
  <c r="E1189" i="2"/>
  <c r="G1189" i="2"/>
  <c r="H1189" i="2"/>
  <c r="E1190" i="2"/>
  <c r="G1190" i="2"/>
  <c r="H1190" i="2"/>
  <c r="E1191" i="2"/>
  <c r="G1191" i="2"/>
  <c r="H1191" i="2"/>
  <c r="E1192" i="2"/>
  <c r="G1192" i="2"/>
  <c r="H1192" i="2"/>
  <c r="E1193" i="2"/>
  <c r="G1193" i="2"/>
  <c r="H1193" i="2"/>
  <c r="E1194" i="2"/>
  <c r="G1194" i="2"/>
  <c r="H1194" i="2"/>
  <c r="E1195" i="2"/>
  <c r="G1195" i="2"/>
  <c r="H1195" i="2"/>
  <c r="E1196" i="2"/>
  <c r="G1196" i="2"/>
  <c r="H1196" i="2"/>
  <c r="E1197" i="2"/>
  <c r="G1197" i="2"/>
  <c r="H1197" i="2"/>
  <c r="E1198" i="2"/>
  <c r="G1198" i="2"/>
  <c r="H1198" i="2"/>
  <c r="E1199" i="2"/>
  <c r="G1199" i="2"/>
  <c r="H1199" i="2"/>
  <c r="E1200" i="2"/>
  <c r="G1200" i="2"/>
  <c r="H1200" i="2"/>
  <c r="E1201" i="2"/>
  <c r="G1201" i="2"/>
  <c r="H1201" i="2"/>
  <c r="E1202" i="2"/>
  <c r="G1202" i="2"/>
  <c r="H1202" i="2"/>
  <c r="E1203" i="2"/>
  <c r="G1203" i="2"/>
  <c r="H1203" i="2"/>
  <c r="E1204" i="2"/>
  <c r="G1204" i="2"/>
  <c r="H1204" i="2"/>
  <c r="E1205" i="2"/>
  <c r="G1205" i="2"/>
  <c r="H1205" i="2"/>
  <c r="E1206" i="2"/>
  <c r="G1206" i="2"/>
  <c r="H1206" i="2"/>
  <c r="E1207" i="2"/>
  <c r="G1207" i="2"/>
  <c r="H1207" i="2"/>
  <c r="E1208" i="2"/>
  <c r="G1208" i="2"/>
  <c r="H1208" i="2"/>
  <c r="E1209" i="2"/>
  <c r="G1209" i="2"/>
  <c r="H1209" i="2"/>
  <c r="E1210" i="2"/>
  <c r="G1210" i="2"/>
  <c r="H1210" i="2"/>
  <c r="E1211" i="2"/>
  <c r="G1211" i="2"/>
  <c r="H1211" i="2"/>
  <c r="E1212" i="2"/>
  <c r="G1212" i="2"/>
  <c r="H1212" i="2"/>
  <c r="E1213" i="2"/>
  <c r="G1213" i="2"/>
  <c r="H1213" i="2"/>
  <c r="E1214" i="2"/>
  <c r="G1214" i="2"/>
  <c r="H1214" i="2"/>
  <c r="E1215" i="2"/>
  <c r="G1215" i="2"/>
  <c r="H1215" i="2"/>
  <c r="E1216" i="2"/>
  <c r="G1216" i="2"/>
  <c r="H1216" i="2"/>
  <c r="E1217" i="2"/>
  <c r="G1217" i="2"/>
  <c r="H1217" i="2"/>
  <c r="E1218" i="2"/>
  <c r="G1218" i="2"/>
  <c r="H1218" i="2"/>
  <c r="E1219" i="2"/>
  <c r="G1219" i="2"/>
  <c r="H1219" i="2"/>
  <c r="E1220" i="2"/>
  <c r="G1220" i="2"/>
  <c r="H1220" i="2"/>
  <c r="E1221" i="2"/>
  <c r="G1221" i="2"/>
  <c r="H1221" i="2"/>
  <c r="E1222" i="2"/>
  <c r="G1222" i="2"/>
  <c r="H1222" i="2"/>
  <c r="E1223" i="2"/>
  <c r="G1223" i="2"/>
  <c r="H1223" i="2"/>
  <c r="E1224" i="2"/>
  <c r="G1224" i="2"/>
  <c r="H1224" i="2"/>
  <c r="E1225" i="2"/>
  <c r="G1225" i="2"/>
  <c r="H1225" i="2"/>
  <c r="E1226" i="2"/>
  <c r="G1226" i="2"/>
  <c r="H1226" i="2"/>
  <c r="E1227" i="2"/>
  <c r="G1227" i="2"/>
  <c r="H1227" i="2"/>
  <c r="E1228" i="2"/>
  <c r="G1228" i="2"/>
  <c r="H1228" i="2"/>
  <c r="E1229" i="2"/>
  <c r="G1229" i="2"/>
  <c r="H1229" i="2"/>
  <c r="E1230" i="2"/>
  <c r="G1230" i="2"/>
  <c r="H1230" i="2"/>
  <c r="E1231" i="2"/>
  <c r="G1231" i="2"/>
  <c r="H1231" i="2"/>
  <c r="E1232" i="2"/>
  <c r="G1232" i="2"/>
  <c r="H1232" i="2"/>
  <c r="E1233" i="2"/>
  <c r="G1233" i="2"/>
  <c r="H1233" i="2"/>
  <c r="E1234" i="2"/>
  <c r="G1234" i="2"/>
  <c r="H1234" i="2"/>
  <c r="E1235" i="2"/>
  <c r="G1235" i="2"/>
  <c r="H1235" i="2"/>
  <c r="E1236" i="2"/>
  <c r="G1236" i="2"/>
  <c r="H1236" i="2"/>
  <c r="E1237" i="2"/>
  <c r="G1237" i="2"/>
  <c r="H1237" i="2"/>
  <c r="E1238" i="2"/>
  <c r="G1238" i="2"/>
  <c r="H1238" i="2"/>
  <c r="E1239" i="2"/>
  <c r="G1239" i="2"/>
  <c r="H1239" i="2"/>
  <c r="E1240" i="2"/>
  <c r="G1240" i="2"/>
  <c r="H1240" i="2"/>
  <c r="E1241" i="2"/>
  <c r="G1241" i="2"/>
  <c r="H1241" i="2"/>
  <c r="E1242" i="2"/>
  <c r="G1242" i="2"/>
  <c r="H1242" i="2"/>
  <c r="E1243" i="2"/>
  <c r="G1243" i="2"/>
  <c r="H1243" i="2"/>
  <c r="E1244" i="2"/>
  <c r="G1244" i="2"/>
  <c r="H1244" i="2"/>
  <c r="E1245" i="2"/>
  <c r="G1245" i="2"/>
  <c r="H1245" i="2"/>
  <c r="E1246" i="2"/>
  <c r="G1246" i="2"/>
  <c r="H1246" i="2"/>
  <c r="E1247" i="2"/>
  <c r="G1247" i="2"/>
  <c r="H1247" i="2"/>
  <c r="E1248" i="2"/>
  <c r="G1248" i="2"/>
  <c r="H1248" i="2"/>
  <c r="E1249" i="2"/>
  <c r="G1249" i="2"/>
  <c r="H1249" i="2"/>
  <c r="E1250" i="2"/>
  <c r="G1250" i="2"/>
  <c r="H1250" i="2"/>
  <c r="E1251" i="2"/>
  <c r="G1251" i="2"/>
  <c r="H1251" i="2"/>
  <c r="E1252" i="2"/>
  <c r="G1252" i="2"/>
  <c r="H1252" i="2"/>
  <c r="E1253" i="2"/>
  <c r="G1253" i="2"/>
  <c r="H1253" i="2"/>
  <c r="E1254" i="2"/>
  <c r="G1254" i="2"/>
  <c r="H1254" i="2"/>
  <c r="E1255" i="2"/>
  <c r="G1255" i="2"/>
  <c r="H1255" i="2"/>
  <c r="E1256" i="2"/>
  <c r="G1256" i="2"/>
  <c r="H1256" i="2"/>
  <c r="E1257" i="2"/>
  <c r="G1257" i="2"/>
  <c r="H1257" i="2"/>
  <c r="E1258" i="2"/>
  <c r="G1258" i="2"/>
  <c r="H1258" i="2"/>
  <c r="E1259" i="2"/>
  <c r="G1259" i="2"/>
  <c r="H1259" i="2"/>
  <c r="E1260" i="2"/>
  <c r="G1260" i="2"/>
  <c r="H1260" i="2"/>
  <c r="E1261" i="2"/>
  <c r="G1261" i="2"/>
  <c r="H1261" i="2"/>
  <c r="E1262" i="2"/>
  <c r="G1262" i="2"/>
  <c r="H1262" i="2"/>
  <c r="E1263" i="2"/>
  <c r="G1263" i="2"/>
  <c r="H1263" i="2"/>
  <c r="E1264" i="2"/>
  <c r="G1264" i="2"/>
  <c r="H1264" i="2"/>
  <c r="E1265" i="2"/>
  <c r="G1265" i="2"/>
  <c r="H1265" i="2"/>
  <c r="E1266" i="2"/>
  <c r="G1266" i="2"/>
  <c r="H1266" i="2"/>
  <c r="E1267" i="2"/>
  <c r="G1267" i="2"/>
  <c r="H1267" i="2"/>
  <c r="E1268" i="2"/>
  <c r="G1268" i="2"/>
  <c r="H1268" i="2"/>
  <c r="E1269" i="2"/>
  <c r="G1269" i="2"/>
  <c r="H1269" i="2"/>
  <c r="E1270" i="2"/>
  <c r="G1270" i="2"/>
  <c r="H1270" i="2"/>
  <c r="E1271" i="2"/>
  <c r="G1271" i="2"/>
  <c r="H1271" i="2"/>
  <c r="E1272" i="2"/>
  <c r="G1272" i="2"/>
  <c r="H1272" i="2"/>
  <c r="E1273" i="2"/>
  <c r="G1273" i="2"/>
  <c r="H1273" i="2"/>
  <c r="E1274" i="2"/>
  <c r="G1274" i="2"/>
  <c r="H1274" i="2"/>
  <c r="E1275" i="2"/>
  <c r="G1275" i="2"/>
  <c r="H1275" i="2"/>
  <c r="E1276" i="2"/>
  <c r="G1276" i="2"/>
  <c r="H1276" i="2"/>
  <c r="E1277" i="2"/>
  <c r="G1277" i="2"/>
  <c r="H1277" i="2"/>
  <c r="E1278" i="2"/>
  <c r="G1278" i="2"/>
  <c r="H1278" i="2"/>
  <c r="E1279" i="2"/>
  <c r="G1279" i="2"/>
  <c r="H1279" i="2"/>
  <c r="E1280" i="2"/>
  <c r="G1280" i="2"/>
  <c r="H1280" i="2"/>
  <c r="E1281" i="2"/>
  <c r="G1281" i="2"/>
  <c r="H1281" i="2"/>
  <c r="E1282" i="2"/>
  <c r="G1282" i="2"/>
  <c r="H1282" i="2"/>
  <c r="E1283" i="2"/>
  <c r="G1283" i="2"/>
  <c r="H1283" i="2"/>
  <c r="E1284" i="2"/>
  <c r="G1284" i="2"/>
  <c r="H1284" i="2"/>
  <c r="E1285" i="2"/>
  <c r="G1285" i="2"/>
  <c r="H1285" i="2"/>
  <c r="E1286" i="2"/>
  <c r="G1286" i="2"/>
  <c r="H1286" i="2"/>
  <c r="E1287" i="2"/>
  <c r="G1287" i="2"/>
  <c r="H1287" i="2"/>
  <c r="E1288" i="2"/>
  <c r="G1288" i="2"/>
  <c r="H1288" i="2"/>
  <c r="E1289" i="2"/>
  <c r="G1289" i="2"/>
  <c r="H1289" i="2"/>
  <c r="E1290" i="2"/>
  <c r="G1290" i="2"/>
  <c r="H1290" i="2"/>
  <c r="E1291" i="2"/>
  <c r="G1291" i="2"/>
  <c r="H1291" i="2"/>
  <c r="E1292" i="2"/>
  <c r="G1292" i="2"/>
  <c r="H1292" i="2"/>
  <c r="E1293" i="2"/>
  <c r="G1293" i="2"/>
  <c r="H1293" i="2"/>
  <c r="E1294" i="2"/>
  <c r="G1294" i="2"/>
  <c r="H1294" i="2"/>
  <c r="E1295" i="2"/>
  <c r="G1295" i="2"/>
  <c r="H1295" i="2"/>
  <c r="E1296" i="2"/>
  <c r="G1296" i="2"/>
  <c r="H1296" i="2"/>
  <c r="E1297" i="2"/>
  <c r="G1297" i="2"/>
  <c r="H1297" i="2"/>
  <c r="E1298" i="2"/>
  <c r="G1298" i="2"/>
  <c r="H1298" i="2"/>
  <c r="E1299" i="2"/>
  <c r="G1299" i="2"/>
  <c r="H1299" i="2"/>
  <c r="E1300" i="2"/>
  <c r="G1300" i="2"/>
  <c r="H1300" i="2"/>
  <c r="E1301" i="2"/>
  <c r="G1301" i="2"/>
  <c r="H1301" i="2"/>
  <c r="E1302" i="2"/>
  <c r="G1302" i="2"/>
  <c r="H1302" i="2"/>
  <c r="E1303" i="2"/>
  <c r="G1303" i="2"/>
  <c r="H1303" i="2"/>
  <c r="E1304" i="2"/>
  <c r="G1304" i="2"/>
  <c r="H1304" i="2"/>
  <c r="E1305" i="2"/>
  <c r="G1305" i="2"/>
  <c r="H1305" i="2"/>
  <c r="E1306" i="2"/>
  <c r="G1306" i="2"/>
  <c r="H1306" i="2"/>
  <c r="E1307" i="2"/>
  <c r="G1307" i="2"/>
  <c r="H1307" i="2"/>
  <c r="E1308" i="2"/>
  <c r="G1308" i="2"/>
  <c r="H1308" i="2"/>
  <c r="E1309" i="2"/>
  <c r="G1309" i="2"/>
  <c r="H1309" i="2"/>
  <c r="E1310" i="2"/>
  <c r="G1310" i="2"/>
  <c r="H1310" i="2"/>
  <c r="E1311" i="2"/>
  <c r="G1311" i="2"/>
  <c r="H1311" i="2"/>
  <c r="E1312" i="2"/>
  <c r="G1312" i="2"/>
  <c r="H1312" i="2"/>
  <c r="E1313" i="2"/>
  <c r="G1313" i="2"/>
  <c r="H1313" i="2"/>
  <c r="E1314" i="2"/>
  <c r="G1314" i="2"/>
  <c r="H1314" i="2"/>
  <c r="E1315" i="2"/>
  <c r="G1315" i="2"/>
  <c r="H1315" i="2"/>
  <c r="E1316" i="2"/>
  <c r="G1316" i="2"/>
  <c r="H1316" i="2"/>
  <c r="E1317" i="2"/>
  <c r="G1317" i="2"/>
  <c r="H1317" i="2"/>
  <c r="E1318" i="2"/>
  <c r="G1318" i="2"/>
  <c r="H1318" i="2"/>
  <c r="E1319" i="2"/>
  <c r="G1319" i="2"/>
  <c r="H1319" i="2"/>
  <c r="E1320" i="2"/>
  <c r="G1320" i="2"/>
  <c r="H1320" i="2"/>
  <c r="E1321" i="2"/>
  <c r="G1321" i="2"/>
  <c r="H1321" i="2"/>
  <c r="E1322" i="2"/>
  <c r="G1322" i="2"/>
  <c r="H1322" i="2"/>
  <c r="E1323" i="2"/>
  <c r="G1323" i="2"/>
  <c r="H1323" i="2"/>
  <c r="E1324" i="2"/>
  <c r="G1324" i="2"/>
  <c r="H1324" i="2"/>
  <c r="E1325" i="2"/>
  <c r="G1325" i="2"/>
  <c r="H1325" i="2"/>
  <c r="E1326" i="2"/>
  <c r="G1326" i="2"/>
  <c r="H1326" i="2"/>
  <c r="E1327" i="2"/>
  <c r="G1327" i="2"/>
  <c r="H1327" i="2"/>
  <c r="E1328" i="2"/>
  <c r="G1328" i="2"/>
  <c r="H1328" i="2"/>
  <c r="E1329" i="2"/>
  <c r="G1329" i="2"/>
  <c r="H1329" i="2"/>
  <c r="E1330" i="2"/>
  <c r="G1330" i="2"/>
  <c r="H1330" i="2"/>
  <c r="E1331" i="2"/>
  <c r="G1331" i="2"/>
  <c r="H1331" i="2"/>
  <c r="E1332" i="2"/>
  <c r="G1332" i="2"/>
  <c r="H1332" i="2"/>
  <c r="E1333" i="2"/>
  <c r="G1333" i="2"/>
  <c r="H1333" i="2"/>
  <c r="E1334" i="2"/>
  <c r="G1334" i="2"/>
  <c r="H1334" i="2"/>
  <c r="E1335" i="2"/>
  <c r="G1335" i="2"/>
  <c r="H1335" i="2"/>
  <c r="E1336" i="2"/>
  <c r="G1336" i="2"/>
  <c r="H1336" i="2"/>
  <c r="E1337" i="2"/>
  <c r="G1337" i="2"/>
  <c r="H1337" i="2"/>
  <c r="E1338" i="2"/>
  <c r="G1338" i="2"/>
  <c r="H1338" i="2"/>
  <c r="E1339" i="2"/>
  <c r="G1339" i="2"/>
  <c r="H1339" i="2"/>
  <c r="E1340" i="2"/>
  <c r="G1340" i="2"/>
  <c r="H1340" i="2"/>
  <c r="E1341" i="2"/>
  <c r="G1341" i="2"/>
  <c r="H1341" i="2"/>
  <c r="E1342" i="2"/>
  <c r="G1342" i="2"/>
  <c r="H1342" i="2"/>
  <c r="E1343" i="2"/>
  <c r="G1343" i="2"/>
  <c r="H1343" i="2"/>
  <c r="E1344" i="2"/>
  <c r="G1344" i="2"/>
  <c r="H1344" i="2"/>
  <c r="E1345" i="2"/>
  <c r="G1345" i="2"/>
  <c r="H1345" i="2"/>
  <c r="E1346" i="2"/>
  <c r="G1346" i="2"/>
  <c r="H1346" i="2"/>
  <c r="E1347" i="2"/>
  <c r="G1347" i="2"/>
  <c r="H1347" i="2"/>
  <c r="E1348" i="2"/>
  <c r="G1348" i="2"/>
  <c r="H1348" i="2"/>
  <c r="E1349" i="2"/>
  <c r="G1349" i="2"/>
  <c r="H1349" i="2"/>
  <c r="E1350" i="2"/>
  <c r="G1350" i="2"/>
  <c r="H1350" i="2"/>
  <c r="E1351" i="2"/>
  <c r="G1351" i="2"/>
  <c r="H1351" i="2"/>
  <c r="E1352" i="2"/>
  <c r="G1352" i="2"/>
  <c r="H1352" i="2"/>
  <c r="E1353" i="2"/>
  <c r="G1353" i="2"/>
  <c r="H1353" i="2"/>
  <c r="E1354" i="2"/>
  <c r="G1354" i="2"/>
  <c r="H1354" i="2"/>
  <c r="E1355" i="2"/>
  <c r="G1355" i="2"/>
  <c r="H1355" i="2"/>
  <c r="E1356" i="2"/>
  <c r="G1356" i="2"/>
  <c r="H1356" i="2"/>
  <c r="E1357" i="2"/>
  <c r="G1357" i="2"/>
  <c r="H1357" i="2"/>
  <c r="E1358" i="2"/>
  <c r="G1358" i="2"/>
  <c r="H1358" i="2"/>
  <c r="E1359" i="2"/>
  <c r="G1359" i="2"/>
  <c r="H1359" i="2"/>
  <c r="E1360" i="2"/>
  <c r="G1360" i="2"/>
  <c r="H1360" i="2"/>
  <c r="E1361" i="2"/>
  <c r="G1361" i="2"/>
  <c r="H1361" i="2"/>
  <c r="E1362" i="2"/>
  <c r="G1362" i="2"/>
  <c r="H1362" i="2"/>
  <c r="E1363" i="2"/>
  <c r="G1363" i="2"/>
  <c r="H1363" i="2"/>
  <c r="E1364" i="2"/>
  <c r="G1364" i="2"/>
  <c r="H1364" i="2"/>
  <c r="E1365" i="2"/>
  <c r="G1365" i="2"/>
  <c r="H1365" i="2"/>
  <c r="E1366" i="2"/>
  <c r="G1366" i="2"/>
  <c r="H1366" i="2"/>
  <c r="E1367" i="2"/>
  <c r="G1367" i="2"/>
  <c r="H1367" i="2"/>
  <c r="E1368" i="2"/>
  <c r="G1368" i="2"/>
  <c r="H1368" i="2"/>
  <c r="E1369" i="2"/>
  <c r="G1369" i="2"/>
  <c r="H1369" i="2"/>
  <c r="E1370" i="2"/>
  <c r="G1370" i="2"/>
  <c r="H1370" i="2"/>
  <c r="E1371" i="2"/>
  <c r="G1371" i="2"/>
  <c r="H1371" i="2"/>
  <c r="E1372" i="2"/>
  <c r="G1372" i="2"/>
  <c r="H1372" i="2"/>
  <c r="E1373" i="2"/>
  <c r="G1373" i="2"/>
  <c r="H1373" i="2"/>
  <c r="E1374" i="2"/>
  <c r="G1374" i="2"/>
  <c r="H1374" i="2"/>
  <c r="E1375" i="2"/>
  <c r="G1375" i="2"/>
  <c r="H1375" i="2"/>
  <c r="E1376" i="2"/>
  <c r="G1376" i="2"/>
  <c r="H1376" i="2"/>
  <c r="E1377" i="2"/>
  <c r="G1377" i="2"/>
  <c r="H1377" i="2"/>
  <c r="E1378" i="2"/>
  <c r="G1378" i="2"/>
  <c r="H1378" i="2"/>
  <c r="E1379" i="2"/>
  <c r="G1379" i="2"/>
  <c r="H1379" i="2"/>
  <c r="E1380" i="2"/>
  <c r="G1380" i="2"/>
  <c r="H1380" i="2"/>
  <c r="E1381" i="2"/>
  <c r="G1381" i="2"/>
  <c r="H1381" i="2"/>
  <c r="E1382" i="2"/>
  <c r="G1382" i="2"/>
  <c r="H1382" i="2"/>
  <c r="E1383" i="2"/>
  <c r="G1383" i="2"/>
  <c r="H1383" i="2"/>
  <c r="E1384" i="2"/>
  <c r="G1384" i="2"/>
  <c r="H1384" i="2"/>
  <c r="E1385" i="2"/>
  <c r="G1385" i="2"/>
  <c r="H1385" i="2"/>
  <c r="E1386" i="2"/>
  <c r="G1386" i="2"/>
  <c r="H1386" i="2"/>
  <c r="E1387" i="2"/>
  <c r="G1387" i="2"/>
  <c r="H1387" i="2"/>
  <c r="E1388" i="2"/>
  <c r="G1388" i="2"/>
  <c r="H1388" i="2"/>
  <c r="E1389" i="2"/>
  <c r="G1389" i="2"/>
  <c r="H1389" i="2"/>
  <c r="E1390" i="2"/>
  <c r="G1390" i="2"/>
  <c r="H1390" i="2"/>
  <c r="E1391" i="2"/>
  <c r="G1391" i="2"/>
  <c r="H1391" i="2"/>
  <c r="E1392" i="2"/>
  <c r="G1392" i="2"/>
  <c r="H1392" i="2"/>
  <c r="E1393" i="2"/>
  <c r="G1393" i="2"/>
  <c r="H1393" i="2"/>
  <c r="E1394" i="2"/>
  <c r="G1394" i="2"/>
  <c r="H1394" i="2"/>
  <c r="E1395" i="2"/>
  <c r="G1395" i="2"/>
  <c r="H1395" i="2"/>
  <c r="E1396" i="2"/>
  <c r="G1396" i="2"/>
  <c r="H1396" i="2"/>
  <c r="E1397" i="2"/>
  <c r="G1397" i="2"/>
  <c r="H1397" i="2"/>
  <c r="E1398" i="2"/>
  <c r="G1398" i="2"/>
  <c r="H1398" i="2"/>
  <c r="E1399" i="2"/>
  <c r="G1399" i="2"/>
  <c r="H1399" i="2"/>
  <c r="E1400" i="2"/>
  <c r="G1400" i="2"/>
  <c r="H1400" i="2"/>
  <c r="E1401" i="2"/>
  <c r="G1401" i="2"/>
  <c r="H1401" i="2"/>
  <c r="E1402" i="2"/>
  <c r="G1402" i="2"/>
  <c r="H1402" i="2"/>
  <c r="E1403" i="2"/>
  <c r="G1403" i="2"/>
  <c r="H1403" i="2"/>
  <c r="E1404" i="2"/>
  <c r="G1404" i="2"/>
  <c r="H1404" i="2"/>
  <c r="E1405" i="2"/>
  <c r="G1405" i="2"/>
  <c r="H1405" i="2"/>
  <c r="E1406" i="2"/>
  <c r="G1406" i="2"/>
  <c r="H1406" i="2"/>
  <c r="E1407" i="2"/>
  <c r="G1407" i="2"/>
  <c r="H1407" i="2"/>
  <c r="E1408" i="2"/>
  <c r="G1408" i="2"/>
  <c r="H1408" i="2"/>
  <c r="E1409" i="2"/>
  <c r="G1409" i="2"/>
  <c r="H1409" i="2"/>
  <c r="E1410" i="2"/>
  <c r="G1410" i="2"/>
  <c r="H1410" i="2"/>
  <c r="E1411" i="2"/>
  <c r="G1411" i="2"/>
  <c r="H1411" i="2"/>
  <c r="E1412" i="2"/>
  <c r="G1412" i="2"/>
  <c r="H1412" i="2"/>
  <c r="E1413" i="2"/>
  <c r="G1413" i="2"/>
  <c r="H1413" i="2"/>
  <c r="E1414" i="2"/>
  <c r="G1414" i="2"/>
  <c r="H1414" i="2"/>
  <c r="E1415" i="2"/>
  <c r="G1415" i="2"/>
  <c r="H1415" i="2"/>
  <c r="E1416" i="2"/>
  <c r="G1416" i="2"/>
  <c r="H1416" i="2"/>
  <c r="E1417" i="2"/>
  <c r="G1417" i="2"/>
  <c r="H1417" i="2"/>
  <c r="E1418" i="2"/>
  <c r="G1418" i="2"/>
  <c r="H1418" i="2"/>
  <c r="E1419" i="2"/>
  <c r="G1419" i="2"/>
  <c r="H1419" i="2"/>
  <c r="E1420" i="2"/>
  <c r="G1420" i="2"/>
  <c r="H1420" i="2"/>
  <c r="E1421" i="2"/>
  <c r="G1421" i="2"/>
  <c r="H1421" i="2"/>
  <c r="E1422" i="2"/>
  <c r="G1422" i="2"/>
  <c r="H1422" i="2"/>
  <c r="E1423" i="2"/>
  <c r="G1423" i="2"/>
  <c r="H1423" i="2"/>
  <c r="E1424" i="2"/>
  <c r="G1424" i="2"/>
  <c r="H1424" i="2"/>
  <c r="E1425" i="2"/>
  <c r="G1425" i="2"/>
  <c r="H1425" i="2"/>
  <c r="E1426" i="2"/>
  <c r="G1426" i="2"/>
  <c r="H1426" i="2"/>
  <c r="E1427" i="2"/>
  <c r="G1427" i="2"/>
  <c r="H1427" i="2"/>
  <c r="E1428" i="2"/>
  <c r="G1428" i="2"/>
  <c r="H1428" i="2"/>
  <c r="E1429" i="2"/>
  <c r="G1429" i="2"/>
  <c r="H1429" i="2"/>
  <c r="E1430" i="2"/>
  <c r="G1430" i="2"/>
  <c r="H1430" i="2"/>
  <c r="E1431" i="2"/>
  <c r="G1431" i="2"/>
  <c r="H1431" i="2"/>
  <c r="E1432" i="2"/>
  <c r="G1432" i="2"/>
  <c r="H1432" i="2"/>
  <c r="E1433" i="2"/>
  <c r="G1433" i="2"/>
  <c r="H1433" i="2"/>
  <c r="E1434" i="2"/>
  <c r="G1434" i="2"/>
  <c r="H1434" i="2"/>
  <c r="E1435" i="2"/>
  <c r="G1435" i="2"/>
  <c r="H1435" i="2"/>
  <c r="E1436" i="2"/>
  <c r="G1436" i="2"/>
  <c r="H1436" i="2"/>
  <c r="E1437" i="2"/>
  <c r="G1437" i="2"/>
  <c r="H1437" i="2"/>
  <c r="E1438" i="2"/>
  <c r="G1438" i="2"/>
  <c r="H1438" i="2"/>
  <c r="E1439" i="2"/>
  <c r="G1439" i="2"/>
  <c r="H1439" i="2"/>
  <c r="E1440" i="2"/>
  <c r="G1440" i="2"/>
  <c r="H1440" i="2"/>
  <c r="E1441" i="2"/>
  <c r="G1441" i="2"/>
  <c r="H1441" i="2"/>
  <c r="E1442" i="2"/>
  <c r="G1442" i="2"/>
  <c r="H1442" i="2"/>
  <c r="E1443" i="2"/>
  <c r="G1443" i="2"/>
  <c r="H1443" i="2"/>
  <c r="E1444" i="2"/>
  <c r="G1444" i="2"/>
  <c r="H1444" i="2"/>
  <c r="E1445" i="2"/>
  <c r="G1445" i="2"/>
  <c r="H1445" i="2"/>
  <c r="E1446" i="2"/>
  <c r="G1446" i="2"/>
  <c r="H1446" i="2"/>
  <c r="E1447" i="2"/>
  <c r="G1447" i="2"/>
  <c r="H1447" i="2"/>
  <c r="E1448" i="2"/>
  <c r="G1448" i="2"/>
  <c r="H1448" i="2"/>
  <c r="E1449" i="2"/>
  <c r="G1449" i="2"/>
  <c r="H1449" i="2"/>
  <c r="E1450" i="2"/>
  <c r="G1450" i="2"/>
  <c r="H1450" i="2"/>
  <c r="E1451" i="2"/>
  <c r="G1451" i="2"/>
  <c r="H1451" i="2"/>
  <c r="E1452" i="2"/>
  <c r="G1452" i="2"/>
  <c r="H1452" i="2"/>
  <c r="E1453" i="2"/>
  <c r="G1453" i="2"/>
  <c r="H1453" i="2"/>
  <c r="E1454" i="2"/>
  <c r="G1454" i="2"/>
  <c r="H1454" i="2"/>
  <c r="E1455" i="2"/>
  <c r="G1455" i="2"/>
  <c r="H1455" i="2"/>
  <c r="E1456" i="2"/>
  <c r="G1456" i="2"/>
  <c r="H1456" i="2"/>
  <c r="E1457" i="2"/>
  <c r="G1457" i="2"/>
  <c r="H1457" i="2"/>
  <c r="E1458" i="2"/>
  <c r="G1458" i="2"/>
  <c r="H1458" i="2"/>
  <c r="E1459" i="2"/>
  <c r="G1459" i="2"/>
  <c r="H1459" i="2"/>
  <c r="E1460" i="2"/>
  <c r="G1460" i="2"/>
  <c r="H1460" i="2"/>
  <c r="E1461" i="2"/>
  <c r="G1461" i="2"/>
  <c r="H1461" i="2"/>
  <c r="E1462" i="2"/>
  <c r="G1462" i="2"/>
  <c r="H1462" i="2"/>
  <c r="E1463" i="2"/>
  <c r="G1463" i="2"/>
  <c r="H1463" i="2"/>
  <c r="E1464" i="2"/>
  <c r="G1464" i="2"/>
  <c r="H1464" i="2"/>
  <c r="E1465" i="2"/>
  <c r="G1465" i="2"/>
  <c r="H1465" i="2"/>
  <c r="E1466" i="2"/>
  <c r="G1466" i="2"/>
  <c r="H1466" i="2"/>
  <c r="E1467" i="2"/>
  <c r="G1467" i="2"/>
  <c r="H1467" i="2"/>
  <c r="E1468" i="2"/>
  <c r="G1468" i="2"/>
  <c r="H1468" i="2"/>
  <c r="E1469" i="2"/>
  <c r="G1469" i="2"/>
  <c r="H1469" i="2"/>
  <c r="E1470" i="2"/>
  <c r="G1470" i="2"/>
  <c r="H1470" i="2"/>
  <c r="E1471" i="2"/>
  <c r="G1471" i="2"/>
  <c r="H1471" i="2"/>
  <c r="E1472" i="2"/>
  <c r="G1472" i="2"/>
  <c r="H1472" i="2"/>
  <c r="E1473" i="2"/>
  <c r="G1473" i="2"/>
  <c r="H1473" i="2"/>
  <c r="E1474" i="2"/>
  <c r="G1474" i="2"/>
  <c r="H1474" i="2"/>
  <c r="E1475" i="2"/>
  <c r="G1475" i="2"/>
  <c r="H1475" i="2"/>
  <c r="E1476" i="2"/>
  <c r="G1476" i="2"/>
  <c r="H1476" i="2"/>
  <c r="E1477" i="2"/>
  <c r="G1477" i="2"/>
  <c r="H1477" i="2"/>
  <c r="E1478" i="2"/>
  <c r="G1478" i="2"/>
  <c r="H1478" i="2"/>
  <c r="E1479" i="2"/>
  <c r="G1479" i="2"/>
  <c r="H1479" i="2"/>
  <c r="E1480" i="2"/>
  <c r="G1480" i="2"/>
  <c r="H1480" i="2"/>
  <c r="E1481" i="2"/>
  <c r="G1481" i="2"/>
  <c r="H1481" i="2"/>
  <c r="E1482" i="2"/>
  <c r="G1482" i="2"/>
  <c r="H1482" i="2"/>
  <c r="E1483" i="2"/>
  <c r="G1483" i="2"/>
  <c r="H1483" i="2"/>
  <c r="E1484" i="2"/>
  <c r="G1484" i="2"/>
  <c r="H1484" i="2"/>
  <c r="E1485" i="2"/>
  <c r="G1485" i="2"/>
  <c r="H1485" i="2"/>
  <c r="E1486" i="2"/>
  <c r="G1486" i="2"/>
  <c r="H1486" i="2"/>
  <c r="E1487" i="2"/>
  <c r="G1487" i="2"/>
  <c r="H1487" i="2"/>
  <c r="E1488" i="2"/>
  <c r="G1488" i="2"/>
  <c r="H1488" i="2"/>
  <c r="E1489" i="2"/>
  <c r="G1489" i="2"/>
  <c r="H1489" i="2"/>
  <c r="E1490" i="2"/>
  <c r="G1490" i="2"/>
  <c r="H1490" i="2"/>
  <c r="E1491" i="2"/>
  <c r="G1491" i="2"/>
  <c r="H1491" i="2"/>
  <c r="E1492" i="2"/>
  <c r="G1492" i="2"/>
  <c r="H1492" i="2"/>
  <c r="E1493" i="2"/>
  <c r="G1493" i="2"/>
  <c r="H1493" i="2"/>
  <c r="E1494" i="2"/>
  <c r="G1494" i="2"/>
  <c r="H1494" i="2"/>
  <c r="E1495" i="2"/>
  <c r="G1495" i="2"/>
  <c r="H1495" i="2"/>
  <c r="E1496" i="2"/>
  <c r="G1496" i="2"/>
  <c r="H1496" i="2"/>
  <c r="E1497" i="2"/>
  <c r="G1497" i="2"/>
  <c r="H1497" i="2"/>
  <c r="E1498" i="2"/>
  <c r="G1498" i="2"/>
  <c r="H1498" i="2"/>
  <c r="E1499" i="2"/>
  <c r="G1499" i="2"/>
  <c r="H1499" i="2"/>
  <c r="E1500" i="2"/>
  <c r="G1500" i="2"/>
  <c r="H1500" i="2"/>
  <c r="E1501" i="2"/>
  <c r="G1501" i="2"/>
  <c r="H1501" i="2"/>
  <c r="E1502" i="2"/>
  <c r="G1502" i="2"/>
  <c r="H1502" i="2"/>
  <c r="E1503" i="2"/>
  <c r="G1503" i="2"/>
  <c r="H1503" i="2"/>
  <c r="E1504" i="2"/>
  <c r="G1504" i="2"/>
  <c r="H1504" i="2"/>
  <c r="E1505" i="2"/>
  <c r="G1505" i="2"/>
  <c r="H1505" i="2"/>
  <c r="E1506" i="2"/>
  <c r="G1506" i="2"/>
  <c r="H1506" i="2"/>
  <c r="E1507" i="2"/>
  <c r="G1507" i="2"/>
  <c r="H1507" i="2"/>
  <c r="E1508" i="2"/>
  <c r="G1508" i="2"/>
  <c r="H1508" i="2"/>
  <c r="E1509" i="2"/>
  <c r="G1509" i="2"/>
  <c r="H1509" i="2"/>
  <c r="E1510" i="2"/>
  <c r="G1510" i="2"/>
  <c r="H1510" i="2"/>
  <c r="E1511" i="2"/>
  <c r="G1511" i="2"/>
  <c r="H1511" i="2"/>
  <c r="E1512" i="2"/>
  <c r="G1512" i="2"/>
  <c r="H1512" i="2"/>
  <c r="E1513" i="2"/>
  <c r="G1513" i="2"/>
  <c r="H1513" i="2"/>
  <c r="E1514" i="2"/>
  <c r="G1514" i="2"/>
  <c r="H1514" i="2"/>
  <c r="E1515" i="2"/>
  <c r="G1515" i="2"/>
  <c r="H1515" i="2"/>
  <c r="E1516" i="2"/>
  <c r="G1516" i="2"/>
  <c r="H1516" i="2"/>
  <c r="E1517" i="2"/>
  <c r="G1517" i="2"/>
  <c r="H1517" i="2"/>
  <c r="E1518" i="2"/>
  <c r="G1518" i="2"/>
  <c r="H1518" i="2"/>
  <c r="E1519" i="2"/>
  <c r="G1519" i="2"/>
  <c r="H1519" i="2"/>
  <c r="E1520" i="2"/>
  <c r="G1520" i="2"/>
  <c r="H1520" i="2"/>
  <c r="E1521" i="2"/>
  <c r="G1521" i="2"/>
  <c r="H1521" i="2"/>
  <c r="E1522" i="2"/>
  <c r="G1522" i="2"/>
  <c r="H1522" i="2"/>
  <c r="E1523" i="2"/>
  <c r="G1523" i="2"/>
  <c r="H1523" i="2"/>
  <c r="E1524" i="2"/>
  <c r="G1524" i="2"/>
  <c r="H1524" i="2"/>
  <c r="E1525" i="2"/>
  <c r="G1525" i="2"/>
  <c r="H1525" i="2"/>
  <c r="E1526" i="2"/>
  <c r="G1526" i="2"/>
  <c r="H1526" i="2"/>
  <c r="E1527" i="2"/>
  <c r="G1527" i="2"/>
  <c r="H1527" i="2"/>
  <c r="E1528" i="2"/>
  <c r="G1528" i="2"/>
  <c r="H1528" i="2"/>
  <c r="E1529" i="2"/>
  <c r="G1529" i="2"/>
  <c r="H1529" i="2"/>
  <c r="E1530" i="2"/>
  <c r="G1530" i="2"/>
  <c r="H1530" i="2"/>
  <c r="E1531" i="2"/>
  <c r="G1531" i="2"/>
  <c r="H1531" i="2"/>
  <c r="E1532" i="2"/>
  <c r="G1532" i="2"/>
  <c r="H1532" i="2"/>
  <c r="E1533" i="2"/>
  <c r="G1533" i="2"/>
  <c r="H1533" i="2"/>
  <c r="E1534" i="2"/>
  <c r="G1534" i="2"/>
  <c r="H1534" i="2"/>
  <c r="E1535" i="2"/>
  <c r="G1535" i="2"/>
  <c r="H1535" i="2"/>
  <c r="E1536" i="2"/>
  <c r="G1536" i="2"/>
  <c r="H1536" i="2"/>
  <c r="E1537" i="2"/>
  <c r="G1537" i="2"/>
  <c r="H1537" i="2"/>
  <c r="E1538" i="2"/>
  <c r="G1538" i="2"/>
  <c r="H1538" i="2"/>
  <c r="E1539" i="2"/>
  <c r="G1539" i="2"/>
  <c r="H1539" i="2"/>
  <c r="E1540" i="2"/>
  <c r="G1540" i="2"/>
  <c r="H1540" i="2"/>
  <c r="E1541" i="2"/>
  <c r="G1541" i="2"/>
  <c r="H1541" i="2"/>
  <c r="E1542" i="2"/>
  <c r="G1542" i="2"/>
  <c r="H1542" i="2"/>
  <c r="E1543" i="2"/>
  <c r="G1543" i="2"/>
  <c r="H1543" i="2"/>
  <c r="E1544" i="2"/>
  <c r="G1544" i="2"/>
  <c r="H1544" i="2"/>
  <c r="E1545" i="2"/>
  <c r="G1545" i="2"/>
  <c r="H1545" i="2"/>
  <c r="E1546" i="2"/>
  <c r="G1546" i="2"/>
  <c r="H1546" i="2"/>
  <c r="E1547" i="2"/>
  <c r="G1547" i="2"/>
  <c r="H1547" i="2"/>
  <c r="E1548" i="2"/>
  <c r="G1548" i="2"/>
  <c r="H1548" i="2"/>
  <c r="E1549" i="2"/>
  <c r="G1549" i="2"/>
  <c r="H1549" i="2"/>
  <c r="E1550" i="2"/>
  <c r="G1550" i="2"/>
  <c r="H1550" i="2"/>
  <c r="E1551" i="2"/>
  <c r="G1551" i="2"/>
  <c r="H1551" i="2"/>
  <c r="E1552" i="2"/>
  <c r="G1552" i="2"/>
  <c r="H1552" i="2"/>
  <c r="E1553" i="2"/>
  <c r="G1553" i="2"/>
  <c r="H1553" i="2"/>
  <c r="E1554" i="2"/>
  <c r="G1554" i="2"/>
  <c r="H1554" i="2"/>
  <c r="E1555" i="2"/>
  <c r="G1555" i="2"/>
  <c r="H1555" i="2"/>
  <c r="E1556" i="2"/>
  <c r="G1556" i="2"/>
  <c r="H1556" i="2"/>
  <c r="E1557" i="2"/>
  <c r="G1557" i="2"/>
  <c r="H1557" i="2"/>
  <c r="E1558" i="2"/>
  <c r="G1558" i="2"/>
  <c r="H1558" i="2"/>
  <c r="E1559" i="2"/>
  <c r="G1559" i="2"/>
  <c r="H1559" i="2"/>
  <c r="E1560" i="2"/>
  <c r="G1560" i="2"/>
  <c r="H1560" i="2"/>
  <c r="E1561" i="2"/>
  <c r="G1561" i="2"/>
  <c r="H1561" i="2"/>
  <c r="E1562" i="2"/>
  <c r="G1562" i="2"/>
  <c r="H1562" i="2"/>
  <c r="E1563" i="2"/>
  <c r="G1563" i="2"/>
  <c r="H1563" i="2"/>
  <c r="E1564" i="2"/>
  <c r="G1564" i="2"/>
  <c r="H1564" i="2"/>
  <c r="E1565" i="2"/>
  <c r="G1565" i="2"/>
  <c r="H1565" i="2"/>
  <c r="E1566" i="2"/>
  <c r="G1566" i="2"/>
  <c r="H1566" i="2"/>
  <c r="E1567" i="2"/>
  <c r="G1567" i="2"/>
  <c r="H1567" i="2"/>
  <c r="E1568" i="2"/>
  <c r="G1568" i="2"/>
  <c r="H1568" i="2"/>
  <c r="E1569" i="2"/>
  <c r="G1569" i="2"/>
  <c r="H1569" i="2"/>
  <c r="E1570" i="2"/>
  <c r="G1570" i="2"/>
  <c r="H1570" i="2"/>
  <c r="E1571" i="2"/>
  <c r="G1571" i="2"/>
  <c r="H1571" i="2"/>
  <c r="E1572" i="2"/>
  <c r="G1572" i="2"/>
  <c r="H1572" i="2"/>
  <c r="E1573" i="2"/>
  <c r="G1573" i="2"/>
  <c r="H1573" i="2"/>
  <c r="E1574" i="2"/>
  <c r="G1574" i="2"/>
  <c r="H1574" i="2"/>
  <c r="E1575" i="2"/>
  <c r="G1575" i="2"/>
  <c r="H1575" i="2"/>
  <c r="E1576" i="2"/>
  <c r="G1576" i="2"/>
  <c r="H1576" i="2"/>
  <c r="E1577" i="2"/>
  <c r="G1577" i="2"/>
  <c r="H1577" i="2"/>
  <c r="E1578" i="2"/>
  <c r="G1578" i="2"/>
  <c r="H1578" i="2"/>
  <c r="E1579" i="2"/>
  <c r="G1579" i="2"/>
  <c r="H1579" i="2"/>
  <c r="E1580" i="2"/>
  <c r="G1580" i="2"/>
  <c r="H1580" i="2"/>
  <c r="E1581" i="2"/>
  <c r="G1581" i="2"/>
  <c r="H1581" i="2"/>
  <c r="E1582" i="2"/>
  <c r="G1582" i="2"/>
  <c r="H1582" i="2"/>
  <c r="E1583" i="2"/>
  <c r="G1583" i="2"/>
  <c r="H1583" i="2"/>
  <c r="E1584" i="2"/>
  <c r="G1584" i="2"/>
  <c r="H1584" i="2"/>
  <c r="E1585" i="2"/>
  <c r="G1585" i="2"/>
  <c r="H1585" i="2"/>
  <c r="E1586" i="2"/>
  <c r="G1586" i="2"/>
  <c r="H1586" i="2"/>
  <c r="E1587" i="2"/>
  <c r="G1587" i="2"/>
  <c r="H1587" i="2"/>
  <c r="E1588" i="2"/>
  <c r="G1588" i="2"/>
  <c r="H1588" i="2"/>
  <c r="E1589" i="2"/>
  <c r="G1589" i="2"/>
  <c r="H1589" i="2"/>
  <c r="E1590" i="2"/>
  <c r="G1590" i="2"/>
  <c r="H1590" i="2"/>
  <c r="E1591" i="2"/>
  <c r="G1591" i="2"/>
  <c r="H1591" i="2"/>
  <c r="E1592" i="2"/>
  <c r="G1592" i="2"/>
  <c r="H1592" i="2"/>
  <c r="E1593" i="2"/>
  <c r="G1593" i="2"/>
  <c r="H1593" i="2"/>
  <c r="E1594" i="2"/>
  <c r="G1594" i="2"/>
  <c r="H1594" i="2"/>
  <c r="E1595" i="2"/>
  <c r="G1595" i="2"/>
  <c r="H1595" i="2"/>
  <c r="E1596" i="2"/>
  <c r="G1596" i="2"/>
  <c r="H1596" i="2"/>
  <c r="E1597" i="2"/>
  <c r="G1597" i="2"/>
  <c r="H1597" i="2"/>
  <c r="E1598" i="2"/>
  <c r="G1598" i="2"/>
  <c r="H1598" i="2"/>
  <c r="E1599" i="2"/>
  <c r="G1599" i="2"/>
  <c r="H1599" i="2"/>
  <c r="E1600" i="2"/>
  <c r="G1600" i="2"/>
  <c r="H1600" i="2"/>
  <c r="E1601" i="2"/>
  <c r="G1601" i="2"/>
  <c r="H1601" i="2"/>
  <c r="E1602" i="2"/>
  <c r="G1602" i="2"/>
  <c r="H1602" i="2"/>
  <c r="E1603" i="2"/>
  <c r="G1603" i="2"/>
  <c r="H1603" i="2"/>
  <c r="E1604" i="2"/>
  <c r="G1604" i="2"/>
  <c r="H1604" i="2"/>
  <c r="E1605" i="2"/>
  <c r="G1605" i="2"/>
  <c r="H1605" i="2"/>
  <c r="E1606" i="2"/>
  <c r="G1606" i="2"/>
  <c r="H1606" i="2"/>
  <c r="E1607" i="2"/>
  <c r="G1607" i="2"/>
  <c r="H1607" i="2"/>
  <c r="E1608" i="2"/>
  <c r="G1608" i="2"/>
  <c r="H1608" i="2"/>
  <c r="E1609" i="2"/>
  <c r="G1609" i="2"/>
  <c r="H1609" i="2"/>
  <c r="E1610" i="2"/>
  <c r="G1610" i="2"/>
  <c r="H1610" i="2"/>
  <c r="E1611" i="2"/>
  <c r="G1611" i="2"/>
  <c r="H1611" i="2"/>
  <c r="E1612" i="2"/>
  <c r="G1612" i="2"/>
  <c r="H1612" i="2"/>
  <c r="E1613" i="2"/>
  <c r="G1613" i="2"/>
  <c r="H1613" i="2"/>
  <c r="E1614" i="2"/>
  <c r="G1614" i="2"/>
  <c r="H1614" i="2"/>
  <c r="E1615" i="2"/>
  <c r="G1615" i="2"/>
  <c r="H1615" i="2"/>
  <c r="E1616" i="2"/>
  <c r="G1616" i="2"/>
  <c r="H1616" i="2"/>
  <c r="E1617" i="2"/>
  <c r="G1617" i="2"/>
  <c r="H1617" i="2"/>
  <c r="E1618" i="2"/>
  <c r="G1618" i="2"/>
  <c r="H1618" i="2"/>
  <c r="E1619" i="2"/>
  <c r="G1619" i="2"/>
  <c r="H1619" i="2"/>
  <c r="E1620" i="2"/>
  <c r="G1620" i="2"/>
  <c r="H1620" i="2"/>
  <c r="E1621" i="2"/>
  <c r="G1621" i="2"/>
  <c r="H1621" i="2"/>
  <c r="E1622" i="2"/>
  <c r="G1622" i="2"/>
  <c r="H1622" i="2"/>
  <c r="E1623" i="2"/>
  <c r="G1623" i="2"/>
  <c r="H1623" i="2"/>
  <c r="E1624" i="2"/>
  <c r="G1624" i="2"/>
  <c r="H1624" i="2"/>
  <c r="E1625" i="2"/>
  <c r="G1625" i="2"/>
  <c r="H1625" i="2"/>
  <c r="E1626" i="2"/>
  <c r="G1626" i="2"/>
  <c r="H1626" i="2"/>
  <c r="E1627" i="2"/>
  <c r="G1627" i="2"/>
  <c r="H1627" i="2"/>
  <c r="E1628" i="2"/>
  <c r="G1628" i="2"/>
  <c r="H1628" i="2"/>
  <c r="E1629" i="2"/>
  <c r="G1629" i="2"/>
  <c r="H1629" i="2"/>
  <c r="E1630" i="2"/>
  <c r="G1630" i="2"/>
  <c r="H1630" i="2"/>
  <c r="E1631" i="2"/>
  <c r="G1631" i="2"/>
  <c r="H1631" i="2"/>
  <c r="E1632" i="2"/>
  <c r="G1632" i="2"/>
  <c r="H1632" i="2"/>
  <c r="E1633" i="2"/>
  <c r="G1633" i="2"/>
  <c r="H1633" i="2"/>
  <c r="E1634" i="2"/>
  <c r="G1634" i="2"/>
  <c r="H1634" i="2"/>
  <c r="E1635" i="2"/>
  <c r="G1635" i="2"/>
  <c r="H1635" i="2"/>
  <c r="E1636" i="2"/>
  <c r="G1636" i="2"/>
  <c r="H1636" i="2"/>
  <c r="E1637" i="2"/>
  <c r="G1637" i="2"/>
  <c r="H1637" i="2"/>
  <c r="E1638" i="2"/>
  <c r="G1638" i="2"/>
  <c r="H1638" i="2"/>
  <c r="E1639" i="2"/>
  <c r="G1639" i="2"/>
  <c r="H1639" i="2"/>
  <c r="E1640" i="2"/>
  <c r="G1640" i="2"/>
  <c r="H1640" i="2"/>
  <c r="E1641" i="2"/>
  <c r="G1641" i="2"/>
  <c r="H1641" i="2"/>
  <c r="E1642" i="2"/>
  <c r="G1642" i="2"/>
  <c r="H1642" i="2"/>
  <c r="E1643" i="2"/>
  <c r="G1643" i="2"/>
  <c r="H1643" i="2"/>
  <c r="E1644" i="2"/>
  <c r="G1644" i="2"/>
  <c r="H1644" i="2"/>
  <c r="E1645" i="2"/>
  <c r="G1645" i="2"/>
  <c r="H1645" i="2"/>
  <c r="E1646" i="2"/>
  <c r="G1646" i="2"/>
  <c r="H1646" i="2"/>
  <c r="E1647" i="2"/>
  <c r="G1647" i="2"/>
  <c r="H1647" i="2"/>
  <c r="E1648" i="2"/>
  <c r="G1648" i="2"/>
  <c r="H1648" i="2"/>
  <c r="E1649" i="2"/>
  <c r="G1649" i="2"/>
  <c r="H1649" i="2"/>
  <c r="E1650" i="2"/>
  <c r="G1650" i="2"/>
  <c r="H1650" i="2"/>
  <c r="E1651" i="2"/>
  <c r="G1651" i="2"/>
  <c r="H1651" i="2"/>
  <c r="E1652" i="2"/>
  <c r="G1652" i="2"/>
  <c r="H1652" i="2"/>
  <c r="E1653" i="2"/>
  <c r="G1653" i="2"/>
  <c r="H1653" i="2"/>
  <c r="E1654" i="2"/>
  <c r="G1654" i="2"/>
  <c r="H1654" i="2"/>
  <c r="E1655" i="2"/>
  <c r="G1655" i="2"/>
  <c r="H1655" i="2"/>
  <c r="E1656" i="2"/>
  <c r="G1656" i="2"/>
  <c r="H1656" i="2"/>
  <c r="E1657" i="2"/>
  <c r="G1657" i="2"/>
  <c r="H1657" i="2"/>
  <c r="E1658" i="2"/>
  <c r="G1658" i="2"/>
  <c r="H1658" i="2"/>
  <c r="E1659" i="2"/>
  <c r="G1659" i="2"/>
  <c r="H1659" i="2"/>
  <c r="E1660" i="2"/>
  <c r="G1660" i="2"/>
  <c r="H1660" i="2"/>
  <c r="E1661" i="2"/>
  <c r="G1661" i="2"/>
  <c r="H1661" i="2"/>
  <c r="E1662" i="2"/>
  <c r="G1662" i="2"/>
  <c r="H1662" i="2"/>
  <c r="E1663" i="2"/>
  <c r="G1663" i="2"/>
  <c r="H1663" i="2"/>
  <c r="E1664" i="2"/>
  <c r="G1664" i="2"/>
  <c r="H1664" i="2"/>
  <c r="E1665" i="2"/>
  <c r="G1665" i="2"/>
  <c r="H1665" i="2"/>
  <c r="E1666" i="2"/>
  <c r="G1666" i="2"/>
  <c r="H1666" i="2"/>
  <c r="E1667" i="2"/>
  <c r="G1667" i="2"/>
  <c r="H1667" i="2"/>
  <c r="E1668" i="2"/>
  <c r="G1668" i="2"/>
  <c r="H1668" i="2"/>
  <c r="E1669" i="2"/>
  <c r="G1669" i="2"/>
  <c r="H1669" i="2"/>
  <c r="E1670" i="2"/>
  <c r="G1670" i="2"/>
  <c r="H1670" i="2"/>
  <c r="E1671" i="2"/>
  <c r="G1671" i="2"/>
  <c r="H1671" i="2"/>
  <c r="E1672" i="2"/>
  <c r="G1672" i="2"/>
  <c r="H1672" i="2"/>
  <c r="E1673" i="2"/>
  <c r="G1673" i="2"/>
  <c r="H1673" i="2"/>
  <c r="E1674" i="2"/>
  <c r="G1674" i="2"/>
  <c r="H1674" i="2"/>
  <c r="E1675" i="2"/>
  <c r="G1675" i="2"/>
  <c r="H1675" i="2"/>
  <c r="E1676" i="2"/>
  <c r="G1676" i="2"/>
  <c r="H1676" i="2"/>
  <c r="E1677" i="2"/>
  <c r="G1677" i="2"/>
  <c r="H1677" i="2"/>
  <c r="E1678" i="2"/>
  <c r="G1678" i="2"/>
  <c r="H1678" i="2"/>
  <c r="E1679" i="2"/>
  <c r="G1679" i="2"/>
  <c r="H1679" i="2"/>
  <c r="E1680" i="2"/>
  <c r="G1680" i="2"/>
  <c r="H1680" i="2"/>
  <c r="E1681" i="2"/>
  <c r="G1681" i="2"/>
  <c r="H1681" i="2"/>
  <c r="E1682" i="2"/>
  <c r="G1682" i="2"/>
  <c r="H1682" i="2"/>
  <c r="E1683" i="2"/>
  <c r="G1683" i="2"/>
  <c r="H1683" i="2"/>
  <c r="E1684" i="2"/>
  <c r="G1684" i="2"/>
  <c r="H1684" i="2"/>
  <c r="E1685" i="2"/>
  <c r="G1685" i="2"/>
  <c r="H1685" i="2"/>
  <c r="E1686" i="2"/>
  <c r="G1686" i="2"/>
  <c r="H1686" i="2"/>
  <c r="E1687" i="2"/>
  <c r="G1687" i="2"/>
  <c r="H1687" i="2"/>
  <c r="E1688" i="2"/>
  <c r="G1688" i="2"/>
  <c r="H1688" i="2"/>
  <c r="E1689" i="2"/>
  <c r="G1689" i="2"/>
  <c r="H1689" i="2"/>
  <c r="E1690" i="2"/>
  <c r="G1690" i="2"/>
  <c r="H1690" i="2"/>
  <c r="E1691" i="2"/>
  <c r="G1691" i="2"/>
  <c r="H1691" i="2"/>
  <c r="E1692" i="2"/>
  <c r="G1692" i="2"/>
  <c r="H1692" i="2"/>
  <c r="E1693" i="2"/>
  <c r="G1693" i="2"/>
  <c r="H1693" i="2"/>
  <c r="E1694" i="2"/>
  <c r="G1694" i="2"/>
  <c r="H1694" i="2"/>
  <c r="E1695" i="2"/>
  <c r="G1695" i="2"/>
  <c r="H1695" i="2"/>
  <c r="E1696" i="2"/>
  <c r="G1696" i="2"/>
  <c r="H1696" i="2"/>
  <c r="E1697" i="2"/>
  <c r="G1697" i="2"/>
  <c r="H1697" i="2"/>
  <c r="E1698" i="2"/>
  <c r="G1698" i="2"/>
  <c r="H1698" i="2"/>
  <c r="E1699" i="2"/>
  <c r="G1699" i="2"/>
  <c r="H1699" i="2"/>
  <c r="E1700" i="2"/>
  <c r="G1700" i="2"/>
  <c r="H1700" i="2"/>
  <c r="E1701" i="2"/>
  <c r="G1701" i="2"/>
  <c r="H1701" i="2"/>
  <c r="E1702" i="2"/>
  <c r="G1702" i="2"/>
  <c r="H1702" i="2"/>
  <c r="E1703" i="2"/>
  <c r="G1703" i="2"/>
  <c r="H1703" i="2"/>
  <c r="E1704" i="2"/>
  <c r="G1704" i="2"/>
  <c r="H1704" i="2"/>
  <c r="E1705" i="2"/>
  <c r="G1705" i="2"/>
  <c r="H1705" i="2"/>
  <c r="E1706" i="2"/>
  <c r="G1706" i="2"/>
  <c r="H1706" i="2"/>
  <c r="E1707" i="2"/>
  <c r="G1707" i="2"/>
  <c r="H1707" i="2"/>
  <c r="E1708" i="2"/>
  <c r="G1708" i="2"/>
  <c r="H1708" i="2"/>
  <c r="E1709" i="2"/>
  <c r="G1709" i="2"/>
  <c r="H1709" i="2"/>
  <c r="E1710" i="2"/>
  <c r="G1710" i="2"/>
  <c r="H1710" i="2"/>
  <c r="E1711" i="2"/>
  <c r="G1711" i="2"/>
  <c r="H1711" i="2"/>
  <c r="E1712" i="2"/>
  <c r="G1712" i="2"/>
  <c r="H1712" i="2"/>
  <c r="E1713" i="2"/>
  <c r="G1713" i="2"/>
  <c r="H1713" i="2"/>
  <c r="E1714" i="2"/>
  <c r="G1714" i="2"/>
  <c r="H1714" i="2"/>
  <c r="E1715" i="2"/>
  <c r="G1715" i="2"/>
  <c r="H1715" i="2"/>
  <c r="E1716" i="2"/>
  <c r="G1716" i="2"/>
  <c r="H1716" i="2"/>
  <c r="E1717" i="2"/>
  <c r="G1717" i="2"/>
  <c r="H1717" i="2"/>
  <c r="E1718" i="2"/>
  <c r="G1718" i="2"/>
  <c r="H1718" i="2"/>
  <c r="E1719" i="2"/>
  <c r="G1719" i="2"/>
  <c r="H1719" i="2"/>
  <c r="E1720" i="2"/>
  <c r="G1720" i="2"/>
  <c r="H1720" i="2"/>
  <c r="E1721" i="2"/>
  <c r="G1721" i="2"/>
  <c r="H1721" i="2"/>
  <c r="E1722" i="2"/>
  <c r="G1722" i="2"/>
  <c r="H1722" i="2"/>
  <c r="E1723" i="2"/>
  <c r="G1723" i="2"/>
  <c r="H1723" i="2"/>
  <c r="E1724" i="2"/>
  <c r="G1724" i="2"/>
  <c r="H1724" i="2"/>
  <c r="E1725" i="2"/>
  <c r="G1725" i="2"/>
  <c r="H1725" i="2"/>
  <c r="E1726" i="2"/>
  <c r="G1726" i="2"/>
  <c r="H1726" i="2"/>
  <c r="E1727" i="2"/>
  <c r="G1727" i="2"/>
  <c r="H1727" i="2"/>
  <c r="E1728" i="2"/>
  <c r="G1728" i="2"/>
  <c r="H1728" i="2"/>
  <c r="E1729" i="2"/>
  <c r="G1729" i="2"/>
  <c r="H1729" i="2"/>
  <c r="E1730" i="2"/>
  <c r="G1730" i="2"/>
  <c r="H1730" i="2"/>
  <c r="E1731" i="2"/>
  <c r="G1731" i="2"/>
  <c r="H1731" i="2"/>
  <c r="E1732" i="2"/>
  <c r="G1732" i="2"/>
  <c r="H1732" i="2"/>
  <c r="E1733" i="2"/>
  <c r="G1733" i="2"/>
  <c r="H1733" i="2"/>
  <c r="E1734" i="2"/>
  <c r="G1734" i="2"/>
  <c r="H1734" i="2"/>
  <c r="E1735" i="2"/>
  <c r="G1735" i="2"/>
  <c r="H1735" i="2"/>
  <c r="E1736" i="2"/>
  <c r="G1736" i="2"/>
  <c r="H1736" i="2"/>
  <c r="E1737" i="2"/>
  <c r="G1737" i="2"/>
  <c r="H1737" i="2"/>
  <c r="E1738" i="2"/>
  <c r="G1738" i="2"/>
  <c r="H1738" i="2"/>
  <c r="E1739" i="2"/>
  <c r="G1739" i="2"/>
  <c r="H1739" i="2"/>
  <c r="E1740" i="2"/>
  <c r="G1740" i="2"/>
  <c r="H1740" i="2"/>
  <c r="E1741" i="2"/>
  <c r="G1741" i="2"/>
  <c r="H1741" i="2"/>
  <c r="E1742" i="2"/>
  <c r="G1742" i="2"/>
  <c r="H1742" i="2"/>
  <c r="E1743" i="2"/>
  <c r="G1743" i="2"/>
  <c r="H1743" i="2"/>
  <c r="E1744" i="2"/>
  <c r="G1744" i="2"/>
  <c r="H1744" i="2"/>
  <c r="E1745" i="2"/>
  <c r="G1745" i="2"/>
  <c r="H1745" i="2"/>
  <c r="E1746" i="2"/>
  <c r="G1746" i="2"/>
  <c r="H1746" i="2"/>
  <c r="E1747" i="2"/>
  <c r="G1747" i="2"/>
  <c r="H1747" i="2"/>
  <c r="E1748" i="2"/>
  <c r="G1748" i="2"/>
  <c r="H1748" i="2"/>
  <c r="E1749" i="2"/>
  <c r="G1749" i="2"/>
  <c r="H1749" i="2"/>
  <c r="E1750" i="2"/>
  <c r="G1750" i="2"/>
  <c r="H1750" i="2"/>
  <c r="E1751" i="2"/>
  <c r="G1751" i="2"/>
  <c r="H1751" i="2"/>
  <c r="E1752" i="2"/>
  <c r="G1752" i="2"/>
  <c r="H1752" i="2"/>
  <c r="E1753" i="2"/>
  <c r="G1753" i="2"/>
  <c r="H1753" i="2"/>
  <c r="E1754" i="2"/>
  <c r="G1754" i="2"/>
  <c r="H1754" i="2"/>
  <c r="E1755" i="2"/>
  <c r="G1755" i="2"/>
  <c r="H1755" i="2"/>
  <c r="E1756" i="2"/>
  <c r="G1756" i="2"/>
  <c r="H1756" i="2"/>
  <c r="E1757" i="2"/>
  <c r="G1757" i="2"/>
  <c r="H1757" i="2"/>
  <c r="E1758" i="2"/>
  <c r="G1758" i="2"/>
  <c r="H1758" i="2"/>
  <c r="E1759" i="2"/>
  <c r="G1759" i="2"/>
  <c r="H1759" i="2"/>
  <c r="E1760" i="2"/>
  <c r="G1760" i="2"/>
  <c r="H1760" i="2"/>
  <c r="E1761" i="2"/>
  <c r="G1761" i="2"/>
  <c r="H1761" i="2"/>
  <c r="E1762" i="2"/>
  <c r="G1762" i="2"/>
  <c r="H1762" i="2"/>
  <c r="E1763" i="2"/>
  <c r="G1763" i="2"/>
  <c r="H1763" i="2"/>
  <c r="E1764" i="2"/>
  <c r="G1764" i="2"/>
  <c r="H1764" i="2"/>
  <c r="E1765" i="2"/>
  <c r="G1765" i="2"/>
  <c r="H1765" i="2"/>
  <c r="E1766" i="2"/>
  <c r="G1766" i="2"/>
  <c r="H1766" i="2"/>
  <c r="E1767" i="2"/>
  <c r="G1767" i="2"/>
  <c r="H1767" i="2"/>
  <c r="E1768" i="2"/>
  <c r="G1768" i="2"/>
  <c r="H1768" i="2"/>
  <c r="E1769" i="2"/>
  <c r="G1769" i="2"/>
  <c r="H1769" i="2"/>
  <c r="E1770" i="2"/>
  <c r="G1770" i="2"/>
  <c r="H1770" i="2"/>
  <c r="E1771" i="2"/>
  <c r="G1771" i="2"/>
  <c r="H1771" i="2"/>
  <c r="E1772" i="2"/>
  <c r="G1772" i="2"/>
  <c r="H1772" i="2"/>
  <c r="E1773" i="2"/>
  <c r="G1773" i="2"/>
  <c r="H1773" i="2"/>
  <c r="E1774" i="2"/>
  <c r="G1774" i="2"/>
  <c r="H1774" i="2"/>
  <c r="E1775" i="2"/>
  <c r="G1775" i="2"/>
  <c r="H1775" i="2"/>
  <c r="E1776" i="2"/>
  <c r="G1776" i="2"/>
  <c r="H1776" i="2"/>
  <c r="E1777" i="2"/>
  <c r="G1777" i="2"/>
  <c r="H1777" i="2"/>
  <c r="E1778" i="2"/>
  <c r="G1778" i="2"/>
  <c r="H1778" i="2"/>
  <c r="E1779" i="2"/>
  <c r="G1779" i="2"/>
  <c r="H1779" i="2"/>
  <c r="E1780" i="2"/>
  <c r="G1780" i="2"/>
  <c r="H1780" i="2"/>
  <c r="E1781" i="2"/>
  <c r="G1781" i="2"/>
  <c r="H1781" i="2"/>
  <c r="E1782" i="2"/>
  <c r="G1782" i="2"/>
  <c r="H1782" i="2"/>
  <c r="E1783" i="2"/>
  <c r="G1783" i="2"/>
  <c r="H1783" i="2"/>
  <c r="E1784" i="2"/>
  <c r="G1784" i="2"/>
  <c r="H1784" i="2"/>
  <c r="E1785" i="2"/>
  <c r="G1785" i="2"/>
  <c r="H1785" i="2"/>
  <c r="E1786" i="2"/>
  <c r="G1786" i="2"/>
  <c r="H1786" i="2"/>
  <c r="E1787" i="2"/>
  <c r="G1787" i="2"/>
  <c r="H1787" i="2"/>
  <c r="E1788" i="2"/>
  <c r="G1788" i="2"/>
  <c r="H1788" i="2"/>
  <c r="E1789" i="2"/>
  <c r="G1789" i="2"/>
  <c r="H1789" i="2"/>
  <c r="E1790" i="2"/>
  <c r="G1790" i="2"/>
  <c r="H1790" i="2"/>
  <c r="E1791" i="2"/>
  <c r="G1791" i="2"/>
  <c r="H1791" i="2"/>
  <c r="E1792" i="2"/>
  <c r="G1792" i="2"/>
  <c r="H1792" i="2"/>
  <c r="E1793" i="2"/>
  <c r="G1793" i="2"/>
  <c r="H1793" i="2"/>
  <c r="E1794" i="2"/>
  <c r="G1794" i="2"/>
  <c r="H1794" i="2"/>
  <c r="E1795" i="2"/>
  <c r="G1795" i="2"/>
  <c r="H1795" i="2"/>
  <c r="E1796" i="2"/>
  <c r="G1796" i="2"/>
  <c r="H1796" i="2"/>
  <c r="E1797" i="2"/>
  <c r="G1797" i="2"/>
  <c r="H1797" i="2"/>
  <c r="E1798" i="2"/>
  <c r="G1798" i="2"/>
  <c r="H1798" i="2"/>
  <c r="E1799" i="2"/>
  <c r="G1799" i="2"/>
  <c r="H1799" i="2"/>
  <c r="E1800" i="2"/>
  <c r="G1800" i="2"/>
  <c r="H1800" i="2"/>
  <c r="E1801" i="2"/>
  <c r="G1801" i="2"/>
  <c r="H1801" i="2"/>
  <c r="E1802" i="2"/>
  <c r="G1802" i="2"/>
  <c r="H1802" i="2"/>
  <c r="E1803" i="2"/>
  <c r="G1803" i="2"/>
  <c r="H1803" i="2"/>
  <c r="E1804" i="2"/>
  <c r="G1804" i="2"/>
  <c r="H1804" i="2"/>
  <c r="E1805" i="2"/>
  <c r="G1805" i="2"/>
  <c r="H1805" i="2"/>
  <c r="E1806" i="2"/>
  <c r="G1806" i="2"/>
  <c r="H1806" i="2"/>
  <c r="E1807" i="2"/>
  <c r="G1807" i="2"/>
  <c r="H1807" i="2"/>
  <c r="E1808" i="2"/>
  <c r="G1808" i="2"/>
  <c r="H1808" i="2"/>
  <c r="E1809" i="2"/>
  <c r="G1809" i="2"/>
  <c r="H1809" i="2"/>
  <c r="E1810" i="2"/>
  <c r="G1810" i="2"/>
  <c r="H1810" i="2"/>
  <c r="E1811" i="2"/>
  <c r="G1811" i="2"/>
  <c r="H1811" i="2"/>
  <c r="E1812" i="2"/>
  <c r="G1812" i="2"/>
  <c r="H1812" i="2"/>
  <c r="E1813" i="2"/>
  <c r="G1813" i="2"/>
  <c r="H1813" i="2"/>
  <c r="E1814" i="2"/>
  <c r="G1814" i="2"/>
  <c r="H1814" i="2"/>
  <c r="E1815" i="2"/>
  <c r="G1815" i="2"/>
  <c r="H1815" i="2"/>
  <c r="E1816" i="2"/>
  <c r="G1816" i="2"/>
  <c r="H1816" i="2"/>
  <c r="E1817" i="2"/>
  <c r="G1817" i="2"/>
  <c r="H1817" i="2"/>
  <c r="E1818" i="2"/>
  <c r="G1818" i="2"/>
  <c r="H1818" i="2"/>
  <c r="E1819" i="2"/>
  <c r="G1819" i="2"/>
  <c r="H1819" i="2"/>
  <c r="E1820" i="2"/>
  <c r="G1820" i="2"/>
  <c r="H1820" i="2"/>
  <c r="E1821" i="2"/>
  <c r="G1821" i="2"/>
  <c r="H1821" i="2"/>
  <c r="E1822" i="2"/>
  <c r="G1822" i="2"/>
  <c r="H1822" i="2"/>
  <c r="E1823" i="2"/>
  <c r="G1823" i="2"/>
  <c r="H1823" i="2"/>
  <c r="E1824" i="2"/>
  <c r="G1824" i="2"/>
  <c r="H1824" i="2"/>
  <c r="E1825" i="2"/>
  <c r="G1825" i="2"/>
  <c r="H1825" i="2"/>
  <c r="E1826" i="2"/>
  <c r="G1826" i="2"/>
  <c r="H1826" i="2"/>
  <c r="E1827" i="2"/>
  <c r="G1827" i="2"/>
  <c r="H1827" i="2"/>
  <c r="E1828" i="2"/>
  <c r="G1828" i="2"/>
  <c r="H1828" i="2"/>
  <c r="E1829" i="2"/>
  <c r="G1829" i="2"/>
  <c r="H1829" i="2"/>
  <c r="E1830" i="2"/>
  <c r="G1830" i="2"/>
  <c r="H1830" i="2"/>
  <c r="E1831" i="2"/>
  <c r="G1831" i="2"/>
  <c r="H1831" i="2"/>
  <c r="E1832" i="2"/>
  <c r="G1832" i="2"/>
  <c r="H1832" i="2"/>
  <c r="E1833" i="2"/>
  <c r="G1833" i="2"/>
  <c r="H1833" i="2"/>
  <c r="E1834" i="2"/>
  <c r="G1834" i="2"/>
  <c r="H1834" i="2"/>
  <c r="E1835" i="2"/>
  <c r="G1835" i="2"/>
  <c r="H1835" i="2"/>
  <c r="E1836" i="2"/>
  <c r="G1836" i="2"/>
  <c r="H1836" i="2"/>
  <c r="E1837" i="2"/>
  <c r="G1837" i="2"/>
  <c r="H1837" i="2"/>
  <c r="E1838" i="2"/>
  <c r="G1838" i="2"/>
  <c r="H1838" i="2"/>
  <c r="E1839" i="2"/>
  <c r="G1839" i="2"/>
  <c r="H1839" i="2"/>
  <c r="E1840" i="2"/>
  <c r="G1840" i="2"/>
  <c r="H1840" i="2"/>
  <c r="E1841" i="2"/>
  <c r="G1841" i="2"/>
  <c r="H1841" i="2"/>
  <c r="E1842" i="2"/>
  <c r="G1842" i="2"/>
  <c r="H1842" i="2"/>
  <c r="E1843" i="2"/>
  <c r="G1843" i="2"/>
  <c r="H1843" i="2"/>
  <c r="E1844" i="2"/>
  <c r="G1844" i="2"/>
  <c r="H1844" i="2"/>
  <c r="E1845" i="2"/>
  <c r="G1845" i="2"/>
  <c r="H1845" i="2"/>
  <c r="E1846" i="2"/>
  <c r="G1846" i="2"/>
  <c r="H1846" i="2"/>
  <c r="E1847" i="2"/>
  <c r="G1847" i="2"/>
  <c r="H1847" i="2"/>
  <c r="E1848" i="2"/>
  <c r="G1848" i="2"/>
  <c r="H1848" i="2"/>
  <c r="E1849" i="2"/>
  <c r="G1849" i="2"/>
  <c r="H1849" i="2"/>
  <c r="E1850" i="2"/>
  <c r="G1850" i="2"/>
  <c r="H1850" i="2"/>
  <c r="E1851" i="2"/>
  <c r="G1851" i="2"/>
  <c r="H1851" i="2"/>
  <c r="E1852" i="2"/>
  <c r="G1852" i="2"/>
  <c r="H1852" i="2"/>
  <c r="E1853" i="2"/>
  <c r="G1853" i="2"/>
  <c r="H1853" i="2"/>
  <c r="E1854" i="2"/>
  <c r="G1854" i="2"/>
  <c r="H1854" i="2"/>
  <c r="E1855" i="2"/>
  <c r="G1855" i="2"/>
  <c r="H1855" i="2"/>
  <c r="E1856" i="2"/>
  <c r="G1856" i="2"/>
  <c r="H1856" i="2"/>
  <c r="E1857" i="2"/>
  <c r="G1857" i="2"/>
  <c r="H1857" i="2"/>
  <c r="E1858" i="2"/>
  <c r="G1858" i="2"/>
  <c r="H1858" i="2"/>
  <c r="E1859" i="2"/>
  <c r="G1859" i="2"/>
  <c r="H1859" i="2"/>
  <c r="E1860" i="2"/>
  <c r="G1860" i="2"/>
  <c r="H1860" i="2"/>
  <c r="E1861" i="2"/>
  <c r="G1861" i="2"/>
  <c r="H1861" i="2"/>
  <c r="E1862" i="2"/>
  <c r="G1862" i="2"/>
  <c r="H1862" i="2"/>
  <c r="E1863" i="2"/>
  <c r="G1863" i="2"/>
  <c r="H1863" i="2"/>
  <c r="E1864" i="2"/>
  <c r="G1864" i="2"/>
  <c r="H1864" i="2"/>
  <c r="E1865" i="2"/>
  <c r="G1865" i="2"/>
  <c r="H1865" i="2"/>
  <c r="E1866" i="2"/>
  <c r="G1866" i="2"/>
  <c r="H1866" i="2"/>
  <c r="E1867" i="2"/>
  <c r="G1867" i="2"/>
  <c r="H1867" i="2"/>
  <c r="E1868" i="2"/>
  <c r="G1868" i="2"/>
  <c r="H1868" i="2"/>
  <c r="E1869" i="2"/>
  <c r="G1869" i="2"/>
  <c r="H1869" i="2"/>
  <c r="E1870" i="2"/>
  <c r="G1870" i="2"/>
  <c r="H1870" i="2"/>
  <c r="E1871" i="2"/>
  <c r="G1871" i="2"/>
  <c r="H1871" i="2"/>
  <c r="E1872" i="2"/>
  <c r="G1872" i="2"/>
  <c r="H1872" i="2"/>
  <c r="E1873" i="2"/>
  <c r="G1873" i="2"/>
  <c r="H1873" i="2"/>
  <c r="E1874" i="2"/>
  <c r="G1874" i="2"/>
  <c r="H1874" i="2"/>
  <c r="E1875" i="2"/>
  <c r="G1875" i="2"/>
  <c r="H1875" i="2"/>
  <c r="E1876" i="2"/>
  <c r="G1876" i="2"/>
  <c r="H1876" i="2"/>
  <c r="E1877" i="2"/>
  <c r="G1877" i="2"/>
  <c r="H1877" i="2"/>
  <c r="E1878" i="2"/>
  <c r="G1878" i="2"/>
  <c r="H1878" i="2"/>
  <c r="E1879" i="2"/>
  <c r="G1879" i="2"/>
  <c r="H1879" i="2"/>
  <c r="E1880" i="2"/>
  <c r="G1880" i="2"/>
  <c r="H1880" i="2"/>
  <c r="E1881" i="2"/>
  <c r="G1881" i="2"/>
  <c r="H1881" i="2"/>
  <c r="E1882" i="2"/>
  <c r="G1882" i="2"/>
  <c r="H1882" i="2"/>
  <c r="E1883" i="2"/>
  <c r="G1883" i="2"/>
  <c r="H1883" i="2"/>
  <c r="E1884" i="2"/>
  <c r="G1884" i="2"/>
  <c r="H1884" i="2"/>
  <c r="E1885" i="2"/>
  <c r="G1885" i="2"/>
  <c r="H1885" i="2"/>
  <c r="E1886" i="2"/>
  <c r="G1886" i="2"/>
  <c r="H1886" i="2"/>
  <c r="E1887" i="2"/>
  <c r="G1887" i="2"/>
  <c r="H1887" i="2"/>
  <c r="E1888" i="2"/>
  <c r="G1888" i="2"/>
  <c r="H1888" i="2"/>
  <c r="E1889" i="2"/>
  <c r="G1889" i="2"/>
  <c r="H1889" i="2"/>
  <c r="E1890" i="2"/>
  <c r="G1890" i="2"/>
  <c r="H1890" i="2"/>
  <c r="E1891" i="2"/>
  <c r="G1891" i="2"/>
  <c r="H1891" i="2"/>
  <c r="E1892" i="2"/>
  <c r="G1892" i="2"/>
  <c r="H1892" i="2"/>
  <c r="E1893" i="2"/>
  <c r="G1893" i="2"/>
  <c r="H1893" i="2"/>
  <c r="E1894" i="2"/>
  <c r="G1894" i="2"/>
  <c r="H1894" i="2"/>
  <c r="E1895" i="2"/>
  <c r="G1895" i="2"/>
  <c r="H1895" i="2"/>
  <c r="E1896" i="2"/>
  <c r="G1896" i="2"/>
  <c r="H1896" i="2"/>
  <c r="E1897" i="2"/>
  <c r="G1897" i="2"/>
  <c r="H1897" i="2"/>
  <c r="E1898" i="2"/>
  <c r="G1898" i="2"/>
  <c r="H1898" i="2"/>
  <c r="E1899" i="2"/>
  <c r="G1899" i="2"/>
  <c r="H1899" i="2"/>
  <c r="E1900" i="2"/>
  <c r="G1900" i="2"/>
  <c r="H1900" i="2"/>
  <c r="E1901" i="2"/>
  <c r="G1901" i="2"/>
  <c r="H1901" i="2"/>
  <c r="E1902" i="2"/>
  <c r="G1902" i="2"/>
  <c r="H1902" i="2"/>
  <c r="E1903" i="2"/>
  <c r="G1903" i="2"/>
  <c r="H1903" i="2"/>
  <c r="E1904" i="2"/>
  <c r="G1904" i="2"/>
  <c r="H1904" i="2"/>
  <c r="E1905" i="2"/>
  <c r="G1905" i="2"/>
  <c r="H1905" i="2"/>
  <c r="E1906" i="2"/>
  <c r="G1906" i="2"/>
  <c r="H1906" i="2"/>
  <c r="E1907" i="2"/>
  <c r="G1907" i="2"/>
  <c r="H1907" i="2"/>
  <c r="E1908" i="2"/>
  <c r="G1908" i="2"/>
  <c r="H1908" i="2"/>
  <c r="E1909" i="2"/>
  <c r="G1909" i="2"/>
  <c r="H1909" i="2"/>
  <c r="E1910" i="2"/>
  <c r="G1910" i="2"/>
  <c r="H1910" i="2"/>
  <c r="E1911" i="2"/>
  <c r="G1911" i="2"/>
  <c r="H1911" i="2"/>
  <c r="E1912" i="2"/>
  <c r="G1912" i="2"/>
  <c r="H1912" i="2"/>
  <c r="E1913" i="2"/>
  <c r="G1913" i="2"/>
  <c r="H1913" i="2"/>
  <c r="E1914" i="2"/>
  <c r="G1914" i="2"/>
  <c r="H1914" i="2"/>
  <c r="E1915" i="2"/>
  <c r="G1915" i="2"/>
  <c r="H1915" i="2"/>
  <c r="E1916" i="2"/>
  <c r="G1916" i="2"/>
  <c r="H1916" i="2"/>
  <c r="E1917" i="2"/>
  <c r="G1917" i="2"/>
  <c r="H1917" i="2"/>
  <c r="E1918" i="2"/>
  <c r="G1918" i="2"/>
  <c r="H1918" i="2"/>
  <c r="E1919" i="2"/>
  <c r="G1919" i="2"/>
  <c r="H1919" i="2"/>
  <c r="E1920" i="2"/>
  <c r="G1920" i="2"/>
  <c r="H1920" i="2"/>
  <c r="E1921" i="2"/>
  <c r="G1921" i="2"/>
  <c r="H1921" i="2"/>
  <c r="E1922" i="2"/>
  <c r="G1922" i="2"/>
  <c r="H1922" i="2"/>
  <c r="E1923" i="2"/>
  <c r="G1923" i="2"/>
  <c r="H1923" i="2"/>
  <c r="E1924" i="2"/>
  <c r="G1924" i="2"/>
  <c r="H1924" i="2"/>
  <c r="E1925" i="2"/>
  <c r="G1925" i="2"/>
  <c r="H1925" i="2"/>
  <c r="E1926" i="2"/>
  <c r="G1926" i="2"/>
  <c r="H1926" i="2"/>
  <c r="E1927" i="2"/>
  <c r="G1927" i="2"/>
  <c r="H1927" i="2"/>
  <c r="E1928" i="2"/>
  <c r="G1928" i="2"/>
  <c r="H1928" i="2"/>
  <c r="E1929" i="2"/>
  <c r="G1929" i="2"/>
  <c r="H1929" i="2"/>
  <c r="E1930" i="2"/>
  <c r="G1930" i="2"/>
  <c r="H1930" i="2"/>
  <c r="E1931" i="2"/>
  <c r="G1931" i="2"/>
  <c r="H1931" i="2"/>
  <c r="E1932" i="2"/>
  <c r="G1932" i="2"/>
  <c r="H1932" i="2"/>
  <c r="E1933" i="2"/>
  <c r="G1933" i="2"/>
  <c r="H1933" i="2"/>
  <c r="E1934" i="2"/>
  <c r="G1934" i="2"/>
  <c r="H1934" i="2"/>
  <c r="E1935" i="2"/>
  <c r="G1935" i="2"/>
  <c r="H1935" i="2"/>
  <c r="E1936" i="2"/>
  <c r="G1936" i="2"/>
  <c r="H1936" i="2"/>
  <c r="E1937" i="2"/>
  <c r="G1937" i="2"/>
  <c r="H1937" i="2"/>
  <c r="E1938" i="2"/>
  <c r="G1938" i="2"/>
  <c r="H1938" i="2"/>
  <c r="E1939" i="2"/>
  <c r="G1939" i="2"/>
  <c r="H1939" i="2"/>
  <c r="E1940" i="2"/>
  <c r="G1940" i="2"/>
  <c r="H1940" i="2"/>
  <c r="E1941" i="2"/>
  <c r="G1941" i="2"/>
  <c r="H1941" i="2"/>
  <c r="E1942" i="2"/>
  <c r="G1942" i="2"/>
  <c r="H1942" i="2"/>
  <c r="E1943" i="2"/>
  <c r="G1943" i="2"/>
  <c r="H1943" i="2"/>
  <c r="E1944" i="2"/>
  <c r="G1944" i="2"/>
  <c r="H1944" i="2"/>
  <c r="E1945" i="2"/>
  <c r="G1945" i="2"/>
  <c r="H1945" i="2"/>
  <c r="E1946" i="2"/>
  <c r="G1946" i="2"/>
  <c r="H1946" i="2"/>
  <c r="E1947" i="2"/>
  <c r="G1947" i="2"/>
  <c r="H1947" i="2"/>
  <c r="E1948" i="2"/>
  <c r="G1948" i="2"/>
  <c r="H1948" i="2"/>
  <c r="E1949" i="2"/>
  <c r="G1949" i="2"/>
  <c r="H1949" i="2"/>
  <c r="E1950" i="2"/>
  <c r="G1950" i="2"/>
  <c r="H1950" i="2"/>
  <c r="E1951" i="2"/>
  <c r="G1951" i="2"/>
  <c r="H1951" i="2"/>
  <c r="E1952" i="2"/>
  <c r="G1952" i="2"/>
  <c r="H1952" i="2"/>
  <c r="E1953" i="2"/>
  <c r="G1953" i="2"/>
  <c r="H1953" i="2"/>
  <c r="E1954" i="2"/>
  <c r="G1954" i="2"/>
  <c r="H1954" i="2"/>
  <c r="E1955" i="2"/>
  <c r="G1955" i="2"/>
  <c r="H1955" i="2"/>
  <c r="E1956" i="2"/>
  <c r="G1956" i="2"/>
  <c r="H1956" i="2"/>
  <c r="E1957" i="2"/>
  <c r="G1957" i="2"/>
  <c r="H1957" i="2"/>
  <c r="E1958" i="2"/>
  <c r="G1958" i="2"/>
  <c r="H1958" i="2"/>
  <c r="E1959" i="2"/>
  <c r="G1959" i="2"/>
  <c r="H1959" i="2"/>
  <c r="E1960" i="2"/>
  <c r="G1960" i="2"/>
  <c r="H1960" i="2"/>
  <c r="E1961" i="2"/>
  <c r="G1961" i="2"/>
  <c r="H1961" i="2"/>
  <c r="E1962" i="2"/>
  <c r="G1962" i="2"/>
  <c r="H1962" i="2"/>
  <c r="E1963" i="2"/>
  <c r="G1963" i="2"/>
  <c r="H1963" i="2"/>
  <c r="E1964" i="2"/>
  <c r="G1964" i="2"/>
  <c r="H1964" i="2"/>
  <c r="E1965" i="2"/>
  <c r="G1965" i="2"/>
  <c r="H1965" i="2"/>
  <c r="E1966" i="2"/>
  <c r="G1966" i="2"/>
  <c r="H1966" i="2"/>
  <c r="E1967" i="2"/>
  <c r="G1967" i="2"/>
  <c r="H1967" i="2"/>
  <c r="E1968" i="2"/>
  <c r="G1968" i="2"/>
  <c r="H1968" i="2"/>
  <c r="E1969" i="2"/>
  <c r="G1969" i="2"/>
  <c r="H1969" i="2"/>
  <c r="E1970" i="2"/>
  <c r="G1970" i="2"/>
  <c r="H1970" i="2"/>
  <c r="E1971" i="2"/>
  <c r="G1971" i="2"/>
  <c r="H1971" i="2"/>
  <c r="E1972" i="2"/>
  <c r="G1972" i="2"/>
  <c r="H1972" i="2"/>
  <c r="E1973" i="2"/>
  <c r="G1973" i="2"/>
  <c r="H1973" i="2"/>
  <c r="E1974" i="2"/>
  <c r="G1974" i="2"/>
  <c r="H1974" i="2"/>
  <c r="E1975" i="2"/>
  <c r="G1975" i="2"/>
  <c r="H1975" i="2"/>
  <c r="E1976" i="2"/>
  <c r="G1976" i="2"/>
  <c r="H1976" i="2"/>
  <c r="E1977" i="2"/>
  <c r="G1977" i="2"/>
  <c r="H1977" i="2"/>
  <c r="E1978" i="2"/>
  <c r="G1978" i="2"/>
  <c r="H1978" i="2"/>
  <c r="E1979" i="2"/>
  <c r="G1979" i="2"/>
  <c r="H1979" i="2"/>
  <c r="E1980" i="2"/>
  <c r="G1980" i="2"/>
  <c r="H1980" i="2"/>
  <c r="E1981" i="2"/>
  <c r="G1981" i="2"/>
  <c r="H1981" i="2"/>
  <c r="E1982" i="2"/>
  <c r="G1982" i="2"/>
  <c r="H1982" i="2"/>
  <c r="E1983" i="2"/>
  <c r="G1983" i="2"/>
  <c r="H1983" i="2"/>
  <c r="E1984" i="2"/>
  <c r="G1984" i="2"/>
  <c r="H1984" i="2"/>
  <c r="E1985" i="2"/>
  <c r="G1985" i="2"/>
  <c r="H1985" i="2"/>
  <c r="E1986" i="2"/>
  <c r="G1986" i="2"/>
  <c r="H1986" i="2"/>
  <c r="E1987" i="2"/>
  <c r="G1987" i="2"/>
  <c r="H1987" i="2"/>
  <c r="E1988" i="2"/>
  <c r="G1988" i="2"/>
  <c r="H1988" i="2"/>
  <c r="E1989" i="2"/>
  <c r="G1989" i="2"/>
  <c r="H1989" i="2"/>
  <c r="E1990" i="2"/>
  <c r="G1990" i="2"/>
  <c r="H1990" i="2"/>
  <c r="E1991" i="2"/>
  <c r="G1991" i="2"/>
  <c r="H1991" i="2"/>
  <c r="E1992" i="2"/>
  <c r="G1992" i="2"/>
  <c r="H1992" i="2"/>
  <c r="E1993" i="2"/>
  <c r="G1993" i="2"/>
  <c r="H1993" i="2"/>
  <c r="E1994" i="2"/>
  <c r="G1994" i="2"/>
  <c r="H1994" i="2"/>
  <c r="E1995" i="2"/>
  <c r="G1995" i="2"/>
  <c r="H1995" i="2"/>
  <c r="E1996" i="2"/>
  <c r="G1996" i="2"/>
  <c r="H1996" i="2"/>
  <c r="E1997" i="2"/>
  <c r="G1997" i="2"/>
  <c r="H1997" i="2"/>
  <c r="E1998" i="2"/>
  <c r="G1998" i="2"/>
  <c r="H1998" i="2"/>
  <c r="E1999" i="2"/>
  <c r="G1999" i="2"/>
  <c r="H1999" i="2"/>
  <c r="E2000" i="2"/>
  <c r="G2000" i="2"/>
  <c r="H2000" i="2"/>
  <c r="E2001" i="2"/>
  <c r="G2001" i="2"/>
  <c r="H2001" i="2"/>
  <c r="E2002" i="2"/>
  <c r="G2002" i="2"/>
  <c r="H2002" i="2"/>
  <c r="E2003" i="2"/>
  <c r="G2003" i="2"/>
  <c r="H2003" i="2"/>
  <c r="E2004" i="2"/>
  <c r="G2004" i="2"/>
  <c r="H2004" i="2"/>
  <c r="E2005" i="2"/>
  <c r="G2005" i="2"/>
  <c r="H2005" i="2"/>
  <c r="E2006" i="2"/>
  <c r="G2006" i="2"/>
  <c r="H2006" i="2"/>
  <c r="E2007" i="2"/>
  <c r="G2007" i="2"/>
  <c r="H2007" i="2"/>
  <c r="E2008" i="2"/>
  <c r="G2008" i="2"/>
  <c r="H2008" i="2"/>
  <c r="E2009" i="2"/>
  <c r="G2009" i="2"/>
  <c r="H2009" i="2"/>
  <c r="E2010" i="2"/>
  <c r="G2010" i="2"/>
  <c r="H2010" i="2"/>
  <c r="E2011" i="2"/>
  <c r="G2011" i="2"/>
  <c r="H2011" i="2"/>
  <c r="E2012" i="2"/>
  <c r="G2012" i="2"/>
  <c r="H2012" i="2"/>
  <c r="E2013" i="2"/>
  <c r="G2013" i="2"/>
  <c r="H2013" i="2"/>
  <c r="E2014" i="2"/>
  <c r="G2014" i="2"/>
  <c r="H2014" i="2"/>
  <c r="E2015" i="2"/>
  <c r="G2015" i="2"/>
  <c r="H2015" i="2"/>
  <c r="E2016" i="2"/>
  <c r="G2016" i="2"/>
  <c r="H2016" i="2"/>
  <c r="E2017" i="2"/>
  <c r="G2017" i="2"/>
  <c r="H2017" i="2"/>
  <c r="E2018" i="2"/>
  <c r="G2018" i="2"/>
  <c r="H2018" i="2"/>
  <c r="E2019" i="2"/>
  <c r="G2019" i="2"/>
  <c r="H2019" i="2"/>
  <c r="E2020" i="2"/>
  <c r="G2020" i="2"/>
  <c r="H2020" i="2"/>
  <c r="E2021" i="2"/>
  <c r="G2021" i="2"/>
  <c r="H2021" i="2"/>
  <c r="E2022" i="2"/>
  <c r="G2022" i="2"/>
  <c r="H2022" i="2"/>
  <c r="E2023" i="2"/>
  <c r="G2023" i="2"/>
  <c r="H2023" i="2"/>
  <c r="E2024" i="2"/>
  <c r="G2024" i="2"/>
  <c r="H2024" i="2"/>
  <c r="E2025" i="2"/>
  <c r="G2025" i="2"/>
  <c r="H2025" i="2"/>
  <c r="E2026" i="2"/>
  <c r="G2026" i="2"/>
  <c r="H2026" i="2"/>
  <c r="E2027" i="2"/>
  <c r="G2027" i="2"/>
  <c r="H2027" i="2"/>
  <c r="E2028" i="2"/>
  <c r="G2028" i="2"/>
  <c r="H2028" i="2"/>
  <c r="E2029" i="2"/>
  <c r="G2029" i="2"/>
  <c r="H2029" i="2"/>
  <c r="E2030" i="2"/>
  <c r="G2030" i="2"/>
  <c r="H2030" i="2"/>
  <c r="E2031" i="2"/>
  <c r="G2031" i="2"/>
  <c r="H2031" i="2"/>
  <c r="E2032" i="2"/>
  <c r="G2032" i="2"/>
  <c r="H2032" i="2"/>
  <c r="E2033" i="2"/>
  <c r="G2033" i="2"/>
  <c r="H2033" i="2"/>
  <c r="E2034" i="2"/>
  <c r="G2034" i="2"/>
  <c r="H2034" i="2"/>
  <c r="E2035" i="2"/>
  <c r="G2035" i="2"/>
  <c r="H2035" i="2"/>
  <c r="E2036" i="2"/>
  <c r="G2036" i="2"/>
  <c r="H2036" i="2"/>
  <c r="E2037" i="2"/>
  <c r="G2037" i="2"/>
  <c r="H2037" i="2"/>
  <c r="E2038" i="2"/>
  <c r="G2038" i="2"/>
  <c r="H2038" i="2"/>
  <c r="E2039" i="2"/>
  <c r="G2039" i="2"/>
  <c r="H2039" i="2"/>
  <c r="E2040" i="2"/>
  <c r="G2040" i="2"/>
  <c r="H2040" i="2"/>
  <c r="E2041" i="2"/>
  <c r="G2041" i="2"/>
  <c r="H2041" i="2"/>
  <c r="E2042" i="2"/>
  <c r="G2042" i="2"/>
  <c r="H2042" i="2"/>
  <c r="E2043" i="2"/>
  <c r="G2043" i="2"/>
  <c r="H2043" i="2"/>
  <c r="E2044" i="2"/>
  <c r="G2044" i="2"/>
  <c r="H2044" i="2"/>
  <c r="E2045" i="2"/>
  <c r="G2045" i="2"/>
  <c r="H2045" i="2"/>
  <c r="E2046" i="2"/>
  <c r="G2046" i="2"/>
  <c r="H2046" i="2"/>
  <c r="E2047" i="2"/>
  <c r="G2047" i="2"/>
  <c r="H2047" i="2"/>
  <c r="E2048" i="2"/>
  <c r="G2048" i="2"/>
  <c r="H2048" i="2"/>
  <c r="E2049" i="2"/>
  <c r="G2049" i="2"/>
  <c r="H2049" i="2"/>
  <c r="E2050" i="2"/>
  <c r="G2050" i="2"/>
  <c r="H2050" i="2"/>
  <c r="E2051" i="2"/>
  <c r="G2051" i="2"/>
  <c r="H2051" i="2"/>
  <c r="E2052" i="2"/>
  <c r="G2052" i="2"/>
  <c r="H2052" i="2"/>
  <c r="E2053" i="2"/>
  <c r="G2053" i="2"/>
  <c r="H2053" i="2"/>
  <c r="E2054" i="2"/>
  <c r="G2054" i="2"/>
  <c r="H2054" i="2"/>
  <c r="E2055" i="2"/>
  <c r="G2055" i="2"/>
  <c r="H2055" i="2"/>
  <c r="E2056" i="2"/>
  <c r="G2056" i="2"/>
  <c r="H2056" i="2"/>
  <c r="E2057" i="2"/>
  <c r="G2057" i="2"/>
  <c r="H2057" i="2"/>
  <c r="E2058" i="2"/>
  <c r="G2058" i="2"/>
  <c r="H2058" i="2"/>
  <c r="E2059" i="2"/>
  <c r="G2059" i="2"/>
  <c r="H2059" i="2"/>
  <c r="E2060" i="2"/>
  <c r="G2060" i="2"/>
  <c r="H2060" i="2"/>
  <c r="E2061" i="2"/>
  <c r="G2061" i="2"/>
  <c r="H2061" i="2"/>
  <c r="E2062" i="2"/>
  <c r="G2062" i="2"/>
  <c r="H2062" i="2"/>
  <c r="E2063" i="2"/>
  <c r="G2063" i="2"/>
  <c r="H2063" i="2"/>
  <c r="E2064" i="2"/>
  <c r="G2064" i="2"/>
  <c r="H2064" i="2"/>
  <c r="E2065" i="2"/>
  <c r="G2065" i="2"/>
  <c r="H2065" i="2"/>
  <c r="E2066" i="2"/>
  <c r="G2066" i="2"/>
  <c r="H2066" i="2"/>
  <c r="E2067" i="2"/>
  <c r="G2067" i="2"/>
  <c r="H2067" i="2"/>
  <c r="E2068" i="2"/>
  <c r="G2068" i="2"/>
  <c r="H2068" i="2"/>
  <c r="E2069" i="2"/>
  <c r="G2069" i="2"/>
  <c r="H2069" i="2"/>
  <c r="E2070" i="2"/>
  <c r="G2070" i="2"/>
  <c r="H2070" i="2"/>
  <c r="E2071" i="2"/>
  <c r="G2071" i="2"/>
  <c r="H2071" i="2"/>
  <c r="E2072" i="2"/>
  <c r="G2072" i="2"/>
  <c r="H2072" i="2"/>
  <c r="E2073" i="2"/>
  <c r="G2073" i="2"/>
  <c r="H2073" i="2"/>
  <c r="E2074" i="2"/>
  <c r="G2074" i="2"/>
  <c r="H2074" i="2"/>
  <c r="E2075" i="2"/>
  <c r="G2075" i="2"/>
  <c r="H2075" i="2"/>
  <c r="E2076" i="2"/>
  <c r="G2076" i="2"/>
  <c r="H2076" i="2"/>
  <c r="E2077" i="2"/>
  <c r="G2077" i="2"/>
  <c r="H2077" i="2"/>
  <c r="E2078" i="2"/>
  <c r="G2078" i="2"/>
  <c r="H2078" i="2"/>
  <c r="E2079" i="2"/>
  <c r="G2079" i="2"/>
  <c r="H2079" i="2"/>
  <c r="E2080" i="2"/>
  <c r="G2080" i="2"/>
  <c r="H2080" i="2"/>
  <c r="E2081" i="2"/>
  <c r="G2081" i="2"/>
  <c r="H2081" i="2"/>
  <c r="E2082" i="2"/>
  <c r="G2082" i="2"/>
  <c r="H2082" i="2"/>
  <c r="E2083" i="2"/>
  <c r="G2083" i="2"/>
  <c r="H2083" i="2"/>
  <c r="E2084" i="2"/>
  <c r="G2084" i="2"/>
  <c r="H2084" i="2"/>
  <c r="E2085" i="2"/>
  <c r="G2085" i="2"/>
  <c r="H2085" i="2"/>
  <c r="E2086" i="2"/>
  <c r="G2086" i="2"/>
  <c r="H2086" i="2"/>
  <c r="E2087" i="2"/>
  <c r="G2087" i="2"/>
  <c r="H2087" i="2"/>
  <c r="E2088" i="2"/>
  <c r="G2088" i="2"/>
  <c r="H2088" i="2"/>
  <c r="E2089" i="2"/>
  <c r="G2089" i="2"/>
  <c r="H2089" i="2"/>
  <c r="E2090" i="2"/>
  <c r="G2090" i="2"/>
  <c r="H2090" i="2"/>
  <c r="E2091" i="2"/>
  <c r="G2091" i="2"/>
  <c r="H2091" i="2"/>
  <c r="E2092" i="2"/>
  <c r="G2092" i="2"/>
  <c r="H2092" i="2"/>
  <c r="E2093" i="2"/>
  <c r="G2093" i="2"/>
  <c r="H2093" i="2"/>
  <c r="E2094" i="2"/>
  <c r="G2094" i="2"/>
  <c r="H2094" i="2"/>
  <c r="E2095" i="2"/>
  <c r="G2095" i="2"/>
  <c r="H2095" i="2"/>
  <c r="E2096" i="2"/>
  <c r="G2096" i="2"/>
  <c r="H2096" i="2"/>
  <c r="E2097" i="2"/>
  <c r="G2097" i="2"/>
  <c r="H2097" i="2"/>
  <c r="E2098" i="2"/>
  <c r="G2098" i="2"/>
  <c r="H2098" i="2"/>
  <c r="E2099" i="2"/>
  <c r="G2099" i="2"/>
  <c r="H2099" i="2"/>
  <c r="E2100" i="2"/>
  <c r="G2100" i="2"/>
  <c r="H2100" i="2"/>
  <c r="E2101" i="2"/>
  <c r="G2101" i="2"/>
  <c r="H2101" i="2"/>
  <c r="E2102" i="2"/>
  <c r="G2102" i="2"/>
  <c r="H2102" i="2"/>
  <c r="E2103" i="2"/>
  <c r="G2103" i="2"/>
  <c r="H2103" i="2"/>
  <c r="E2104" i="2"/>
  <c r="G2104" i="2"/>
  <c r="H2104" i="2"/>
  <c r="E2105" i="2"/>
  <c r="G2105" i="2"/>
  <c r="H2105" i="2"/>
  <c r="E2106" i="2"/>
  <c r="G2106" i="2"/>
  <c r="H2106" i="2"/>
  <c r="E2107" i="2"/>
  <c r="G2107" i="2"/>
  <c r="H2107" i="2"/>
  <c r="E2108" i="2"/>
  <c r="G2108" i="2"/>
  <c r="H2108" i="2"/>
  <c r="E2109" i="2"/>
  <c r="G2109" i="2"/>
  <c r="H2109" i="2"/>
  <c r="E2110" i="2"/>
  <c r="G2110" i="2"/>
  <c r="H2110" i="2"/>
  <c r="E2111" i="2"/>
  <c r="G2111" i="2"/>
  <c r="H2111" i="2"/>
  <c r="E2112" i="2"/>
  <c r="G2112" i="2"/>
  <c r="H2112" i="2"/>
  <c r="E2113" i="2"/>
  <c r="G2113" i="2"/>
  <c r="H2113" i="2"/>
  <c r="E2114" i="2"/>
  <c r="G2114" i="2"/>
  <c r="H2114" i="2"/>
  <c r="E2115" i="2"/>
  <c r="G2115" i="2"/>
  <c r="H2115" i="2"/>
  <c r="E2116" i="2"/>
  <c r="G2116" i="2"/>
  <c r="H2116" i="2"/>
  <c r="E2117" i="2"/>
  <c r="G2117" i="2"/>
  <c r="H2117" i="2"/>
  <c r="E2118" i="2"/>
  <c r="G2118" i="2"/>
  <c r="H2118" i="2"/>
  <c r="E2119" i="2"/>
  <c r="G2119" i="2"/>
  <c r="H2119" i="2"/>
  <c r="E2120" i="2"/>
  <c r="G2120" i="2"/>
  <c r="H2120" i="2"/>
  <c r="E2121" i="2"/>
  <c r="G2121" i="2"/>
  <c r="H2121" i="2"/>
  <c r="E2122" i="2"/>
  <c r="G2122" i="2"/>
  <c r="H2122" i="2"/>
  <c r="E2123" i="2"/>
  <c r="G2123" i="2"/>
  <c r="H2123" i="2"/>
  <c r="E2124" i="2"/>
  <c r="G2124" i="2"/>
  <c r="H2124" i="2"/>
  <c r="E2125" i="2"/>
  <c r="G2125" i="2"/>
  <c r="H2125" i="2"/>
  <c r="E2126" i="2"/>
  <c r="G2126" i="2"/>
  <c r="H2126" i="2"/>
  <c r="E2127" i="2"/>
  <c r="G2127" i="2"/>
  <c r="H2127" i="2"/>
  <c r="E2128" i="2"/>
  <c r="G2128" i="2"/>
  <c r="H2128" i="2"/>
  <c r="E2129" i="2"/>
  <c r="G2129" i="2"/>
  <c r="H2129" i="2"/>
  <c r="E2130" i="2"/>
  <c r="G2130" i="2"/>
  <c r="H2130" i="2"/>
  <c r="E2131" i="2"/>
  <c r="G2131" i="2"/>
  <c r="H2131" i="2"/>
  <c r="E2132" i="2"/>
  <c r="G2132" i="2"/>
  <c r="H2132" i="2"/>
  <c r="E2133" i="2"/>
  <c r="G2133" i="2"/>
  <c r="H2133" i="2"/>
  <c r="E2134" i="2"/>
  <c r="G2134" i="2"/>
  <c r="H2134" i="2"/>
  <c r="E2135" i="2"/>
  <c r="G2135" i="2"/>
  <c r="H2135" i="2"/>
  <c r="E2136" i="2"/>
  <c r="G2136" i="2"/>
  <c r="H2136" i="2"/>
  <c r="E2137" i="2"/>
  <c r="G2137" i="2"/>
  <c r="H2137" i="2"/>
  <c r="E2138" i="2"/>
  <c r="G2138" i="2"/>
  <c r="H2138" i="2"/>
  <c r="E2139" i="2"/>
  <c r="G2139" i="2"/>
  <c r="H2139" i="2"/>
  <c r="E2140" i="2"/>
  <c r="G2140" i="2"/>
  <c r="H2140" i="2"/>
  <c r="E2141" i="2"/>
  <c r="G2141" i="2"/>
  <c r="H2141" i="2"/>
  <c r="E2142" i="2"/>
  <c r="G2142" i="2"/>
  <c r="H2142" i="2"/>
  <c r="E2143" i="2"/>
  <c r="G2143" i="2"/>
  <c r="H2143" i="2"/>
  <c r="E2144" i="2"/>
  <c r="G2144" i="2"/>
  <c r="H2144" i="2"/>
  <c r="E2145" i="2"/>
  <c r="G2145" i="2"/>
  <c r="H2145" i="2"/>
  <c r="E2146" i="2"/>
  <c r="G2146" i="2"/>
  <c r="H2146" i="2"/>
  <c r="E2147" i="2"/>
  <c r="G2147" i="2"/>
  <c r="H2147" i="2"/>
  <c r="E2148" i="2"/>
  <c r="G2148" i="2"/>
  <c r="H2148" i="2"/>
  <c r="E2149" i="2"/>
  <c r="G2149" i="2"/>
  <c r="H2149" i="2"/>
  <c r="E2150" i="2"/>
  <c r="G2150" i="2"/>
  <c r="H2150" i="2"/>
  <c r="E2151" i="2"/>
  <c r="G2151" i="2"/>
  <c r="H2151" i="2"/>
  <c r="E2152" i="2"/>
  <c r="G2152" i="2"/>
  <c r="H2152" i="2"/>
  <c r="E2153" i="2"/>
  <c r="G2153" i="2"/>
  <c r="H2153" i="2"/>
  <c r="E2154" i="2"/>
  <c r="G2154" i="2"/>
  <c r="H2154" i="2"/>
  <c r="E2155" i="2"/>
  <c r="G2155" i="2"/>
  <c r="H2155" i="2"/>
  <c r="E2156" i="2"/>
  <c r="G2156" i="2"/>
  <c r="H2156" i="2"/>
  <c r="E2157" i="2"/>
  <c r="G2157" i="2"/>
  <c r="H2157" i="2"/>
  <c r="E2158" i="2"/>
  <c r="G2158" i="2"/>
  <c r="H2158" i="2"/>
  <c r="E2159" i="2"/>
  <c r="G2159" i="2"/>
  <c r="H2159" i="2"/>
  <c r="E2160" i="2"/>
  <c r="G2160" i="2"/>
  <c r="H2160" i="2"/>
  <c r="E2161" i="2"/>
  <c r="G2161" i="2"/>
  <c r="H2161" i="2"/>
  <c r="E2162" i="2"/>
  <c r="G2162" i="2"/>
  <c r="H2162" i="2"/>
  <c r="E2163" i="2"/>
  <c r="G2163" i="2"/>
  <c r="H2163" i="2"/>
  <c r="E2164" i="2"/>
  <c r="G2164" i="2"/>
  <c r="H2164" i="2"/>
  <c r="E2165" i="2"/>
  <c r="G2165" i="2"/>
  <c r="H2165" i="2"/>
  <c r="E2166" i="2"/>
  <c r="G2166" i="2"/>
  <c r="H2166" i="2"/>
  <c r="E2167" i="2"/>
  <c r="G2167" i="2"/>
  <c r="H2167" i="2"/>
  <c r="E2168" i="2"/>
  <c r="G2168" i="2"/>
  <c r="H2168" i="2"/>
  <c r="E2169" i="2"/>
  <c r="G2169" i="2"/>
  <c r="H2169" i="2"/>
  <c r="E2170" i="2"/>
  <c r="G2170" i="2"/>
  <c r="H2170" i="2"/>
  <c r="E2171" i="2"/>
  <c r="G2171" i="2"/>
  <c r="H2171" i="2"/>
  <c r="E2172" i="2"/>
  <c r="G2172" i="2"/>
  <c r="H2172" i="2"/>
  <c r="E2173" i="2"/>
  <c r="G2173" i="2"/>
  <c r="H2173" i="2"/>
  <c r="E2174" i="2"/>
  <c r="G2174" i="2"/>
  <c r="H2174" i="2"/>
  <c r="E2175" i="2"/>
  <c r="G2175" i="2"/>
  <c r="H2175" i="2"/>
  <c r="E2176" i="2"/>
  <c r="G2176" i="2"/>
  <c r="H2176" i="2"/>
  <c r="E2177" i="2"/>
  <c r="G2177" i="2"/>
  <c r="H2177" i="2"/>
  <c r="E2178" i="2"/>
  <c r="G2178" i="2"/>
  <c r="H2178" i="2"/>
  <c r="E2179" i="2"/>
  <c r="G2179" i="2"/>
  <c r="H2179" i="2"/>
  <c r="E2180" i="2"/>
  <c r="G2180" i="2"/>
  <c r="H2180" i="2"/>
  <c r="E2181" i="2"/>
  <c r="G2181" i="2"/>
  <c r="H2181" i="2"/>
  <c r="E2182" i="2"/>
  <c r="G2182" i="2"/>
  <c r="H2182" i="2"/>
  <c r="E2183" i="2"/>
  <c r="G2183" i="2"/>
  <c r="H2183" i="2"/>
  <c r="E2184" i="2"/>
  <c r="G2184" i="2"/>
  <c r="H2184" i="2"/>
  <c r="E2185" i="2"/>
  <c r="G2185" i="2"/>
  <c r="H2185" i="2"/>
  <c r="E2186" i="2"/>
  <c r="G2186" i="2"/>
  <c r="H2186" i="2"/>
  <c r="E2187" i="2"/>
  <c r="G2187" i="2"/>
  <c r="H2187" i="2"/>
  <c r="E2188" i="2"/>
  <c r="G2188" i="2"/>
  <c r="H2188" i="2"/>
  <c r="E2189" i="2"/>
  <c r="G2189" i="2"/>
  <c r="H2189" i="2"/>
  <c r="E2190" i="2"/>
  <c r="G2190" i="2"/>
  <c r="H2190" i="2"/>
  <c r="E2191" i="2"/>
  <c r="G2191" i="2"/>
  <c r="H2191" i="2"/>
  <c r="E2192" i="2"/>
  <c r="G2192" i="2"/>
  <c r="H2192" i="2"/>
  <c r="E2193" i="2"/>
  <c r="G2193" i="2"/>
  <c r="H2193" i="2"/>
  <c r="E2194" i="2"/>
  <c r="G2194" i="2"/>
  <c r="H2194" i="2"/>
  <c r="E2195" i="2"/>
  <c r="G2195" i="2"/>
  <c r="H2195" i="2"/>
  <c r="E2196" i="2"/>
  <c r="G2196" i="2"/>
  <c r="H2196" i="2"/>
  <c r="E2197" i="2"/>
  <c r="G2197" i="2"/>
  <c r="H2197" i="2"/>
  <c r="E2198" i="2"/>
  <c r="G2198" i="2"/>
  <c r="H2198" i="2"/>
  <c r="E2199" i="2"/>
  <c r="G2199" i="2"/>
  <c r="H2199" i="2"/>
  <c r="E2200" i="2"/>
  <c r="G2200" i="2"/>
  <c r="H2200" i="2"/>
  <c r="E2201" i="2"/>
  <c r="G2201" i="2"/>
  <c r="H2201" i="2"/>
  <c r="E2202" i="2"/>
  <c r="G2202" i="2"/>
  <c r="H2202" i="2"/>
  <c r="E2203" i="2"/>
  <c r="G2203" i="2"/>
  <c r="H2203" i="2"/>
  <c r="E2204" i="2"/>
  <c r="G2204" i="2"/>
  <c r="H2204" i="2"/>
  <c r="E2205" i="2"/>
  <c r="G2205" i="2"/>
  <c r="H2205" i="2"/>
  <c r="E2206" i="2"/>
  <c r="G2206" i="2"/>
  <c r="H2206" i="2"/>
  <c r="E2207" i="2"/>
  <c r="G2207" i="2"/>
  <c r="H2207" i="2"/>
  <c r="E2208" i="2"/>
  <c r="G2208" i="2"/>
  <c r="H2208" i="2"/>
  <c r="E2209" i="2"/>
  <c r="G2209" i="2"/>
  <c r="H2209" i="2"/>
  <c r="E2210" i="2"/>
  <c r="G2210" i="2"/>
  <c r="H2210" i="2"/>
  <c r="E2211" i="2"/>
  <c r="G2211" i="2"/>
  <c r="H2211" i="2"/>
  <c r="E2212" i="2"/>
  <c r="G2212" i="2"/>
  <c r="H2212" i="2"/>
  <c r="E2213" i="2"/>
  <c r="G2213" i="2"/>
  <c r="H2213" i="2"/>
  <c r="E2214" i="2"/>
  <c r="G2214" i="2"/>
  <c r="H2214" i="2"/>
  <c r="E2215" i="2"/>
  <c r="G2215" i="2"/>
  <c r="H2215" i="2"/>
  <c r="E2216" i="2"/>
  <c r="G2216" i="2"/>
  <c r="H2216" i="2"/>
  <c r="E2217" i="2"/>
  <c r="G2217" i="2"/>
  <c r="H2217" i="2"/>
  <c r="E2218" i="2"/>
  <c r="G2218" i="2"/>
  <c r="H2218" i="2"/>
  <c r="E2219" i="2"/>
  <c r="G2219" i="2"/>
  <c r="H2219" i="2"/>
  <c r="E2220" i="2"/>
  <c r="G2220" i="2"/>
  <c r="H2220" i="2"/>
  <c r="E2221" i="2"/>
  <c r="G2221" i="2"/>
  <c r="H2221" i="2"/>
  <c r="E2222" i="2"/>
  <c r="G2222" i="2"/>
  <c r="H2222" i="2"/>
  <c r="E2223" i="2"/>
  <c r="G2223" i="2"/>
  <c r="H2223" i="2"/>
  <c r="E2224" i="2"/>
  <c r="G2224" i="2"/>
  <c r="H2224" i="2"/>
  <c r="E2225" i="2"/>
  <c r="G2225" i="2"/>
  <c r="H2225" i="2"/>
  <c r="E2226" i="2"/>
  <c r="G2226" i="2"/>
  <c r="H2226" i="2"/>
  <c r="E2227" i="2"/>
  <c r="G2227" i="2"/>
  <c r="H2227" i="2"/>
  <c r="E2228" i="2"/>
  <c r="G2228" i="2"/>
  <c r="H2228" i="2"/>
  <c r="E2229" i="2"/>
  <c r="G2229" i="2"/>
  <c r="H2229" i="2"/>
  <c r="E2230" i="2"/>
  <c r="G2230" i="2"/>
  <c r="H2230" i="2"/>
  <c r="E2231" i="2"/>
  <c r="G2231" i="2"/>
  <c r="H2231" i="2"/>
  <c r="E2232" i="2"/>
  <c r="G2232" i="2"/>
  <c r="H2232" i="2"/>
  <c r="E2233" i="2"/>
  <c r="G2233" i="2"/>
  <c r="H2233" i="2"/>
  <c r="E2234" i="2"/>
  <c r="G2234" i="2"/>
  <c r="H2234" i="2"/>
  <c r="E2235" i="2"/>
  <c r="G2235" i="2"/>
  <c r="H2235" i="2"/>
  <c r="E2236" i="2"/>
  <c r="G2236" i="2"/>
  <c r="H2236" i="2"/>
  <c r="E2237" i="2"/>
  <c r="G2237" i="2"/>
  <c r="H2237" i="2"/>
  <c r="E2238" i="2"/>
  <c r="G2238" i="2"/>
  <c r="H2238" i="2"/>
  <c r="E2239" i="2"/>
  <c r="G2239" i="2"/>
  <c r="H2239" i="2"/>
  <c r="E2240" i="2"/>
  <c r="G2240" i="2"/>
  <c r="H2240" i="2"/>
  <c r="E2241" i="2"/>
  <c r="G2241" i="2"/>
  <c r="H2241" i="2"/>
  <c r="E2242" i="2"/>
  <c r="G2242" i="2"/>
  <c r="H2242" i="2"/>
  <c r="E2243" i="2"/>
  <c r="G2243" i="2"/>
  <c r="H2243" i="2"/>
  <c r="E2244" i="2"/>
  <c r="G2244" i="2"/>
  <c r="H2244" i="2"/>
  <c r="E2245" i="2"/>
  <c r="G2245" i="2"/>
  <c r="H2245" i="2"/>
  <c r="E2246" i="2"/>
  <c r="G2246" i="2"/>
  <c r="H2246" i="2"/>
  <c r="E2247" i="2"/>
  <c r="G2247" i="2"/>
  <c r="H2247" i="2"/>
  <c r="E2248" i="2"/>
  <c r="G2248" i="2"/>
  <c r="H2248" i="2"/>
  <c r="E2249" i="2"/>
  <c r="G2249" i="2"/>
  <c r="H2249" i="2"/>
  <c r="E2250" i="2"/>
  <c r="G2250" i="2"/>
  <c r="H2250" i="2"/>
  <c r="E2251" i="2"/>
  <c r="G2251" i="2"/>
  <c r="H2251" i="2"/>
  <c r="E2252" i="2"/>
  <c r="G2252" i="2"/>
  <c r="H2252" i="2"/>
  <c r="E2253" i="2"/>
  <c r="G2253" i="2"/>
  <c r="H2253" i="2"/>
  <c r="E2254" i="2"/>
  <c r="G2254" i="2"/>
  <c r="H2254" i="2"/>
  <c r="E2255" i="2"/>
  <c r="G2255" i="2"/>
  <c r="H2255" i="2"/>
  <c r="E2256" i="2"/>
  <c r="G2256" i="2"/>
  <c r="H2256" i="2"/>
  <c r="E2257" i="2"/>
  <c r="G2257" i="2"/>
  <c r="H2257" i="2"/>
  <c r="E2258" i="2"/>
  <c r="G2258" i="2"/>
  <c r="H2258" i="2"/>
  <c r="E2259" i="2"/>
  <c r="G2259" i="2"/>
  <c r="H2259" i="2"/>
  <c r="E2260" i="2"/>
  <c r="G2260" i="2"/>
  <c r="H2260" i="2"/>
  <c r="E2261" i="2"/>
  <c r="G2261" i="2"/>
  <c r="H2261" i="2"/>
  <c r="E2262" i="2"/>
  <c r="G2262" i="2"/>
  <c r="H2262" i="2"/>
  <c r="E2263" i="2"/>
  <c r="G2263" i="2"/>
  <c r="H2263" i="2"/>
  <c r="E2264" i="2"/>
  <c r="G2264" i="2"/>
  <c r="H2264" i="2"/>
  <c r="E2265" i="2"/>
  <c r="G2265" i="2"/>
  <c r="H2265" i="2"/>
  <c r="E2266" i="2"/>
  <c r="G2266" i="2"/>
  <c r="H2266" i="2"/>
  <c r="E2267" i="2"/>
  <c r="G2267" i="2"/>
  <c r="H2267" i="2"/>
  <c r="E2268" i="2"/>
  <c r="G2268" i="2"/>
  <c r="H2268" i="2"/>
  <c r="E2269" i="2"/>
  <c r="G2269" i="2"/>
  <c r="H2269" i="2"/>
  <c r="E2270" i="2"/>
  <c r="G2270" i="2"/>
  <c r="H2270" i="2"/>
  <c r="E2271" i="2"/>
  <c r="G2271" i="2"/>
  <c r="H2271" i="2"/>
  <c r="E2272" i="2"/>
  <c r="G2272" i="2"/>
  <c r="H2272" i="2"/>
  <c r="E2273" i="2"/>
  <c r="G2273" i="2"/>
  <c r="H2273" i="2"/>
  <c r="E2274" i="2"/>
  <c r="G2274" i="2"/>
  <c r="H2274" i="2"/>
  <c r="E2275" i="2"/>
  <c r="G2275" i="2"/>
  <c r="H2275" i="2"/>
  <c r="E2276" i="2"/>
  <c r="G2276" i="2"/>
  <c r="H2276" i="2"/>
  <c r="E2277" i="2"/>
  <c r="G2277" i="2"/>
  <c r="H2277" i="2"/>
  <c r="E2278" i="2"/>
  <c r="G2278" i="2"/>
  <c r="H2278" i="2"/>
  <c r="E2279" i="2"/>
  <c r="G2279" i="2"/>
  <c r="H2279" i="2"/>
  <c r="E2280" i="2"/>
  <c r="G2280" i="2"/>
  <c r="H2280" i="2"/>
  <c r="E2281" i="2"/>
  <c r="G2281" i="2"/>
  <c r="H2281" i="2"/>
  <c r="E2282" i="2"/>
  <c r="G2282" i="2"/>
  <c r="H2282" i="2"/>
  <c r="E2283" i="2"/>
  <c r="G2283" i="2"/>
  <c r="H2283" i="2"/>
  <c r="E2284" i="2"/>
  <c r="G2284" i="2"/>
  <c r="H2284" i="2"/>
  <c r="E2285" i="2"/>
  <c r="G2285" i="2"/>
  <c r="H2285" i="2"/>
  <c r="E2286" i="2"/>
  <c r="G2286" i="2"/>
  <c r="H2286" i="2"/>
  <c r="E2287" i="2"/>
  <c r="G2287" i="2"/>
  <c r="H2287" i="2"/>
  <c r="E2288" i="2"/>
  <c r="G2288" i="2"/>
  <c r="H2288" i="2"/>
  <c r="E2289" i="2"/>
  <c r="G2289" i="2"/>
  <c r="H2289" i="2"/>
  <c r="E2290" i="2"/>
  <c r="G2290" i="2"/>
  <c r="H2290" i="2"/>
  <c r="E2291" i="2"/>
  <c r="G2291" i="2"/>
  <c r="H2291" i="2"/>
  <c r="E2292" i="2"/>
  <c r="G2292" i="2"/>
  <c r="H2292" i="2"/>
  <c r="E2293" i="2"/>
  <c r="G2293" i="2"/>
  <c r="H2293" i="2"/>
  <c r="E2294" i="2"/>
  <c r="G2294" i="2"/>
  <c r="H2294" i="2"/>
  <c r="E2295" i="2"/>
  <c r="G2295" i="2"/>
  <c r="H2295" i="2"/>
  <c r="E2296" i="2"/>
  <c r="G2296" i="2"/>
  <c r="H2296" i="2"/>
  <c r="E2297" i="2"/>
  <c r="G2297" i="2"/>
  <c r="H2297" i="2"/>
  <c r="E2298" i="2"/>
  <c r="G2298" i="2"/>
  <c r="H2298" i="2"/>
  <c r="E2299" i="2"/>
  <c r="G2299" i="2"/>
  <c r="H2299" i="2"/>
  <c r="E2300" i="2"/>
  <c r="G2300" i="2"/>
  <c r="H2300" i="2"/>
  <c r="E2301" i="2"/>
  <c r="G2301" i="2"/>
  <c r="H2301" i="2"/>
  <c r="E2302" i="2"/>
  <c r="G2302" i="2"/>
  <c r="H2302" i="2"/>
  <c r="E2303" i="2"/>
  <c r="G2303" i="2"/>
  <c r="H2303" i="2"/>
  <c r="E2304" i="2"/>
  <c r="G2304" i="2"/>
  <c r="H2304" i="2"/>
  <c r="E2305" i="2"/>
  <c r="G2305" i="2"/>
  <c r="H2305" i="2"/>
  <c r="E2306" i="2"/>
  <c r="G2306" i="2"/>
  <c r="H2306" i="2"/>
  <c r="E2307" i="2"/>
  <c r="G2307" i="2"/>
  <c r="H2307" i="2"/>
  <c r="E2308" i="2"/>
  <c r="G2308" i="2"/>
  <c r="H2308" i="2"/>
  <c r="E2309" i="2"/>
  <c r="G2309" i="2"/>
  <c r="H2309" i="2"/>
  <c r="E2310" i="2"/>
  <c r="G2310" i="2"/>
  <c r="H2310" i="2"/>
  <c r="E2311" i="2"/>
  <c r="G2311" i="2"/>
  <c r="H2311" i="2"/>
  <c r="E2312" i="2"/>
  <c r="G2312" i="2"/>
  <c r="H2312" i="2"/>
  <c r="E2313" i="2"/>
  <c r="G2313" i="2"/>
  <c r="H2313" i="2"/>
  <c r="E2314" i="2"/>
  <c r="G2314" i="2"/>
  <c r="H2314" i="2"/>
  <c r="E2315" i="2"/>
  <c r="G2315" i="2"/>
  <c r="H2315" i="2"/>
  <c r="E2316" i="2"/>
  <c r="G2316" i="2"/>
  <c r="H2316" i="2"/>
  <c r="E2317" i="2"/>
  <c r="G2317" i="2"/>
  <c r="H2317" i="2"/>
  <c r="E2318" i="2"/>
  <c r="G2318" i="2"/>
  <c r="H2318" i="2"/>
  <c r="E2319" i="2"/>
  <c r="G2319" i="2"/>
  <c r="H2319" i="2"/>
  <c r="E2320" i="2"/>
  <c r="G2320" i="2"/>
  <c r="H2320" i="2"/>
  <c r="E2321" i="2"/>
  <c r="G2321" i="2"/>
  <c r="H2321" i="2"/>
  <c r="E2322" i="2"/>
  <c r="G2322" i="2"/>
  <c r="H2322" i="2"/>
  <c r="E2323" i="2"/>
  <c r="G2323" i="2"/>
  <c r="H2323" i="2"/>
  <c r="E2324" i="2"/>
  <c r="G2324" i="2"/>
  <c r="H2324" i="2"/>
  <c r="E2325" i="2"/>
  <c r="G2325" i="2"/>
  <c r="H2325" i="2"/>
  <c r="E2326" i="2"/>
  <c r="G2326" i="2"/>
  <c r="H2326" i="2"/>
  <c r="E2327" i="2"/>
  <c r="G2327" i="2"/>
  <c r="H2327" i="2"/>
  <c r="E2328" i="2"/>
  <c r="G2328" i="2"/>
  <c r="H2328" i="2"/>
  <c r="E2329" i="2"/>
  <c r="G2329" i="2"/>
  <c r="H2329" i="2"/>
  <c r="E2330" i="2"/>
  <c r="G2330" i="2"/>
  <c r="H2330" i="2"/>
  <c r="E2331" i="2"/>
  <c r="G2331" i="2"/>
  <c r="H2331" i="2"/>
  <c r="E2332" i="2"/>
  <c r="G2332" i="2"/>
  <c r="H2332" i="2"/>
  <c r="E2333" i="2"/>
  <c r="G2333" i="2"/>
  <c r="H2333" i="2"/>
  <c r="E2334" i="2"/>
  <c r="G2334" i="2"/>
  <c r="H2334" i="2"/>
  <c r="E2335" i="2"/>
  <c r="G2335" i="2"/>
  <c r="H2335" i="2"/>
  <c r="E2336" i="2"/>
  <c r="G2336" i="2"/>
  <c r="H2336" i="2"/>
  <c r="E2337" i="2"/>
  <c r="G2337" i="2"/>
  <c r="H2337" i="2"/>
  <c r="E2338" i="2"/>
  <c r="G2338" i="2"/>
  <c r="H2338" i="2"/>
  <c r="E2339" i="2"/>
  <c r="G2339" i="2"/>
  <c r="H2339" i="2"/>
  <c r="E2340" i="2"/>
  <c r="G2340" i="2"/>
  <c r="H2340" i="2"/>
  <c r="E2341" i="2"/>
  <c r="G2341" i="2"/>
  <c r="H2341" i="2"/>
  <c r="E2342" i="2"/>
  <c r="G2342" i="2"/>
  <c r="H2342" i="2"/>
  <c r="E2343" i="2"/>
  <c r="G2343" i="2"/>
  <c r="H2343" i="2"/>
  <c r="E2344" i="2"/>
  <c r="G2344" i="2"/>
  <c r="H2344" i="2"/>
  <c r="E2345" i="2"/>
  <c r="G2345" i="2"/>
  <c r="H2345" i="2"/>
  <c r="E2346" i="2"/>
  <c r="G2346" i="2"/>
  <c r="H2346" i="2"/>
  <c r="E2347" i="2"/>
  <c r="G2347" i="2"/>
  <c r="H2347" i="2"/>
  <c r="E2348" i="2"/>
  <c r="G2348" i="2"/>
  <c r="H2348" i="2"/>
  <c r="E2349" i="2"/>
  <c r="G2349" i="2"/>
  <c r="H2349" i="2"/>
  <c r="E2350" i="2"/>
  <c r="G2350" i="2"/>
  <c r="H2350" i="2"/>
  <c r="E2351" i="2"/>
  <c r="G2351" i="2"/>
  <c r="H2351" i="2"/>
  <c r="E2352" i="2"/>
  <c r="G2352" i="2"/>
  <c r="H2352" i="2"/>
  <c r="E2353" i="2"/>
  <c r="G2353" i="2"/>
  <c r="H2353" i="2"/>
  <c r="E2354" i="2"/>
  <c r="G2354" i="2"/>
  <c r="H2354" i="2"/>
  <c r="E2355" i="2"/>
  <c r="G2355" i="2"/>
  <c r="H2355" i="2"/>
  <c r="E2356" i="2"/>
  <c r="G2356" i="2"/>
  <c r="H2356" i="2"/>
  <c r="E2357" i="2"/>
  <c r="G2357" i="2"/>
  <c r="H2357" i="2"/>
  <c r="E2358" i="2"/>
  <c r="G2358" i="2"/>
  <c r="H2358" i="2"/>
  <c r="E2359" i="2"/>
  <c r="G2359" i="2"/>
  <c r="H2359" i="2"/>
  <c r="E2360" i="2"/>
  <c r="G2360" i="2"/>
  <c r="H2360" i="2"/>
  <c r="E2361" i="2"/>
  <c r="G2361" i="2"/>
  <c r="H2361" i="2"/>
  <c r="E2362" i="2"/>
  <c r="G2362" i="2"/>
  <c r="H2362" i="2"/>
  <c r="E2363" i="2"/>
  <c r="G2363" i="2"/>
  <c r="H2363" i="2"/>
  <c r="E2364" i="2"/>
  <c r="G2364" i="2"/>
  <c r="H2364" i="2"/>
  <c r="E2365" i="2"/>
  <c r="G2365" i="2"/>
  <c r="H2365" i="2"/>
  <c r="E2366" i="2"/>
  <c r="G2366" i="2"/>
  <c r="H2366" i="2"/>
  <c r="E2367" i="2"/>
  <c r="G2367" i="2"/>
  <c r="H2367" i="2"/>
  <c r="E2368" i="2"/>
  <c r="G2368" i="2"/>
  <c r="H2368" i="2"/>
  <c r="E2369" i="2"/>
  <c r="G2369" i="2"/>
  <c r="H2369" i="2"/>
  <c r="E2370" i="2"/>
  <c r="G2370" i="2"/>
  <c r="H2370" i="2"/>
  <c r="E2371" i="2"/>
  <c r="G2371" i="2"/>
  <c r="H2371" i="2"/>
  <c r="E2372" i="2"/>
  <c r="G2372" i="2"/>
  <c r="H2372" i="2"/>
  <c r="E2373" i="2"/>
  <c r="G2373" i="2"/>
  <c r="H2373" i="2"/>
  <c r="E2374" i="2"/>
  <c r="G2374" i="2"/>
  <c r="H2374" i="2"/>
  <c r="E2375" i="2"/>
  <c r="G2375" i="2"/>
  <c r="H2375" i="2"/>
  <c r="E2376" i="2"/>
  <c r="G2376" i="2"/>
  <c r="H2376" i="2"/>
  <c r="E2377" i="2"/>
  <c r="G2377" i="2"/>
  <c r="H2377" i="2"/>
  <c r="E2378" i="2"/>
  <c r="G2378" i="2"/>
  <c r="H2378" i="2"/>
  <c r="E2379" i="2"/>
  <c r="G2379" i="2"/>
  <c r="H2379" i="2"/>
  <c r="E2380" i="2"/>
  <c r="G2380" i="2"/>
  <c r="H2380" i="2"/>
  <c r="E2381" i="2"/>
  <c r="G2381" i="2"/>
  <c r="H2381" i="2"/>
  <c r="E2382" i="2"/>
  <c r="G2382" i="2"/>
  <c r="H2382" i="2"/>
  <c r="E2383" i="2"/>
  <c r="G2383" i="2"/>
  <c r="H2383" i="2"/>
  <c r="E2384" i="2"/>
  <c r="G2384" i="2"/>
  <c r="H2384" i="2"/>
  <c r="E2385" i="2"/>
  <c r="G2385" i="2"/>
  <c r="H2385" i="2"/>
  <c r="E2386" i="2"/>
  <c r="G2386" i="2"/>
  <c r="H2386" i="2"/>
  <c r="E2387" i="2"/>
  <c r="G2387" i="2"/>
  <c r="H2387" i="2"/>
  <c r="E2388" i="2"/>
  <c r="G2388" i="2"/>
  <c r="H2388" i="2"/>
  <c r="E2389" i="2"/>
  <c r="G2389" i="2"/>
  <c r="H2389" i="2"/>
  <c r="E2390" i="2"/>
  <c r="G2390" i="2"/>
  <c r="H2390" i="2"/>
  <c r="E2391" i="2"/>
  <c r="G2391" i="2"/>
  <c r="H2391" i="2"/>
  <c r="E2392" i="2"/>
  <c r="G2392" i="2"/>
  <c r="H2392" i="2"/>
  <c r="E2393" i="2"/>
  <c r="G2393" i="2"/>
  <c r="H2393" i="2"/>
  <c r="E2394" i="2"/>
  <c r="G2394" i="2"/>
  <c r="H2394" i="2"/>
  <c r="E2395" i="2"/>
  <c r="G2395" i="2"/>
  <c r="H2395" i="2"/>
  <c r="E2396" i="2"/>
  <c r="G2396" i="2"/>
  <c r="H2396" i="2"/>
  <c r="E2397" i="2"/>
  <c r="G2397" i="2"/>
  <c r="H2397" i="2"/>
  <c r="E2398" i="2"/>
  <c r="G2398" i="2"/>
  <c r="H2398" i="2"/>
  <c r="E2399" i="2"/>
  <c r="G2399" i="2"/>
  <c r="H2399" i="2"/>
  <c r="E2400" i="2"/>
  <c r="G2400" i="2"/>
  <c r="H2400" i="2"/>
  <c r="E2401" i="2"/>
  <c r="G2401" i="2"/>
  <c r="H2401" i="2"/>
  <c r="E2402" i="2"/>
  <c r="G2402" i="2"/>
  <c r="H2402" i="2"/>
  <c r="E2403" i="2"/>
  <c r="G2403" i="2"/>
  <c r="H2403" i="2"/>
  <c r="E2404" i="2"/>
  <c r="G2404" i="2"/>
  <c r="H2404" i="2"/>
  <c r="E2405" i="2"/>
  <c r="G2405" i="2"/>
  <c r="H2405" i="2"/>
  <c r="E2406" i="2"/>
  <c r="G2406" i="2"/>
  <c r="H2406" i="2"/>
  <c r="E2407" i="2"/>
  <c r="G2407" i="2"/>
  <c r="H2407" i="2"/>
  <c r="E2408" i="2"/>
  <c r="G2408" i="2"/>
  <c r="H2408" i="2"/>
  <c r="E2409" i="2"/>
  <c r="G2409" i="2"/>
  <c r="H2409" i="2"/>
  <c r="E2410" i="2"/>
  <c r="G2410" i="2"/>
  <c r="H2410" i="2"/>
  <c r="E2411" i="2"/>
  <c r="G2411" i="2"/>
  <c r="H2411" i="2"/>
  <c r="E2412" i="2"/>
  <c r="G2412" i="2"/>
  <c r="H2412" i="2"/>
  <c r="E2413" i="2"/>
  <c r="G2413" i="2"/>
  <c r="H2413" i="2"/>
  <c r="E2414" i="2"/>
  <c r="G2414" i="2"/>
  <c r="H2414" i="2"/>
  <c r="E2415" i="2"/>
  <c r="G2415" i="2"/>
  <c r="H2415" i="2"/>
  <c r="E2416" i="2"/>
  <c r="G2416" i="2"/>
  <c r="H2416" i="2"/>
  <c r="E2417" i="2"/>
  <c r="G2417" i="2"/>
  <c r="H2417" i="2"/>
  <c r="E2418" i="2"/>
  <c r="G2418" i="2"/>
  <c r="H2418" i="2"/>
  <c r="E2419" i="2"/>
  <c r="G2419" i="2"/>
  <c r="H2419" i="2"/>
  <c r="E2420" i="2"/>
  <c r="G2420" i="2"/>
  <c r="H2420" i="2"/>
  <c r="E2421" i="2"/>
  <c r="G2421" i="2"/>
  <c r="H2421" i="2"/>
  <c r="E2422" i="2"/>
  <c r="G2422" i="2"/>
  <c r="H2422" i="2"/>
  <c r="E2423" i="2"/>
  <c r="G2423" i="2"/>
  <c r="H2423" i="2"/>
  <c r="E2424" i="2"/>
  <c r="G2424" i="2"/>
  <c r="H2424" i="2"/>
  <c r="E2425" i="2"/>
  <c r="G2425" i="2"/>
  <c r="H2425" i="2"/>
  <c r="E2426" i="2"/>
  <c r="G2426" i="2"/>
  <c r="H2426" i="2"/>
  <c r="E2427" i="2"/>
  <c r="G2427" i="2"/>
  <c r="H2427" i="2"/>
  <c r="E2428" i="2"/>
  <c r="G2428" i="2"/>
  <c r="H2428" i="2"/>
  <c r="E2429" i="2"/>
  <c r="G2429" i="2"/>
  <c r="H2429" i="2"/>
  <c r="E2430" i="2"/>
  <c r="G2430" i="2"/>
  <c r="H2430" i="2"/>
  <c r="E2431" i="2"/>
  <c r="G2431" i="2"/>
  <c r="H2431" i="2"/>
  <c r="E2432" i="2"/>
  <c r="G2432" i="2"/>
  <c r="H2432" i="2"/>
  <c r="E2433" i="2"/>
  <c r="G2433" i="2"/>
  <c r="H2433" i="2"/>
  <c r="E2434" i="2"/>
  <c r="G2434" i="2"/>
  <c r="H2434" i="2"/>
  <c r="E2435" i="2"/>
  <c r="G2435" i="2"/>
  <c r="H2435" i="2"/>
  <c r="E2436" i="2"/>
  <c r="G2436" i="2"/>
  <c r="H2436" i="2"/>
  <c r="E2437" i="2"/>
  <c r="G2437" i="2"/>
  <c r="H2437" i="2"/>
  <c r="E2438" i="2"/>
  <c r="G2438" i="2"/>
  <c r="H2438" i="2"/>
  <c r="E2439" i="2"/>
  <c r="G2439" i="2"/>
  <c r="H2439" i="2"/>
  <c r="E2440" i="2"/>
  <c r="G2440" i="2"/>
  <c r="H2440" i="2"/>
  <c r="E2441" i="2"/>
  <c r="G2441" i="2"/>
  <c r="H2441" i="2"/>
  <c r="E2442" i="2"/>
  <c r="G2442" i="2"/>
  <c r="H2442" i="2"/>
  <c r="E2443" i="2"/>
  <c r="G2443" i="2"/>
  <c r="H2443" i="2"/>
  <c r="E2444" i="2"/>
  <c r="G2444" i="2"/>
  <c r="H2444" i="2"/>
  <c r="E2445" i="2"/>
  <c r="G2445" i="2"/>
  <c r="H2445" i="2"/>
  <c r="E2446" i="2"/>
  <c r="G2446" i="2"/>
  <c r="H2446" i="2"/>
  <c r="E2447" i="2"/>
  <c r="G2447" i="2"/>
  <c r="H2447" i="2"/>
  <c r="E2448" i="2"/>
  <c r="G2448" i="2"/>
  <c r="H2448" i="2"/>
  <c r="E2449" i="2"/>
  <c r="G2449" i="2"/>
  <c r="H2449" i="2"/>
  <c r="E2450" i="2"/>
  <c r="G2450" i="2"/>
  <c r="H2450" i="2"/>
  <c r="E2451" i="2"/>
  <c r="G2451" i="2"/>
  <c r="H2451" i="2"/>
  <c r="E2452" i="2"/>
  <c r="G2452" i="2"/>
  <c r="H2452" i="2"/>
  <c r="E2453" i="2"/>
  <c r="G2453" i="2"/>
  <c r="H2453" i="2"/>
  <c r="E2454" i="2"/>
  <c r="G2454" i="2"/>
  <c r="H2454" i="2"/>
  <c r="E2455" i="2"/>
  <c r="G2455" i="2"/>
  <c r="H2455" i="2"/>
  <c r="E2456" i="2"/>
  <c r="G2456" i="2"/>
  <c r="H2456" i="2"/>
  <c r="E2457" i="2"/>
  <c r="G2457" i="2"/>
  <c r="H2457" i="2"/>
  <c r="E2458" i="2"/>
  <c r="G2458" i="2"/>
  <c r="H2458" i="2"/>
  <c r="E2459" i="2"/>
  <c r="G2459" i="2"/>
  <c r="H2459" i="2"/>
  <c r="E2460" i="2"/>
  <c r="G2460" i="2"/>
  <c r="H2460" i="2"/>
  <c r="E2461" i="2"/>
  <c r="G2461" i="2"/>
  <c r="H2461" i="2"/>
  <c r="E2462" i="2"/>
  <c r="G2462" i="2"/>
  <c r="H2462" i="2"/>
  <c r="E2463" i="2"/>
  <c r="G2463" i="2"/>
  <c r="H2463" i="2"/>
  <c r="E2464" i="2"/>
  <c r="G2464" i="2"/>
  <c r="H2464" i="2"/>
  <c r="E2465" i="2"/>
  <c r="G2465" i="2"/>
  <c r="H2465" i="2"/>
  <c r="E2466" i="2"/>
  <c r="G2466" i="2"/>
  <c r="H2466" i="2"/>
  <c r="E2467" i="2"/>
  <c r="G2467" i="2"/>
  <c r="H2467" i="2"/>
  <c r="E2468" i="2"/>
  <c r="G2468" i="2"/>
  <c r="H2468" i="2"/>
  <c r="E2469" i="2"/>
  <c r="G2469" i="2"/>
  <c r="H2469" i="2"/>
  <c r="E2470" i="2"/>
  <c r="G2470" i="2"/>
  <c r="H2470" i="2"/>
  <c r="E2471" i="2"/>
  <c r="G2471" i="2"/>
  <c r="H2471" i="2"/>
  <c r="E2472" i="2"/>
  <c r="G2472" i="2"/>
  <c r="H2472" i="2"/>
  <c r="E2473" i="2"/>
  <c r="G2473" i="2"/>
  <c r="H2473" i="2"/>
  <c r="E2474" i="2"/>
  <c r="G2474" i="2"/>
  <c r="H2474" i="2"/>
  <c r="E2475" i="2"/>
  <c r="G2475" i="2"/>
  <c r="H2475" i="2"/>
  <c r="E2476" i="2"/>
  <c r="G2476" i="2"/>
  <c r="H2476" i="2"/>
  <c r="E2477" i="2"/>
  <c r="G2477" i="2"/>
  <c r="H2477" i="2"/>
  <c r="E2478" i="2"/>
  <c r="G2478" i="2"/>
  <c r="H2478" i="2"/>
  <c r="E2479" i="2"/>
  <c r="G2479" i="2"/>
  <c r="H2479" i="2"/>
  <c r="E2480" i="2"/>
  <c r="G2480" i="2"/>
  <c r="H2480" i="2"/>
  <c r="E2481" i="2"/>
  <c r="G2481" i="2"/>
  <c r="H2481" i="2"/>
  <c r="E2482" i="2"/>
  <c r="G2482" i="2"/>
  <c r="H2482" i="2"/>
  <c r="E2483" i="2"/>
  <c r="G2483" i="2"/>
  <c r="H2483" i="2"/>
  <c r="E2484" i="2"/>
  <c r="G2484" i="2"/>
  <c r="H2484" i="2"/>
  <c r="E2485" i="2"/>
  <c r="G2485" i="2"/>
  <c r="H2485" i="2"/>
  <c r="E2486" i="2"/>
  <c r="G2486" i="2"/>
  <c r="H2486" i="2"/>
  <c r="E2487" i="2"/>
  <c r="G2487" i="2"/>
  <c r="H2487" i="2"/>
  <c r="E2488" i="2"/>
  <c r="G2488" i="2"/>
  <c r="H2488" i="2"/>
  <c r="E2489" i="2"/>
  <c r="G2489" i="2"/>
  <c r="H2489" i="2"/>
  <c r="E2490" i="2"/>
  <c r="G2490" i="2"/>
  <c r="H2490" i="2"/>
  <c r="E2491" i="2"/>
  <c r="G2491" i="2"/>
  <c r="H2491" i="2"/>
  <c r="E2492" i="2"/>
  <c r="G2492" i="2"/>
  <c r="H2492" i="2"/>
  <c r="E2493" i="2"/>
  <c r="G2493" i="2"/>
  <c r="H2493" i="2"/>
  <c r="E2494" i="2"/>
  <c r="G2494" i="2"/>
  <c r="H2494" i="2"/>
  <c r="E2495" i="2"/>
  <c r="G2495" i="2"/>
  <c r="H2495" i="2"/>
  <c r="E2496" i="2"/>
  <c r="G2496" i="2"/>
  <c r="H2496" i="2"/>
  <c r="E2497" i="2"/>
  <c r="G2497" i="2"/>
  <c r="H2497" i="2"/>
  <c r="E2498" i="2"/>
  <c r="G2498" i="2"/>
  <c r="H2498" i="2"/>
  <c r="E2499" i="2"/>
  <c r="G2499" i="2"/>
  <c r="H2499" i="2"/>
  <c r="E2500" i="2"/>
  <c r="G2500" i="2"/>
  <c r="H2500" i="2"/>
  <c r="E2501" i="2"/>
  <c r="G2501" i="2"/>
  <c r="H2501" i="2"/>
  <c r="E2502" i="2"/>
  <c r="G2502" i="2"/>
  <c r="H2502" i="2"/>
  <c r="E2503" i="2"/>
  <c r="G2503" i="2"/>
  <c r="H2503" i="2"/>
  <c r="E2504" i="2"/>
  <c r="G2504" i="2"/>
  <c r="H2504" i="2"/>
  <c r="E2505" i="2"/>
  <c r="G2505" i="2"/>
  <c r="H2505" i="2"/>
  <c r="E2506" i="2"/>
  <c r="G2506" i="2"/>
  <c r="H2506" i="2"/>
  <c r="E2507" i="2"/>
  <c r="G2507" i="2"/>
  <c r="H2507" i="2"/>
  <c r="E2508" i="2"/>
  <c r="G2508" i="2"/>
  <c r="H2508" i="2"/>
  <c r="E2509" i="2"/>
  <c r="G2509" i="2"/>
  <c r="H2509" i="2"/>
  <c r="E2510" i="2"/>
  <c r="G2510" i="2"/>
  <c r="H2510" i="2"/>
  <c r="E2511" i="2"/>
  <c r="G2511" i="2"/>
  <c r="H2511" i="2"/>
  <c r="E2512" i="2"/>
  <c r="G2512" i="2"/>
  <c r="H2512" i="2"/>
  <c r="E2513" i="2"/>
  <c r="G2513" i="2"/>
  <c r="H2513" i="2"/>
  <c r="E2514" i="2"/>
  <c r="G2514" i="2"/>
  <c r="H2514" i="2"/>
  <c r="E2515" i="2"/>
  <c r="G2515" i="2"/>
  <c r="H2515" i="2"/>
  <c r="E2516" i="2"/>
  <c r="G2516" i="2"/>
  <c r="H2516" i="2"/>
  <c r="E2517" i="2"/>
  <c r="G2517" i="2"/>
  <c r="H2517" i="2"/>
  <c r="E2518" i="2"/>
  <c r="G2518" i="2"/>
  <c r="H2518" i="2"/>
  <c r="E2519" i="2"/>
  <c r="G2519" i="2"/>
  <c r="H2519" i="2"/>
  <c r="E2520" i="2"/>
  <c r="G2520" i="2"/>
  <c r="H2520" i="2"/>
  <c r="E2521" i="2"/>
  <c r="G2521" i="2"/>
  <c r="H2521" i="2"/>
  <c r="E2522" i="2"/>
  <c r="G2522" i="2"/>
  <c r="H2522" i="2"/>
  <c r="E2523" i="2"/>
  <c r="G2523" i="2"/>
  <c r="H2523" i="2"/>
  <c r="E2524" i="2"/>
  <c r="G2524" i="2"/>
  <c r="H2524" i="2"/>
  <c r="E2525" i="2"/>
  <c r="G2525" i="2"/>
  <c r="H2525" i="2"/>
  <c r="E2526" i="2"/>
  <c r="G2526" i="2"/>
  <c r="H2526" i="2"/>
  <c r="E2527" i="2"/>
  <c r="G2527" i="2"/>
  <c r="H2527" i="2"/>
  <c r="E2528" i="2"/>
  <c r="G2528" i="2"/>
  <c r="H2528" i="2"/>
  <c r="E2529" i="2"/>
  <c r="G2529" i="2"/>
  <c r="H2529" i="2"/>
  <c r="E2530" i="2"/>
  <c r="G2530" i="2"/>
  <c r="H2530" i="2"/>
  <c r="E2531" i="2"/>
  <c r="G2531" i="2"/>
  <c r="H2531" i="2"/>
  <c r="E2532" i="2"/>
  <c r="G2532" i="2"/>
  <c r="H2532" i="2"/>
  <c r="E2533" i="2"/>
  <c r="G2533" i="2"/>
  <c r="H2533" i="2"/>
  <c r="E2534" i="2"/>
  <c r="G2534" i="2"/>
  <c r="H2534" i="2"/>
  <c r="E2535" i="2"/>
  <c r="G2535" i="2"/>
  <c r="H2535" i="2"/>
  <c r="E2536" i="2"/>
  <c r="G2536" i="2"/>
  <c r="H2536" i="2"/>
  <c r="E2537" i="2"/>
  <c r="G2537" i="2"/>
  <c r="H2537" i="2"/>
  <c r="E2538" i="2"/>
  <c r="G2538" i="2"/>
  <c r="H2538" i="2"/>
  <c r="E2539" i="2"/>
  <c r="G2539" i="2"/>
  <c r="H2539" i="2"/>
  <c r="E2540" i="2"/>
  <c r="G2540" i="2"/>
  <c r="H2540" i="2"/>
  <c r="E2541" i="2"/>
  <c r="G2541" i="2"/>
  <c r="H2541" i="2"/>
  <c r="E2542" i="2"/>
  <c r="G2542" i="2"/>
  <c r="H2542" i="2"/>
  <c r="E2543" i="2"/>
  <c r="G2543" i="2"/>
  <c r="H2543" i="2"/>
  <c r="E2544" i="2"/>
  <c r="G2544" i="2"/>
  <c r="H2544" i="2"/>
  <c r="E2545" i="2"/>
  <c r="G2545" i="2"/>
  <c r="H2545" i="2"/>
  <c r="E2546" i="2"/>
  <c r="G2546" i="2"/>
  <c r="H2546" i="2"/>
  <c r="E2547" i="2"/>
  <c r="G2547" i="2"/>
  <c r="H2547" i="2"/>
  <c r="E2548" i="2"/>
  <c r="G2548" i="2"/>
  <c r="H2548" i="2"/>
  <c r="E2549" i="2"/>
  <c r="G2549" i="2"/>
  <c r="H2549" i="2"/>
  <c r="E2550" i="2"/>
  <c r="G2550" i="2"/>
  <c r="H2550" i="2"/>
  <c r="E2551" i="2"/>
  <c r="G2551" i="2"/>
  <c r="H2551" i="2"/>
  <c r="E2552" i="2"/>
  <c r="G2552" i="2"/>
  <c r="H2552" i="2"/>
  <c r="E2553" i="2"/>
  <c r="G2553" i="2"/>
  <c r="H2553" i="2"/>
  <c r="E2554" i="2"/>
  <c r="G2554" i="2"/>
  <c r="H2554" i="2"/>
  <c r="E2555" i="2"/>
  <c r="G2555" i="2"/>
  <c r="H2555" i="2"/>
  <c r="E2556" i="2"/>
  <c r="G2556" i="2"/>
  <c r="H2556" i="2"/>
  <c r="E2557" i="2"/>
  <c r="G2557" i="2"/>
  <c r="H2557" i="2"/>
  <c r="E2558" i="2"/>
  <c r="G2558" i="2"/>
  <c r="H2558" i="2"/>
  <c r="E2559" i="2"/>
  <c r="G2559" i="2"/>
  <c r="H2559" i="2"/>
  <c r="E2560" i="2"/>
  <c r="G2560" i="2"/>
  <c r="H2560" i="2"/>
  <c r="E2561" i="2"/>
  <c r="G2561" i="2"/>
  <c r="H2561" i="2"/>
  <c r="E2562" i="2"/>
  <c r="G2562" i="2"/>
  <c r="H2562" i="2"/>
  <c r="E2563" i="2"/>
  <c r="G2563" i="2"/>
  <c r="H2563" i="2"/>
  <c r="E2564" i="2"/>
  <c r="G2564" i="2"/>
  <c r="H2564" i="2"/>
  <c r="E2565" i="2"/>
  <c r="G2565" i="2"/>
  <c r="H2565" i="2"/>
  <c r="E2566" i="2"/>
  <c r="G2566" i="2"/>
  <c r="H2566" i="2"/>
  <c r="E2567" i="2"/>
  <c r="G2567" i="2"/>
  <c r="H2567" i="2"/>
  <c r="E2568" i="2"/>
  <c r="G2568" i="2"/>
  <c r="H2568" i="2"/>
  <c r="E2569" i="2"/>
  <c r="G2569" i="2"/>
  <c r="H2569" i="2"/>
  <c r="E2570" i="2"/>
  <c r="G2570" i="2"/>
  <c r="H2570" i="2"/>
  <c r="E2571" i="2"/>
  <c r="G2571" i="2"/>
  <c r="H2571" i="2"/>
  <c r="E2572" i="2"/>
  <c r="G2572" i="2"/>
  <c r="H2572" i="2"/>
  <c r="E2573" i="2"/>
  <c r="G2573" i="2"/>
  <c r="H2573" i="2"/>
  <c r="E2574" i="2"/>
  <c r="G2574" i="2"/>
  <c r="H2574" i="2"/>
  <c r="E2575" i="2"/>
  <c r="G2575" i="2"/>
  <c r="H2575" i="2"/>
  <c r="E2576" i="2"/>
  <c r="G2576" i="2"/>
  <c r="H2576" i="2"/>
  <c r="E2577" i="2"/>
  <c r="G2577" i="2"/>
  <c r="H2577" i="2"/>
  <c r="E2578" i="2"/>
  <c r="G2578" i="2"/>
  <c r="H2578" i="2"/>
  <c r="E2579" i="2"/>
  <c r="G2579" i="2"/>
  <c r="H2579" i="2"/>
  <c r="E2580" i="2"/>
  <c r="G2580" i="2"/>
  <c r="H2580" i="2"/>
  <c r="E2581" i="2"/>
  <c r="G2581" i="2"/>
  <c r="H2581" i="2"/>
  <c r="E2582" i="2"/>
  <c r="G2582" i="2"/>
  <c r="H2582" i="2"/>
  <c r="E2583" i="2"/>
  <c r="G2583" i="2"/>
  <c r="H2583" i="2"/>
  <c r="E2584" i="2"/>
  <c r="G2584" i="2"/>
  <c r="H2584" i="2"/>
  <c r="E2585" i="2"/>
  <c r="G2585" i="2"/>
  <c r="H2585" i="2"/>
  <c r="E2586" i="2"/>
  <c r="G2586" i="2"/>
  <c r="H2586" i="2"/>
  <c r="E2587" i="2"/>
  <c r="G2587" i="2"/>
  <c r="H2587" i="2"/>
  <c r="E2588" i="2"/>
  <c r="G2588" i="2"/>
  <c r="H2588" i="2"/>
  <c r="E2589" i="2"/>
  <c r="G2589" i="2"/>
  <c r="H2589" i="2"/>
  <c r="E2590" i="2"/>
  <c r="G2590" i="2"/>
  <c r="H2590" i="2"/>
  <c r="E2591" i="2"/>
  <c r="G2591" i="2"/>
  <c r="H2591" i="2"/>
  <c r="E2592" i="2"/>
  <c r="G2592" i="2"/>
  <c r="H2592" i="2"/>
  <c r="E2593" i="2"/>
  <c r="G2593" i="2"/>
  <c r="H2593" i="2"/>
  <c r="E2594" i="2"/>
  <c r="G2594" i="2"/>
  <c r="H2594" i="2"/>
  <c r="E2595" i="2"/>
  <c r="G2595" i="2"/>
  <c r="H2595" i="2"/>
  <c r="E2596" i="2"/>
  <c r="G2596" i="2"/>
  <c r="H2596" i="2"/>
  <c r="E2597" i="2"/>
  <c r="G2597" i="2"/>
  <c r="H2597" i="2"/>
  <c r="E2598" i="2"/>
  <c r="G2598" i="2"/>
  <c r="H2598" i="2"/>
  <c r="E2599" i="2"/>
  <c r="G2599" i="2"/>
  <c r="H2599" i="2"/>
  <c r="E2600" i="2"/>
  <c r="G2600" i="2"/>
  <c r="H2600" i="2"/>
  <c r="E2601" i="2"/>
  <c r="G2601" i="2"/>
  <c r="H2601" i="2"/>
  <c r="E2602" i="2"/>
  <c r="G2602" i="2"/>
  <c r="H2602" i="2"/>
  <c r="E2603" i="2"/>
  <c r="G2603" i="2"/>
  <c r="H2603" i="2"/>
  <c r="E2604" i="2"/>
  <c r="G2604" i="2"/>
  <c r="H2604" i="2"/>
  <c r="E2605" i="2"/>
  <c r="G2605" i="2"/>
  <c r="H2605" i="2"/>
  <c r="E2606" i="2"/>
  <c r="G2606" i="2"/>
  <c r="H2606" i="2"/>
  <c r="E2607" i="2"/>
  <c r="G2607" i="2"/>
  <c r="H2607" i="2"/>
  <c r="E2608" i="2"/>
  <c r="G2608" i="2"/>
  <c r="H2608" i="2"/>
  <c r="E2609" i="2"/>
  <c r="G2609" i="2"/>
  <c r="H2609" i="2"/>
  <c r="E2610" i="2"/>
  <c r="G2610" i="2"/>
  <c r="H2610" i="2"/>
  <c r="E2611" i="2"/>
  <c r="G2611" i="2"/>
  <c r="H2611" i="2"/>
  <c r="E2612" i="2"/>
  <c r="G2612" i="2"/>
  <c r="H2612" i="2"/>
  <c r="E2613" i="2"/>
  <c r="G2613" i="2"/>
  <c r="H2613" i="2"/>
  <c r="E2614" i="2"/>
  <c r="G2614" i="2"/>
  <c r="H2614" i="2"/>
  <c r="E2615" i="2"/>
  <c r="G2615" i="2"/>
  <c r="H2615" i="2"/>
  <c r="E2616" i="2"/>
  <c r="G2616" i="2"/>
  <c r="H2616" i="2"/>
  <c r="E2617" i="2"/>
  <c r="G2617" i="2"/>
  <c r="H2617" i="2"/>
  <c r="E2618" i="2"/>
  <c r="G2618" i="2"/>
  <c r="H2618" i="2"/>
  <c r="E2619" i="2"/>
  <c r="G2619" i="2"/>
  <c r="H2619" i="2"/>
  <c r="E2620" i="2"/>
  <c r="G2620" i="2"/>
  <c r="H2620" i="2"/>
  <c r="E2621" i="2"/>
  <c r="G2621" i="2"/>
  <c r="H2621" i="2"/>
  <c r="E2622" i="2"/>
  <c r="G2622" i="2"/>
  <c r="H2622" i="2"/>
  <c r="E2623" i="2"/>
  <c r="G2623" i="2"/>
  <c r="H2623" i="2"/>
  <c r="E2624" i="2"/>
  <c r="G2624" i="2"/>
  <c r="H2624" i="2"/>
  <c r="E2625" i="2"/>
  <c r="G2625" i="2"/>
  <c r="H2625" i="2"/>
  <c r="E2626" i="2"/>
  <c r="G2626" i="2"/>
  <c r="H2626" i="2"/>
  <c r="E2627" i="2"/>
  <c r="G2627" i="2"/>
  <c r="H2627" i="2"/>
  <c r="E2628" i="2"/>
  <c r="G2628" i="2"/>
  <c r="H2628" i="2"/>
  <c r="E2629" i="2"/>
  <c r="G2629" i="2"/>
  <c r="H2629" i="2"/>
  <c r="E2630" i="2"/>
  <c r="G2630" i="2"/>
  <c r="H2630" i="2"/>
  <c r="E2631" i="2"/>
  <c r="G2631" i="2"/>
  <c r="H2631" i="2"/>
  <c r="E2632" i="2"/>
  <c r="G2632" i="2"/>
  <c r="H2632" i="2"/>
  <c r="E2633" i="2"/>
  <c r="G2633" i="2"/>
  <c r="H2633" i="2"/>
  <c r="E2634" i="2"/>
  <c r="G2634" i="2"/>
  <c r="H2634" i="2"/>
  <c r="E2635" i="2"/>
  <c r="G2635" i="2"/>
  <c r="H2635" i="2"/>
  <c r="E2636" i="2"/>
  <c r="G2636" i="2"/>
  <c r="H2636" i="2"/>
  <c r="E2637" i="2"/>
  <c r="G2637" i="2"/>
  <c r="H2637" i="2"/>
  <c r="E2638" i="2"/>
  <c r="G2638" i="2"/>
  <c r="H2638" i="2"/>
  <c r="E2639" i="2"/>
  <c r="G2639" i="2"/>
  <c r="H2639" i="2"/>
  <c r="E2640" i="2"/>
  <c r="G2640" i="2"/>
  <c r="H2640" i="2"/>
  <c r="E2641" i="2"/>
  <c r="G2641" i="2"/>
  <c r="H2641" i="2"/>
  <c r="E2642" i="2"/>
  <c r="G2642" i="2"/>
  <c r="H2642" i="2"/>
  <c r="E2643" i="2"/>
  <c r="G2643" i="2"/>
  <c r="H2643" i="2"/>
  <c r="E2644" i="2"/>
  <c r="G2644" i="2"/>
  <c r="H2644" i="2"/>
  <c r="E2645" i="2"/>
  <c r="G2645" i="2"/>
  <c r="H2645" i="2"/>
  <c r="E2646" i="2"/>
  <c r="G2646" i="2"/>
  <c r="H2646" i="2"/>
  <c r="E2647" i="2"/>
  <c r="G2647" i="2"/>
  <c r="H2647" i="2"/>
  <c r="E2648" i="2"/>
  <c r="G2648" i="2"/>
  <c r="H2648" i="2"/>
  <c r="E2649" i="2"/>
  <c r="G2649" i="2"/>
  <c r="H2649" i="2"/>
  <c r="E2650" i="2"/>
  <c r="G2650" i="2"/>
  <c r="H2650" i="2"/>
  <c r="E2651" i="2"/>
  <c r="G2651" i="2"/>
  <c r="H2651" i="2"/>
  <c r="E2652" i="2"/>
  <c r="G2652" i="2"/>
  <c r="H2652" i="2"/>
  <c r="E2653" i="2"/>
  <c r="G2653" i="2"/>
  <c r="H2653" i="2"/>
  <c r="E2654" i="2"/>
  <c r="G2654" i="2"/>
  <c r="H2654" i="2"/>
  <c r="E2655" i="2"/>
  <c r="G2655" i="2"/>
  <c r="H2655" i="2"/>
  <c r="E2656" i="2"/>
  <c r="G2656" i="2"/>
  <c r="H2656" i="2"/>
  <c r="E2657" i="2"/>
  <c r="G2657" i="2"/>
  <c r="H2657" i="2"/>
  <c r="E2658" i="2"/>
  <c r="G2658" i="2"/>
  <c r="H2658" i="2"/>
  <c r="E2659" i="2"/>
  <c r="G2659" i="2"/>
  <c r="H2659" i="2"/>
  <c r="E2660" i="2"/>
  <c r="G2660" i="2"/>
  <c r="H2660" i="2"/>
  <c r="E2661" i="2"/>
  <c r="G2661" i="2"/>
  <c r="H2661" i="2"/>
  <c r="E2662" i="2"/>
  <c r="G2662" i="2"/>
  <c r="H2662" i="2"/>
  <c r="E2663" i="2"/>
  <c r="G2663" i="2"/>
  <c r="H2663" i="2"/>
  <c r="E2664" i="2"/>
  <c r="G2664" i="2"/>
  <c r="H2664" i="2"/>
  <c r="E2665" i="2"/>
  <c r="G2665" i="2"/>
  <c r="H2665" i="2"/>
  <c r="E2666" i="2"/>
  <c r="G2666" i="2"/>
  <c r="H2666" i="2"/>
  <c r="E2667" i="2"/>
  <c r="G2667" i="2"/>
  <c r="H2667" i="2"/>
  <c r="E2668" i="2"/>
  <c r="G2668" i="2"/>
  <c r="H2668" i="2"/>
  <c r="E2669" i="2"/>
  <c r="G2669" i="2"/>
  <c r="H2669" i="2"/>
  <c r="E2670" i="2"/>
  <c r="G2670" i="2"/>
  <c r="H2670" i="2"/>
  <c r="E2671" i="2"/>
  <c r="G2671" i="2"/>
  <c r="H2671" i="2"/>
  <c r="E2672" i="2"/>
  <c r="G2672" i="2"/>
  <c r="H2672" i="2"/>
  <c r="E2673" i="2"/>
  <c r="G2673" i="2"/>
  <c r="H2673" i="2"/>
  <c r="E2674" i="2"/>
  <c r="G2674" i="2"/>
  <c r="H2674" i="2"/>
  <c r="E2675" i="2"/>
  <c r="G2675" i="2"/>
  <c r="H2675" i="2"/>
  <c r="E2676" i="2"/>
  <c r="G2676" i="2"/>
  <c r="H2676" i="2"/>
  <c r="E2677" i="2"/>
  <c r="G2677" i="2"/>
  <c r="H2677" i="2"/>
  <c r="E2678" i="2"/>
  <c r="G2678" i="2"/>
  <c r="H2678" i="2"/>
  <c r="E2679" i="2"/>
  <c r="G2679" i="2"/>
  <c r="H2679" i="2"/>
  <c r="E2680" i="2"/>
  <c r="G2680" i="2"/>
  <c r="H2680" i="2"/>
  <c r="E2681" i="2"/>
  <c r="G2681" i="2"/>
  <c r="H2681" i="2"/>
  <c r="E2682" i="2"/>
  <c r="G2682" i="2"/>
  <c r="H2682" i="2"/>
  <c r="E2683" i="2"/>
  <c r="G2683" i="2"/>
  <c r="H2683" i="2"/>
  <c r="E2684" i="2"/>
  <c r="G2684" i="2"/>
  <c r="H2684" i="2"/>
  <c r="E2685" i="2"/>
  <c r="G2685" i="2"/>
  <c r="H2685" i="2"/>
  <c r="E2686" i="2"/>
  <c r="G2686" i="2"/>
  <c r="H2686" i="2"/>
  <c r="E2687" i="2"/>
  <c r="G2687" i="2"/>
  <c r="H2687" i="2"/>
  <c r="E2688" i="2"/>
  <c r="G2688" i="2"/>
  <c r="H2688" i="2"/>
  <c r="E2689" i="2"/>
  <c r="G2689" i="2"/>
  <c r="H2689" i="2"/>
  <c r="E2690" i="2"/>
  <c r="G2690" i="2"/>
  <c r="H2690" i="2"/>
  <c r="E2691" i="2"/>
  <c r="G2691" i="2"/>
  <c r="H2691" i="2"/>
  <c r="E2692" i="2"/>
  <c r="G2692" i="2"/>
  <c r="H2692" i="2"/>
  <c r="E2693" i="2"/>
  <c r="G2693" i="2"/>
  <c r="H2693" i="2"/>
  <c r="E2694" i="2"/>
  <c r="G2694" i="2"/>
  <c r="H2694" i="2"/>
  <c r="E2695" i="2"/>
  <c r="G2695" i="2"/>
  <c r="H2695" i="2"/>
  <c r="E2696" i="2"/>
  <c r="G2696" i="2"/>
  <c r="H2696" i="2"/>
  <c r="E2697" i="2"/>
  <c r="G2697" i="2"/>
  <c r="H2697" i="2"/>
  <c r="E2698" i="2"/>
  <c r="G2698" i="2"/>
  <c r="H2698" i="2"/>
  <c r="E2699" i="2"/>
  <c r="G2699" i="2"/>
  <c r="H2699" i="2"/>
  <c r="E2700" i="2"/>
  <c r="G2700" i="2"/>
  <c r="H2700" i="2"/>
  <c r="E2701" i="2"/>
  <c r="G2701" i="2"/>
  <c r="H2701" i="2"/>
  <c r="E2702" i="2"/>
  <c r="G2702" i="2"/>
  <c r="H2702" i="2"/>
  <c r="E2703" i="2"/>
  <c r="G2703" i="2"/>
  <c r="H2703" i="2"/>
  <c r="E2704" i="2"/>
  <c r="G2704" i="2"/>
  <c r="H2704" i="2"/>
  <c r="E2705" i="2"/>
  <c r="G2705" i="2"/>
  <c r="H2705" i="2"/>
  <c r="E2706" i="2"/>
  <c r="G2706" i="2"/>
  <c r="H2706" i="2"/>
  <c r="E2707" i="2"/>
  <c r="G2707" i="2"/>
  <c r="H2707" i="2"/>
  <c r="E2708" i="2"/>
  <c r="G2708" i="2"/>
  <c r="H2708" i="2"/>
  <c r="E2709" i="2"/>
  <c r="G2709" i="2"/>
  <c r="H2709" i="2"/>
  <c r="E2710" i="2"/>
  <c r="G2710" i="2"/>
  <c r="H2710" i="2"/>
  <c r="E2711" i="2"/>
  <c r="G2711" i="2"/>
  <c r="H2711" i="2"/>
  <c r="E2712" i="2"/>
  <c r="G2712" i="2"/>
  <c r="H2712" i="2"/>
  <c r="E2713" i="2"/>
  <c r="G2713" i="2"/>
  <c r="H2713" i="2"/>
  <c r="E2714" i="2"/>
  <c r="G2714" i="2"/>
  <c r="H2714" i="2"/>
  <c r="E2715" i="2"/>
  <c r="G2715" i="2"/>
  <c r="H2715" i="2"/>
  <c r="E2716" i="2"/>
  <c r="G2716" i="2"/>
  <c r="H2716" i="2"/>
  <c r="E2717" i="2"/>
  <c r="G2717" i="2"/>
  <c r="H2717" i="2"/>
  <c r="E2718" i="2"/>
  <c r="G2718" i="2"/>
  <c r="H2718" i="2"/>
  <c r="E2719" i="2"/>
  <c r="G2719" i="2"/>
  <c r="H2719" i="2"/>
  <c r="E2720" i="2"/>
  <c r="G2720" i="2"/>
  <c r="H2720" i="2"/>
  <c r="E2721" i="2"/>
  <c r="G2721" i="2"/>
  <c r="H2721" i="2"/>
  <c r="E2722" i="2"/>
  <c r="G2722" i="2"/>
  <c r="H2722" i="2"/>
  <c r="E2723" i="2"/>
  <c r="G2723" i="2"/>
  <c r="H2723" i="2"/>
  <c r="E2724" i="2"/>
  <c r="G2724" i="2"/>
  <c r="H2724" i="2"/>
  <c r="E2725" i="2"/>
  <c r="G2725" i="2"/>
  <c r="H2725" i="2"/>
  <c r="E2726" i="2"/>
  <c r="G2726" i="2"/>
  <c r="H2726" i="2"/>
  <c r="E2727" i="2"/>
  <c r="G2727" i="2"/>
  <c r="H2727" i="2"/>
  <c r="E2728" i="2"/>
  <c r="G2728" i="2"/>
  <c r="H2728" i="2"/>
  <c r="E2729" i="2"/>
  <c r="G2729" i="2"/>
  <c r="H2729" i="2"/>
  <c r="E2730" i="2"/>
  <c r="G2730" i="2"/>
  <c r="H2730" i="2"/>
  <c r="E2731" i="2"/>
  <c r="G2731" i="2"/>
  <c r="H2731" i="2"/>
  <c r="E2732" i="2"/>
  <c r="G2732" i="2"/>
  <c r="H2732" i="2"/>
  <c r="E2733" i="2"/>
  <c r="G2733" i="2"/>
  <c r="H2733" i="2"/>
  <c r="E2734" i="2"/>
  <c r="G2734" i="2"/>
  <c r="H2734" i="2"/>
  <c r="E2735" i="2"/>
  <c r="G2735" i="2"/>
  <c r="H2735" i="2"/>
  <c r="E2736" i="2"/>
  <c r="G2736" i="2"/>
  <c r="H2736" i="2"/>
  <c r="E2737" i="2"/>
  <c r="G2737" i="2"/>
  <c r="H2737" i="2"/>
  <c r="E2738" i="2"/>
  <c r="G2738" i="2"/>
  <c r="H2738" i="2"/>
  <c r="E2739" i="2"/>
  <c r="G2739" i="2"/>
  <c r="H2739" i="2"/>
  <c r="E2740" i="2"/>
  <c r="G2740" i="2"/>
  <c r="H2740" i="2"/>
  <c r="E2741" i="2"/>
  <c r="G2741" i="2"/>
  <c r="H2741" i="2"/>
  <c r="E2742" i="2"/>
  <c r="G2742" i="2"/>
  <c r="H2742" i="2"/>
  <c r="E2743" i="2"/>
  <c r="G2743" i="2"/>
  <c r="H2743" i="2"/>
  <c r="E2744" i="2"/>
  <c r="G2744" i="2"/>
  <c r="H2744" i="2"/>
  <c r="E2745" i="2"/>
  <c r="G2745" i="2"/>
  <c r="H2745" i="2"/>
  <c r="E2746" i="2"/>
  <c r="G2746" i="2"/>
  <c r="H2746" i="2"/>
  <c r="E2747" i="2"/>
  <c r="G2747" i="2"/>
  <c r="H2747" i="2"/>
  <c r="E2748" i="2"/>
  <c r="G2748" i="2"/>
  <c r="H2748" i="2"/>
  <c r="E2749" i="2"/>
  <c r="G2749" i="2"/>
  <c r="H2749" i="2"/>
  <c r="E2750" i="2"/>
  <c r="G2750" i="2"/>
  <c r="H2750" i="2"/>
  <c r="E2751" i="2"/>
  <c r="G2751" i="2"/>
  <c r="H2751" i="2"/>
  <c r="E2752" i="2"/>
  <c r="G2752" i="2"/>
  <c r="H2752" i="2"/>
  <c r="E2753" i="2"/>
  <c r="G2753" i="2"/>
  <c r="H2753" i="2"/>
  <c r="E2754" i="2"/>
  <c r="G2754" i="2"/>
  <c r="H2754" i="2"/>
  <c r="E2755" i="2"/>
  <c r="G2755" i="2"/>
  <c r="H2755" i="2"/>
  <c r="E2756" i="2"/>
  <c r="G2756" i="2"/>
  <c r="H2756" i="2"/>
  <c r="E2757" i="2"/>
  <c r="G2757" i="2"/>
  <c r="H2757" i="2"/>
  <c r="E2758" i="2"/>
  <c r="G2758" i="2"/>
  <c r="H2758" i="2"/>
  <c r="E2759" i="2"/>
  <c r="G2759" i="2"/>
  <c r="H2759" i="2"/>
  <c r="E2760" i="2"/>
  <c r="G2760" i="2"/>
  <c r="H2760" i="2"/>
  <c r="E2761" i="2"/>
  <c r="G2761" i="2"/>
  <c r="H2761" i="2"/>
  <c r="E2762" i="2"/>
  <c r="G2762" i="2"/>
  <c r="H2762" i="2"/>
  <c r="E2763" i="2"/>
  <c r="G2763" i="2"/>
  <c r="H2763" i="2"/>
  <c r="E2764" i="2"/>
  <c r="G2764" i="2"/>
  <c r="H2764" i="2"/>
  <c r="E2765" i="2"/>
  <c r="G2765" i="2"/>
  <c r="H2765" i="2"/>
  <c r="E2766" i="2"/>
  <c r="G2766" i="2"/>
  <c r="H2766" i="2"/>
  <c r="E2767" i="2"/>
  <c r="G2767" i="2"/>
  <c r="H2767" i="2"/>
  <c r="E2768" i="2"/>
  <c r="G2768" i="2"/>
  <c r="H2768" i="2"/>
  <c r="E2769" i="2"/>
  <c r="G2769" i="2"/>
  <c r="H2769" i="2"/>
  <c r="E2770" i="2"/>
  <c r="G2770" i="2"/>
  <c r="H2770" i="2"/>
  <c r="E2771" i="2"/>
  <c r="G2771" i="2"/>
  <c r="H2771" i="2"/>
  <c r="E2772" i="2"/>
  <c r="G2772" i="2"/>
  <c r="H2772" i="2"/>
  <c r="E2773" i="2"/>
  <c r="G2773" i="2"/>
  <c r="H2773" i="2"/>
  <c r="E2774" i="2"/>
  <c r="G2774" i="2"/>
  <c r="H2774" i="2"/>
  <c r="E2775" i="2"/>
  <c r="G2775" i="2"/>
  <c r="H2775" i="2"/>
  <c r="E2776" i="2"/>
  <c r="G2776" i="2"/>
  <c r="H2776" i="2"/>
  <c r="E2777" i="2"/>
  <c r="G2777" i="2"/>
  <c r="H2777" i="2"/>
  <c r="E2778" i="2"/>
  <c r="G2778" i="2"/>
  <c r="H2778" i="2"/>
  <c r="E2779" i="2"/>
  <c r="G2779" i="2"/>
  <c r="H2779" i="2"/>
  <c r="E2780" i="2"/>
  <c r="G2780" i="2"/>
  <c r="H2780" i="2"/>
  <c r="E2781" i="2"/>
  <c r="G2781" i="2"/>
  <c r="H2781" i="2"/>
  <c r="E2782" i="2"/>
  <c r="G2782" i="2"/>
  <c r="H2782" i="2"/>
  <c r="E2783" i="2"/>
  <c r="G2783" i="2"/>
  <c r="H2783" i="2"/>
  <c r="E2784" i="2"/>
  <c r="G2784" i="2"/>
  <c r="H2784" i="2"/>
  <c r="E2785" i="2"/>
  <c r="G2785" i="2"/>
  <c r="H2785" i="2"/>
  <c r="E2786" i="2"/>
  <c r="G2786" i="2"/>
  <c r="H2786" i="2"/>
  <c r="E2787" i="2"/>
  <c r="G2787" i="2"/>
  <c r="H2787" i="2"/>
  <c r="E2788" i="2"/>
  <c r="G2788" i="2"/>
  <c r="H2788" i="2"/>
  <c r="E2789" i="2"/>
  <c r="G2789" i="2"/>
  <c r="H2789" i="2"/>
  <c r="E2790" i="2"/>
  <c r="G2790" i="2"/>
  <c r="H2790" i="2"/>
  <c r="E2791" i="2"/>
  <c r="G2791" i="2"/>
  <c r="H2791" i="2"/>
  <c r="E2792" i="2"/>
  <c r="G2792" i="2"/>
  <c r="H2792" i="2"/>
  <c r="E2793" i="2"/>
  <c r="G2793" i="2"/>
  <c r="H2793" i="2"/>
  <c r="E2794" i="2"/>
  <c r="G2794" i="2"/>
  <c r="H2794" i="2"/>
  <c r="E2795" i="2"/>
  <c r="G2795" i="2"/>
  <c r="H2795" i="2"/>
  <c r="E2796" i="2"/>
  <c r="G2796" i="2"/>
  <c r="H2796" i="2"/>
  <c r="E2797" i="2"/>
  <c r="G2797" i="2"/>
  <c r="H2797" i="2"/>
  <c r="E2798" i="2"/>
  <c r="G2798" i="2"/>
  <c r="H2798" i="2"/>
  <c r="E2799" i="2"/>
  <c r="G2799" i="2"/>
  <c r="H2799" i="2"/>
  <c r="E2800" i="2"/>
  <c r="G2800" i="2"/>
  <c r="H2800" i="2"/>
  <c r="E2801" i="2"/>
  <c r="G2801" i="2"/>
  <c r="H2801" i="2"/>
  <c r="E2802" i="2"/>
  <c r="G2802" i="2"/>
  <c r="H2802" i="2"/>
  <c r="E2803" i="2"/>
  <c r="G2803" i="2"/>
  <c r="H2803" i="2"/>
  <c r="E2804" i="2"/>
  <c r="G2804" i="2"/>
  <c r="H2804" i="2"/>
  <c r="E2805" i="2"/>
  <c r="G2805" i="2"/>
  <c r="H2805" i="2"/>
  <c r="E2806" i="2"/>
  <c r="G2806" i="2"/>
  <c r="H2806" i="2"/>
  <c r="E2807" i="2"/>
  <c r="G2807" i="2"/>
  <c r="H2807" i="2"/>
  <c r="E2808" i="2"/>
  <c r="G2808" i="2"/>
  <c r="H2808" i="2"/>
  <c r="E2809" i="2"/>
  <c r="G2809" i="2"/>
  <c r="H2809" i="2"/>
  <c r="E2810" i="2"/>
  <c r="G2810" i="2"/>
  <c r="H2810" i="2"/>
  <c r="E2811" i="2"/>
  <c r="G2811" i="2"/>
  <c r="H2811" i="2"/>
  <c r="E2812" i="2"/>
  <c r="G2812" i="2"/>
  <c r="H2812" i="2"/>
  <c r="E2813" i="2"/>
  <c r="G2813" i="2"/>
  <c r="H2813" i="2"/>
  <c r="E2814" i="2"/>
  <c r="G2814" i="2"/>
  <c r="H2814" i="2"/>
  <c r="E2815" i="2"/>
  <c r="G2815" i="2"/>
  <c r="H2815" i="2"/>
  <c r="E2816" i="2"/>
  <c r="G2816" i="2"/>
  <c r="H2816" i="2"/>
  <c r="E2817" i="2"/>
  <c r="G2817" i="2"/>
  <c r="H2817" i="2"/>
  <c r="E2818" i="2"/>
  <c r="G2818" i="2"/>
  <c r="H2818" i="2"/>
  <c r="E2819" i="2"/>
  <c r="G2819" i="2"/>
  <c r="H2819" i="2"/>
  <c r="E2820" i="2"/>
  <c r="G2820" i="2"/>
  <c r="H2820" i="2"/>
  <c r="E2821" i="2"/>
  <c r="G2821" i="2"/>
  <c r="H2821" i="2"/>
  <c r="E2822" i="2"/>
  <c r="G2822" i="2"/>
  <c r="H2822" i="2"/>
  <c r="E2823" i="2"/>
  <c r="G2823" i="2"/>
  <c r="H2823" i="2"/>
  <c r="E2824" i="2"/>
  <c r="G2824" i="2"/>
  <c r="H2824" i="2"/>
  <c r="E2825" i="2"/>
  <c r="G2825" i="2"/>
  <c r="H2825" i="2"/>
  <c r="E2826" i="2"/>
  <c r="G2826" i="2"/>
  <c r="H2826" i="2"/>
  <c r="E2827" i="2"/>
  <c r="G2827" i="2"/>
  <c r="H2827" i="2"/>
  <c r="E2828" i="2"/>
  <c r="G2828" i="2"/>
  <c r="H2828" i="2"/>
  <c r="E2829" i="2"/>
  <c r="G2829" i="2"/>
  <c r="H2829" i="2"/>
  <c r="E2830" i="2"/>
  <c r="G2830" i="2"/>
  <c r="H2830" i="2"/>
  <c r="E2831" i="2"/>
  <c r="G2831" i="2"/>
  <c r="H2831" i="2"/>
  <c r="E2832" i="2"/>
  <c r="G2832" i="2"/>
  <c r="H2832" i="2"/>
  <c r="E2833" i="2"/>
  <c r="G2833" i="2"/>
  <c r="H2833" i="2"/>
  <c r="E2834" i="2"/>
  <c r="G2834" i="2"/>
  <c r="H2834" i="2"/>
  <c r="E2835" i="2"/>
  <c r="G2835" i="2"/>
  <c r="H2835" i="2"/>
  <c r="E2836" i="2"/>
  <c r="G2836" i="2"/>
  <c r="H2836" i="2"/>
  <c r="E2837" i="2"/>
  <c r="G2837" i="2"/>
  <c r="H2837" i="2"/>
  <c r="E2838" i="2"/>
  <c r="G2838" i="2"/>
  <c r="H2838" i="2"/>
  <c r="E2839" i="2"/>
  <c r="G2839" i="2"/>
  <c r="H2839" i="2"/>
  <c r="E2840" i="2"/>
  <c r="G2840" i="2"/>
  <c r="H2840" i="2"/>
  <c r="E2841" i="2"/>
  <c r="G2841" i="2"/>
  <c r="H2841" i="2"/>
  <c r="E2842" i="2"/>
  <c r="G2842" i="2"/>
  <c r="H2842" i="2"/>
  <c r="E2843" i="2"/>
  <c r="G2843" i="2"/>
  <c r="H2843" i="2"/>
  <c r="E2844" i="2"/>
  <c r="G2844" i="2"/>
  <c r="H2844" i="2"/>
  <c r="E2845" i="2"/>
  <c r="G2845" i="2"/>
  <c r="H2845" i="2"/>
  <c r="E2846" i="2"/>
  <c r="G2846" i="2"/>
  <c r="H2846" i="2"/>
  <c r="E2847" i="2"/>
  <c r="G2847" i="2"/>
  <c r="H2847" i="2"/>
  <c r="E2848" i="2"/>
  <c r="G2848" i="2"/>
  <c r="H2848" i="2"/>
  <c r="E2849" i="2"/>
  <c r="G2849" i="2"/>
  <c r="H2849" i="2"/>
  <c r="E2850" i="2"/>
  <c r="G2850" i="2"/>
  <c r="H2850" i="2"/>
  <c r="E2851" i="2"/>
  <c r="G2851" i="2"/>
  <c r="H2851" i="2"/>
  <c r="E2852" i="2"/>
  <c r="G2852" i="2"/>
  <c r="H2852" i="2"/>
  <c r="E2853" i="2"/>
  <c r="G2853" i="2"/>
  <c r="H2853" i="2"/>
  <c r="E2854" i="2"/>
  <c r="G2854" i="2"/>
  <c r="H2854" i="2"/>
  <c r="E2855" i="2"/>
  <c r="G2855" i="2"/>
  <c r="H2855" i="2"/>
  <c r="E2856" i="2"/>
  <c r="G2856" i="2"/>
  <c r="H2856" i="2"/>
  <c r="E2857" i="2"/>
  <c r="G2857" i="2"/>
  <c r="H2857" i="2"/>
  <c r="E2858" i="2"/>
  <c r="G2858" i="2"/>
  <c r="H2858" i="2"/>
  <c r="E2859" i="2"/>
  <c r="G2859" i="2"/>
  <c r="H2859" i="2"/>
  <c r="E2860" i="2"/>
  <c r="G2860" i="2"/>
  <c r="H2860" i="2"/>
  <c r="E2861" i="2"/>
  <c r="G2861" i="2"/>
  <c r="H2861" i="2"/>
  <c r="E2862" i="2"/>
  <c r="G2862" i="2"/>
  <c r="H2862" i="2"/>
  <c r="E2863" i="2"/>
  <c r="G2863" i="2"/>
  <c r="H2863" i="2"/>
  <c r="E2864" i="2"/>
  <c r="G2864" i="2"/>
  <c r="H2864" i="2"/>
  <c r="E2865" i="2"/>
  <c r="G2865" i="2"/>
  <c r="H2865" i="2"/>
  <c r="E2866" i="2"/>
  <c r="G2866" i="2"/>
  <c r="H2866" i="2"/>
  <c r="E2867" i="2"/>
  <c r="G2867" i="2"/>
  <c r="H2867" i="2"/>
  <c r="E2868" i="2"/>
  <c r="G2868" i="2"/>
  <c r="H2868" i="2"/>
  <c r="E2869" i="2"/>
  <c r="G2869" i="2"/>
  <c r="H2869" i="2"/>
  <c r="E2870" i="2"/>
  <c r="G2870" i="2"/>
  <c r="H2870" i="2"/>
  <c r="E2871" i="2"/>
  <c r="G2871" i="2"/>
  <c r="H2871" i="2"/>
  <c r="E2872" i="2"/>
  <c r="G2872" i="2"/>
  <c r="H2872" i="2"/>
  <c r="E2873" i="2"/>
  <c r="G2873" i="2"/>
  <c r="H2873" i="2"/>
  <c r="E2874" i="2"/>
  <c r="G2874" i="2"/>
  <c r="H2874" i="2"/>
  <c r="E2875" i="2"/>
  <c r="G2875" i="2"/>
  <c r="H2875" i="2"/>
  <c r="E2876" i="2"/>
  <c r="G2876" i="2"/>
  <c r="H2876" i="2"/>
  <c r="E2877" i="2"/>
  <c r="G2877" i="2"/>
  <c r="H2877" i="2"/>
  <c r="E2878" i="2"/>
  <c r="G2878" i="2"/>
  <c r="H2878" i="2"/>
  <c r="E2879" i="2"/>
  <c r="G2879" i="2"/>
  <c r="H2879" i="2"/>
  <c r="E2880" i="2"/>
  <c r="G2880" i="2"/>
  <c r="H2880" i="2"/>
  <c r="E2881" i="2"/>
  <c r="G2881" i="2"/>
  <c r="H2881" i="2"/>
  <c r="E2882" i="2"/>
  <c r="G2882" i="2"/>
  <c r="H2882" i="2"/>
  <c r="E2883" i="2"/>
  <c r="G2883" i="2"/>
  <c r="H2883" i="2"/>
  <c r="E2884" i="2"/>
  <c r="G2884" i="2"/>
  <c r="H2884" i="2"/>
  <c r="E2885" i="2"/>
  <c r="G2885" i="2"/>
  <c r="H2885" i="2"/>
  <c r="E2886" i="2"/>
  <c r="G2886" i="2"/>
  <c r="H2886" i="2"/>
  <c r="E2887" i="2"/>
  <c r="G2887" i="2"/>
  <c r="H2887" i="2"/>
  <c r="E2888" i="2"/>
  <c r="G2888" i="2"/>
  <c r="H2888" i="2"/>
  <c r="E2889" i="2"/>
  <c r="G2889" i="2"/>
  <c r="H2889" i="2"/>
  <c r="E2890" i="2"/>
  <c r="G2890" i="2"/>
  <c r="H2890" i="2"/>
  <c r="E2891" i="2"/>
  <c r="G2891" i="2"/>
  <c r="H2891" i="2"/>
  <c r="E2892" i="2"/>
  <c r="G2892" i="2"/>
  <c r="H2892" i="2"/>
  <c r="E2893" i="2"/>
  <c r="G2893" i="2"/>
  <c r="H2893" i="2"/>
  <c r="E2894" i="2"/>
  <c r="G2894" i="2"/>
  <c r="H2894" i="2"/>
  <c r="E2895" i="2"/>
  <c r="G2895" i="2"/>
  <c r="H2895" i="2"/>
  <c r="E2896" i="2"/>
  <c r="G2896" i="2"/>
  <c r="H2896" i="2"/>
  <c r="E2897" i="2"/>
  <c r="G2897" i="2"/>
  <c r="H2897" i="2"/>
  <c r="E2898" i="2"/>
  <c r="G2898" i="2"/>
  <c r="H2898" i="2"/>
  <c r="E2899" i="2"/>
  <c r="G2899" i="2"/>
  <c r="H2899" i="2"/>
  <c r="E2900" i="2"/>
  <c r="G2900" i="2"/>
  <c r="H2900" i="2"/>
  <c r="E2901" i="2"/>
  <c r="G2901" i="2"/>
  <c r="H2901" i="2"/>
  <c r="E2902" i="2"/>
  <c r="G2902" i="2"/>
  <c r="H2902" i="2"/>
  <c r="E2903" i="2"/>
  <c r="G2903" i="2"/>
  <c r="H2903" i="2"/>
  <c r="E2904" i="2"/>
  <c r="G2904" i="2"/>
  <c r="H2904" i="2"/>
  <c r="E2905" i="2"/>
  <c r="G2905" i="2"/>
  <c r="H2905" i="2"/>
  <c r="E2906" i="2"/>
  <c r="G2906" i="2"/>
  <c r="H2906" i="2"/>
  <c r="E2907" i="2"/>
  <c r="G2907" i="2"/>
  <c r="H2907" i="2"/>
  <c r="E2908" i="2"/>
  <c r="G2908" i="2"/>
  <c r="H2908" i="2"/>
  <c r="E2909" i="2"/>
  <c r="G2909" i="2"/>
  <c r="H2909" i="2"/>
  <c r="E2910" i="2"/>
  <c r="G2910" i="2"/>
  <c r="H2910" i="2"/>
  <c r="E2911" i="2"/>
  <c r="G2911" i="2"/>
  <c r="H2911" i="2"/>
  <c r="E2912" i="2"/>
  <c r="G2912" i="2"/>
  <c r="H2912" i="2"/>
  <c r="E2913" i="2"/>
  <c r="G2913" i="2"/>
  <c r="H2913" i="2"/>
  <c r="E2914" i="2"/>
  <c r="G2914" i="2"/>
  <c r="H2914" i="2"/>
  <c r="E2915" i="2"/>
  <c r="G2915" i="2"/>
  <c r="H2915" i="2"/>
  <c r="E2916" i="2"/>
  <c r="G2916" i="2"/>
  <c r="H2916" i="2"/>
  <c r="E2917" i="2"/>
  <c r="G2917" i="2"/>
  <c r="H2917" i="2"/>
  <c r="E2918" i="2"/>
  <c r="G2918" i="2"/>
  <c r="H2918" i="2"/>
  <c r="E2919" i="2"/>
  <c r="G2919" i="2"/>
  <c r="H2919" i="2"/>
  <c r="E2920" i="2"/>
  <c r="G2920" i="2"/>
  <c r="H2920" i="2"/>
  <c r="E2921" i="2"/>
  <c r="G2921" i="2"/>
  <c r="H2921" i="2"/>
  <c r="E2922" i="2"/>
  <c r="G2922" i="2"/>
  <c r="H2922" i="2"/>
  <c r="E2923" i="2"/>
  <c r="G2923" i="2"/>
  <c r="H2923" i="2"/>
  <c r="E2924" i="2"/>
  <c r="G2924" i="2"/>
  <c r="H2924" i="2"/>
  <c r="E2925" i="2"/>
  <c r="G2925" i="2"/>
  <c r="H2925" i="2"/>
  <c r="E2926" i="2"/>
  <c r="G2926" i="2"/>
  <c r="H2926" i="2"/>
  <c r="E2927" i="2"/>
  <c r="G2927" i="2"/>
  <c r="H2927" i="2"/>
  <c r="E2928" i="2"/>
  <c r="G2928" i="2"/>
  <c r="H2928" i="2"/>
  <c r="E2929" i="2"/>
  <c r="G2929" i="2"/>
  <c r="H2929" i="2"/>
  <c r="E2930" i="2"/>
  <c r="G2930" i="2"/>
  <c r="H2930" i="2"/>
  <c r="E2931" i="2"/>
  <c r="G2931" i="2"/>
  <c r="H2931" i="2"/>
  <c r="E2932" i="2"/>
  <c r="G2932" i="2"/>
  <c r="H2932" i="2"/>
  <c r="E2933" i="2"/>
  <c r="G2933" i="2"/>
  <c r="H2933" i="2"/>
  <c r="E2934" i="2"/>
  <c r="G2934" i="2"/>
  <c r="H2934" i="2"/>
  <c r="E2935" i="2"/>
  <c r="G2935" i="2"/>
  <c r="H2935" i="2"/>
  <c r="E2936" i="2"/>
  <c r="G2936" i="2"/>
  <c r="H2936" i="2"/>
  <c r="E2937" i="2"/>
  <c r="G2937" i="2"/>
  <c r="H2937" i="2"/>
  <c r="E2938" i="2"/>
  <c r="G2938" i="2"/>
  <c r="H2938" i="2"/>
  <c r="E2939" i="2"/>
  <c r="G2939" i="2"/>
  <c r="H2939" i="2"/>
  <c r="E2940" i="2"/>
  <c r="G2940" i="2"/>
  <c r="H2940" i="2"/>
  <c r="E2941" i="2"/>
  <c r="G2941" i="2"/>
  <c r="H2941" i="2"/>
  <c r="E2942" i="2"/>
  <c r="G2942" i="2"/>
  <c r="H2942" i="2"/>
  <c r="H16" i="2"/>
  <c r="H17" i="2"/>
  <c r="G17" i="2"/>
  <c r="G16" i="2"/>
  <c r="E16" i="2"/>
  <c r="E17" i="2"/>
  <c r="A18" i="2" l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H13" i="2" l="1"/>
</calcChain>
</file>

<file path=xl/sharedStrings.xml><?xml version="1.0" encoding="utf-8"?>
<sst xmlns="http://schemas.openxmlformats.org/spreadsheetml/2006/main" count="670" uniqueCount="668">
  <si>
    <t>Texto breve de material</t>
  </si>
  <si>
    <t>Cantidad</t>
  </si>
  <si>
    <t>Texto Breve de Material</t>
  </si>
  <si>
    <t>UBICACIÓN</t>
  </si>
  <si>
    <t>Equipo de Conteo</t>
  </si>
  <si>
    <t>EQUIPO CONTEO:</t>
  </si>
  <si>
    <t>FECHA:</t>
  </si>
  <si>
    <t># Pos</t>
  </si>
  <si>
    <t>T-20</t>
  </si>
  <si>
    <t>HITO POLIFLEXY AMARILLO SIN REFLEJANTE</t>
  </si>
  <si>
    <t>ITO-PF-76-AC</t>
  </si>
  <si>
    <t>CLAVO PARA BOYA</t>
  </si>
  <si>
    <t>CLAVO-BOYA</t>
  </si>
  <si>
    <t>BASE NEGRA PARA TRAFISIT 105</t>
  </si>
  <si>
    <t>BASE-TSL-105-NG</t>
  </si>
  <si>
    <t>TRAFISIT 109 NARANJA</t>
  </si>
  <si>
    <t>MSTR-TS109-NJ-0</t>
  </si>
  <si>
    <t>CONO 45 INYECTADO NARANJA</t>
  </si>
  <si>
    <t>CNFI-45-NJ</t>
  </si>
  <si>
    <t>CONO 45 INYECTADO NARANJA CR/GI</t>
  </si>
  <si>
    <t>CNFI-45-NJ-GI</t>
  </si>
  <si>
    <t>BOTON MULTIVISTA AMBAR 2 REFLEJANTES</t>
  </si>
  <si>
    <t>BT-MUL-AC-2R</t>
  </si>
  <si>
    <t>CONO 71 INYECTADO AMARILLO</t>
  </si>
  <si>
    <t>CNFI-71-AC</t>
  </si>
  <si>
    <t>BOTON MULTIVISTA BLANCO 2 REFL</t>
  </si>
  <si>
    <t>BT-MUL-BL-2R</t>
  </si>
  <si>
    <t>BOTON MULTIVISTA DE ALUMINIO 1RAM</t>
  </si>
  <si>
    <t>BT-MUL-AL-1RAM</t>
  </si>
  <si>
    <t>BOTON MULTIVISTA ALUMNIO 2 REFL AMBAR</t>
  </si>
  <si>
    <t>BT-MUL-AL-2RAM</t>
  </si>
  <si>
    <t>BOTON MULTIVISTA  ALUMINIO 2 REFL BCO.</t>
  </si>
  <si>
    <t>BT-MUL-AL-2RBL</t>
  </si>
  <si>
    <t>CONO 91 INYECTADO NARANJA</t>
  </si>
  <si>
    <t>CNFI-91-INY-NJ</t>
  </si>
  <si>
    <t>TSR-122 COLOR NARANJA R-TRAFISIT-122</t>
  </si>
  <si>
    <t>RTRAFISIT-122</t>
  </si>
  <si>
    <t>CONO SUPERFLEXIBLE 45cm NARANJA</t>
  </si>
  <si>
    <t>CNSF-45-NJ</t>
  </si>
  <si>
    <t>CONO SUPERFLEXIBLE 60 CM NARANJA PUNTA CHATA</t>
  </si>
  <si>
    <t>CNSF-60-NJ-PCH</t>
  </si>
  <si>
    <t>TAPON AUDITIVO REUTILIZABLE TRIPLE BARRE</t>
  </si>
  <si>
    <t>TC-HHBB</t>
  </si>
  <si>
    <t>TAPON AUDITIVO REUTILIZABLE T/BAR/EST</t>
  </si>
  <si>
    <t>TC-HHBBC</t>
  </si>
  <si>
    <t>CONO SUPERFLEXIBLE 71 CM NARANJA</t>
  </si>
  <si>
    <t>CNSF-71-NJ</t>
  </si>
  <si>
    <t>TAPON AUDITIVO REUTILIZABLE TIPO HONGO</t>
  </si>
  <si>
    <t>TC-HHCC</t>
  </si>
  <si>
    <t>CONO 71 INYECTADO NARANJA CR/GI</t>
  </si>
  <si>
    <t>CNFI-71-NJ-GI</t>
  </si>
  <si>
    <t>TRAFISIT 109 NARANJA CON 2 REFLE-G.I. SIN LOGO</t>
  </si>
  <si>
    <t>TSL-109-2RGI</t>
  </si>
  <si>
    <t>ESQUINERO PARA ESTACIONAMIENTO DE 80 CM C/REF A.I</t>
  </si>
  <si>
    <t>ESQ-EST-80-AI</t>
  </si>
  <si>
    <t>CONO 91 INYECTADO AZUL PEPSI C/REF</t>
  </si>
  <si>
    <t>CNFI-91-ZP-REF</t>
  </si>
  <si>
    <t>PALETA ANTIDESLUMBRANTE COLOR VERDE</t>
  </si>
  <si>
    <t>P-ADS-62-VD</t>
  </si>
  <si>
    <t>CONO 71 INYECTADO NARANJA</t>
  </si>
  <si>
    <t>CNFI-71-NJ</t>
  </si>
  <si>
    <t>TOPE SIGLO 21 AMARILLO CON REF</t>
  </si>
  <si>
    <t>TPES-S21-AC-C/REF</t>
  </si>
  <si>
    <t>CONO 91 INYECTADO AMARILLO C/REF</t>
  </si>
  <si>
    <t>CNFI-91-AC-REF</t>
  </si>
  <si>
    <t>CUERPO BARRICADA 115 NARANJA</t>
  </si>
  <si>
    <t>BA-115-NJ-C</t>
  </si>
  <si>
    <t>BOYA ROMANA AMARILLA CON REFLEJANTE</t>
  </si>
  <si>
    <t>BY-I-68-CR</t>
  </si>
  <si>
    <t>LENTE SEGURIDAD MOD. COSMOS MICA HUMO</t>
  </si>
  <si>
    <t>TC-COSMO2</t>
  </si>
  <si>
    <t>CAPAMANGA IMPLERMEABLE AMARILLO TEL/TEJ</t>
  </si>
  <si>
    <t>TC-CAPAD</t>
  </si>
  <si>
    <t>GUANTE SOLDADOR</t>
  </si>
  <si>
    <t>TCGUANCAR4160RK</t>
  </si>
  <si>
    <t>LENTE SEGURIDAD MOD. GEMINIS MICA HUMO</t>
  </si>
  <si>
    <t>TC-GEMINI2</t>
  </si>
  <si>
    <t>BARRICADA 115 NARANJA SIN REFLEJANTE CON BASE</t>
  </si>
  <si>
    <t>BA-115-NJ-S/R-C/B</t>
  </si>
  <si>
    <t>LOSETA PODOTACTIL AMARILLO DE  LINEAS</t>
  </si>
  <si>
    <t>LPT-02-AC</t>
  </si>
  <si>
    <t>LOSETA PODOTACTIL DE CÃRCULOS AMARILLA</t>
  </si>
  <si>
    <t>LPT-03-AC</t>
  </si>
  <si>
    <t>GUANTE JAPONES C PUNTOS</t>
  </si>
  <si>
    <t>TCGUANJAP9661</t>
  </si>
  <si>
    <t>CONO SUPER FLEXIBLE 91 CM NARANJA.</t>
  </si>
  <si>
    <t>CNSF-91-NJ</t>
  </si>
  <si>
    <t xml:space="preserve">TOPE LIDER 60 NEGRO CON PINTURA A DOS CARAS </t>
  </si>
  <si>
    <t>TPES-L-60-NG-P2C</t>
  </si>
  <si>
    <t>TOPE PARA ESTACIONAMIENTO NEGRO C/PINTURA</t>
  </si>
  <si>
    <t>TPES-N-55-NG-C/P</t>
  </si>
  <si>
    <t>LENTE SEGURIDAD MOD. GEMINIS MICA AMBAR</t>
  </si>
  <si>
    <t>TC-GEMINI1</t>
  </si>
  <si>
    <t xml:space="preserve">BARRERA BABY 100 SOPLADA COLOR NARANJA SIN REFLEJANTES </t>
  </si>
  <si>
    <t>BBS-100-NJ</t>
  </si>
  <si>
    <t>LENTE SEGURIDAD MOD. COSMOS MICA AMBAR</t>
  </si>
  <si>
    <t>TC-COSMO1</t>
  </si>
  <si>
    <t>LENTE SEGURIDAD MOD. VENUS MICA HUMO</t>
  </si>
  <si>
    <t>TC-VENUS2</t>
  </si>
  <si>
    <t>CINTA BARRICADA PELIGRO 303M</t>
  </si>
  <si>
    <t>TC-CB02</t>
  </si>
  <si>
    <t xml:space="preserve">CASACA DE TELA VERDE </t>
  </si>
  <si>
    <t>TC-CAST-VD</t>
  </si>
  <si>
    <t>BALIZA BRIO 1000 COLOR BLANCO CON REFLEJANTE</t>
  </si>
  <si>
    <t>BBRIO-1000-BL-C/REF</t>
  </si>
  <si>
    <t>BALIZA BRIO 1000 NEGRO</t>
  </si>
  <si>
    <t>BBRIO-1000-NG</t>
  </si>
  <si>
    <t>TOPE SOPLADO 51 CM AMARILLO</t>
  </si>
  <si>
    <t xml:space="preserve"> TPES-S-51-AC</t>
  </si>
  <si>
    <t>BOYA I-68 COLOR VERDE CON REF. BLANCO</t>
  </si>
  <si>
    <t>BY-I-68-VD/BL</t>
  </si>
  <si>
    <t>BALIZA BRIO 105 NEGRA CON REFLEJANTE</t>
  </si>
  <si>
    <t>BBRIO-105-NG-C/R</t>
  </si>
  <si>
    <t>GUANTE ANTICORTE</t>
  </si>
  <si>
    <t>TCGUANDYN8915DP</t>
  </si>
  <si>
    <t xml:space="preserve">CONO SUPERFLEXIBLE 45cm NARANJA REFLEJANTE G.I.  </t>
  </si>
  <si>
    <t>CNSF-45-NJ-C/R</t>
  </si>
  <si>
    <t>BANDERIN PARA CAMION PLASTICO NARANJA</t>
  </si>
  <si>
    <t>BAND-CAM-NJP</t>
  </si>
  <si>
    <t xml:space="preserve">TOPE 55 NEGRO PARA ESTACIONAMIENTO </t>
  </si>
  <si>
    <t>TPES-N-55-NG</t>
  </si>
  <si>
    <t xml:space="preserve">CONO SUPERFLEXIBLE 91 CM REFLEJANTE </t>
  </si>
  <si>
    <t>CNSF-91-C/R</t>
  </si>
  <si>
    <t>BARRICADA 115 VERDE CON REFLEJANTE CON BASE</t>
  </si>
  <si>
    <t>BA-115-VD-C/R-C/B</t>
  </si>
  <si>
    <t>ITO POLIFLEXY COLOR AMARILLO G. I.</t>
  </si>
  <si>
    <t>ITO-PF-51-AC-GI</t>
  </si>
  <si>
    <t>POSTE BICOLOR NEGRO CON BLANCO</t>
  </si>
  <si>
    <t>P-BC-NB</t>
  </si>
  <si>
    <t>BANDEROLA LONA NJ C/ REFLEJANTE</t>
  </si>
  <si>
    <t>TC-BMN04</t>
  </si>
  <si>
    <t>CASACA DE TELA 100% ALGODON ROJO</t>
  </si>
  <si>
    <t>TC-CASTRJ</t>
  </si>
  <si>
    <t>GUANTE CARNAZA CORTO</t>
  </si>
  <si>
    <t>TC-GUANCARCOR</t>
  </si>
  <si>
    <t>GUANTE CARNAZA LARGO</t>
  </si>
  <si>
    <t>TC-GUANCARLAR</t>
  </si>
  <si>
    <t>BALIZA BRIO 105 VERDE CON REFLEJANTE</t>
  </si>
  <si>
    <t>BBRIO-105-VD-C/R</t>
  </si>
  <si>
    <t>CONECTOR PARA ANCLAJE EN TRAVESAÃ‘OS 90 M</t>
  </si>
  <si>
    <t>TC-ANCLA-1</t>
  </si>
  <si>
    <t>CASCO T/CACHUCHA ROJO Y AJUSTE/INT</t>
  </si>
  <si>
    <t>TC-CASCO-RO</t>
  </si>
  <si>
    <t>LENTE SEGURIDAD MOD. GEMINIS MICA CLARA</t>
  </si>
  <si>
    <t>TC-GEMINI0</t>
  </si>
  <si>
    <t>CASACA TELA %100ALGODON AMARILLO</t>
  </si>
  <si>
    <t>TC-CASTAMC</t>
  </si>
  <si>
    <t>BOTIQUIN INDUSTRIAL 40X50X12</t>
  </si>
  <si>
    <t>TC-BOT IND</t>
  </si>
  <si>
    <t>CASCO T/CACHUCHA NARANJA Y AJUSTE/INTERV</t>
  </si>
  <si>
    <t>TC-CASCO-N</t>
  </si>
  <si>
    <t>LENTE SEGURIDAD MOD. VENUS MICA AMBAR</t>
  </si>
  <si>
    <t>TC-VENUS1</t>
  </si>
  <si>
    <t>BARRICADA 115 NARANJA CON REFLEJANTE CON BASE</t>
  </si>
  <si>
    <t>BA-115-NJ-C/R-C/B</t>
  </si>
  <si>
    <t>ZAPATO SEGURIDAD ERGONOMICO BULLENCLAVE #6</t>
  </si>
  <si>
    <t>TC-BULLENCLAVE-6</t>
  </si>
  <si>
    <t>CHALECO MF AMARILLO T/CHICA</t>
  </si>
  <si>
    <t>TC-CHAMFATCH</t>
  </si>
  <si>
    <t>CHALECO MF ROJO T/GRANDE</t>
  </si>
  <si>
    <t>TC-CHAMFRTG</t>
  </si>
  <si>
    <t>CHA BRI 100%ALGODON C/R TELA VERDE</t>
  </si>
  <si>
    <t>TC-CHBRTELVB1</t>
  </si>
  <si>
    <t>POLYSTRECH TRANSPARENTE CALIBRE 80 18"</t>
  </si>
  <si>
    <t>MSPS-P8018-TR-0</t>
  </si>
  <si>
    <t>BALIZA BRIO 105 AZUL PEPSI CON REFLEJANTE</t>
  </si>
  <si>
    <t>BBRIO-105-ZP-C/R</t>
  </si>
  <si>
    <t>CACHUCHA HIGIENICA DE PROTECCION</t>
  </si>
  <si>
    <t>TC-BCAP</t>
  </si>
  <si>
    <t>BOTIQUIN OFICINA 25X30X8</t>
  </si>
  <si>
    <t>TC-BOT OF</t>
  </si>
  <si>
    <t>ZAPATO SEGURIDAD ERGONOMICO BULLENCLAVE #4</t>
  </si>
  <si>
    <t>TC-BULLENCLAVE-4</t>
  </si>
  <si>
    <t>ZAPATO SEGURIDAD ERGONOMICO BULLENCLAVE #5</t>
  </si>
  <si>
    <t>TC-BULLENCLAVE-5</t>
  </si>
  <si>
    <t>CASCO T/CACHUCHA GRIS Y AJUSTE/INTERVALO</t>
  </si>
  <si>
    <t>TC-CASCO-G</t>
  </si>
  <si>
    <t>CHALECO MF AMARILLO T/MEDIANA</t>
  </si>
  <si>
    <t>TC-CHAMFATM</t>
  </si>
  <si>
    <t>CHALECO MF NARANJA T/CHICA</t>
  </si>
  <si>
    <t>TC-CHAMFNTCH</t>
  </si>
  <si>
    <t>CHALECO MF NARANGA T/GRANDE</t>
  </si>
  <si>
    <t>TC-CHAMFNTG</t>
  </si>
  <si>
    <t>CHALECO MF ROJO T/CHICO</t>
  </si>
  <si>
    <t>TC-CHAMFRTCH</t>
  </si>
  <si>
    <t>CHALECO MF VERDE BANDERA T/CHICA</t>
  </si>
  <si>
    <t>TC-CHAMFVBTCH</t>
  </si>
  <si>
    <t>CHALECO MF VERDE BANDERA T/GRANDE</t>
  </si>
  <si>
    <t>TC-CHAMFVBTG</t>
  </si>
  <si>
    <t>CHA BRI 100%ALGODON C/R TELA ROJA</t>
  </si>
  <si>
    <t>TC-CHBRTELRO</t>
  </si>
  <si>
    <t>GUANTE JAPONES GRIS</t>
  </si>
  <si>
    <t>TCGUANJAPF6039</t>
  </si>
  <si>
    <t>LINEA DE POSICIONAMIENTO Y LIMITACION, T</t>
  </si>
  <si>
    <t>TC-LP1</t>
  </si>
  <si>
    <t>BARRERA MULTIUSOS NARANJA</t>
  </si>
  <si>
    <t>BA-MUL-1500-NJ</t>
  </si>
  <si>
    <t>JUEGO DE TAQUETE, PIJA Y RONDANA DE 3/8"</t>
  </si>
  <si>
    <t>JGO-TAQ-PIJ</t>
  </si>
  <si>
    <t>BARRICADA 115 VERDE SIN REFLEJANTE CON BASE</t>
  </si>
  <si>
    <t>BA-115-VD-S/R-C/B</t>
  </si>
  <si>
    <t>ZAPATO SEGURIDAD ERGONOMICO BULLENCLAVE #7</t>
  </si>
  <si>
    <t>TC-BULLENCLAVE-7</t>
  </si>
  <si>
    <t>ZAPATO SEGURIDAD ERGONOMICO BULLENCLAVE #9</t>
  </si>
  <si>
    <t>TC-BULLENCLAVE-9</t>
  </si>
  <si>
    <t>CASCO T/CACHUCHA NARANJA Y AJUSTE/MATRAC</t>
  </si>
  <si>
    <t>TC-CASCOM-N</t>
  </si>
  <si>
    <t>CHALECO MF AMARILLO T/GRANDE</t>
  </si>
  <si>
    <t>TC-CHAMFATG</t>
  </si>
  <si>
    <t>CHALECO MF VERDE BANDERA T/MEDIANA</t>
  </si>
  <si>
    <t>TC-CHAMFVBTM</t>
  </si>
  <si>
    <t>CHA BRI 100%ALGODON C/R TELA AZUL REY</t>
  </si>
  <si>
    <t>TC-CHBRTELAR7</t>
  </si>
  <si>
    <t>SILBATO</t>
  </si>
  <si>
    <t>TC-SILB</t>
  </si>
  <si>
    <t>MALLA DE CONSTRUCCION LIGERA</t>
  </si>
  <si>
    <t>CP-NA</t>
  </si>
  <si>
    <t>TACO PARA CAMION 20</t>
  </si>
  <si>
    <t xml:space="preserve">ITO 110 NARANJA </t>
  </si>
  <si>
    <t>IT-110-NJ</t>
  </si>
  <si>
    <t>ZAPATO SEGURIDAD ERGONOMICO BULLENCLAVE #8</t>
  </si>
  <si>
    <t>TC-BULLENCLAVE-8</t>
  </si>
  <si>
    <t>CARETA P/SOLDADOR CON 30% FIBRA/VID. MA</t>
  </si>
  <si>
    <t>TC-CARETA-FV-VL</t>
  </si>
  <si>
    <t>CASCO T/MINERO (ALA ANCHA) NARANJA Y AJUSTE/INTERVA</t>
  </si>
  <si>
    <t>TC-CASCOE-N</t>
  </si>
  <si>
    <t>CASACA DE TELA 100% ALGODON NARANJA</t>
  </si>
  <si>
    <t>TC-CASTNJ</t>
  </si>
  <si>
    <t>CHA BRI 100%ALGODON C/R TELA NARANJA</t>
  </si>
  <si>
    <t>TC-CHBRTLNJ</t>
  </si>
  <si>
    <t>DETECTOR HUMO</t>
  </si>
  <si>
    <t>TC-I9040E</t>
  </si>
  <si>
    <t>LINEA POSICIONAMIENTO Y LIMITACION, C/TR</t>
  </si>
  <si>
    <t>TC-LP2</t>
  </si>
  <si>
    <t>LINEA POSICIONAMIENTO Y LIMITACION C/A</t>
  </si>
  <si>
    <t>TC-LP3</t>
  </si>
  <si>
    <t>MUÃ‘EQUERA DE 3 PULGADAS</t>
  </si>
  <si>
    <t>TC-MUÃ‘E3</t>
  </si>
  <si>
    <t>MUÃ‘EQUERA DE 4 PULGADAS</t>
  </si>
  <si>
    <t>TC-MUÃ‘E4</t>
  </si>
  <si>
    <t>BARRERA BABY ROTOMOLDEADA COLOR NARANJA CON DOS CARAS REFLEJANTES</t>
  </si>
  <si>
    <t>BD-100-NJ-CR-2</t>
  </si>
  <si>
    <t xml:space="preserve">BARRERA BULLDOG S-70 CON FLECHAS Y 4 CAPTAFAROS EN AMBOS LADOS </t>
  </si>
  <si>
    <t>BB-S70-2C-REF</t>
  </si>
  <si>
    <t xml:space="preserve">BARRERA BULLDOG S-81 CON CAPTAFAROS EN AMBOS LADOS </t>
  </si>
  <si>
    <t>BB-S81-2C-CAP</t>
  </si>
  <si>
    <t>CONO INYECTADO DE 71 CON REFLEJANTE Y LUZ</t>
  </si>
  <si>
    <t xml:space="preserve">CNFI-71-NJ-GI-L </t>
  </si>
  <si>
    <t>CONO INYECTADO DE 91 CON REFLEJANTE Y LUZ</t>
  </si>
  <si>
    <t>CNFI-91-NJ-GI-L</t>
  </si>
  <si>
    <t>HITO 80 DEFENDER NARANJA</t>
  </si>
  <si>
    <t>IT-80-NJ</t>
  </si>
  <si>
    <t>ARNES CUERPO COMPLETO 1 ARGOLLA L/ V/ I</t>
  </si>
  <si>
    <t>TC-A1ALV</t>
  </si>
  <si>
    <t>ARNES DE CUERPO COMPLETO DE 4 ARGOLLAS</t>
  </si>
  <si>
    <t>TC-A4A</t>
  </si>
  <si>
    <t>ARNES DE CUERPO COMPLETO DE 5 ARGOLLAS</t>
  </si>
  <si>
    <t>TC-A5A</t>
  </si>
  <si>
    <t>CASCO T/CACHUCHA NEGRO Y AJUSTE/INT</t>
  </si>
  <si>
    <t>TC-CASCO-NE</t>
  </si>
  <si>
    <t>CASCO T/CACHUCHA ROSA Y AJUSTE/INT</t>
  </si>
  <si>
    <t>TC-CASCO-RA</t>
  </si>
  <si>
    <t xml:space="preserve">BARRERA DIAMANTE SOPLADA 2REF G.I </t>
  </si>
  <si>
    <t>BDS-174-NJ-2</t>
  </si>
  <si>
    <t xml:space="preserve">CONO INYECTADO DE 41 CMS COLOR NARANJA </t>
  </si>
  <si>
    <t>CN-41-NJ</t>
  </si>
  <si>
    <t>PALETA ANTIDESLUMBRANTE CON 2 REFLEJANTES</t>
  </si>
  <si>
    <t>P-ADS-62-C/2R</t>
  </si>
  <si>
    <t>TRAFISIT 109 CON LUZ</t>
  </si>
  <si>
    <t>TSL-109-LUZ</t>
  </si>
  <si>
    <t>BALIZA BRIO 1000 AMARILLO</t>
  </si>
  <si>
    <t>BBRIO-1000-AC</t>
  </si>
  <si>
    <t>BALIZA BRIO 1000 VERDE</t>
  </si>
  <si>
    <t>BBRIO-1000-VD</t>
  </si>
  <si>
    <t>POSTE BICOLOR ROJO/BLANCO</t>
  </si>
  <si>
    <t>P-BC-RB</t>
  </si>
  <si>
    <t>BOYA MULTIESFERA  2REF.  AMBAR</t>
  </si>
  <si>
    <t>BY-ES-2R-AM</t>
  </si>
  <si>
    <t>BALIZA BRIO 105 BLANCO CON REFLEJANTE</t>
  </si>
  <si>
    <t>BBRIO-105-BL-C/R</t>
  </si>
  <si>
    <t xml:space="preserve">BALIZA BRIO 105 NARANJA CON REFLEJANTE </t>
  </si>
  <si>
    <t>BBRIO-105-NJ-C/R</t>
  </si>
  <si>
    <t>ITO 113 NARANJA</t>
  </si>
  <si>
    <t>IT-113-NJ</t>
  </si>
  <si>
    <t>HITO FLEX 100 BLANCO</t>
  </si>
  <si>
    <t>IT-FLE-100</t>
  </si>
  <si>
    <t>HITO 80 DEFENDER AMARILLO</t>
  </si>
  <si>
    <t>IT-80-AC</t>
  </si>
  <si>
    <t>HITO 80 DEFENDER NATURAL</t>
  </si>
  <si>
    <t>IT-80-NT</t>
  </si>
  <si>
    <t>HITO 80 DEFENDER VERDE</t>
  </si>
  <si>
    <t>IT-80-VD</t>
  </si>
  <si>
    <t>HITO 80 DEFENDER AZUL</t>
  </si>
  <si>
    <t>IT-80-ZP</t>
  </si>
  <si>
    <t>TOPE REDUCTOR DE VELOCIDAD SIN ESFERAS</t>
  </si>
  <si>
    <t>TR-EV-183-S/E</t>
  </si>
  <si>
    <t>CINTA REFLEJANTE GD 2" BARRAS BLANCO/ROJO ROLLO</t>
  </si>
  <si>
    <t>CI-R2"GD-BL/RJ</t>
  </si>
  <si>
    <t>CINTA DE MARCAJE BARRICADA (BLANCO-ROJO) 48 mm x 33 mts (2") ROLLO</t>
  </si>
  <si>
    <t>CNT-BARR-3</t>
  </si>
  <si>
    <t>ARNES DE CUERPO COMPLETO DE 3 ARGOLLAS</t>
  </si>
  <si>
    <t>TC-A3A</t>
  </si>
  <si>
    <t>CASCO T/MINERO (ALA ANCHA) AMARILLO Y AJUSTE/INTERVA</t>
  </si>
  <si>
    <t>TC-CASCOE-A</t>
  </si>
  <si>
    <t>CINTA BARRICADA PRECAUCION 303 M</t>
  </si>
  <si>
    <t>TC-CB01</t>
  </si>
  <si>
    <t>CHALECO MF NARANJA T/MEDIANA</t>
  </si>
  <si>
    <t>TC-CHAMFNTM</t>
  </si>
  <si>
    <t>GUANTE POLIURETANO</t>
  </si>
  <si>
    <t>TCGUANNYL9911PUN</t>
  </si>
  <si>
    <t>OVEROL GABARDINA AZUL MARINO TALLA 36</t>
  </si>
  <si>
    <t>TC-OVER-185-36</t>
  </si>
  <si>
    <t>OVEROL GABARDINA AZUL MARINO TALLA 38</t>
  </si>
  <si>
    <t>TC-OVER-185-38</t>
  </si>
  <si>
    <t>OVEROL GABARDINA AZUL MARINO TALLA 40</t>
  </si>
  <si>
    <t>TC-OVER-185-40</t>
  </si>
  <si>
    <t>BARRERA BABY ROTOMOLDEADA COLOR NARANJA CON UNA CARA REFLEJANTE</t>
  </si>
  <si>
    <t>BD-100-NJ-C/R-1</t>
  </si>
  <si>
    <t>CONFIBICI 40 MODELO ANTERIOR SIN LUZ</t>
  </si>
  <si>
    <t>B-COBI-40-AN-S/L-AC</t>
  </si>
  <si>
    <t xml:space="preserve">BOLARDO C.MT AMARILLO REF G.I C/A </t>
  </si>
  <si>
    <t>C.MT-180-AC</t>
  </si>
  <si>
    <t xml:space="preserve">BARRERA B-180 AZUL PEPSI CON DOS PALETAS </t>
  </si>
  <si>
    <t>B-180-2PAL-ZP</t>
  </si>
  <si>
    <t xml:space="preserve">BARRERA GALAXY NARANJA </t>
  </si>
  <si>
    <t>BGP-145-NJ</t>
  </si>
  <si>
    <t>ECOREDUCTOR CENTRAL AMARILLO 140 SIN CAJA</t>
  </si>
  <si>
    <t>ECO-RI-140-AM-S/C</t>
  </si>
  <si>
    <t>BARRERA MINI SOPLADA RS 100 CON 2 REFLEJANTES</t>
  </si>
  <si>
    <t>RS-100-NJ-2R</t>
  </si>
  <si>
    <t>CABALLETE GRAN FORMATO BLANCO 2 CARAS REF</t>
  </si>
  <si>
    <t>CAB-114-A-BL-2C</t>
  </si>
  <si>
    <t>CABALLETE 2 ESPACIOS BLANCO</t>
  </si>
  <si>
    <t>CAB-114-B-BL</t>
  </si>
  <si>
    <t>PALETA INFORMATIVA SIN TEXTO</t>
  </si>
  <si>
    <t>PAL-INF-S/T</t>
  </si>
  <si>
    <t>PALETA UNIX PTR</t>
  </si>
  <si>
    <t>PAL-UNIX-PTR</t>
  </si>
  <si>
    <t xml:space="preserve">CONO SEMIFLEXIBLE DE 25 CMS COLOR NARANJA </t>
  </si>
  <si>
    <t>CN-25-NJ</t>
  </si>
  <si>
    <t>ABSORB 190 COLOR AZUL PEPSI</t>
  </si>
  <si>
    <t>ABSORB-190-ZP</t>
  </si>
  <si>
    <t>IMPACTADOR VIAL AMARILLO SIN REFLEJANTE</t>
  </si>
  <si>
    <t>I-890-AC-SR</t>
  </si>
  <si>
    <t>ECOREDUCTOR 140 DERECHO AMARILLO S/C</t>
  </si>
  <si>
    <t>ECO-140-DER-AM-S/C</t>
  </si>
  <si>
    <t>ECOREDUCTOR 140 IZQUIERDO AMARILLO S/C</t>
  </si>
  <si>
    <t>ECO-140-IZQ-AM-S/C</t>
  </si>
  <si>
    <t>RDV-45 MODULO UNIVERSAL AMARILLO</t>
  </si>
  <si>
    <t>RDV-45-MU-AC</t>
  </si>
  <si>
    <t>RDV-45 MODULO UNIVERSAL NEGRO</t>
  </si>
  <si>
    <t>RDV-45-MU-NG</t>
  </si>
  <si>
    <t>RDV-45 REMATE DERECHO (HEMBRA) NEGRO</t>
  </si>
  <si>
    <t>RDV-45-RE-DER-NG</t>
  </si>
  <si>
    <t>RDV-45 REMATE IZQUIERDO (MACHO) AMARILLO</t>
  </si>
  <si>
    <t xml:space="preserve"> RDV-45-RE-IZQ-AC</t>
  </si>
  <si>
    <t>REDUCTOR S-81 CENTRAL AMARILLO S/CAJA VI</t>
  </si>
  <si>
    <t>RED-S81C-ACSCV</t>
  </si>
  <si>
    <t>REDUCTOR S-81 CENTRAL NEGRO S/CAJA VIALE</t>
  </si>
  <si>
    <t>RED-S81C-NGSCV</t>
  </si>
  <si>
    <t>REDUCTOR S-81 REMATE AMARILLO (PUNTA)</t>
  </si>
  <si>
    <t>RED-S81R-ACP</t>
  </si>
  <si>
    <t>MOUSE</t>
  </si>
  <si>
    <t>CINTA BARRICADA PROHIBIDO 303M</t>
  </si>
  <si>
    <t>TC-CB03</t>
  </si>
  <si>
    <t>CANALIZADOR BUS-TROLEBUS C.R. G.I. S/A</t>
  </si>
  <si>
    <t>C.MT-180-S/A</t>
  </si>
  <si>
    <t>CONTROL REMOTO</t>
  </si>
  <si>
    <t>CON-RE</t>
  </si>
  <si>
    <t xml:space="preserve">BOYA METALICA AMARILLA </t>
  </si>
  <si>
    <t>BY-M</t>
  </si>
  <si>
    <t>BARRERA BULLDOG S70 NARANJA</t>
  </si>
  <si>
    <t>BB-S70-NJ</t>
  </si>
  <si>
    <t>TOPE PARA ESTACIONAMIENTO NEGRO C/ 2 FRANJA PINTADA A 1 CARA</t>
  </si>
  <si>
    <t>TPES-N-180-NG-P2F</t>
  </si>
  <si>
    <t>BALIZA BRIO 105 AMARILLO CON REFLEJANTE</t>
  </si>
  <si>
    <t>BBRIO-105-AC-C/R</t>
  </si>
  <si>
    <t xml:space="preserve">CUERPO BARRERA MULTIUSOS NARANJA CUENTA CON 2 HEMBRAS Y 2 MACHOS </t>
  </si>
  <si>
    <t>BA-MUL-1500-NJ-C-H/M</t>
  </si>
  <si>
    <t xml:space="preserve">TOPE LIDER 60 NEGRO CON PINTURA A UNA CARA </t>
  </si>
  <si>
    <t>TPES-L-60-NG-CP</t>
  </si>
  <si>
    <t>TOPE REDUCTOR DE VELOCIDAD CON ESFERAS</t>
  </si>
  <si>
    <t>TR-EV-183-C/E</t>
  </si>
  <si>
    <t>CONO SUPERFLEXIBLE 60 CM NARANJA PUNTA CHATA REF G.I.</t>
  </si>
  <si>
    <t>CNSF-60-NJ-CH-RGI</t>
  </si>
  <si>
    <t>ITO 80 DEFENDER NARANJA CON REFLEJANTE</t>
  </si>
  <si>
    <t>IT-80-NJ-C/R</t>
  </si>
  <si>
    <t>BARRERA BABY SOPLADA CON 2 CARAS REFLEJANTES</t>
  </si>
  <si>
    <t>BBS-100-NJ-S-CR-2</t>
  </si>
  <si>
    <t>TRAFISIT 105 ECONOMICO SIN REFLEJANTES.</t>
  </si>
  <si>
    <t>TSL-105</t>
  </si>
  <si>
    <t>CONO 91 INYECTADO NARANJA C/REF</t>
  </si>
  <si>
    <t>CNFI-91-NJ-REF</t>
  </si>
  <si>
    <t>HITO POLIFLEXY COLOR BLANCO</t>
  </si>
  <si>
    <t>ITO-PF-76-BL</t>
  </si>
  <si>
    <t>HITO POLIFLEXY COLOR NARANJA</t>
  </si>
  <si>
    <t>ITO-PF-76-NJ</t>
  </si>
  <si>
    <t>TOPE PARA ESTACIONAMIENTO C/FRANJA PINTADA</t>
  </si>
  <si>
    <t>TPES-N-180-CP</t>
  </si>
  <si>
    <t>BARRERA DIAMANTE SOPLADA NARANJA</t>
  </si>
  <si>
    <t>BDS-174-NJ</t>
  </si>
  <si>
    <t>PICOBA BARCELONA</t>
  </si>
  <si>
    <t>PIC-BARCELONA</t>
  </si>
  <si>
    <t>PICOBA EIFEL NEGRA</t>
  </si>
  <si>
    <t>PIC-EIFEL-NG</t>
  </si>
  <si>
    <t>PICOBA METROPOLI</t>
  </si>
  <si>
    <t>PIC-METROPOLI-NG</t>
  </si>
  <si>
    <t>PICOBA VIENA</t>
  </si>
  <si>
    <t>PIC-VIENA-NG</t>
  </si>
  <si>
    <t>VIALETON 395 CON LUZ</t>
  </si>
  <si>
    <t>VIA-395-AC</t>
  </si>
  <si>
    <t>CONO SUPERFLEXIBLE 71cm NARANJA C/REF G. I.</t>
  </si>
  <si>
    <t>CNSF-71-NJ-C/R-GI</t>
  </si>
  <si>
    <t>POSTE BICOLOR AMARILLO/BLANCO</t>
  </si>
  <si>
    <t>P-BC-AB</t>
  </si>
  <si>
    <t xml:space="preserve">NO USAR CONO SUPERFLEXIBLE 60 CM NARANJA REF G.I. </t>
  </si>
  <si>
    <t>NO USAR CNSF-60-NJ-C/R</t>
  </si>
  <si>
    <t>Código</t>
  </si>
  <si>
    <t>LRO-30-200-RJ</t>
  </si>
  <si>
    <t>BOLSA ROJA RPBI 30X40 CAL. 200 (A1BL-LRO30-RJ-0)</t>
  </si>
  <si>
    <t>BOT-200-VM</t>
  </si>
  <si>
    <t>CONTENEDOR BOTE VERDE MILITAR 200 LTS (A1HD-EF200-VM-0)</t>
  </si>
  <si>
    <t>LRO-50-200-RJ</t>
  </si>
  <si>
    <t>BOLSA ROJA RPBI 46X50 CAL. 200 (A1BL-LRO50-RJ-0)</t>
  </si>
  <si>
    <t>LRO-20-200-RJ</t>
  </si>
  <si>
    <t>BOLSA ROJA RPBI 20X30 CAL. 200 (A1BL-LRO20-RJ-0)</t>
  </si>
  <si>
    <t>LRO-110-200-RJ</t>
  </si>
  <si>
    <t>BOLSA ROJA RPBI 78X109 CAL. 200 (A1BL-LR110-RJ-0)</t>
  </si>
  <si>
    <t>LRO-61-200-RJ</t>
  </si>
  <si>
    <t>BOLSA ROJA RPBI 60X80 CAL. 200 (A1BL-LRO61-RJ-0)</t>
  </si>
  <si>
    <t>A1HD-V240H-RJ-B</t>
  </si>
  <si>
    <t>BOTE VIC HD 240 Lts. ROJO</t>
  </si>
  <si>
    <t>A/EC-BFY24-VE</t>
  </si>
  <si>
    <t>BOTE VERDE FREDY 24 LTS</t>
  </si>
  <si>
    <t>ECOBATERY-ZP</t>
  </si>
  <si>
    <t>CONTENEDOR PARA PILAS ECOBATERY AZUL PEPSI (A1CO-ECOBA-ZP-0)</t>
  </si>
  <si>
    <t>A/EC-BCTB90-AC-0</t>
  </si>
  <si>
    <t>BOTE CUADRADO C/TAPA BALANCIN-90 LTS AMARILLO</t>
  </si>
  <si>
    <t>A/EC-BCTB90-ZP-0</t>
  </si>
  <si>
    <t>BOTE CUADRADO C/TAPA BALANCIN-90 LTS AZUL</t>
  </si>
  <si>
    <t>A/EC-BCTB90-RJ-0</t>
  </si>
  <si>
    <t>BOTE CUADRADO C/TAPA BALANCIN-90 LTS ROJO</t>
  </si>
  <si>
    <t>A/EC-BCTB90-GC-0</t>
  </si>
  <si>
    <t>BOTE CUADRADO C/TAPA BALANCIN-90 LTS GRIS</t>
  </si>
  <si>
    <t>A/EC-BCTB90-VM-0</t>
  </si>
  <si>
    <t>BOTE CUADRADO C/TAPA BALANCIN-90 LTS VERDE</t>
  </si>
  <si>
    <t>A/EC-BFY24-RJ</t>
  </si>
  <si>
    <t>BOTE ROJO FREDY 24 LTS</t>
  </si>
  <si>
    <t>A/EC-BP21-NJ</t>
  </si>
  <si>
    <t>BOTE PEDAL NARANJA  21 LTS</t>
  </si>
  <si>
    <t>A/EC-BCTB90-NJ-0</t>
  </si>
  <si>
    <t>BOTE CUADRADO C/TAPA BALANCIN-90 LTS NARANJA</t>
  </si>
  <si>
    <t xml:space="preserve"> A/EC-BCTNB75-GS</t>
  </si>
  <si>
    <t xml:space="preserve">BOTE GRIS C/T NEGRA BAL.- 75 LTS </t>
  </si>
  <si>
    <t xml:space="preserve"> A/EC-BCTNB75-RJ</t>
  </si>
  <si>
    <t xml:space="preserve">BOTE ROJO C/T NEGRA BAL.- 75 LTS </t>
  </si>
  <si>
    <t>A/EC-BP21-AC</t>
  </si>
  <si>
    <t>BOTE PEDAL AMARILLO  21 LTS</t>
  </si>
  <si>
    <t>A/EC-BP21-VE</t>
  </si>
  <si>
    <t>BOTE PEDAL VERDE  21 LTS</t>
  </si>
  <si>
    <t>RECICAJA-47-ZP</t>
  </si>
  <si>
    <t>RECICAJA 47 Lts. AZUL PEPSI (A1AC-REC47-ZP-0)</t>
  </si>
  <si>
    <t>A/EC-BCTB22-NJ</t>
  </si>
  <si>
    <t xml:space="preserve">BOTE DE 22 LTS. NARANJA C/T BAL/BLANCA </t>
  </si>
  <si>
    <t>A/EC-BCTB22-VE</t>
  </si>
  <si>
    <t>BOTE DE 22 LTS. VERDE C/T BAL/BLANCA</t>
  </si>
  <si>
    <t>A/EC-BCTB22-ZC</t>
  </si>
  <si>
    <t xml:space="preserve">BOTE DE 22 LTS. AZUL C/T BAL/BLANCA </t>
  </si>
  <si>
    <t>A/EC-BFY24-GS</t>
  </si>
  <si>
    <t>BOTE GRIS FREDY 24 LTS</t>
  </si>
  <si>
    <t>A/EC-BLCT20-VE</t>
  </si>
  <si>
    <t>BOTE LAPO VERDE CON TAPA 20 LTS</t>
  </si>
  <si>
    <t>A/EC-BLCT20-ZC</t>
  </si>
  <si>
    <t>BOTE LAPO AZUL CON TAPA 20 LTS</t>
  </si>
  <si>
    <t>TJ76-GRA-F</t>
  </si>
  <si>
    <t>MACETA TIPO JARRON TJ76 GRIS GRANITO (A1MC-TTJ76-GG-0)</t>
  </si>
  <si>
    <t>A/EC-BLCT20-AC</t>
  </si>
  <si>
    <t>BOTE LAPO AMARILLO CON TAPA 20 LTS</t>
  </si>
  <si>
    <t>A/EC-B120-RJ</t>
  </si>
  <si>
    <t>BOTE 120 LTS ROJO C/RUEDAS Y TAPA</t>
  </si>
  <si>
    <t xml:space="preserve"> A/EC-BCTNB100-AC</t>
  </si>
  <si>
    <t xml:space="preserve">BOTE AMARILLO C/T. NEGRA BALANCÃN 100 LTS </t>
  </si>
  <si>
    <t>PL-3-RJ</t>
  </si>
  <si>
    <t>RECOLECTOR CAP. 3 Lts. ROJO (A1RC-00PL3-RJ-0)</t>
  </si>
  <si>
    <t>A/EC-BFY24-ZC</t>
  </si>
  <si>
    <t>BOTE AZUL FREDY 24 LTS</t>
  </si>
  <si>
    <t>A/EC-BCTB22-AC</t>
  </si>
  <si>
    <t xml:space="preserve">BOTE DE 22 LTS. AMARILLO C/T BAL/BLANCA </t>
  </si>
  <si>
    <t>A/EC-BCTB22-RJ</t>
  </si>
  <si>
    <t xml:space="preserve">BOTE DE 22 LTS. ROJO C/T BAL/BLANCA </t>
  </si>
  <si>
    <t xml:space="preserve"> A/EC-BCTNB100-NJ</t>
  </si>
  <si>
    <t xml:space="preserve">BOTE NARANJA C/T. NEGRA BALANCÃN 100 LTS </t>
  </si>
  <si>
    <t xml:space="preserve"> A/EC-BCTNB100-ZC</t>
  </si>
  <si>
    <t xml:space="preserve">BOTE AZUL C/T. NEGRA BALANCÃN 100 LTS </t>
  </si>
  <si>
    <t xml:space="preserve"> A/EC-BCTNB75-AC</t>
  </si>
  <si>
    <t xml:space="preserve">BOTE AMARILLO C/T NEGRA BAL.- 75 LTS </t>
  </si>
  <si>
    <t>A/EC-BCTNB75-NJ</t>
  </si>
  <si>
    <t xml:space="preserve">BOTE NARANJA C/T NEGRA BAL.- 75 LTS </t>
  </si>
  <si>
    <t>A/EC-BCTNB75-ZC</t>
  </si>
  <si>
    <t xml:space="preserve">BOTE AZUL C/T NEGRA BAL.- 75 LTS </t>
  </si>
  <si>
    <t>A/EC-BLCT20-GS</t>
  </si>
  <si>
    <t>BOTE LAPO GRIS CON TAPA 20 LTS</t>
  </si>
  <si>
    <t>CR26-GRA-L</t>
  </si>
  <si>
    <t>MACETA CLASICA ROMANA CR26 GRIS GRANITO (A1MC-TCR26-GG-0)</t>
  </si>
  <si>
    <t>VC13-GRA-L</t>
  </si>
  <si>
    <t>MACETA VASIJA CORTA COLOR GRANITO LISA</t>
  </si>
  <si>
    <t>VIC-240-AC</t>
  </si>
  <si>
    <t>CONTENEDOR VIC240 AMARILLO (A1CO-VC240-AC-0)</t>
  </si>
  <si>
    <t>VOL-500-VM</t>
  </si>
  <si>
    <t>VOLQUETE 500 Lts. VERDE MILITAR (A1CR-VL500-VM-0)</t>
  </si>
  <si>
    <t>A/EC-B120-ZP</t>
  </si>
  <si>
    <t>BOTE 120 LTS AZUL C/RUEDAS Y TAPA</t>
  </si>
  <si>
    <t>MA-825-NG-C</t>
  </si>
  <si>
    <t>BIN ALEMAN MA-825 NEGRO CERRADO</t>
  </si>
  <si>
    <t>POPY-AC</t>
  </si>
  <si>
    <t>POPYCAN AMARILLA/ROJO (A1PP-POPYC-AC-0)</t>
  </si>
  <si>
    <t>RECICEST-18-GR</t>
  </si>
  <si>
    <t xml:space="preserve">PAPELERA RECICEST 18 GRIS </t>
  </si>
  <si>
    <t>A/EC-BC50-ZP</t>
  </si>
  <si>
    <t xml:space="preserve">BOTE CONICO AZUL CON TAPA NEGRA - 50 LTS </t>
  </si>
  <si>
    <t>A/EC-BCTNB100-VE</t>
  </si>
  <si>
    <t>BOTE VERDE  C/T. NEGRA BALANCÃN  100 LTS</t>
  </si>
  <si>
    <t>A/EC-BCTNB75-VE</t>
  </si>
  <si>
    <t>BOTE  VERDE C/T NEGRA BAL.- 75 LTS</t>
  </si>
  <si>
    <t>A/EC-BP21-ZP</t>
  </si>
  <si>
    <t>BOTE PEDAL AZUL PEPSI 21 LTS</t>
  </si>
  <si>
    <t>A/TA-TEUR120X100</t>
  </si>
  <si>
    <t>TARIMA TIPO EUROPEO DE 1.20X1.00</t>
  </si>
  <si>
    <t>A/TA-TEUR120X110</t>
  </si>
  <si>
    <t>TARIMA TIPO EUROPEO DE 1.20X1.10</t>
  </si>
  <si>
    <t>A/TA-TEUR120X120</t>
  </si>
  <si>
    <t>TARIMA TIPO EUROPEO DE 1.20X1.20</t>
  </si>
  <si>
    <t>A/TA-TEUR130X110</t>
  </si>
  <si>
    <t>TARIMA TIPO EUROPEO DE 1.30X1.10</t>
  </si>
  <si>
    <t>CC96-GC-L</t>
  </si>
  <si>
    <t>MACETA CLASICA CONICA CC96 GRIS CLARO (A1MC-TCC96-GC-0)</t>
  </si>
  <si>
    <t>VIC-120-L-NG</t>
  </si>
  <si>
    <t>CONTENEDOR VIC LIGERO 120 LTS. NEGRO (A1HD-V120L-NG-0)</t>
  </si>
  <si>
    <t>VIC-120-L-VM</t>
  </si>
  <si>
    <t>CONTENEDOR VIC LIGERO 120LTS VERDE MILITAR (A1HD-V120L-VM-0)</t>
  </si>
  <si>
    <t>VIC-240-GC</t>
  </si>
  <si>
    <t>CONTENEDOR VIC240 GRIS CLARO (A1CO-VC240-GC-0)</t>
  </si>
  <si>
    <t>VIC-240-ZP</t>
  </si>
  <si>
    <t>CONTENEDOR VIC 240 AZUL PEPSI (A1CO-VC240-ZP-0)</t>
  </si>
  <si>
    <t>A/EC-B120-AC</t>
  </si>
  <si>
    <t>BOTE 120 LTS AMARILLO C/RUEDAS Y TAPA</t>
  </si>
  <si>
    <t>A/EC-B120-NJ</t>
  </si>
  <si>
    <t>BOTE 120 LTS NARANJA C/RUEDAS Y TAPA</t>
  </si>
  <si>
    <t>A/EC-B120-VE</t>
  </si>
  <si>
    <t>BOTE 120 LTS VERDE C/RUEDAS Y TAPA</t>
  </si>
  <si>
    <t>BAN-BARCE-TRA</t>
  </si>
  <si>
    <t xml:space="preserve">BANCA BARCELONA RAUTEADA CON LEYENDA TRAFICIUDAD </t>
  </si>
  <si>
    <t>A760-VL-R-2-TRA</t>
  </si>
  <si>
    <t>BIN ALEMAN 760 VERDE LIMON RANURADO CON DOS TRAVERSAS</t>
  </si>
  <si>
    <t>MA760-R-NJ</t>
  </si>
  <si>
    <t>BIN ALEMAN 760 RANURADO NARANJA CON CUATRO PATAS (A1BI-MA760-NJ-1)</t>
  </si>
  <si>
    <t>MA760-R-VM</t>
  </si>
  <si>
    <t>BIN ALEMAN 760 RANURADO VERDE MILITAR CON CUATRO PATAS (MA-760-VM-1)</t>
  </si>
  <si>
    <t>MA760-VL-R</t>
  </si>
  <si>
    <t>BIN ALEMAN 760 RANURADO VERDE LIMON 4 PATAS (A1BI-MA760-VL-R)</t>
  </si>
  <si>
    <t>TP-UNI-MA</t>
  </si>
  <si>
    <t>TAPA PARA BIN ALEMAN (A1BI-MATAP-NG-0)</t>
  </si>
  <si>
    <t>BAR-300-NJ</t>
  </si>
  <si>
    <t>BAR-300 CON 2 BOTES 145 LTS. NARANJA (A1CR-BA300-NJ-0)</t>
  </si>
  <si>
    <t>BARCELONA-A80-VC</t>
  </si>
  <si>
    <t>PAPELERA BARCELONA ARCO 80LTS VERDE CLARO (A1PM-BABME-VC-0)</t>
  </si>
  <si>
    <t>CARGA-450-VM-R</t>
  </si>
  <si>
    <t xml:space="preserve">CARGACARRO 450 Lts. VERDE MLITAR CON RUEDAS </t>
  </si>
  <si>
    <t>GASO-2000-VM</t>
  </si>
  <si>
    <t>PAPELERA GASOLINERA 2000 VERDE MILITAR (A1CO-G2000-VM-0)</t>
  </si>
  <si>
    <t>RECEPTOR-CASCAJERO-NJ</t>
  </si>
  <si>
    <t>RECEPTOR CASCAJERO NARANJA (A1AC-RCASC-NJ-0)</t>
  </si>
  <si>
    <t>TAM-200-AC</t>
  </si>
  <si>
    <t>TAMBO EN POLIETILENO 200 Lts. AMARILLO (A1CO-TA200-AC-0)</t>
  </si>
  <si>
    <t>A1PP-POPYC-00-0</t>
  </si>
  <si>
    <t>POSTE PARA POPYCAN</t>
  </si>
  <si>
    <t>A/AG-CMC300</t>
  </si>
  <si>
    <t>CONTENEDOR MEXICO CERRADO COLOR NARANJA</t>
  </si>
  <si>
    <t>A/AG-CMLC200</t>
  </si>
  <si>
    <t>CONTENEDOR MILANO CALADO NARANJA</t>
  </si>
  <si>
    <t>A/AG-CMLC250</t>
  </si>
  <si>
    <t>CONTENEDOR MILANO CERRADO NARANJA</t>
  </si>
  <si>
    <t>A/EC-BC50-VE</t>
  </si>
  <si>
    <t xml:space="preserve">BOTE CONICO VERDE CON TAPA NEGRA - 50  LTS </t>
  </si>
  <si>
    <t>A/EC-BLCT20-RJ</t>
  </si>
  <si>
    <t>BOTE LAPO ROJO CON TAPA 20 LTS</t>
  </si>
  <si>
    <t>A/EC-BP21-RJ</t>
  </si>
  <si>
    <t>BOTE PEDAL ROJO  21 LTS</t>
  </si>
  <si>
    <t>A/TA-TAME124X103</t>
  </si>
  <si>
    <t>TARIMA TIPO AMERICANO 1.24X1.03 MTS BCO</t>
  </si>
  <si>
    <t>A/TA-TAME124X103-2</t>
  </si>
  <si>
    <t>TARIMA TIPO AMERICANO DE 1.24X1.03 NARANJA</t>
  </si>
  <si>
    <t>TAR4-200-AC</t>
  </si>
  <si>
    <t>TARIMA TAR4-200 AMARILLO (A1TR-T4200-AC-0)</t>
  </si>
  <si>
    <t>BONITA-250-VC</t>
  </si>
  <si>
    <t>PAPELERA BONITA-250 VERDE CLARO (A1PP-BN250-VC-0)</t>
  </si>
  <si>
    <t>ERPBI-00-0</t>
  </si>
  <si>
    <t>ETIQUETA RPBI 13 X 22.5 (A1PA-IRPBI-00-0)</t>
  </si>
  <si>
    <t>PC-13-R</t>
  </si>
  <si>
    <t>RECOLECTOR PARA PUNZOCORTANTES CAP. 13.2 LTS (A1RC-0PC13-RJ-0)</t>
  </si>
  <si>
    <t>PC-1-R</t>
  </si>
  <si>
    <t>RECOLECTOR PUNZOCORTANTES CAP. 1.7 Lts. (A1RC-00PC1-RJ-0)</t>
  </si>
  <si>
    <t>PC-3-R</t>
  </si>
  <si>
    <t>RECOLECTOR ROJO PARA PUNZOCORTANTES CAP. 3 Lt (A1RC-00PC3-RJ-0)</t>
  </si>
  <si>
    <t>PL12-A</t>
  </si>
  <si>
    <t>RECOLECTOR CAP. 12 Lts. AMARILLO (A1RC-0PL12-AM-0)</t>
  </si>
  <si>
    <t>PL1-A</t>
  </si>
  <si>
    <t>RECOLECTOR CAP. 1.7 Lts. AMARILLO (A1RC-00PL1-AM-0)</t>
  </si>
  <si>
    <t>PL3-A</t>
  </si>
  <si>
    <t>RECOLECTOR CAP. 3.00 Lts. AMARILLO (A1RC-00PL3-AM-0)</t>
  </si>
  <si>
    <t>CARROMOVIL-1-NG</t>
  </si>
  <si>
    <t>CARROMOVIL 1 CON BOTE NEGRO (A1CR-CAMO1-NG-0)</t>
  </si>
  <si>
    <t>VOL-1000-ZP</t>
  </si>
  <si>
    <t>VOLQUETE 1000 Lts. AZUL PEPSI (A1CR-VLQ1M-ZP-0)</t>
  </si>
  <si>
    <t>SB-A580-VM-C</t>
  </si>
  <si>
    <t>SUPER BIN 580 LTS. CERRADO VERDE MILITAR CUATRO PATAS  (A1BI-SB580-VM-0</t>
  </si>
  <si>
    <t>VIC-1100-HD-VM</t>
  </si>
  <si>
    <t>CONTENEDOR VIC HD 1100 Lts VERDE MILITAR (A1HD-V1100-VM-0)</t>
  </si>
  <si>
    <t>VIC-120-HD-AC</t>
  </si>
  <si>
    <t>CONTENEDOR VIC HD 120 Lts. AMARILLO (A1HD-V120H-AC-0)</t>
  </si>
  <si>
    <t xml:space="preserve"> VIC-120-HD-NJ </t>
  </si>
  <si>
    <t>CONTENEDOR VIC HD 120 LTS NARANJA (A1HD-V120H-NJ-0)</t>
  </si>
  <si>
    <t>VIC-120-HD-ZP-P</t>
  </si>
  <si>
    <t xml:space="preserve">CONTENEDOR VIC HD 120 Lts. AZUL PEPSI C/PEDAL (A1HD-V120H-ZP-P) </t>
  </si>
  <si>
    <t>VIC-120-L-ZM</t>
  </si>
  <si>
    <t>CONTENEDOR VIC LIGERO 120LTS. AZUL MARINO (A1HD-V120L-ZM-0)</t>
  </si>
  <si>
    <t>VIC-240-HD-AC-P</t>
  </si>
  <si>
    <t>CONTENEDOR VIC HD 240 Lts. AMARILLO C/PEDAL (A1HD-V240H-AC-P)</t>
  </si>
  <si>
    <t>VIC-240-HD-GO-P</t>
  </si>
  <si>
    <t>CONTENEDOR VIC HD 240 Lts. GRIS OBSCURO C/PEDAL (A1HD-V240H-GO-P)</t>
  </si>
  <si>
    <t>VIC-240-HD-NJ</t>
  </si>
  <si>
    <t>CONTENEDOR VIC HD 240 Lt. NARANJA</t>
  </si>
  <si>
    <t>VIC-240-HD-RJ</t>
  </si>
  <si>
    <t>CONTENEDOR VIC HD 240 Lts. ROJO (A1HD-V240H-RJ-0)</t>
  </si>
  <si>
    <t>VIC-240-HD-RJ-P</t>
  </si>
  <si>
    <t>CONTENEDOR VIC HD 240 Lts. ROJO C/PEDAL (A1HD-V240H-RJ-P)</t>
  </si>
  <si>
    <t>VIC-1000-ZP</t>
  </si>
  <si>
    <t>CONTENEDOR VIC 1000 AZUL PEPSI</t>
  </si>
  <si>
    <t>VIC-240-RJ</t>
  </si>
  <si>
    <t>CONTENEDOR VIC240 ROJO (A1CO-VC240-RJ-0)</t>
  </si>
  <si>
    <t>VIC-550-VM</t>
  </si>
  <si>
    <t>CONTENEDOR VIC 550 VERDE MILITAR (A1CR-VC550-VM-0)</t>
  </si>
  <si>
    <t>BOT-100-ZM</t>
  </si>
  <si>
    <t>CONTENEDOR AZUL MARINO 100 LTS (A1CO-BC100-ZP-0)</t>
  </si>
  <si>
    <t>LRO-55-200-RJ</t>
  </si>
  <si>
    <t>BOLSA ROJA RPBI 55X60 CAL. 200 (A1BL-LRO55-RJ-0)</t>
  </si>
  <si>
    <t>ISO-835-BG</t>
  </si>
  <si>
    <t>ISOTERMICO 835 BEIGE (A1IS-IS835-BE-0)</t>
  </si>
  <si>
    <t>VIC-1100-HD-GC</t>
  </si>
  <si>
    <t>CONTENEDOR VIC HD 1100 Lts. GRIS CLARO (A1HD-V1100-GC-0)</t>
  </si>
  <si>
    <t>BOT-130-NJ-TNG</t>
  </si>
  <si>
    <t>BOTE CONICO CON CAPACIDAD DE 130 LTS COLOR NARANJA CON TAPA NEGRA</t>
  </si>
  <si>
    <t>BOT-130-VM-TNG</t>
  </si>
  <si>
    <t>BOTE CONICO CON CAPACIDAD DE 130 LTS COLOR VERDE MILITAR CON TAPA NEGRA</t>
  </si>
  <si>
    <t>BOT-130-NJ-TBL</t>
  </si>
  <si>
    <t xml:space="preserve">BOTE CONICO CON CAPACIDAD DE 130 LTS COLOR NARANJA CON TAPA BLANCA </t>
  </si>
  <si>
    <t>BOT-130-VO-TBL</t>
  </si>
  <si>
    <t>BOTE CONICO CON CAPACIDAD DE 130 LTS COLOR VERDE OLIVO CON TAPA BLANCA</t>
  </si>
  <si>
    <t>BOT-200-GR</t>
  </si>
  <si>
    <t>BOTE CONICO CON CAPACIDAD DE 200 LTS COLOR GRIS</t>
  </si>
  <si>
    <t>A/EC-B120-GS</t>
  </si>
  <si>
    <t>BOTE 120 LTS GRIS C/RUEDAS Y TAPA</t>
  </si>
  <si>
    <t>ID MATERIAL</t>
  </si>
  <si>
    <t>U.M.</t>
  </si>
  <si>
    <t>ID</t>
  </si>
  <si>
    <t>No. Empaques</t>
  </si>
  <si>
    <t>ANGELICA GONZALEZ / JUAN PEREZ</t>
  </si>
  <si>
    <t>Numero de Conteo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</si>
</sst>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3" fillId="0" borderId="0" xfId="0" applyFont="1" applyAlignment="1" applyProtection="1">
      <alignment vertical="top"/>
      <protection locked="0"/>
    </xf>
    <xf numFmtId="14" fontId="2" fillId="0" borderId="0" xfId="0" applyNumberFormat="1" applyFont="1" applyAlignment="1">
      <alignment horizontal="center" vertical="top"/>
    </xf>
    <xf numFmtId="0" fontId="2" fillId="0" borderId="2" xfId="0" applyFont="1" applyBorder="1" applyAlignment="1" applyProtection="1">
      <alignment vertical="top"/>
      <protection locked="0"/>
    </xf>
    <xf numFmtId="0" fontId="2" fillId="0" borderId="2" xfId="0" applyFont="1" applyBorder="1" applyAlignment="1">
      <alignment vertical="top"/>
    </xf>
    <xf numFmtId="0" fontId="3" fillId="0" borderId="0" xfId="0" applyFont="1" applyAlignment="1" applyProtection="1">
      <alignment horizontal="right" vertical="top"/>
      <protection locked="0"/>
    </xf>
    <xf numFmtId="4" fontId="0" fillId="0" borderId="0" xfId="0" applyNumberFormat="1" applyAlignment="1">
      <alignment horizontal="center" vertical="top"/>
    </xf>
    <xf numFmtId="0" fontId="0" fillId="3" borderId="0" xfId="0" applyFill="1" applyAlignment="1">
      <alignment vertical="top"/>
    </xf>
    <xf numFmtId="0" fontId="4" fillId="2" borderId="3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center" vertical="top" wrapText="1"/>
    </xf>
    <xf numFmtId="0" fontId="0" fillId="0" borderId="0" xfId="0"/>
    <xf numFmtId="0" fontId="5" fillId="2" borderId="1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4" fillId="4" borderId="3" xfId="0" applyFont="1" applyFill="1" applyBorder="1" applyAlignment="1" applyProtection="1">
      <alignment horizontal="center" vertical="top"/>
      <protection locked="0"/>
    </xf>
    <xf numFmtId="0" fontId="1" fillId="0" borderId="0" xfId="0" applyFont="1" applyAlignment="1" applyProtection="1">
      <alignment vertical="top"/>
      <protection locked="0"/>
    </xf>
  </cellXfs>
  <cellStyles count="1">
    <cellStyle name="Normal" xfId="0" builtinId="0"/>
  </cellStyles>
  <dxfs count="10">
    <dxf>
      <font>
        <sz val="12"/>
      </font>
      <numFmt numFmtId="0" formatCode="General"/>
      <alignment horizontal="general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sz val="12"/>
      </font>
      <numFmt numFmtId="0" formatCode="General"/>
      <alignment horizontal="general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protection locked="0" hidden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  <protection locked="1" hidden="0"/>
    </dxf>
    <dxf>
      <border outline="0">
        <right style="thin">
          <color theme="1"/>
        </right>
        <top style="thin">
          <color rgb="FF000000"/>
        </top>
        <bottom style="thin">
          <color theme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30397</xdr:colOff>
      <xdr:row>5</xdr:row>
      <xdr:rowOff>144812</xdr:rowOff>
    </xdr:to>
    <xdr:sp macro="" textlink="">
      <xdr:nvSpPr>
        <xdr:cNvPr id="2" name="Title 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Grp="1"/>
        </xdr:cNvSpPr>
      </xdr:nvSpPr>
      <xdr:spPr>
        <a:xfrm>
          <a:off x="0" y="0"/>
          <a:ext cx="16932206" cy="955450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182880" rIns="365760" bIns="45720" rtlCol="0" anchor="ctr">
          <a:noAutofit/>
        </a:bodyPr>
        <a:lstStyle>
          <a:lvl1pPr marL="274320"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b="0" i="0" kern="1200" cap="all" spc="3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j-ea"/>
              <a:cs typeface="Arial Black" panose="020B0604020202020204" pitchFamily="34" charset="0"/>
            </a:defRPr>
          </a:lvl1pPr>
        </a:lstStyle>
        <a:p>
          <a:pPr algn="ctr"/>
          <a:r>
            <a:rPr lang="en-US" sz="4400">
              <a:solidFill>
                <a:schemeClr val="bg1"/>
              </a:solidFill>
            </a:rPr>
            <a:t>inventario</a:t>
          </a:r>
          <a:r>
            <a:rPr lang="en-US" sz="4400" baseline="0">
              <a:solidFill>
                <a:schemeClr val="bg1"/>
              </a:solidFill>
            </a:rPr>
            <a:t> producto terminado</a:t>
          </a:r>
          <a:endParaRPr lang="en-US" sz="44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35718</xdr:rowOff>
    </xdr:from>
    <xdr:to>
      <xdr:col>7</xdr:col>
      <xdr:colOff>1171575</xdr:colOff>
      <xdr:row>11</xdr:row>
      <xdr:rowOff>81064</xdr:rowOff>
    </xdr:to>
    <xdr:sp macro="" textlink="">
      <xdr:nvSpPr>
        <xdr:cNvPr id="3" name="Subtitle 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Grp="1"/>
        </xdr:cNvSpPr>
      </xdr:nvSpPr>
      <xdr:spPr>
        <a:xfrm>
          <a:off x="762000" y="1169193"/>
          <a:ext cx="14754225" cy="693046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91440" rIns="365760" bIns="228600" rtlCol="0">
          <a:noAutofit/>
        </a:bodyPr>
        <a:lstStyle>
          <a:lvl1pPr marL="274320" indent="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000" b="1" i="0" kern="1200" cap="all" spc="6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000">
              <a:solidFill>
                <a:schemeClr val="bg1"/>
              </a:solidFill>
            </a:rPr>
            <a:t>planta:traficiudad</a:t>
          </a:r>
          <a:r>
            <a:rPr lang="en-US" sz="2000" baseline="0">
              <a:solidFill>
                <a:schemeClr val="bg1"/>
              </a:solidFill>
            </a:rPr>
            <a:t>                       almacen: tienda traficuidad</a:t>
          </a:r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1149138</xdr:colOff>
      <xdr:row>5</xdr:row>
      <xdr:rowOff>154832</xdr:rowOff>
    </xdr:from>
    <xdr:to>
      <xdr:col>9</xdr:col>
      <xdr:colOff>420879</xdr:colOff>
      <xdr:row>12</xdr:row>
      <xdr:rowOff>23307</xdr:rowOff>
    </xdr:to>
    <xdr:pic>
      <xdr:nvPicPr>
        <xdr:cNvPr id="6" name="Picture 4" descr="https://traficiudad.com.mx/wp-content/uploads/2022/10/Diseno-sin-titulo-12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295" b="26087"/>
        <a:stretch/>
      </xdr:blipFill>
      <xdr:spPr bwMode="auto">
        <a:xfrm>
          <a:off x="15493788" y="964457"/>
          <a:ext cx="4062816" cy="100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lantilla_SCAN_EQ3_COUNT_2" displayName="Plantilla_SCAN_EQ3_COUNT_2" ref="A15:I2942" totalsRowShown="0" tableBorderDxfId="9">
  <autoFilter ref="A15:I2942" xr:uid="{00000000-0009-0000-0100-000002000000}"/>
  <tableColumns count="9">
    <tableColumn id="1" xr3:uid="{00000000-0010-0000-0000-000001000000}" name="# Pos" dataDxfId="8"/>
    <tableColumn id="4" xr3:uid="{00000000-0010-0000-0000-000004000000}" name="UBICACIÓN" dataDxfId="7">
      <calculatedColumnFormula>IF(Plantilla_SCAN_EQ3_COUNT_2[[#This Row],[ID MATERIAL]]="","",B15)</calculatedColumnFormula>
    </tableColumn>
    <tableColumn id="2" xr3:uid="{00000000-0010-0000-0000-000002000000}" name="ID MATERIAL" dataDxfId="6"/>
    <tableColumn id="6" xr3:uid="{00000000-0010-0000-0000-000006000000}" name="No. Empaques" dataDxfId="5"/>
    <tableColumn id="8" xr3:uid="{00000000-0010-0000-0000-000008000000}" name="Texto Breve de Material" dataDxfId="4">
      <calculatedColumnFormula>IF(Plantilla_SCAN_EQ3_COUNT_2[[#This Row],[ID MATERIAL]]="","",VLOOKUP(Plantilla_SCAN_EQ3_COUNT_2[[#This Row],[ID MATERIAL]],INVENTARIO!$A:$D,2,FALSE))</calculatedColumnFormula>
    </tableColumn>
    <tableColumn id="10" xr3:uid="{00000000-0010-0000-0000-00000A000000}" name="Cantidad" dataDxfId="3">
      <calculatedColumnFormula>IF(Plantilla_SCAN_EQ3_COUNT_2[[#This Row],[ID MATERIAL]]="","",IF(Plantilla_SCAN_EQ3_COUNT_2[[#This Row],[No. Empaques]]="",1,Plantilla_SCAN_EQ3_COUNT_2[[#This Row],[No. Empaques]]*1))</calculatedColumnFormula>
    </tableColumn>
    <tableColumn id="11" xr3:uid="{00000000-0010-0000-0000-00000B000000}" name="U.M." dataDxfId="2">
      <calculatedColumnFormula>IF(Plantilla_SCAN_EQ3_COUNT_2[[#This Row],[ID MATERIAL]]="","","PZ")</calculatedColumnFormula>
    </tableColumn>
    <tableColumn id="13" xr3:uid="{00000000-0010-0000-0000-00000D000000}" name="Equipo de Conteo" dataDxfId="1">
      <calculatedColumnFormula>IF(Plantilla_SCAN_EQ3_COUNT_2[[#This Row],[ID MATERIAL]]="","",$B$13)</calculatedColumnFormula>
    </tableColumn>
    <tableColumn id="5" xr3:uid="{00000000-0010-0000-0000-000005000000}" name="Numero de Conteo" dataDxfId="0">
      <calculatedColumnFormula>IF(Plantilla_SCAN_EQ3_COUNT_2[[#This Row],[ID MATERIAL]]="","","Segundo Conteo")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29"/>
  <sheetViews>
    <sheetView workbookViewId="0">
      <selection activeCell="B2" sqref="B2"/>
    </sheetView>
  </sheetViews>
  <sheetFormatPr baseColWidth="10" defaultColWidth="9.42578125" defaultRowHeight="12.75" x14ac:dyDescent="0.2"/>
  <cols>
    <col min="1" max="1" width="16.42578125" bestFit="1" customWidth="1"/>
    <col min="2" max="2" width="79.5703125" bestFit="1" customWidth="1"/>
    <col min="3" max="3" width="24.42578125" bestFit="1" customWidth="1"/>
    <col min="4" max="4" width="8.42578125" bestFit="1" customWidth="1"/>
  </cols>
  <sheetData>
    <row r="1" spans="1:4" x14ac:dyDescent="0.2">
      <c r="A1" s="18" t="s">
        <v>664</v>
      </c>
      <c r="B1" s="1" t="s">
        <v>0</v>
      </c>
      <c r="C1" s="2" t="s">
        <v>417</v>
      </c>
      <c r="D1" s="2" t="s">
        <v>1</v>
      </c>
    </row>
    <row r="2" spans="1:4" x14ac:dyDescent="0.2">
      <c r="A2">
        <v>8731</v>
      </c>
      <c r="B2" t="s">
        <v>9</v>
      </c>
      <c r="C2" t="s">
        <v>10</v>
      </c>
      <c r="D2">
        <v>1270</v>
      </c>
    </row>
    <row r="3" spans="1:4" x14ac:dyDescent="0.2">
      <c r="A3">
        <v>6833</v>
      </c>
      <c r="B3" t="s">
        <v>11</v>
      </c>
      <c r="C3" t="s">
        <v>12</v>
      </c>
      <c r="D3">
        <v>875</v>
      </c>
    </row>
    <row r="4" spans="1:4" x14ac:dyDescent="0.2">
      <c r="A4">
        <v>9681</v>
      </c>
      <c r="B4" t="s">
        <v>13</v>
      </c>
      <c r="C4" t="s">
        <v>14</v>
      </c>
      <c r="D4">
        <v>593</v>
      </c>
    </row>
    <row r="5" spans="1:4" x14ac:dyDescent="0.2">
      <c r="A5">
        <v>3455</v>
      </c>
      <c r="B5" t="s">
        <v>15</v>
      </c>
      <c r="C5" t="s">
        <v>16</v>
      </c>
      <c r="D5">
        <v>577</v>
      </c>
    </row>
    <row r="6" spans="1:4" x14ac:dyDescent="0.2">
      <c r="A6">
        <v>11099</v>
      </c>
      <c r="B6" t="s">
        <v>17</v>
      </c>
      <c r="C6" t="s">
        <v>18</v>
      </c>
      <c r="D6">
        <v>131</v>
      </c>
    </row>
    <row r="7" spans="1:4" x14ac:dyDescent="0.2">
      <c r="A7">
        <v>11100</v>
      </c>
      <c r="B7" t="s">
        <v>19</v>
      </c>
      <c r="C7" t="s">
        <v>20</v>
      </c>
      <c r="D7">
        <v>118</v>
      </c>
    </row>
    <row r="8" spans="1:4" x14ac:dyDescent="0.2">
      <c r="A8">
        <v>7538</v>
      </c>
      <c r="B8" t="s">
        <v>21</v>
      </c>
      <c r="C8" t="s">
        <v>22</v>
      </c>
      <c r="D8">
        <v>102</v>
      </c>
    </row>
    <row r="9" spans="1:4" x14ac:dyDescent="0.2">
      <c r="A9">
        <v>13927</v>
      </c>
      <c r="B9" t="s">
        <v>23</v>
      </c>
      <c r="C9" t="s">
        <v>24</v>
      </c>
      <c r="D9">
        <v>102</v>
      </c>
    </row>
    <row r="10" spans="1:4" x14ac:dyDescent="0.2">
      <c r="A10">
        <v>7518</v>
      </c>
      <c r="B10" t="s">
        <v>25</v>
      </c>
      <c r="C10" t="s">
        <v>26</v>
      </c>
      <c r="D10">
        <v>100</v>
      </c>
    </row>
    <row r="11" spans="1:4" x14ac:dyDescent="0.2">
      <c r="A11">
        <v>7534</v>
      </c>
      <c r="B11" t="s">
        <v>27</v>
      </c>
      <c r="C11" t="s">
        <v>28</v>
      </c>
      <c r="D11">
        <v>100</v>
      </c>
    </row>
    <row r="12" spans="1:4" x14ac:dyDescent="0.2">
      <c r="A12">
        <v>7528</v>
      </c>
      <c r="B12" t="s">
        <v>29</v>
      </c>
      <c r="C12" t="s">
        <v>30</v>
      </c>
      <c r="D12">
        <v>100</v>
      </c>
    </row>
    <row r="13" spans="1:4" x14ac:dyDescent="0.2">
      <c r="A13">
        <v>7527</v>
      </c>
      <c r="B13" t="s">
        <v>31</v>
      </c>
      <c r="C13" t="s">
        <v>32</v>
      </c>
      <c r="D13">
        <v>100</v>
      </c>
    </row>
    <row r="14" spans="1:4" x14ac:dyDescent="0.2">
      <c r="A14">
        <v>11107</v>
      </c>
      <c r="B14" t="s">
        <v>33</v>
      </c>
      <c r="C14" t="s">
        <v>34</v>
      </c>
      <c r="D14">
        <v>90</v>
      </c>
    </row>
    <row r="15" spans="1:4" x14ac:dyDescent="0.2">
      <c r="A15">
        <v>2103</v>
      </c>
      <c r="B15" t="s">
        <v>35</v>
      </c>
      <c r="C15" t="s">
        <v>36</v>
      </c>
      <c r="D15">
        <v>73</v>
      </c>
    </row>
    <row r="16" spans="1:4" x14ac:dyDescent="0.2">
      <c r="A16">
        <v>6775</v>
      </c>
      <c r="B16" t="s">
        <v>37</v>
      </c>
      <c r="C16" t="s">
        <v>38</v>
      </c>
      <c r="D16">
        <v>71</v>
      </c>
    </row>
    <row r="17" spans="1:4" x14ac:dyDescent="0.2">
      <c r="A17">
        <v>6773</v>
      </c>
      <c r="B17" t="s">
        <v>39</v>
      </c>
      <c r="C17" t="s">
        <v>40</v>
      </c>
      <c r="D17">
        <v>59</v>
      </c>
    </row>
    <row r="18" spans="1:4" x14ac:dyDescent="0.2">
      <c r="A18">
        <v>10386</v>
      </c>
      <c r="B18" t="s">
        <v>41</v>
      </c>
      <c r="C18" t="s">
        <v>42</v>
      </c>
      <c r="D18">
        <v>55</v>
      </c>
    </row>
    <row r="19" spans="1:4" x14ac:dyDescent="0.2">
      <c r="A19">
        <v>10405</v>
      </c>
      <c r="B19" t="s">
        <v>43</v>
      </c>
      <c r="C19" t="s">
        <v>44</v>
      </c>
      <c r="D19">
        <v>51</v>
      </c>
    </row>
    <row r="20" spans="1:4" x14ac:dyDescent="0.2">
      <c r="A20">
        <v>6766</v>
      </c>
      <c r="B20" t="s">
        <v>45</v>
      </c>
      <c r="C20" t="s">
        <v>46</v>
      </c>
      <c r="D20">
        <v>51</v>
      </c>
    </row>
    <row r="21" spans="1:4" x14ac:dyDescent="0.2">
      <c r="A21">
        <v>10396</v>
      </c>
      <c r="B21" t="s">
        <v>47</v>
      </c>
      <c r="C21" t="s">
        <v>48</v>
      </c>
      <c r="D21">
        <v>50</v>
      </c>
    </row>
    <row r="22" spans="1:4" x14ac:dyDescent="0.2">
      <c r="A22">
        <v>11104</v>
      </c>
      <c r="B22" t="s">
        <v>49</v>
      </c>
      <c r="C22" t="s">
        <v>50</v>
      </c>
      <c r="D22">
        <v>47</v>
      </c>
    </row>
    <row r="23" spans="1:4" x14ac:dyDescent="0.2">
      <c r="A23">
        <v>533</v>
      </c>
      <c r="B23" t="s">
        <v>51</v>
      </c>
      <c r="C23" t="s">
        <v>52</v>
      </c>
      <c r="D23">
        <v>46</v>
      </c>
    </row>
    <row r="24" spans="1:4" x14ac:dyDescent="0.2">
      <c r="A24">
        <v>9710</v>
      </c>
      <c r="B24" t="s">
        <v>53</v>
      </c>
      <c r="C24" t="s">
        <v>54</v>
      </c>
      <c r="D24">
        <v>38</v>
      </c>
    </row>
    <row r="25" spans="1:4" x14ac:dyDescent="0.2">
      <c r="A25">
        <v>13910</v>
      </c>
      <c r="B25" t="s">
        <v>55</v>
      </c>
      <c r="C25" t="s">
        <v>56</v>
      </c>
      <c r="D25">
        <v>34</v>
      </c>
    </row>
    <row r="26" spans="1:4" x14ac:dyDescent="0.2">
      <c r="A26">
        <v>11250</v>
      </c>
      <c r="B26" t="s">
        <v>57</v>
      </c>
      <c r="C26" t="s">
        <v>58</v>
      </c>
      <c r="D26">
        <v>31</v>
      </c>
    </row>
    <row r="27" spans="1:4" x14ac:dyDescent="0.2">
      <c r="A27">
        <v>11103</v>
      </c>
      <c r="B27" t="s">
        <v>59</v>
      </c>
      <c r="C27" t="s">
        <v>60</v>
      </c>
      <c r="D27">
        <v>31</v>
      </c>
    </row>
    <row r="28" spans="1:4" x14ac:dyDescent="0.2">
      <c r="A28">
        <v>10575</v>
      </c>
      <c r="B28" t="s">
        <v>61</v>
      </c>
      <c r="C28" t="s">
        <v>62</v>
      </c>
      <c r="D28">
        <v>30</v>
      </c>
    </row>
    <row r="29" spans="1:4" x14ac:dyDescent="0.2">
      <c r="A29">
        <v>13734</v>
      </c>
      <c r="B29" t="s">
        <v>63</v>
      </c>
      <c r="C29" t="s">
        <v>64</v>
      </c>
      <c r="D29">
        <v>30</v>
      </c>
    </row>
    <row r="30" spans="1:4" x14ac:dyDescent="0.2">
      <c r="A30">
        <v>10668</v>
      </c>
      <c r="B30" t="s">
        <v>65</v>
      </c>
      <c r="C30" t="s">
        <v>66</v>
      </c>
      <c r="D30">
        <v>29</v>
      </c>
    </row>
    <row r="31" spans="1:4" x14ac:dyDescent="0.2">
      <c r="A31">
        <v>7490</v>
      </c>
      <c r="B31" t="s">
        <v>67</v>
      </c>
      <c r="C31" t="s">
        <v>68</v>
      </c>
      <c r="D31">
        <v>27</v>
      </c>
    </row>
    <row r="32" spans="1:4" x14ac:dyDescent="0.2">
      <c r="A32">
        <v>10348</v>
      </c>
      <c r="B32" t="s">
        <v>69</v>
      </c>
      <c r="C32" t="s">
        <v>70</v>
      </c>
      <c r="D32">
        <v>23</v>
      </c>
    </row>
    <row r="33" spans="1:4" x14ac:dyDescent="0.2">
      <c r="A33">
        <v>10407</v>
      </c>
      <c r="B33" t="s">
        <v>71</v>
      </c>
      <c r="C33" t="s">
        <v>72</v>
      </c>
      <c r="D33">
        <v>22</v>
      </c>
    </row>
    <row r="34" spans="1:4" x14ac:dyDescent="0.2">
      <c r="A34">
        <v>10437</v>
      </c>
      <c r="B34" t="s">
        <v>73</v>
      </c>
      <c r="C34" t="s">
        <v>74</v>
      </c>
      <c r="D34">
        <v>22</v>
      </c>
    </row>
    <row r="35" spans="1:4" x14ac:dyDescent="0.2">
      <c r="A35">
        <v>10379</v>
      </c>
      <c r="B35" t="s">
        <v>75</v>
      </c>
      <c r="C35" t="s">
        <v>76</v>
      </c>
      <c r="D35">
        <v>21</v>
      </c>
    </row>
    <row r="36" spans="1:4" x14ac:dyDescent="0.2">
      <c r="A36">
        <v>10171</v>
      </c>
      <c r="B36" t="s">
        <v>77</v>
      </c>
      <c r="C36" t="s">
        <v>78</v>
      </c>
      <c r="D36">
        <v>20</v>
      </c>
    </row>
    <row r="37" spans="1:4" x14ac:dyDescent="0.2">
      <c r="A37">
        <v>9528</v>
      </c>
      <c r="B37" t="s">
        <v>79</v>
      </c>
      <c r="C37" t="s">
        <v>80</v>
      </c>
      <c r="D37">
        <v>20</v>
      </c>
    </row>
    <row r="38" spans="1:4" x14ac:dyDescent="0.2">
      <c r="A38">
        <v>9530</v>
      </c>
      <c r="B38" t="s">
        <v>81</v>
      </c>
      <c r="C38" t="s">
        <v>82</v>
      </c>
      <c r="D38">
        <v>20</v>
      </c>
    </row>
    <row r="39" spans="1:4" x14ac:dyDescent="0.2">
      <c r="A39">
        <v>10436</v>
      </c>
      <c r="B39" t="s">
        <v>83</v>
      </c>
      <c r="C39" t="s">
        <v>84</v>
      </c>
      <c r="D39">
        <v>20</v>
      </c>
    </row>
    <row r="40" spans="1:4" x14ac:dyDescent="0.2">
      <c r="A40">
        <v>9055</v>
      </c>
      <c r="B40" t="s">
        <v>85</v>
      </c>
      <c r="C40" t="s">
        <v>86</v>
      </c>
      <c r="D40">
        <v>20</v>
      </c>
    </row>
    <row r="41" spans="1:4" x14ac:dyDescent="0.2">
      <c r="A41">
        <v>14303</v>
      </c>
      <c r="B41" t="s">
        <v>87</v>
      </c>
      <c r="C41" t="s">
        <v>88</v>
      </c>
      <c r="D41">
        <v>20</v>
      </c>
    </row>
    <row r="42" spans="1:4" x14ac:dyDescent="0.2">
      <c r="A42">
        <v>10063</v>
      </c>
      <c r="B42" t="s">
        <v>89</v>
      </c>
      <c r="C42" t="s">
        <v>90</v>
      </c>
      <c r="D42">
        <v>20</v>
      </c>
    </row>
    <row r="43" spans="1:4" x14ac:dyDescent="0.2">
      <c r="A43">
        <v>10377</v>
      </c>
      <c r="B43" t="s">
        <v>91</v>
      </c>
      <c r="C43" t="s">
        <v>92</v>
      </c>
      <c r="D43">
        <v>19</v>
      </c>
    </row>
    <row r="44" spans="1:4" x14ac:dyDescent="0.2">
      <c r="A44">
        <v>10641</v>
      </c>
      <c r="B44" t="s">
        <v>93</v>
      </c>
      <c r="C44" t="s">
        <v>94</v>
      </c>
      <c r="D44">
        <v>19</v>
      </c>
    </row>
    <row r="45" spans="1:4" x14ac:dyDescent="0.2">
      <c r="A45">
        <v>10347</v>
      </c>
      <c r="B45" t="s">
        <v>95</v>
      </c>
      <c r="C45" t="s">
        <v>96</v>
      </c>
      <c r="D45">
        <v>18</v>
      </c>
    </row>
    <row r="46" spans="1:4" x14ac:dyDescent="0.2">
      <c r="A46">
        <v>10374</v>
      </c>
      <c r="B46" t="s">
        <v>97</v>
      </c>
      <c r="C46" t="s">
        <v>98</v>
      </c>
      <c r="D46">
        <v>18</v>
      </c>
    </row>
    <row r="47" spans="1:4" x14ac:dyDescent="0.2">
      <c r="A47">
        <v>10431</v>
      </c>
      <c r="B47" t="s">
        <v>99</v>
      </c>
      <c r="C47" t="s">
        <v>100</v>
      </c>
      <c r="D47">
        <v>17</v>
      </c>
    </row>
    <row r="48" spans="1:4" x14ac:dyDescent="0.2">
      <c r="A48">
        <v>14041</v>
      </c>
      <c r="B48" t="s">
        <v>101</v>
      </c>
      <c r="C48" t="s">
        <v>102</v>
      </c>
      <c r="D48">
        <v>16</v>
      </c>
    </row>
    <row r="49" spans="1:4" x14ac:dyDescent="0.2">
      <c r="A49">
        <v>13506</v>
      </c>
      <c r="B49" t="s">
        <v>103</v>
      </c>
      <c r="C49" t="s">
        <v>104</v>
      </c>
      <c r="D49">
        <v>14</v>
      </c>
    </row>
    <row r="50" spans="1:4" x14ac:dyDescent="0.2">
      <c r="A50">
        <v>10202</v>
      </c>
      <c r="B50" t="s">
        <v>105</v>
      </c>
      <c r="C50" t="s">
        <v>106</v>
      </c>
      <c r="D50">
        <v>14</v>
      </c>
    </row>
    <row r="51" spans="1:4" x14ac:dyDescent="0.2">
      <c r="A51">
        <v>13981</v>
      </c>
      <c r="B51" t="s">
        <v>107</v>
      </c>
      <c r="C51" t="s">
        <v>108</v>
      </c>
      <c r="D51">
        <v>13</v>
      </c>
    </row>
    <row r="52" spans="1:4" x14ac:dyDescent="0.2">
      <c r="A52">
        <v>9873</v>
      </c>
      <c r="B52" t="s">
        <v>109</v>
      </c>
      <c r="C52" t="s">
        <v>110</v>
      </c>
      <c r="D52">
        <v>12</v>
      </c>
    </row>
    <row r="53" spans="1:4" x14ac:dyDescent="0.2">
      <c r="A53">
        <v>9235</v>
      </c>
      <c r="B53" t="s">
        <v>111</v>
      </c>
      <c r="C53" t="s">
        <v>112</v>
      </c>
      <c r="D53">
        <v>12</v>
      </c>
    </row>
    <row r="54" spans="1:4" x14ac:dyDescent="0.2">
      <c r="A54">
        <v>10434</v>
      </c>
      <c r="B54" t="s">
        <v>113</v>
      </c>
      <c r="C54" t="s">
        <v>114</v>
      </c>
      <c r="D54">
        <v>12</v>
      </c>
    </row>
    <row r="55" spans="1:4" x14ac:dyDescent="0.2">
      <c r="A55">
        <v>6774</v>
      </c>
      <c r="B55" t="s">
        <v>115</v>
      </c>
      <c r="C55" t="s">
        <v>116</v>
      </c>
      <c r="D55">
        <v>13</v>
      </c>
    </row>
    <row r="56" spans="1:4" x14ac:dyDescent="0.2">
      <c r="A56">
        <v>10840</v>
      </c>
      <c r="B56" t="s">
        <v>117</v>
      </c>
      <c r="C56" t="s">
        <v>118</v>
      </c>
      <c r="D56">
        <v>11</v>
      </c>
    </row>
    <row r="57" spans="1:4" x14ac:dyDescent="0.2">
      <c r="A57">
        <v>10503</v>
      </c>
      <c r="B57" t="s">
        <v>119</v>
      </c>
      <c r="C57" t="s">
        <v>120</v>
      </c>
      <c r="D57">
        <v>11</v>
      </c>
    </row>
    <row r="58" spans="1:4" x14ac:dyDescent="0.2">
      <c r="A58">
        <v>6760</v>
      </c>
      <c r="B58" t="s">
        <v>121</v>
      </c>
      <c r="C58" t="s">
        <v>122</v>
      </c>
      <c r="D58">
        <v>12</v>
      </c>
    </row>
    <row r="59" spans="1:4" x14ac:dyDescent="0.2">
      <c r="A59">
        <v>13505</v>
      </c>
      <c r="B59" t="s">
        <v>123</v>
      </c>
      <c r="C59" t="s">
        <v>124</v>
      </c>
      <c r="D59">
        <v>10</v>
      </c>
    </row>
    <row r="60" spans="1:4" x14ac:dyDescent="0.2">
      <c r="A60">
        <v>9548</v>
      </c>
      <c r="B60" t="s">
        <v>125</v>
      </c>
      <c r="C60" t="s">
        <v>126</v>
      </c>
      <c r="D60">
        <v>10</v>
      </c>
    </row>
    <row r="61" spans="1:4" x14ac:dyDescent="0.2">
      <c r="A61">
        <v>3332</v>
      </c>
      <c r="B61" t="s">
        <v>127</v>
      </c>
      <c r="C61" t="s">
        <v>128</v>
      </c>
      <c r="D61">
        <v>10</v>
      </c>
    </row>
    <row r="62" spans="1:4" x14ac:dyDescent="0.2">
      <c r="A62">
        <v>10429</v>
      </c>
      <c r="B62" t="s">
        <v>129</v>
      </c>
      <c r="C62" t="s">
        <v>130</v>
      </c>
      <c r="D62">
        <v>10</v>
      </c>
    </row>
    <row r="63" spans="1:4" x14ac:dyDescent="0.2">
      <c r="A63">
        <v>13501</v>
      </c>
      <c r="B63" t="s">
        <v>131</v>
      </c>
      <c r="C63" t="s">
        <v>132</v>
      </c>
      <c r="D63">
        <v>10</v>
      </c>
    </row>
    <row r="64" spans="1:4" x14ac:dyDescent="0.2">
      <c r="A64">
        <v>10460</v>
      </c>
      <c r="B64" t="s">
        <v>133</v>
      </c>
      <c r="C64" t="s">
        <v>134</v>
      </c>
      <c r="D64">
        <v>10</v>
      </c>
    </row>
    <row r="65" spans="1:4" x14ac:dyDescent="0.2">
      <c r="A65">
        <v>10461</v>
      </c>
      <c r="B65" t="s">
        <v>135</v>
      </c>
      <c r="C65" t="s">
        <v>136</v>
      </c>
      <c r="D65">
        <v>10</v>
      </c>
    </row>
    <row r="66" spans="1:4" x14ac:dyDescent="0.2">
      <c r="A66">
        <v>9221</v>
      </c>
      <c r="B66" t="s">
        <v>137</v>
      </c>
      <c r="C66" t="s">
        <v>138</v>
      </c>
      <c r="D66">
        <v>9</v>
      </c>
    </row>
    <row r="67" spans="1:4" x14ac:dyDescent="0.2">
      <c r="A67">
        <v>10364</v>
      </c>
      <c r="B67" t="s">
        <v>139</v>
      </c>
      <c r="C67" t="s">
        <v>140</v>
      </c>
      <c r="D67">
        <v>9</v>
      </c>
    </row>
    <row r="68" spans="1:4" x14ac:dyDescent="0.2">
      <c r="A68">
        <v>10385</v>
      </c>
      <c r="B68" t="s">
        <v>141</v>
      </c>
      <c r="C68" t="s">
        <v>142</v>
      </c>
      <c r="D68">
        <v>9</v>
      </c>
    </row>
    <row r="69" spans="1:4" x14ac:dyDescent="0.2">
      <c r="A69">
        <v>10376</v>
      </c>
      <c r="B69" t="s">
        <v>143</v>
      </c>
      <c r="C69" t="s">
        <v>144</v>
      </c>
      <c r="D69">
        <v>9</v>
      </c>
    </row>
    <row r="70" spans="1:4" x14ac:dyDescent="0.2">
      <c r="A70">
        <v>10455</v>
      </c>
      <c r="B70" t="s">
        <v>145</v>
      </c>
      <c r="C70" t="s">
        <v>146</v>
      </c>
      <c r="D70">
        <v>8</v>
      </c>
    </row>
    <row r="71" spans="1:4" x14ac:dyDescent="0.2">
      <c r="A71">
        <v>10425</v>
      </c>
      <c r="B71" t="s">
        <v>147</v>
      </c>
      <c r="C71" t="s">
        <v>148</v>
      </c>
      <c r="D71">
        <v>7</v>
      </c>
    </row>
    <row r="72" spans="1:4" x14ac:dyDescent="0.2">
      <c r="A72">
        <v>10382</v>
      </c>
      <c r="B72" t="s">
        <v>149</v>
      </c>
      <c r="C72" t="s">
        <v>150</v>
      </c>
      <c r="D72">
        <v>7</v>
      </c>
    </row>
    <row r="73" spans="1:4" x14ac:dyDescent="0.2">
      <c r="A73">
        <v>10373</v>
      </c>
      <c r="B73" t="s">
        <v>151</v>
      </c>
      <c r="C73" t="s">
        <v>152</v>
      </c>
      <c r="D73">
        <v>7</v>
      </c>
    </row>
    <row r="74" spans="1:4" x14ac:dyDescent="0.2">
      <c r="A74">
        <v>10205</v>
      </c>
      <c r="B74" t="s">
        <v>153</v>
      </c>
      <c r="C74" t="s">
        <v>154</v>
      </c>
      <c r="D74">
        <v>6</v>
      </c>
    </row>
    <row r="75" spans="1:4" x14ac:dyDescent="0.2">
      <c r="A75">
        <v>14050</v>
      </c>
      <c r="B75" t="s">
        <v>155</v>
      </c>
      <c r="C75" t="s">
        <v>156</v>
      </c>
      <c r="D75">
        <v>6</v>
      </c>
    </row>
    <row r="76" spans="1:4" x14ac:dyDescent="0.2">
      <c r="A76">
        <v>10450</v>
      </c>
      <c r="B76" t="s">
        <v>157</v>
      </c>
      <c r="C76" t="s">
        <v>158</v>
      </c>
      <c r="D76">
        <v>6</v>
      </c>
    </row>
    <row r="77" spans="1:4" x14ac:dyDescent="0.2">
      <c r="A77">
        <v>10446</v>
      </c>
      <c r="B77" t="s">
        <v>159</v>
      </c>
      <c r="C77" t="s">
        <v>160</v>
      </c>
      <c r="D77">
        <v>6</v>
      </c>
    </row>
    <row r="78" spans="1:4" x14ac:dyDescent="0.2">
      <c r="A78">
        <v>10453</v>
      </c>
      <c r="B78" t="s">
        <v>161</v>
      </c>
      <c r="C78" t="s">
        <v>162</v>
      </c>
      <c r="D78">
        <v>6</v>
      </c>
    </row>
    <row r="79" spans="1:4" x14ac:dyDescent="0.2">
      <c r="A79">
        <v>3554</v>
      </c>
      <c r="B79" t="s">
        <v>163</v>
      </c>
      <c r="C79" t="s">
        <v>164</v>
      </c>
      <c r="D79">
        <v>5</v>
      </c>
    </row>
    <row r="80" spans="1:4" x14ac:dyDescent="0.2">
      <c r="A80">
        <v>9116</v>
      </c>
      <c r="B80" t="s">
        <v>165</v>
      </c>
      <c r="C80" t="s">
        <v>166</v>
      </c>
      <c r="D80">
        <v>5</v>
      </c>
    </row>
    <row r="81" spans="1:4" x14ac:dyDescent="0.2">
      <c r="A81">
        <v>10371</v>
      </c>
      <c r="B81" t="s">
        <v>167</v>
      </c>
      <c r="C81" t="s">
        <v>168</v>
      </c>
      <c r="D81">
        <v>5</v>
      </c>
    </row>
    <row r="82" spans="1:4" x14ac:dyDescent="0.2">
      <c r="A82">
        <v>10424</v>
      </c>
      <c r="B82" t="s">
        <v>169</v>
      </c>
      <c r="C82" t="s">
        <v>170</v>
      </c>
      <c r="D82">
        <v>5</v>
      </c>
    </row>
    <row r="83" spans="1:4" x14ac:dyDescent="0.2">
      <c r="A83">
        <v>14048</v>
      </c>
      <c r="B83" t="s">
        <v>171</v>
      </c>
      <c r="C83" t="s">
        <v>172</v>
      </c>
      <c r="D83">
        <v>5</v>
      </c>
    </row>
    <row r="84" spans="1:4" x14ac:dyDescent="0.2">
      <c r="A84">
        <v>14049</v>
      </c>
      <c r="B84" t="s">
        <v>173</v>
      </c>
      <c r="C84" t="s">
        <v>174</v>
      </c>
      <c r="D84">
        <v>5</v>
      </c>
    </row>
    <row r="85" spans="1:4" x14ac:dyDescent="0.2">
      <c r="A85">
        <v>10357</v>
      </c>
      <c r="B85" t="s">
        <v>175</v>
      </c>
      <c r="C85" t="s">
        <v>176</v>
      </c>
      <c r="D85">
        <v>5</v>
      </c>
    </row>
    <row r="86" spans="1:4" x14ac:dyDescent="0.2">
      <c r="A86">
        <v>10451</v>
      </c>
      <c r="B86" t="s">
        <v>177</v>
      </c>
      <c r="C86" t="s">
        <v>178</v>
      </c>
      <c r="D86">
        <v>5</v>
      </c>
    </row>
    <row r="87" spans="1:4" x14ac:dyDescent="0.2">
      <c r="A87">
        <v>10447</v>
      </c>
      <c r="B87" t="s">
        <v>179</v>
      </c>
      <c r="C87" t="s">
        <v>180</v>
      </c>
      <c r="D87">
        <v>5</v>
      </c>
    </row>
    <row r="88" spans="1:4" x14ac:dyDescent="0.2">
      <c r="A88">
        <v>10449</v>
      </c>
      <c r="B88" t="s">
        <v>181</v>
      </c>
      <c r="C88" t="s">
        <v>182</v>
      </c>
      <c r="D88">
        <v>5</v>
      </c>
    </row>
    <row r="89" spans="1:4" x14ac:dyDescent="0.2">
      <c r="A89">
        <v>10444</v>
      </c>
      <c r="B89" t="s">
        <v>183</v>
      </c>
      <c r="C89" t="s">
        <v>184</v>
      </c>
      <c r="D89">
        <v>5</v>
      </c>
    </row>
    <row r="90" spans="1:4" x14ac:dyDescent="0.2">
      <c r="A90">
        <v>10441</v>
      </c>
      <c r="B90" t="s">
        <v>185</v>
      </c>
      <c r="C90" t="s">
        <v>186</v>
      </c>
      <c r="D90">
        <v>5</v>
      </c>
    </row>
    <row r="91" spans="1:4" x14ac:dyDescent="0.2">
      <c r="A91">
        <v>10443</v>
      </c>
      <c r="B91" t="s">
        <v>187</v>
      </c>
      <c r="C91" t="s">
        <v>188</v>
      </c>
      <c r="D91">
        <v>5</v>
      </c>
    </row>
    <row r="92" spans="1:4" x14ac:dyDescent="0.2">
      <c r="A92">
        <v>10415</v>
      </c>
      <c r="B92" t="s">
        <v>189</v>
      </c>
      <c r="C92" t="s">
        <v>190</v>
      </c>
      <c r="D92">
        <v>5</v>
      </c>
    </row>
    <row r="93" spans="1:4" x14ac:dyDescent="0.2">
      <c r="A93">
        <v>10435</v>
      </c>
      <c r="B93" t="s">
        <v>191</v>
      </c>
      <c r="C93" t="s">
        <v>192</v>
      </c>
      <c r="D93">
        <v>5</v>
      </c>
    </row>
    <row r="94" spans="1:4" x14ac:dyDescent="0.2">
      <c r="A94">
        <v>10391</v>
      </c>
      <c r="B94" t="s">
        <v>193</v>
      </c>
      <c r="C94" t="s">
        <v>194</v>
      </c>
      <c r="D94">
        <v>5</v>
      </c>
    </row>
    <row r="95" spans="1:4" x14ac:dyDescent="0.2">
      <c r="A95">
        <v>9335</v>
      </c>
      <c r="B95" t="s">
        <v>195</v>
      </c>
      <c r="C95" t="s">
        <v>196</v>
      </c>
      <c r="D95">
        <v>5</v>
      </c>
    </row>
    <row r="96" spans="1:4" x14ac:dyDescent="0.2">
      <c r="A96">
        <v>9329</v>
      </c>
      <c r="B96" t="s">
        <v>197</v>
      </c>
      <c r="C96" t="s">
        <v>198</v>
      </c>
      <c r="D96">
        <v>4</v>
      </c>
    </row>
    <row r="97" spans="1:4" x14ac:dyDescent="0.2">
      <c r="A97">
        <v>13504</v>
      </c>
      <c r="B97" t="s">
        <v>199</v>
      </c>
      <c r="C97" t="s">
        <v>200</v>
      </c>
      <c r="D97">
        <v>4</v>
      </c>
    </row>
    <row r="98" spans="1:4" x14ac:dyDescent="0.2">
      <c r="A98">
        <v>14051</v>
      </c>
      <c r="B98" t="s">
        <v>201</v>
      </c>
      <c r="C98" t="s">
        <v>202</v>
      </c>
      <c r="D98">
        <v>4</v>
      </c>
    </row>
    <row r="99" spans="1:4" x14ac:dyDescent="0.2">
      <c r="A99">
        <v>14053</v>
      </c>
      <c r="B99" t="s">
        <v>203</v>
      </c>
      <c r="C99" t="s">
        <v>204</v>
      </c>
      <c r="D99">
        <v>4</v>
      </c>
    </row>
    <row r="100" spans="1:4" x14ac:dyDescent="0.2">
      <c r="A100">
        <v>10402</v>
      </c>
      <c r="B100" t="s">
        <v>205</v>
      </c>
      <c r="C100" t="s">
        <v>206</v>
      </c>
      <c r="D100">
        <v>4</v>
      </c>
    </row>
    <row r="101" spans="1:4" x14ac:dyDescent="0.2">
      <c r="A101">
        <v>10452</v>
      </c>
      <c r="B101" t="s">
        <v>207</v>
      </c>
      <c r="C101" t="s">
        <v>208</v>
      </c>
      <c r="D101">
        <v>4</v>
      </c>
    </row>
    <row r="102" spans="1:4" x14ac:dyDescent="0.2">
      <c r="A102">
        <v>10442</v>
      </c>
      <c r="B102" t="s">
        <v>209</v>
      </c>
      <c r="C102" t="s">
        <v>210</v>
      </c>
      <c r="D102">
        <v>4</v>
      </c>
    </row>
    <row r="103" spans="1:4" x14ac:dyDescent="0.2">
      <c r="A103">
        <v>10454</v>
      </c>
      <c r="B103" t="s">
        <v>211</v>
      </c>
      <c r="C103" t="s">
        <v>212</v>
      </c>
      <c r="D103">
        <v>4</v>
      </c>
    </row>
    <row r="104" spans="1:4" x14ac:dyDescent="0.2">
      <c r="A104">
        <v>10462</v>
      </c>
      <c r="B104" t="s">
        <v>213</v>
      </c>
      <c r="C104" t="s">
        <v>214</v>
      </c>
      <c r="D104">
        <v>4</v>
      </c>
    </row>
    <row r="105" spans="1:4" x14ac:dyDescent="0.2">
      <c r="A105">
        <v>6547</v>
      </c>
      <c r="B105" t="s">
        <v>215</v>
      </c>
      <c r="C105" t="s">
        <v>216</v>
      </c>
      <c r="D105">
        <v>4</v>
      </c>
    </row>
    <row r="106" spans="1:4" x14ac:dyDescent="0.2">
      <c r="A106">
        <v>10664</v>
      </c>
      <c r="B106" t="s">
        <v>217</v>
      </c>
      <c r="C106" t="s">
        <v>8</v>
      </c>
      <c r="D106">
        <v>4</v>
      </c>
    </row>
    <row r="107" spans="1:4" x14ac:dyDescent="0.2">
      <c r="A107">
        <v>8685</v>
      </c>
      <c r="B107" t="s">
        <v>218</v>
      </c>
      <c r="C107" t="s">
        <v>219</v>
      </c>
      <c r="D107">
        <v>3</v>
      </c>
    </row>
    <row r="108" spans="1:4" x14ac:dyDescent="0.2">
      <c r="A108">
        <v>14052</v>
      </c>
      <c r="B108" t="s">
        <v>220</v>
      </c>
      <c r="C108" t="s">
        <v>221</v>
      </c>
      <c r="D108">
        <v>3</v>
      </c>
    </row>
    <row r="109" spans="1:4" x14ac:dyDescent="0.2">
      <c r="A109">
        <v>10413</v>
      </c>
      <c r="B109" t="s">
        <v>222</v>
      </c>
      <c r="C109" t="s">
        <v>223</v>
      </c>
      <c r="D109">
        <v>3</v>
      </c>
    </row>
    <row r="110" spans="1:4" x14ac:dyDescent="0.2">
      <c r="A110">
        <v>10411</v>
      </c>
      <c r="B110" t="s">
        <v>224</v>
      </c>
      <c r="C110" t="s">
        <v>225</v>
      </c>
      <c r="D110">
        <v>3</v>
      </c>
    </row>
    <row r="111" spans="1:4" x14ac:dyDescent="0.2">
      <c r="A111">
        <v>10456</v>
      </c>
      <c r="B111" t="s">
        <v>226</v>
      </c>
      <c r="C111" t="s">
        <v>227</v>
      </c>
      <c r="D111">
        <v>3</v>
      </c>
    </row>
    <row r="112" spans="1:4" x14ac:dyDescent="0.2">
      <c r="A112">
        <v>10417</v>
      </c>
      <c r="B112" t="s">
        <v>228</v>
      </c>
      <c r="C112" t="s">
        <v>229</v>
      </c>
      <c r="D112">
        <v>3</v>
      </c>
    </row>
    <row r="113" spans="1:4" x14ac:dyDescent="0.2">
      <c r="A113">
        <v>10419</v>
      </c>
      <c r="B113" t="s">
        <v>230</v>
      </c>
      <c r="C113" t="s">
        <v>231</v>
      </c>
      <c r="D113">
        <v>3</v>
      </c>
    </row>
    <row r="114" spans="1:4" x14ac:dyDescent="0.2">
      <c r="A114">
        <v>10392</v>
      </c>
      <c r="B114" t="s">
        <v>232</v>
      </c>
      <c r="C114" t="s">
        <v>233</v>
      </c>
      <c r="D114">
        <v>3</v>
      </c>
    </row>
    <row r="115" spans="1:4" x14ac:dyDescent="0.2">
      <c r="A115">
        <v>10394</v>
      </c>
      <c r="B115" t="s">
        <v>234</v>
      </c>
      <c r="C115" t="s">
        <v>235</v>
      </c>
      <c r="D115">
        <v>3</v>
      </c>
    </row>
    <row r="116" spans="1:4" x14ac:dyDescent="0.2">
      <c r="A116">
        <v>10380</v>
      </c>
      <c r="B116" t="s">
        <v>236</v>
      </c>
      <c r="C116" t="s">
        <v>237</v>
      </c>
      <c r="D116">
        <v>3</v>
      </c>
    </row>
    <row r="117" spans="1:4" x14ac:dyDescent="0.2">
      <c r="A117">
        <v>10381</v>
      </c>
      <c r="B117" t="s">
        <v>238</v>
      </c>
      <c r="C117" t="s">
        <v>239</v>
      </c>
      <c r="D117">
        <v>3</v>
      </c>
    </row>
    <row r="118" spans="1:4" x14ac:dyDescent="0.2">
      <c r="A118">
        <v>13770</v>
      </c>
      <c r="B118" t="s">
        <v>240</v>
      </c>
      <c r="C118" t="s">
        <v>241</v>
      </c>
      <c r="D118">
        <v>3</v>
      </c>
    </row>
    <row r="119" spans="1:4" x14ac:dyDescent="0.2">
      <c r="A119">
        <v>14056</v>
      </c>
      <c r="B119" t="s">
        <v>242</v>
      </c>
      <c r="C119" t="s">
        <v>243</v>
      </c>
      <c r="D119">
        <v>3</v>
      </c>
    </row>
    <row r="120" spans="1:4" x14ac:dyDescent="0.2">
      <c r="A120">
        <v>14055</v>
      </c>
      <c r="B120" t="s">
        <v>244</v>
      </c>
      <c r="C120" t="s">
        <v>245</v>
      </c>
      <c r="D120">
        <v>3</v>
      </c>
    </row>
    <row r="121" spans="1:4" x14ac:dyDescent="0.2">
      <c r="A121">
        <v>14082</v>
      </c>
      <c r="B121" t="s">
        <v>246</v>
      </c>
      <c r="C121" t="s">
        <v>247</v>
      </c>
      <c r="D121">
        <v>3</v>
      </c>
    </row>
    <row r="122" spans="1:4" x14ac:dyDescent="0.2">
      <c r="A122">
        <v>13719</v>
      </c>
      <c r="B122" t="s">
        <v>248</v>
      </c>
      <c r="C122" t="s">
        <v>249</v>
      </c>
      <c r="D122">
        <v>3</v>
      </c>
    </row>
    <row r="123" spans="1:4" x14ac:dyDescent="0.2">
      <c r="A123">
        <v>13651</v>
      </c>
      <c r="B123" t="s">
        <v>250</v>
      </c>
      <c r="C123" t="s">
        <v>251</v>
      </c>
      <c r="D123">
        <v>2</v>
      </c>
    </row>
    <row r="124" spans="1:4" x14ac:dyDescent="0.2">
      <c r="A124">
        <v>10359</v>
      </c>
      <c r="B124" t="s">
        <v>252</v>
      </c>
      <c r="C124" t="s">
        <v>253</v>
      </c>
      <c r="D124">
        <v>2</v>
      </c>
    </row>
    <row r="125" spans="1:4" x14ac:dyDescent="0.2">
      <c r="A125">
        <v>10361</v>
      </c>
      <c r="B125" t="s">
        <v>254</v>
      </c>
      <c r="C125" t="s">
        <v>255</v>
      </c>
      <c r="D125">
        <v>2</v>
      </c>
    </row>
    <row r="126" spans="1:4" x14ac:dyDescent="0.2">
      <c r="A126">
        <v>10363</v>
      </c>
      <c r="B126" t="s">
        <v>256</v>
      </c>
      <c r="C126" t="s">
        <v>257</v>
      </c>
      <c r="D126">
        <v>2</v>
      </c>
    </row>
    <row r="127" spans="1:4" x14ac:dyDescent="0.2">
      <c r="A127">
        <v>10383</v>
      </c>
      <c r="B127" t="s">
        <v>258</v>
      </c>
      <c r="C127" t="s">
        <v>259</v>
      </c>
      <c r="D127">
        <v>2</v>
      </c>
    </row>
    <row r="128" spans="1:4" x14ac:dyDescent="0.2">
      <c r="A128">
        <v>10384</v>
      </c>
      <c r="B128" t="s">
        <v>260</v>
      </c>
      <c r="C128" t="s">
        <v>261</v>
      </c>
      <c r="D128">
        <v>2</v>
      </c>
    </row>
    <row r="129" spans="1:4" x14ac:dyDescent="0.2">
      <c r="A129">
        <v>10186</v>
      </c>
      <c r="B129" t="s">
        <v>262</v>
      </c>
      <c r="C129" t="s">
        <v>263</v>
      </c>
      <c r="D129">
        <v>2</v>
      </c>
    </row>
    <row r="130" spans="1:4" x14ac:dyDescent="0.2">
      <c r="A130">
        <v>6805</v>
      </c>
      <c r="B130" t="s">
        <v>264</v>
      </c>
      <c r="C130" t="s">
        <v>265</v>
      </c>
      <c r="D130">
        <v>2</v>
      </c>
    </row>
    <row r="131" spans="1:4" x14ac:dyDescent="0.2">
      <c r="A131">
        <v>14185</v>
      </c>
      <c r="B131" t="s">
        <v>266</v>
      </c>
      <c r="C131" t="s">
        <v>267</v>
      </c>
      <c r="D131">
        <v>2</v>
      </c>
    </row>
    <row r="132" spans="1:4" x14ac:dyDescent="0.2">
      <c r="A132">
        <v>13767</v>
      </c>
      <c r="B132" t="s">
        <v>268</v>
      </c>
      <c r="C132" t="s">
        <v>269</v>
      </c>
      <c r="D132">
        <v>2</v>
      </c>
    </row>
    <row r="133" spans="1:4" x14ac:dyDescent="0.2">
      <c r="A133">
        <v>10204</v>
      </c>
      <c r="B133" t="s">
        <v>270</v>
      </c>
      <c r="C133" t="s">
        <v>271</v>
      </c>
      <c r="D133">
        <v>2</v>
      </c>
    </row>
    <row r="134" spans="1:4" x14ac:dyDescent="0.2">
      <c r="A134">
        <v>10597</v>
      </c>
      <c r="B134" t="s">
        <v>272</v>
      </c>
      <c r="C134" t="s">
        <v>273</v>
      </c>
      <c r="D134">
        <v>2</v>
      </c>
    </row>
    <row r="135" spans="1:4" x14ac:dyDescent="0.2">
      <c r="A135">
        <v>3331</v>
      </c>
      <c r="B135" t="s">
        <v>274</v>
      </c>
      <c r="C135" t="s">
        <v>275</v>
      </c>
      <c r="D135">
        <v>2</v>
      </c>
    </row>
    <row r="136" spans="1:4" x14ac:dyDescent="0.2">
      <c r="A136">
        <v>9521</v>
      </c>
      <c r="B136" t="s">
        <v>276</v>
      </c>
      <c r="C136" t="s">
        <v>277</v>
      </c>
      <c r="D136">
        <v>1</v>
      </c>
    </row>
    <row r="137" spans="1:4" x14ac:dyDescent="0.2">
      <c r="A137">
        <v>9007</v>
      </c>
      <c r="B137" t="s">
        <v>278</v>
      </c>
      <c r="C137" t="s">
        <v>279</v>
      </c>
      <c r="D137">
        <v>1</v>
      </c>
    </row>
    <row r="138" spans="1:4" x14ac:dyDescent="0.2">
      <c r="A138">
        <v>10642</v>
      </c>
      <c r="B138" t="s">
        <v>280</v>
      </c>
      <c r="C138" t="s">
        <v>281</v>
      </c>
      <c r="D138">
        <v>1</v>
      </c>
    </row>
    <row r="139" spans="1:4" x14ac:dyDescent="0.2">
      <c r="A139">
        <v>9535</v>
      </c>
      <c r="B139" t="s">
        <v>282</v>
      </c>
      <c r="C139" t="s">
        <v>283</v>
      </c>
      <c r="D139">
        <v>1</v>
      </c>
    </row>
    <row r="140" spans="1:4" x14ac:dyDescent="0.2">
      <c r="A140">
        <v>5029</v>
      </c>
      <c r="B140" t="s">
        <v>284</v>
      </c>
      <c r="C140" t="s">
        <v>285</v>
      </c>
      <c r="D140">
        <v>1</v>
      </c>
    </row>
    <row r="141" spans="1:4" x14ac:dyDescent="0.2">
      <c r="A141">
        <v>13645</v>
      </c>
      <c r="B141" t="s">
        <v>286</v>
      </c>
      <c r="C141" t="s">
        <v>287</v>
      </c>
      <c r="D141">
        <v>1</v>
      </c>
    </row>
    <row r="142" spans="1:4" x14ac:dyDescent="0.2">
      <c r="A142">
        <v>13756</v>
      </c>
      <c r="B142" t="s">
        <v>288</v>
      </c>
      <c r="C142" t="s">
        <v>289</v>
      </c>
      <c r="D142">
        <v>1</v>
      </c>
    </row>
    <row r="143" spans="1:4" x14ac:dyDescent="0.2">
      <c r="A143">
        <v>14118</v>
      </c>
      <c r="B143" t="s">
        <v>290</v>
      </c>
      <c r="C143" t="s">
        <v>291</v>
      </c>
      <c r="D143">
        <v>1</v>
      </c>
    </row>
    <row r="144" spans="1:4" x14ac:dyDescent="0.2">
      <c r="A144">
        <v>13652</v>
      </c>
      <c r="B144" t="s">
        <v>292</v>
      </c>
      <c r="C144" t="s">
        <v>293</v>
      </c>
      <c r="D144">
        <v>1</v>
      </c>
    </row>
    <row r="145" spans="1:4" x14ac:dyDescent="0.2">
      <c r="A145">
        <v>630</v>
      </c>
      <c r="B145" t="s">
        <v>294</v>
      </c>
      <c r="C145" t="s">
        <v>295</v>
      </c>
      <c r="D145">
        <v>1</v>
      </c>
    </row>
    <row r="146" spans="1:4" x14ac:dyDescent="0.2">
      <c r="A146">
        <v>14028</v>
      </c>
      <c r="B146" t="s">
        <v>296</v>
      </c>
      <c r="C146" t="s">
        <v>297</v>
      </c>
      <c r="D146">
        <v>1</v>
      </c>
    </row>
    <row r="147" spans="1:4" x14ac:dyDescent="0.2">
      <c r="A147">
        <v>14029</v>
      </c>
      <c r="B147" t="s">
        <v>298</v>
      </c>
      <c r="C147" t="s">
        <v>299</v>
      </c>
      <c r="D147">
        <v>1</v>
      </c>
    </row>
    <row r="148" spans="1:4" x14ac:dyDescent="0.2">
      <c r="A148">
        <v>10360</v>
      </c>
      <c r="B148" t="s">
        <v>300</v>
      </c>
      <c r="C148" t="s">
        <v>301</v>
      </c>
      <c r="D148">
        <v>1</v>
      </c>
    </row>
    <row r="149" spans="1:4" x14ac:dyDescent="0.2">
      <c r="A149">
        <v>10410</v>
      </c>
      <c r="B149" t="s">
        <v>302</v>
      </c>
      <c r="C149" t="s">
        <v>303</v>
      </c>
      <c r="D149">
        <v>1</v>
      </c>
    </row>
    <row r="150" spans="1:4" x14ac:dyDescent="0.2">
      <c r="A150">
        <v>10430</v>
      </c>
      <c r="B150" t="s">
        <v>304</v>
      </c>
      <c r="C150" t="s">
        <v>305</v>
      </c>
      <c r="D150">
        <v>1</v>
      </c>
    </row>
    <row r="151" spans="1:4" x14ac:dyDescent="0.2">
      <c r="A151">
        <v>10448</v>
      </c>
      <c r="B151" t="s">
        <v>306</v>
      </c>
      <c r="C151" t="s">
        <v>307</v>
      </c>
      <c r="D151">
        <v>1</v>
      </c>
    </row>
    <row r="152" spans="1:4" x14ac:dyDescent="0.2">
      <c r="A152">
        <v>10438</v>
      </c>
      <c r="B152" t="s">
        <v>308</v>
      </c>
      <c r="C152" t="s">
        <v>309</v>
      </c>
      <c r="D152">
        <v>1</v>
      </c>
    </row>
    <row r="153" spans="1:4" x14ac:dyDescent="0.2">
      <c r="A153">
        <v>14036</v>
      </c>
      <c r="B153" t="s">
        <v>310</v>
      </c>
      <c r="C153" t="s">
        <v>311</v>
      </c>
      <c r="D153">
        <v>1</v>
      </c>
    </row>
    <row r="154" spans="1:4" x14ac:dyDescent="0.2">
      <c r="A154">
        <v>14037</v>
      </c>
      <c r="B154" t="s">
        <v>312</v>
      </c>
      <c r="C154" t="s">
        <v>313</v>
      </c>
      <c r="D154">
        <v>1</v>
      </c>
    </row>
    <row r="155" spans="1:4" x14ac:dyDescent="0.2">
      <c r="A155">
        <v>14038</v>
      </c>
      <c r="B155" t="s">
        <v>314</v>
      </c>
      <c r="C155" t="s">
        <v>315</v>
      </c>
      <c r="D155">
        <v>1</v>
      </c>
    </row>
    <row r="156" spans="1:4" x14ac:dyDescent="0.2">
      <c r="A156">
        <v>13604</v>
      </c>
      <c r="B156" t="s">
        <v>316</v>
      </c>
      <c r="C156" t="s">
        <v>317</v>
      </c>
      <c r="D156">
        <v>1</v>
      </c>
    </row>
    <row r="157" spans="1:4" x14ac:dyDescent="0.2">
      <c r="A157">
        <v>14088</v>
      </c>
      <c r="B157" t="s">
        <v>318</v>
      </c>
      <c r="C157" t="s">
        <v>319</v>
      </c>
      <c r="D157">
        <v>1</v>
      </c>
    </row>
    <row r="158" spans="1:4" x14ac:dyDescent="0.2">
      <c r="A158">
        <v>9582</v>
      </c>
      <c r="B158" t="s">
        <v>320</v>
      </c>
      <c r="C158" t="s">
        <v>321</v>
      </c>
      <c r="D158">
        <v>1</v>
      </c>
    </row>
    <row r="159" spans="1:4" x14ac:dyDescent="0.2">
      <c r="A159">
        <v>14057</v>
      </c>
      <c r="B159" t="s">
        <v>322</v>
      </c>
      <c r="C159" t="s">
        <v>323</v>
      </c>
      <c r="D159">
        <v>1</v>
      </c>
    </row>
    <row r="160" spans="1:4" x14ac:dyDescent="0.2">
      <c r="A160">
        <v>10561</v>
      </c>
      <c r="B160" t="s">
        <v>324</v>
      </c>
      <c r="C160" t="s">
        <v>325</v>
      </c>
      <c r="D160">
        <v>1</v>
      </c>
    </row>
    <row r="161" spans="1:4" x14ac:dyDescent="0.2">
      <c r="A161">
        <v>13908</v>
      </c>
      <c r="B161" t="s">
        <v>326</v>
      </c>
      <c r="C161" t="s">
        <v>327</v>
      </c>
      <c r="D161">
        <v>1</v>
      </c>
    </row>
    <row r="162" spans="1:4" x14ac:dyDescent="0.2">
      <c r="A162">
        <v>11112</v>
      </c>
      <c r="B162" t="s">
        <v>328</v>
      </c>
      <c r="C162" t="s">
        <v>329</v>
      </c>
      <c r="D162">
        <v>1</v>
      </c>
    </row>
    <row r="163" spans="1:4" x14ac:dyDescent="0.2">
      <c r="A163">
        <v>7418</v>
      </c>
      <c r="B163" t="s">
        <v>330</v>
      </c>
      <c r="C163" t="s">
        <v>331</v>
      </c>
      <c r="D163">
        <v>1</v>
      </c>
    </row>
    <row r="164" spans="1:4" x14ac:dyDescent="0.2">
      <c r="A164">
        <v>7403</v>
      </c>
      <c r="B164" t="s">
        <v>332</v>
      </c>
      <c r="C164" t="s">
        <v>333</v>
      </c>
      <c r="D164">
        <v>1</v>
      </c>
    </row>
    <row r="165" spans="1:4" x14ac:dyDescent="0.2">
      <c r="A165">
        <v>3317</v>
      </c>
      <c r="B165" t="s">
        <v>334</v>
      </c>
      <c r="C165" t="s">
        <v>335</v>
      </c>
      <c r="D165">
        <v>1</v>
      </c>
    </row>
    <row r="166" spans="1:4" x14ac:dyDescent="0.2">
      <c r="A166">
        <v>13722</v>
      </c>
      <c r="B166" t="s">
        <v>336</v>
      </c>
      <c r="C166" t="s">
        <v>337</v>
      </c>
      <c r="D166">
        <v>1</v>
      </c>
    </row>
    <row r="167" spans="1:4" x14ac:dyDescent="0.2">
      <c r="A167">
        <v>6811</v>
      </c>
      <c r="B167" t="s">
        <v>338</v>
      </c>
      <c r="C167" t="s">
        <v>339</v>
      </c>
      <c r="D167">
        <v>1</v>
      </c>
    </row>
    <row r="168" spans="1:4" x14ac:dyDescent="0.2">
      <c r="A168">
        <v>9888</v>
      </c>
      <c r="B168" t="s">
        <v>340</v>
      </c>
      <c r="C168" t="s">
        <v>341</v>
      </c>
      <c r="D168">
        <v>1</v>
      </c>
    </row>
    <row r="169" spans="1:4" x14ac:dyDescent="0.2">
      <c r="A169">
        <v>14359</v>
      </c>
      <c r="B169" t="s">
        <v>342</v>
      </c>
      <c r="C169" t="s">
        <v>343</v>
      </c>
      <c r="D169">
        <v>1</v>
      </c>
    </row>
    <row r="170" spans="1:4" x14ac:dyDescent="0.2">
      <c r="A170">
        <v>13906</v>
      </c>
      <c r="B170" t="s">
        <v>344</v>
      </c>
      <c r="C170" t="s">
        <v>345</v>
      </c>
      <c r="D170">
        <v>1</v>
      </c>
    </row>
    <row r="171" spans="1:4" x14ac:dyDescent="0.2">
      <c r="A171">
        <v>13907</v>
      </c>
      <c r="B171" t="s">
        <v>346</v>
      </c>
      <c r="C171" t="s">
        <v>347</v>
      </c>
      <c r="D171">
        <v>1</v>
      </c>
    </row>
    <row r="172" spans="1:4" x14ac:dyDescent="0.2">
      <c r="A172">
        <v>2526</v>
      </c>
      <c r="B172" t="s">
        <v>348</v>
      </c>
      <c r="C172" t="s">
        <v>349</v>
      </c>
      <c r="D172">
        <v>1</v>
      </c>
    </row>
    <row r="173" spans="1:4" x14ac:dyDescent="0.2">
      <c r="A173">
        <v>2525</v>
      </c>
      <c r="B173" t="s">
        <v>350</v>
      </c>
      <c r="C173" t="s">
        <v>351</v>
      </c>
      <c r="D173">
        <v>1</v>
      </c>
    </row>
    <row r="174" spans="1:4" x14ac:dyDescent="0.2">
      <c r="A174">
        <v>9585</v>
      </c>
      <c r="B174" t="s">
        <v>352</v>
      </c>
      <c r="C174" t="s">
        <v>353</v>
      </c>
      <c r="D174">
        <v>1</v>
      </c>
    </row>
    <row r="175" spans="1:4" x14ac:dyDescent="0.2">
      <c r="A175">
        <v>9584</v>
      </c>
      <c r="B175" t="s">
        <v>354</v>
      </c>
      <c r="C175" t="s">
        <v>355</v>
      </c>
      <c r="D175">
        <v>1</v>
      </c>
    </row>
    <row r="176" spans="1:4" x14ac:dyDescent="0.2">
      <c r="A176">
        <v>8933</v>
      </c>
      <c r="B176" t="s">
        <v>356</v>
      </c>
      <c r="C176" t="s">
        <v>357</v>
      </c>
      <c r="D176">
        <v>1</v>
      </c>
    </row>
    <row r="177" spans="1:4" x14ac:dyDescent="0.2">
      <c r="A177">
        <v>8936</v>
      </c>
      <c r="B177" t="s">
        <v>358</v>
      </c>
      <c r="C177" t="s">
        <v>359</v>
      </c>
      <c r="D177">
        <v>1</v>
      </c>
    </row>
    <row r="178" spans="1:4" x14ac:dyDescent="0.2">
      <c r="A178">
        <v>8934</v>
      </c>
      <c r="B178" t="s">
        <v>360</v>
      </c>
      <c r="C178" t="s">
        <v>361</v>
      </c>
      <c r="D178">
        <v>1</v>
      </c>
    </row>
    <row r="179" spans="1:4" x14ac:dyDescent="0.2">
      <c r="A179">
        <v>4127</v>
      </c>
      <c r="B179" t="s">
        <v>362</v>
      </c>
      <c r="C179" t="s">
        <v>362</v>
      </c>
      <c r="D179">
        <v>-1</v>
      </c>
    </row>
    <row r="180" spans="1:4" x14ac:dyDescent="0.2">
      <c r="A180">
        <v>10432</v>
      </c>
      <c r="B180" t="s">
        <v>363</v>
      </c>
      <c r="C180" t="s">
        <v>364</v>
      </c>
      <c r="D180">
        <v>-1</v>
      </c>
    </row>
    <row r="181" spans="1:4" x14ac:dyDescent="0.2">
      <c r="A181">
        <v>9285</v>
      </c>
      <c r="B181" t="s">
        <v>365</v>
      </c>
      <c r="C181" t="s">
        <v>366</v>
      </c>
      <c r="D181">
        <v>-1</v>
      </c>
    </row>
    <row r="182" spans="1:4" x14ac:dyDescent="0.2">
      <c r="A182">
        <v>6666</v>
      </c>
      <c r="B182" t="s">
        <v>367</v>
      </c>
      <c r="C182" t="s">
        <v>368</v>
      </c>
      <c r="D182">
        <v>-2</v>
      </c>
    </row>
    <row r="183" spans="1:4" x14ac:dyDescent="0.2">
      <c r="A183">
        <v>7489</v>
      </c>
      <c r="B183" t="s">
        <v>369</v>
      </c>
      <c r="C183" t="s">
        <v>370</v>
      </c>
      <c r="D183">
        <v>-3</v>
      </c>
    </row>
    <row r="184" spans="1:4" x14ac:dyDescent="0.2">
      <c r="A184">
        <v>10164</v>
      </c>
      <c r="B184" t="s">
        <v>371</v>
      </c>
      <c r="C184" t="s">
        <v>372</v>
      </c>
      <c r="D184">
        <v>-3</v>
      </c>
    </row>
    <row r="185" spans="1:4" x14ac:dyDescent="0.2">
      <c r="A185">
        <v>14302</v>
      </c>
      <c r="B185" t="s">
        <v>373</v>
      </c>
      <c r="C185" t="s">
        <v>374</v>
      </c>
      <c r="D185">
        <v>-3</v>
      </c>
    </row>
    <row r="186" spans="1:4" x14ac:dyDescent="0.2">
      <c r="A186">
        <v>14638</v>
      </c>
      <c r="B186" t="s">
        <v>375</v>
      </c>
      <c r="C186" t="s">
        <v>376</v>
      </c>
      <c r="D186">
        <v>-4</v>
      </c>
    </row>
    <row r="187" spans="1:4" x14ac:dyDescent="0.2">
      <c r="A187">
        <v>14248</v>
      </c>
      <c r="B187" t="s">
        <v>377</v>
      </c>
      <c r="C187" t="s">
        <v>378</v>
      </c>
      <c r="D187">
        <v>-5</v>
      </c>
    </row>
    <row r="188" spans="1:4" x14ac:dyDescent="0.2">
      <c r="A188">
        <v>11029</v>
      </c>
      <c r="B188" t="s">
        <v>379</v>
      </c>
      <c r="C188" t="s">
        <v>380</v>
      </c>
      <c r="D188">
        <v>-6</v>
      </c>
    </row>
    <row r="189" spans="1:4" x14ac:dyDescent="0.2">
      <c r="A189">
        <v>632</v>
      </c>
      <c r="B189" t="s">
        <v>381</v>
      </c>
      <c r="C189" t="s">
        <v>382</v>
      </c>
      <c r="D189">
        <v>-7</v>
      </c>
    </row>
    <row r="190" spans="1:4" x14ac:dyDescent="0.2">
      <c r="A190">
        <v>10514</v>
      </c>
      <c r="B190" t="s">
        <v>383</v>
      </c>
      <c r="C190" t="s">
        <v>384</v>
      </c>
      <c r="D190">
        <v>-22</v>
      </c>
    </row>
    <row r="191" spans="1:4" x14ac:dyDescent="0.2">
      <c r="A191">
        <v>14032</v>
      </c>
      <c r="B191" t="s">
        <v>385</v>
      </c>
      <c r="C191" t="s">
        <v>386</v>
      </c>
      <c r="D191">
        <v>-29</v>
      </c>
    </row>
    <row r="192" spans="1:4" x14ac:dyDescent="0.2">
      <c r="A192">
        <v>13717</v>
      </c>
      <c r="B192" t="s">
        <v>387</v>
      </c>
      <c r="C192" t="s">
        <v>388</v>
      </c>
      <c r="D192">
        <v>-40</v>
      </c>
    </row>
    <row r="193" spans="1:4" x14ac:dyDescent="0.2">
      <c r="A193">
        <v>545</v>
      </c>
      <c r="B193" t="s">
        <v>389</v>
      </c>
      <c r="C193" t="s">
        <v>390</v>
      </c>
      <c r="D193">
        <v>1226</v>
      </c>
    </row>
    <row r="194" spans="1:4" x14ac:dyDescent="0.2">
      <c r="A194">
        <v>11108</v>
      </c>
      <c r="B194" t="s">
        <v>391</v>
      </c>
      <c r="C194" t="s">
        <v>392</v>
      </c>
      <c r="D194">
        <v>-81</v>
      </c>
    </row>
    <row r="195" spans="1:4" x14ac:dyDescent="0.2">
      <c r="A195">
        <v>9547</v>
      </c>
      <c r="B195" t="s">
        <v>393</v>
      </c>
      <c r="C195" t="s">
        <v>394</v>
      </c>
      <c r="D195">
        <v>1792</v>
      </c>
    </row>
    <row r="196" spans="1:4" x14ac:dyDescent="0.2">
      <c r="A196">
        <v>10337</v>
      </c>
      <c r="B196" t="s">
        <v>395</v>
      </c>
      <c r="C196" t="s">
        <v>396</v>
      </c>
      <c r="D196">
        <v>1035</v>
      </c>
    </row>
    <row r="197" spans="1:4" x14ac:dyDescent="0.2">
      <c r="A197">
        <v>8955</v>
      </c>
      <c r="B197" t="s">
        <v>397</v>
      </c>
      <c r="C197" t="s">
        <v>398</v>
      </c>
      <c r="D197">
        <v>752</v>
      </c>
    </row>
    <row r="198" spans="1:4" x14ac:dyDescent="0.2">
      <c r="A198">
        <v>9346</v>
      </c>
      <c r="B198" t="s">
        <v>399</v>
      </c>
      <c r="C198" t="s">
        <v>400</v>
      </c>
      <c r="D198">
        <v>200</v>
      </c>
    </row>
    <row r="199" spans="1:4" x14ac:dyDescent="0.2">
      <c r="A199">
        <v>8844</v>
      </c>
      <c r="B199" t="s">
        <v>401</v>
      </c>
      <c r="C199" t="s">
        <v>402</v>
      </c>
      <c r="D199">
        <v>50</v>
      </c>
    </row>
    <row r="200" spans="1:4" x14ac:dyDescent="0.2">
      <c r="A200">
        <v>14054</v>
      </c>
      <c r="B200" t="s">
        <v>403</v>
      </c>
      <c r="C200" t="s">
        <v>404</v>
      </c>
      <c r="D200">
        <v>50</v>
      </c>
    </row>
    <row r="201" spans="1:4" x14ac:dyDescent="0.2">
      <c r="A201">
        <v>8788</v>
      </c>
      <c r="B201" t="s">
        <v>405</v>
      </c>
      <c r="C201" t="s">
        <v>406</v>
      </c>
      <c r="D201">
        <v>50</v>
      </c>
    </row>
    <row r="202" spans="1:4" x14ac:dyDescent="0.2">
      <c r="A202">
        <v>11251</v>
      </c>
      <c r="B202" t="s">
        <v>407</v>
      </c>
      <c r="C202" t="s">
        <v>408</v>
      </c>
      <c r="D202">
        <v>50</v>
      </c>
    </row>
    <row r="203" spans="1:4" x14ac:dyDescent="0.2">
      <c r="A203">
        <v>13539</v>
      </c>
      <c r="B203" t="s">
        <v>409</v>
      </c>
      <c r="C203" t="s">
        <v>410</v>
      </c>
      <c r="D203">
        <v>5</v>
      </c>
    </row>
    <row r="204" spans="1:4" x14ac:dyDescent="0.2">
      <c r="A204">
        <v>6768</v>
      </c>
      <c r="B204" t="s">
        <v>411</v>
      </c>
      <c r="C204" t="s">
        <v>412</v>
      </c>
      <c r="D204">
        <v>2</v>
      </c>
    </row>
    <row r="205" spans="1:4" x14ac:dyDescent="0.2">
      <c r="A205">
        <v>3333</v>
      </c>
      <c r="B205" t="s">
        <v>413</v>
      </c>
      <c r="C205" t="s">
        <v>414</v>
      </c>
      <c r="D205">
        <v>1</v>
      </c>
    </row>
    <row r="206" spans="1:4" x14ac:dyDescent="0.2">
      <c r="A206">
        <v>6772</v>
      </c>
      <c r="B206" t="s">
        <v>415</v>
      </c>
      <c r="C206" t="s">
        <v>416</v>
      </c>
      <c r="D206">
        <v>1</v>
      </c>
    </row>
    <row r="207" spans="1:4" x14ac:dyDescent="0.2">
      <c r="A207" s="17">
        <v>183</v>
      </c>
      <c r="B207" s="17" t="s">
        <v>419</v>
      </c>
      <c r="C207" s="17" t="s">
        <v>418</v>
      </c>
      <c r="D207" s="17">
        <v>4000</v>
      </c>
    </row>
    <row r="208" spans="1:4" x14ac:dyDescent="0.2">
      <c r="A208" s="17">
        <v>3978</v>
      </c>
      <c r="B208" s="17" t="s">
        <v>421</v>
      </c>
      <c r="C208" s="17" t="s">
        <v>420</v>
      </c>
      <c r="D208" s="17">
        <v>2089</v>
      </c>
    </row>
    <row r="209" spans="1:4" x14ac:dyDescent="0.2">
      <c r="A209" s="17">
        <v>185</v>
      </c>
      <c r="B209" s="17" t="s">
        <v>423</v>
      </c>
      <c r="C209" s="17" t="s">
        <v>422</v>
      </c>
      <c r="D209" s="17">
        <v>600</v>
      </c>
    </row>
    <row r="210" spans="1:4" x14ac:dyDescent="0.2">
      <c r="A210" s="17">
        <v>181</v>
      </c>
      <c r="B210" s="17" t="s">
        <v>425</v>
      </c>
      <c r="C210" s="17" t="s">
        <v>424</v>
      </c>
      <c r="D210" s="17">
        <v>200</v>
      </c>
    </row>
    <row r="211" spans="1:4" x14ac:dyDescent="0.2">
      <c r="A211" s="17">
        <v>175</v>
      </c>
      <c r="B211" s="17" t="s">
        <v>427</v>
      </c>
      <c r="C211" s="17" t="s">
        <v>426</v>
      </c>
      <c r="D211" s="17">
        <v>97</v>
      </c>
    </row>
    <row r="212" spans="1:4" x14ac:dyDescent="0.2">
      <c r="A212" s="17">
        <v>192</v>
      </c>
      <c r="B212" s="17" t="s">
        <v>429</v>
      </c>
      <c r="C212" s="17" t="s">
        <v>428</v>
      </c>
      <c r="D212" s="17">
        <v>73</v>
      </c>
    </row>
    <row r="213" spans="1:4" x14ac:dyDescent="0.2">
      <c r="A213" s="17">
        <v>3829</v>
      </c>
      <c r="B213" s="17" t="s">
        <v>431</v>
      </c>
      <c r="C213" s="17" t="s">
        <v>430</v>
      </c>
      <c r="D213" s="17">
        <v>17</v>
      </c>
    </row>
    <row r="214" spans="1:4" x14ac:dyDescent="0.2">
      <c r="A214" s="17">
        <v>4190</v>
      </c>
      <c r="B214" s="17" t="s">
        <v>433</v>
      </c>
      <c r="C214" s="17" t="s">
        <v>432</v>
      </c>
      <c r="D214" s="17">
        <v>15</v>
      </c>
    </row>
    <row r="215" spans="1:4" x14ac:dyDescent="0.2">
      <c r="A215" s="17">
        <v>3385</v>
      </c>
      <c r="B215" s="17" t="s">
        <v>435</v>
      </c>
      <c r="C215" s="17" t="s">
        <v>434</v>
      </c>
      <c r="D215" s="17">
        <v>12</v>
      </c>
    </row>
    <row r="216" spans="1:4" x14ac:dyDescent="0.2">
      <c r="A216" s="17">
        <v>4729</v>
      </c>
      <c r="B216" s="17" t="s">
        <v>437</v>
      </c>
      <c r="C216" s="17" t="s">
        <v>436</v>
      </c>
      <c r="D216" s="17">
        <v>12</v>
      </c>
    </row>
    <row r="217" spans="1:4" x14ac:dyDescent="0.2">
      <c r="A217" s="17">
        <v>4733</v>
      </c>
      <c r="B217" s="17" t="s">
        <v>439</v>
      </c>
      <c r="C217" s="17" t="s">
        <v>438</v>
      </c>
      <c r="D217" s="17">
        <v>11</v>
      </c>
    </row>
    <row r="218" spans="1:4" x14ac:dyDescent="0.2">
      <c r="A218" s="17">
        <v>4731</v>
      </c>
      <c r="B218" s="17" t="s">
        <v>441</v>
      </c>
      <c r="C218" s="17" t="s">
        <v>440</v>
      </c>
      <c r="D218" s="17">
        <v>10</v>
      </c>
    </row>
    <row r="219" spans="1:4" x14ac:dyDescent="0.2">
      <c r="A219" s="17">
        <v>4730</v>
      </c>
      <c r="B219" s="17" t="s">
        <v>443</v>
      </c>
      <c r="C219" s="17" t="s">
        <v>442</v>
      </c>
      <c r="D219" s="17">
        <v>10</v>
      </c>
    </row>
    <row r="220" spans="1:4" x14ac:dyDescent="0.2">
      <c r="A220" s="17">
        <v>4732</v>
      </c>
      <c r="B220" s="17" t="s">
        <v>445</v>
      </c>
      <c r="C220" s="17" t="s">
        <v>444</v>
      </c>
      <c r="D220" s="17">
        <v>10</v>
      </c>
    </row>
    <row r="221" spans="1:4" x14ac:dyDescent="0.2">
      <c r="A221" s="17">
        <v>4194</v>
      </c>
      <c r="B221" s="17" t="s">
        <v>447</v>
      </c>
      <c r="C221" s="17" t="s">
        <v>446</v>
      </c>
      <c r="D221" s="17">
        <v>9</v>
      </c>
    </row>
    <row r="222" spans="1:4" x14ac:dyDescent="0.2">
      <c r="A222" s="17">
        <v>4187</v>
      </c>
      <c r="B222" s="17" t="s">
        <v>449</v>
      </c>
      <c r="C222" s="17" t="s">
        <v>448</v>
      </c>
      <c r="D222" s="17">
        <v>9</v>
      </c>
    </row>
    <row r="223" spans="1:4" x14ac:dyDescent="0.2">
      <c r="A223" s="17">
        <v>6343</v>
      </c>
      <c r="B223" s="17" t="s">
        <v>451</v>
      </c>
      <c r="C223" s="17" t="s">
        <v>450</v>
      </c>
      <c r="D223" s="17">
        <v>8</v>
      </c>
    </row>
    <row r="224" spans="1:4" x14ac:dyDescent="0.2">
      <c r="A224" s="17">
        <v>4123</v>
      </c>
      <c r="B224" s="17" t="s">
        <v>453</v>
      </c>
      <c r="C224" s="17" t="s">
        <v>452</v>
      </c>
      <c r="D224" s="17">
        <v>7</v>
      </c>
    </row>
    <row r="225" spans="1:4" x14ac:dyDescent="0.2">
      <c r="A225" s="17">
        <v>4122</v>
      </c>
      <c r="B225" s="17" t="s">
        <v>455</v>
      </c>
      <c r="C225" s="17" t="s">
        <v>454</v>
      </c>
      <c r="D225" s="17">
        <v>7</v>
      </c>
    </row>
    <row r="226" spans="1:4" x14ac:dyDescent="0.2">
      <c r="A226" s="17">
        <v>4188</v>
      </c>
      <c r="B226" s="17" t="s">
        <v>457</v>
      </c>
      <c r="C226" s="17" t="s">
        <v>456</v>
      </c>
      <c r="D226" s="17">
        <v>7</v>
      </c>
    </row>
    <row r="227" spans="1:4" x14ac:dyDescent="0.2">
      <c r="A227" s="17">
        <v>4185</v>
      </c>
      <c r="B227" s="17" t="s">
        <v>459</v>
      </c>
      <c r="C227" s="17" t="s">
        <v>458</v>
      </c>
      <c r="D227" s="17">
        <v>7</v>
      </c>
    </row>
    <row r="228" spans="1:4" x14ac:dyDescent="0.2">
      <c r="A228" s="17">
        <v>73</v>
      </c>
      <c r="B228" s="17" t="s">
        <v>461</v>
      </c>
      <c r="C228" s="17" t="s">
        <v>460</v>
      </c>
      <c r="D228" s="17">
        <v>5</v>
      </c>
    </row>
    <row r="229" spans="1:4" x14ac:dyDescent="0.2">
      <c r="A229" s="17">
        <v>4108</v>
      </c>
      <c r="B229" s="17" t="s">
        <v>463</v>
      </c>
      <c r="C229" s="17" t="s">
        <v>462</v>
      </c>
      <c r="D229" s="17">
        <v>5</v>
      </c>
    </row>
    <row r="230" spans="1:4" x14ac:dyDescent="0.2">
      <c r="A230" s="17">
        <v>4106</v>
      </c>
      <c r="B230" s="17" t="s">
        <v>465</v>
      </c>
      <c r="C230" s="17" t="s">
        <v>464</v>
      </c>
      <c r="D230" s="17">
        <v>5</v>
      </c>
    </row>
    <row r="231" spans="1:4" x14ac:dyDescent="0.2">
      <c r="A231" s="17">
        <v>4107</v>
      </c>
      <c r="B231" s="17" t="s">
        <v>467</v>
      </c>
      <c r="C231" s="17" t="s">
        <v>466</v>
      </c>
      <c r="D231" s="17">
        <v>5</v>
      </c>
    </row>
    <row r="232" spans="1:4" x14ac:dyDescent="0.2">
      <c r="A232" s="17">
        <v>4195</v>
      </c>
      <c r="B232" s="17" t="s">
        <v>469</v>
      </c>
      <c r="C232" s="17" t="s">
        <v>468</v>
      </c>
      <c r="D232" s="17">
        <v>5</v>
      </c>
    </row>
    <row r="233" spans="1:4" x14ac:dyDescent="0.2">
      <c r="A233" s="17">
        <v>4196</v>
      </c>
      <c r="B233" s="17" t="s">
        <v>471</v>
      </c>
      <c r="C233" s="17" t="s">
        <v>470</v>
      </c>
      <c r="D233" s="17">
        <v>5</v>
      </c>
    </row>
    <row r="234" spans="1:4" x14ac:dyDescent="0.2">
      <c r="A234" s="17">
        <v>4197</v>
      </c>
      <c r="B234" s="17" t="s">
        <v>473</v>
      </c>
      <c r="C234" s="17" t="s">
        <v>472</v>
      </c>
      <c r="D234" s="17">
        <v>5</v>
      </c>
    </row>
    <row r="235" spans="1:4" x14ac:dyDescent="0.2">
      <c r="A235" s="17">
        <v>4356</v>
      </c>
      <c r="B235" s="17" t="s">
        <v>475</v>
      </c>
      <c r="C235" s="17" t="s">
        <v>474</v>
      </c>
      <c r="D235" s="17">
        <v>5</v>
      </c>
    </row>
    <row r="236" spans="1:4" x14ac:dyDescent="0.2">
      <c r="A236" s="17">
        <v>4199</v>
      </c>
      <c r="B236" s="17" t="s">
        <v>477</v>
      </c>
      <c r="C236" s="17" t="s">
        <v>476</v>
      </c>
      <c r="D236" s="17">
        <v>5</v>
      </c>
    </row>
    <row r="237" spans="1:4" x14ac:dyDescent="0.2">
      <c r="A237" s="17">
        <v>4346</v>
      </c>
      <c r="B237" s="17" t="s">
        <v>479</v>
      </c>
      <c r="C237" s="17" t="s">
        <v>478</v>
      </c>
      <c r="D237" s="17">
        <v>4</v>
      </c>
    </row>
    <row r="238" spans="1:4" x14ac:dyDescent="0.2">
      <c r="A238" s="17">
        <v>4133</v>
      </c>
      <c r="B238" s="17" t="s">
        <v>481</v>
      </c>
      <c r="C238" s="17" t="s">
        <v>480</v>
      </c>
      <c r="D238" s="17">
        <v>4</v>
      </c>
    </row>
    <row r="239" spans="1:4" x14ac:dyDescent="0.2">
      <c r="A239" s="17">
        <v>3137</v>
      </c>
      <c r="B239" s="17" t="s">
        <v>483</v>
      </c>
      <c r="C239" s="17" t="s">
        <v>482</v>
      </c>
      <c r="D239" s="17">
        <v>4</v>
      </c>
    </row>
    <row r="240" spans="1:4" x14ac:dyDescent="0.2">
      <c r="A240" s="17">
        <v>4191</v>
      </c>
      <c r="B240" s="17" t="s">
        <v>485</v>
      </c>
      <c r="C240" s="17" t="s">
        <v>484</v>
      </c>
      <c r="D240" s="17">
        <v>4</v>
      </c>
    </row>
    <row r="241" spans="1:4" x14ac:dyDescent="0.2">
      <c r="A241" s="17">
        <v>4109</v>
      </c>
      <c r="B241" s="17" t="s">
        <v>487</v>
      </c>
      <c r="C241" s="17" t="s">
        <v>486</v>
      </c>
      <c r="D241" s="17">
        <v>3</v>
      </c>
    </row>
    <row r="242" spans="1:4" x14ac:dyDescent="0.2">
      <c r="A242" s="17">
        <v>4110</v>
      </c>
      <c r="B242" s="17" t="s">
        <v>489</v>
      </c>
      <c r="C242" s="17" t="s">
        <v>488</v>
      </c>
      <c r="D242" s="17">
        <v>3</v>
      </c>
    </row>
    <row r="243" spans="1:4" x14ac:dyDescent="0.2">
      <c r="A243" s="17">
        <v>4132</v>
      </c>
      <c r="B243" s="17" t="s">
        <v>491</v>
      </c>
      <c r="C243" s="17" t="s">
        <v>490</v>
      </c>
      <c r="D243" s="17">
        <v>3</v>
      </c>
    </row>
    <row r="244" spans="1:4" x14ac:dyDescent="0.2">
      <c r="A244" s="17">
        <v>4131</v>
      </c>
      <c r="B244" s="17" t="s">
        <v>493</v>
      </c>
      <c r="C244" s="17" t="s">
        <v>492</v>
      </c>
      <c r="D244" s="17">
        <v>3</v>
      </c>
    </row>
    <row r="245" spans="1:4" x14ac:dyDescent="0.2">
      <c r="A245" s="17">
        <v>4121</v>
      </c>
      <c r="B245" s="17" t="s">
        <v>495</v>
      </c>
      <c r="C245" s="17" t="s">
        <v>494</v>
      </c>
      <c r="D245" s="17">
        <v>3</v>
      </c>
    </row>
    <row r="246" spans="1:4" x14ac:dyDescent="0.2">
      <c r="A246" s="17">
        <v>4120</v>
      </c>
      <c r="B246" s="17" t="s">
        <v>497</v>
      </c>
      <c r="C246" s="17" t="s">
        <v>496</v>
      </c>
      <c r="D246" s="17">
        <v>3</v>
      </c>
    </row>
    <row r="247" spans="1:4" x14ac:dyDescent="0.2">
      <c r="A247" s="17">
        <v>4119</v>
      </c>
      <c r="B247" s="17" t="s">
        <v>499</v>
      </c>
      <c r="C247" s="17" t="s">
        <v>498</v>
      </c>
      <c r="D247" s="17">
        <v>3</v>
      </c>
    </row>
    <row r="248" spans="1:4" x14ac:dyDescent="0.2">
      <c r="A248" s="17">
        <v>4201</v>
      </c>
      <c r="B248" s="17" t="s">
        <v>501</v>
      </c>
      <c r="C248" s="17" t="s">
        <v>500</v>
      </c>
      <c r="D248" s="17">
        <v>3</v>
      </c>
    </row>
    <row r="249" spans="1:4" x14ac:dyDescent="0.2">
      <c r="A249" s="17">
        <v>4305</v>
      </c>
      <c r="B249" s="17" t="s">
        <v>503</v>
      </c>
      <c r="C249" s="17" t="s">
        <v>502</v>
      </c>
      <c r="D249" s="17">
        <v>3</v>
      </c>
    </row>
    <row r="250" spans="1:4" x14ac:dyDescent="0.2">
      <c r="A250" s="17">
        <v>6616</v>
      </c>
      <c r="B250" s="17" t="s">
        <v>505</v>
      </c>
      <c r="C250" s="17" t="s">
        <v>504</v>
      </c>
      <c r="D250" s="17">
        <v>3</v>
      </c>
    </row>
    <row r="251" spans="1:4" x14ac:dyDescent="0.2">
      <c r="A251" s="17">
        <v>384</v>
      </c>
      <c r="B251" s="17" t="s">
        <v>507</v>
      </c>
      <c r="C251" s="17" t="s">
        <v>506</v>
      </c>
      <c r="D251" s="17">
        <v>3</v>
      </c>
    </row>
    <row r="252" spans="1:4" x14ac:dyDescent="0.2">
      <c r="A252" s="17">
        <v>671</v>
      </c>
      <c r="B252" s="17" t="s">
        <v>509</v>
      </c>
      <c r="C252" s="17" t="s">
        <v>508</v>
      </c>
      <c r="D252" s="17">
        <v>3</v>
      </c>
    </row>
    <row r="253" spans="1:4" x14ac:dyDescent="0.2">
      <c r="A253" s="17">
        <v>4345</v>
      </c>
      <c r="B253" s="17" t="s">
        <v>511</v>
      </c>
      <c r="C253" s="17" t="s">
        <v>510</v>
      </c>
      <c r="D253" s="17">
        <v>3</v>
      </c>
    </row>
    <row r="254" spans="1:4" x14ac:dyDescent="0.2">
      <c r="A254" s="17">
        <v>3435</v>
      </c>
      <c r="B254" s="17" t="s">
        <v>513</v>
      </c>
      <c r="C254" s="17" t="s">
        <v>512</v>
      </c>
      <c r="D254" s="17">
        <v>2</v>
      </c>
    </row>
    <row r="255" spans="1:4" x14ac:dyDescent="0.2">
      <c r="A255" s="17">
        <v>3012</v>
      </c>
      <c r="B255" s="17" t="s">
        <v>515</v>
      </c>
      <c r="C255" s="17" t="s">
        <v>514</v>
      </c>
      <c r="D255" s="17">
        <v>2</v>
      </c>
    </row>
    <row r="256" spans="1:4" x14ac:dyDescent="0.2">
      <c r="A256" s="17">
        <v>6552</v>
      </c>
      <c r="B256" s="17" t="s">
        <v>517</v>
      </c>
      <c r="C256" s="17" t="s">
        <v>516</v>
      </c>
      <c r="D256" s="17">
        <v>2</v>
      </c>
    </row>
    <row r="257" spans="1:4" x14ac:dyDescent="0.2">
      <c r="A257" s="17">
        <v>4420</v>
      </c>
      <c r="B257" s="17" t="s">
        <v>519</v>
      </c>
      <c r="C257" s="17" t="s">
        <v>518</v>
      </c>
      <c r="D257" s="17">
        <v>2</v>
      </c>
    </row>
    <row r="258" spans="1:4" x14ac:dyDescent="0.2">
      <c r="A258" s="17">
        <v>4130</v>
      </c>
      <c r="B258" s="17" t="s">
        <v>521</v>
      </c>
      <c r="C258" s="17" t="s">
        <v>520</v>
      </c>
      <c r="D258" s="17">
        <v>2</v>
      </c>
    </row>
    <row r="259" spans="1:4" x14ac:dyDescent="0.2">
      <c r="A259" s="17">
        <v>4118</v>
      </c>
      <c r="B259" s="17" t="s">
        <v>523</v>
      </c>
      <c r="C259" s="17" t="s">
        <v>522</v>
      </c>
      <c r="D259" s="17">
        <v>2</v>
      </c>
    </row>
    <row r="260" spans="1:4" x14ac:dyDescent="0.2">
      <c r="A260" s="17">
        <v>6389</v>
      </c>
      <c r="B260" s="17" t="s">
        <v>525</v>
      </c>
      <c r="C260" s="17" t="s">
        <v>524</v>
      </c>
      <c r="D260" s="17">
        <v>2</v>
      </c>
    </row>
    <row r="261" spans="1:4" x14ac:dyDescent="0.2">
      <c r="A261" s="17">
        <v>4488</v>
      </c>
      <c r="B261" s="17" t="s">
        <v>527</v>
      </c>
      <c r="C261" s="17" t="s">
        <v>526</v>
      </c>
      <c r="D261" s="17">
        <v>2</v>
      </c>
    </row>
    <row r="262" spans="1:4" x14ac:dyDescent="0.2">
      <c r="A262" s="17">
        <v>4489</v>
      </c>
      <c r="B262" s="17" t="s">
        <v>529</v>
      </c>
      <c r="C262" s="17" t="s">
        <v>528</v>
      </c>
      <c r="D262" s="17">
        <v>2</v>
      </c>
    </row>
    <row r="263" spans="1:4" x14ac:dyDescent="0.2">
      <c r="A263" s="17">
        <v>4490</v>
      </c>
      <c r="B263" s="17" t="s">
        <v>531</v>
      </c>
      <c r="C263" s="17" t="s">
        <v>530</v>
      </c>
      <c r="D263" s="17">
        <v>2</v>
      </c>
    </row>
    <row r="264" spans="1:4" x14ac:dyDescent="0.2">
      <c r="A264" s="17">
        <v>4491</v>
      </c>
      <c r="B264" s="17" t="s">
        <v>533</v>
      </c>
      <c r="C264" s="17" t="s">
        <v>532</v>
      </c>
      <c r="D264" s="17">
        <v>2</v>
      </c>
    </row>
    <row r="265" spans="1:4" x14ac:dyDescent="0.2">
      <c r="A265" s="17">
        <v>2093</v>
      </c>
      <c r="B265" s="17" t="s">
        <v>535</v>
      </c>
      <c r="C265" s="17" t="s">
        <v>534</v>
      </c>
      <c r="D265" s="17">
        <v>2</v>
      </c>
    </row>
    <row r="266" spans="1:4" x14ac:dyDescent="0.2">
      <c r="A266" s="17">
        <v>1973</v>
      </c>
      <c r="B266" s="17" t="s">
        <v>537</v>
      </c>
      <c r="C266" s="17" t="s">
        <v>536</v>
      </c>
      <c r="D266" s="17">
        <v>2</v>
      </c>
    </row>
    <row r="267" spans="1:4" x14ac:dyDescent="0.2">
      <c r="A267" s="17">
        <v>1976</v>
      </c>
      <c r="B267" s="17" t="s">
        <v>539</v>
      </c>
      <c r="C267" s="17" t="s">
        <v>538</v>
      </c>
      <c r="D267" s="17">
        <v>2</v>
      </c>
    </row>
    <row r="268" spans="1:4" x14ac:dyDescent="0.2">
      <c r="A268" s="17">
        <v>390</v>
      </c>
      <c r="B268" s="17" t="s">
        <v>541</v>
      </c>
      <c r="C268" s="17" t="s">
        <v>540</v>
      </c>
      <c r="D268" s="17">
        <v>2</v>
      </c>
    </row>
    <row r="269" spans="1:4" x14ac:dyDescent="0.2">
      <c r="A269" s="17">
        <v>417</v>
      </c>
      <c r="B269" s="17" t="s">
        <v>543</v>
      </c>
      <c r="C269" s="17" t="s">
        <v>542</v>
      </c>
      <c r="D269" s="17">
        <v>2</v>
      </c>
    </row>
    <row r="270" spans="1:4" x14ac:dyDescent="0.2">
      <c r="A270" s="17">
        <v>4421</v>
      </c>
      <c r="B270" s="17" t="s">
        <v>545</v>
      </c>
      <c r="C270" s="17" t="s">
        <v>544</v>
      </c>
      <c r="D270" s="17">
        <v>2</v>
      </c>
    </row>
    <row r="271" spans="1:4" x14ac:dyDescent="0.2">
      <c r="A271" s="17">
        <v>4344</v>
      </c>
      <c r="B271" s="17" t="s">
        <v>547</v>
      </c>
      <c r="C271" s="17" t="s">
        <v>546</v>
      </c>
      <c r="D271" s="17">
        <v>2</v>
      </c>
    </row>
    <row r="272" spans="1:4" x14ac:dyDescent="0.2">
      <c r="A272" s="17">
        <v>4098</v>
      </c>
      <c r="B272" s="17" t="s">
        <v>549</v>
      </c>
      <c r="C272" s="17" t="s">
        <v>548</v>
      </c>
      <c r="D272" s="17">
        <v>2</v>
      </c>
    </row>
    <row r="273" spans="1:4" x14ac:dyDescent="0.2">
      <c r="A273" s="17">
        <v>6676</v>
      </c>
      <c r="B273" s="17" t="s">
        <v>551</v>
      </c>
      <c r="C273" s="17" t="s">
        <v>550</v>
      </c>
      <c r="D273" s="17">
        <v>1</v>
      </c>
    </row>
    <row r="274" spans="1:4" x14ac:dyDescent="0.2">
      <c r="A274" s="17">
        <v>6547</v>
      </c>
      <c r="B274" s="17" t="s">
        <v>553</v>
      </c>
      <c r="C274" s="17" t="s">
        <v>552</v>
      </c>
      <c r="D274" s="17">
        <v>1</v>
      </c>
    </row>
    <row r="275" spans="1:4" x14ac:dyDescent="0.2">
      <c r="A275" s="17">
        <v>6624</v>
      </c>
      <c r="B275" s="17" t="s">
        <v>555</v>
      </c>
      <c r="C275" s="17" t="s">
        <v>554</v>
      </c>
      <c r="D275" s="17">
        <v>1</v>
      </c>
    </row>
    <row r="276" spans="1:4" x14ac:dyDescent="0.2">
      <c r="A276" s="17">
        <v>6625</v>
      </c>
      <c r="B276" s="17" t="s">
        <v>557</v>
      </c>
      <c r="C276" s="17" t="s">
        <v>556</v>
      </c>
      <c r="D276" s="17">
        <v>1</v>
      </c>
    </row>
    <row r="277" spans="1:4" x14ac:dyDescent="0.2">
      <c r="A277" s="17">
        <v>6548</v>
      </c>
      <c r="B277" s="17" t="s">
        <v>559</v>
      </c>
      <c r="C277" s="17" t="s">
        <v>558</v>
      </c>
      <c r="D277" s="17">
        <v>1</v>
      </c>
    </row>
    <row r="278" spans="1:4" x14ac:dyDescent="0.2">
      <c r="A278" s="17">
        <v>124</v>
      </c>
      <c r="B278" s="17" t="s">
        <v>561</v>
      </c>
      <c r="C278" s="17" t="s">
        <v>560</v>
      </c>
      <c r="D278" s="17">
        <v>1</v>
      </c>
    </row>
    <row r="279" spans="1:4" x14ac:dyDescent="0.2">
      <c r="A279" s="17">
        <v>507</v>
      </c>
      <c r="B279" s="17" t="s">
        <v>563</v>
      </c>
      <c r="C279" s="17" t="s">
        <v>562</v>
      </c>
      <c r="D279" s="17">
        <v>1</v>
      </c>
    </row>
    <row r="280" spans="1:4" x14ac:dyDescent="0.2">
      <c r="A280" s="17">
        <v>2375</v>
      </c>
      <c r="B280" s="17" t="s">
        <v>565</v>
      </c>
      <c r="C280" s="17" t="s">
        <v>564</v>
      </c>
      <c r="D280" s="17">
        <v>1</v>
      </c>
    </row>
    <row r="281" spans="1:4" x14ac:dyDescent="0.2">
      <c r="A281" s="17">
        <v>6685</v>
      </c>
      <c r="B281" s="17" t="s">
        <v>567</v>
      </c>
      <c r="C281" s="17" t="s">
        <v>566</v>
      </c>
      <c r="D281" s="17">
        <v>1</v>
      </c>
    </row>
    <row r="282" spans="1:4" x14ac:dyDescent="0.2">
      <c r="A282" s="17">
        <v>257</v>
      </c>
      <c r="B282" s="17" t="s">
        <v>569</v>
      </c>
      <c r="C282" s="17" t="s">
        <v>568</v>
      </c>
      <c r="D282" s="17">
        <v>1</v>
      </c>
    </row>
    <row r="283" spans="1:4" x14ac:dyDescent="0.2">
      <c r="A283" s="17">
        <v>61</v>
      </c>
      <c r="B283" s="17" t="s">
        <v>571</v>
      </c>
      <c r="C283" s="17" t="s">
        <v>570</v>
      </c>
      <c r="D283" s="17">
        <v>1</v>
      </c>
    </row>
    <row r="284" spans="1:4" x14ac:dyDescent="0.2">
      <c r="A284" s="17">
        <v>331</v>
      </c>
      <c r="B284" s="17" t="s">
        <v>573</v>
      </c>
      <c r="C284" s="17" t="s">
        <v>572</v>
      </c>
      <c r="D284" s="17">
        <v>1</v>
      </c>
    </row>
    <row r="285" spans="1:4" x14ac:dyDescent="0.2">
      <c r="A285" s="17">
        <v>3011</v>
      </c>
      <c r="B285" s="17" t="s">
        <v>575</v>
      </c>
      <c r="C285" s="17" t="s">
        <v>574</v>
      </c>
      <c r="D285" s="17">
        <v>1</v>
      </c>
    </row>
    <row r="286" spans="1:4" x14ac:dyDescent="0.2">
      <c r="A286" s="17">
        <v>4484</v>
      </c>
      <c r="B286" s="17" t="s">
        <v>577</v>
      </c>
      <c r="C286" s="17" t="s">
        <v>576</v>
      </c>
      <c r="D286" s="17">
        <v>1</v>
      </c>
    </row>
    <row r="287" spans="1:4" x14ac:dyDescent="0.2">
      <c r="A287" s="17">
        <v>4485</v>
      </c>
      <c r="B287" s="17" t="s">
        <v>579</v>
      </c>
      <c r="C287" s="17" t="s">
        <v>578</v>
      </c>
      <c r="D287" s="17">
        <v>1</v>
      </c>
    </row>
    <row r="288" spans="1:4" x14ac:dyDescent="0.2">
      <c r="A288" s="17">
        <v>4486</v>
      </c>
      <c r="B288" s="17" t="s">
        <v>581</v>
      </c>
      <c r="C288" s="17" t="s">
        <v>580</v>
      </c>
      <c r="D288" s="17">
        <v>1</v>
      </c>
    </row>
    <row r="289" spans="1:4" x14ac:dyDescent="0.2">
      <c r="A289" s="17">
        <v>4100</v>
      </c>
      <c r="B289" s="17" t="s">
        <v>583</v>
      </c>
      <c r="C289" s="17" t="s">
        <v>582</v>
      </c>
      <c r="D289" s="17">
        <v>1</v>
      </c>
    </row>
    <row r="290" spans="1:4" x14ac:dyDescent="0.2">
      <c r="A290" s="17">
        <v>4200</v>
      </c>
      <c r="B290" s="17" t="s">
        <v>585</v>
      </c>
      <c r="C290" s="17" t="s">
        <v>584</v>
      </c>
      <c r="D290" s="17">
        <v>1</v>
      </c>
    </row>
    <row r="291" spans="1:4" x14ac:dyDescent="0.2">
      <c r="A291" s="17">
        <v>4189</v>
      </c>
      <c r="B291" s="17" t="s">
        <v>587</v>
      </c>
      <c r="C291" s="17" t="s">
        <v>586</v>
      </c>
      <c r="D291" s="17">
        <v>1</v>
      </c>
    </row>
    <row r="292" spans="1:4" x14ac:dyDescent="0.2">
      <c r="A292" s="17">
        <v>4400</v>
      </c>
      <c r="B292" s="17" t="s">
        <v>589</v>
      </c>
      <c r="C292" s="17" t="s">
        <v>588</v>
      </c>
      <c r="D292" s="17">
        <v>1</v>
      </c>
    </row>
    <row r="293" spans="1:4" x14ac:dyDescent="0.2">
      <c r="A293" s="17">
        <v>4487</v>
      </c>
      <c r="B293" s="17" t="s">
        <v>591</v>
      </c>
      <c r="C293" s="17" t="s">
        <v>590</v>
      </c>
      <c r="D293" s="17">
        <v>1</v>
      </c>
    </row>
    <row r="294" spans="1:4" x14ac:dyDescent="0.2">
      <c r="A294" s="17">
        <v>3316</v>
      </c>
      <c r="B294" s="17" t="s">
        <v>593</v>
      </c>
      <c r="C294" s="17" t="s">
        <v>592</v>
      </c>
      <c r="D294" s="17">
        <v>1</v>
      </c>
    </row>
    <row r="295" spans="1:4" x14ac:dyDescent="0.2">
      <c r="A295" s="17">
        <v>2567</v>
      </c>
      <c r="B295" s="17" t="s">
        <v>595</v>
      </c>
      <c r="C295" s="17" t="s">
        <v>594</v>
      </c>
      <c r="D295" s="17">
        <v>1</v>
      </c>
    </row>
    <row r="296" spans="1:4" x14ac:dyDescent="0.2">
      <c r="A296" s="17">
        <v>4211</v>
      </c>
      <c r="B296" s="17" t="s">
        <v>597</v>
      </c>
      <c r="C296" s="17" t="s">
        <v>596</v>
      </c>
      <c r="D296" s="17">
        <v>1</v>
      </c>
    </row>
    <row r="297" spans="1:4" x14ac:dyDescent="0.2">
      <c r="A297" s="17">
        <v>3149</v>
      </c>
      <c r="B297" s="17" t="s">
        <v>599</v>
      </c>
      <c r="C297" s="17" t="s">
        <v>598</v>
      </c>
      <c r="D297" s="17">
        <v>1</v>
      </c>
    </row>
    <row r="298" spans="1:4" x14ac:dyDescent="0.2">
      <c r="A298" s="17">
        <v>3129</v>
      </c>
      <c r="B298" s="17" t="s">
        <v>601</v>
      </c>
      <c r="C298" s="17" t="s">
        <v>600</v>
      </c>
      <c r="D298" s="17">
        <v>1</v>
      </c>
    </row>
    <row r="299" spans="1:4" x14ac:dyDescent="0.2">
      <c r="A299" s="17">
        <v>3131</v>
      </c>
      <c r="B299" s="17" t="s">
        <v>603</v>
      </c>
      <c r="C299" s="17" t="s">
        <v>602</v>
      </c>
      <c r="D299" s="17">
        <v>1</v>
      </c>
    </row>
    <row r="300" spans="1:4" x14ac:dyDescent="0.2">
      <c r="A300" s="17">
        <v>3153</v>
      </c>
      <c r="B300" s="17" t="s">
        <v>605</v>
      </c>
      <c r="C300" s="17" t="s">
        <v>604</v>
      </c>
      <c r="D300" s="17">
        <v>1</v>
      </c>
    </row>
    <row r="301" spans="1:4" x14ac:dyDescent="0.2">
      <c r="A301" s="17">
        <v>3134</v>
      </c>
      <c r="B301" s="17" t="s">
        <v>607</v>
      </c>
      <c r="C301" s="17" t="s">
        <v>606</v>
      </c>
      <c r="D301" s="17">
        <v>1</v>
      </c>
    </row>
    <row r="302" spans="1:4" x14ac:dyDescent="0.2">
      <c r="A302" s="17">
        <v>3136</v>
      </c>
      <c r="B302" s="17" t="s">
        <v>609</v>
      </c>
      <c r="C302" s="17" t="s">
        <v>608</v>
      </c>
      <c r="D302" s="17">
        <v>1</v>
      </c>
    </row>
    <row r="303" spans="1:4" x14ac:dyDescent="0.2">
      <c r="A303" s="17">
        <v>6544</v>
      </c>
      <c r="B303" s="17" t="s">
        <v>611</v>
      </c>
      <c r="C303" s="17" t="s">
        <v>610</v>
      </c>
      <c r="D303" s="17">
        <v>1</v>
      </c>
    </row>
    <row r="304" spans="1:4" x14ac:dyDescent="0.2">
      <c r="A304" s="17">
        <v>697</v>
      </c>
      <c r="B304" s="17" t="s">
        <v>613</v>
      </c>
      <c r="C304" s="17" t="s">
        <v>612</v>
      </c>
      <c r="D304" s="17">
        <v>1</v>
      </c>
    </row>
    <row r="305" spans="1:4" x14ac:dyDescent="0.2">
      <c r="A305" s="17">
        <v>128</v>
      </c>
      <c r="B305" s="17" t="s">
        <v>615</v>
      </c>
      <c r="C305" s="17" t="s">
        <v>614</v>
      </c>
      <c r="D305" s="17">
        <v>1</v>
      </c>
    </row>
    <row r="306" spans="1:4" x14ac:dyDescent="0.2">
      <c r="A306" s="17">
        <v>1963</v>
      </c>
      <c r="B306" s="17" t="s">
        <v>617</v>
      </c>
      <c r="C306" s="17" t="s">
        <v>616</v>
      </c>
      <c r="D306" s="17">
        <v>1</v>
      </c>
    </row>
    <row r="307" spans="1:4" x14ac:dyDescent="0.2">
      <c r="A307" s="17">
        <v>1965</v>
      </c>
      <c r="B307" s="17" t="s">
        <v>619</v>
      </c>
      <c r="C307" s="17" t="s">
        <v>618</v>
      </c>
      <c r="D307" s="17">
        <v>1</v>
      </c>
    </row>
    <row r="308" spans="1:4" x14ac:dyDescent="0.2">
      <c r="A308" s="17">
        <v>3424</v>
      </c>
      <c r="B308" s="17" t="s">
        <v>621</v>
      </c>
      <c r="C308" s="17" t="s">
        <v>620</v>
      </c>
      <c r="D308" s="17">
        <v>1</v>
      </c>
    </row>
    <row r="309" spans="1:4" x14ac:dyDescent="0.2">
      <c r="A309" s="17">
        <v>4458</v>
      </c>
      <c r="B309" s="17" t="s">
        <v>623</v>
      </c>
      <c r="C309" s="17" t="s">
        <v>622</v>
      </c>
      <c r="D309" s="17">
        <v>1</v>
      </c>
    </row>
    <row r="310" spans="1:4" x14ac:dyDescent="0.2">
      <c r="A310" s="17">
        <v>1978</v>
      </c>
      <c r="B310" s="17" t="s">
        <v>625</v>
      </c>
      <c r="C310" s="17" t="s">
        <v>624</v>
      </c>
      <c r="D310" s="17">
        <v>1</v>
      </c>
    </row>
    <row r="311" spans="1:4" x14ac:dyDescent="0.2">
      <c r="A311" s="17">
        <v>4463</v>
      </c>
      <c r="B311" s="17" t="s">
        <v>627</v>
      </c>
      <c r="C311" s="17" t="s">
        <v>626</v>
      </c>
      <c r="D311" s="17">
        <v>1</v>
      </c>
    </row>
    <row r="312" spans="1:4" x14ac:dyDescent="0.2">
      <c r="A312" s="17">
        <v>4460</v>
      </c>
      <c r="B312" s="17" t="s">
        <v>629</v>
      </c>
      <c r="C312" s="17" t="s">
        <v>628</v>
      </c>
      <c r="D312" s="17">
        <v>1</v>
      </c>
    </row>
    <row r="313" spans="1:4" x14ac:dyDescent="0.2">
      <c r="A313" s="17">
        <v>1990</v>
      </c>
      <c r="B313" s="17" t="s">
        <v>631</v>
      </c>
      <c r="C313" s="17" t="s">
        <v>630</v>
      </c>
      <c r="D313" s="17">
        <v>1</v>
      </c>
    </row>
    <row r="314" spans="1:4" x14ac:dyDescent="0.2">
      <c r="A314" s="17">
        <v>1991</v>
      </c>
      <c r="B314" s="17" t="s">
        <v>633</v>
      </c>
      <c r="C314" s="17" t="s">
        <v>632</v>
      </c>
      <c r="D314" s="17">
        <v>1</v>
      </c>
    </row>
    <row r="315" spans="1:4" x14ac:dyDescent="0.2">
      <c r="A315" s="17">
        <v>4462</v>
      </c>
      <c r="B315" s="17" t="s">
        <v>635</v>
      </c>
      <c r="C315" s="17" t="s">
        <v>634</v>
      </c>
      <c r="D315" s="17">
        <v>1</v>
      </c>
    </row>
    <row r="316" spans="1:4" x14ac:dyDescent="0.2">
      <c r="A316" s="17">
        <v>603</v>
      </c>
      <c r="B316" s="17" t="s">
        <v>637</v>
      </c>
      <c r="C316" s="17" t="s">
        <v>636</v>
      </c>
      <c r="D316" s="17">
        <v>1</v>
      </c>
    </row>
    <row r="317" spans="1:4" x14ac:dyDescent="0.2">
      <c r="A317" s="17">
        <v>405</v>
      </c>
      <c r="B317" s="17" t="s">
        <v>639</v>
      </c>
      <c r="C317" s="17" t="s">
        <v>638</v>
      </c>
      <c r="D317" s="17">
        <v>1</v>
      </c>
    </row>
    <row r="318" spans="1:4" x14ac:dyDescent="0.2">
      <c r="A318" s="17">
        <v>659</v>
      </c>
      <c r="B318" s="17" t="s">
        <v>641</v>
      </c>
      <c r="C318" s="17" t="s">
        <v>640</v>
      </c>
      <c r="D318" s="17">
        <v>1</v>
      </c>
    </row>
    <row r="319" spans="1:4" x14ac:dyDescent="0.2">
      <c r="A319" s="17">
        <v>6253</v>
      </c>
      <c r="B319" s="17" t="s">
        <v>643</v>
      </c>
      <c r="C319" s="17" t="s">
        <v>642</v>
      </c>
      <c r="D319" s="17">
        <v>993</v>
      </c>
    </row>
    <row r="320" spans="1:4" x14ac:dyDescent="0.2">
      <c r="A320" s="17">
        <v>188</v>
      </c>
      <c r="B320" s="17" t="s">
        <v>645</v>
      </c>
      <c r="C320" s="17" t="s">
        <v>644</v>
      </c>
      <c r="D320" s="17">
        <v>-1</v>
      </c>
    </row>
    <row r="321" spans="1:4" x14ac:dyDescent="0.2">
      <c r="A321" s="17">
        <v>2028</v>
      </c>
      <c r="B321" s="17" t="s">
        <v>647</v>
      </c>
      <c r="C321" s="17" t="s">
        <v>646</v>
      </c>
      <c r="D321" s="17">
        <v>-1</v>
      </c>
    </row>
    <row r="322" spans="1:4" x14ac:dyDescent="0.2">
      <c r="A322" s="17">
        <v>1959</v>
      </c>
      <c r="B322" s="17" t="s">
        <v>649</v>
      </c>
      <c r="C322" s="17" t="s">
        <v>648</v>
      </c>
      <c r="D322" s="17">
        <v>-2</v>
      </c>
    </row>
    <row r="323" spans="1:4" x14ac:dyDescent="0.2">
      <c r="A323" s="17">
        <v>6681</v>
      </c>
      <c r="B323" s="17" t="s">
        <v>651</v>
      </c>
      <c r="C323" s="17" t="s">
        <v>650</v>
      </c>
      <c r="D323" s="17">
        <v>311</v>
      </c>
    </row>
    <row r="324" spans="1:4" x14ac:dyDescent="0.2">
      <c r="A324" s="17">
        <v>6682</v>
      </c>
      <c r="B324" s="17" t="s">
        <v>653</v>
      </c>
      <c r="C324" s="17" t="s">
        <v>652</v>
      </c>
      <c r="D324" s="17">
        <v>232</v>
      </c>
    </row>
    <row r="325" spans="1:4" x14ac:dyDescent="0.2">
      <c r="A325" s="17">
        <v>6680</v>
      </c>
      <c r="B325" s="17" t="s">
        <v>655</v>
      </c>
      <c r="C325" s="17" t="s">
        <v>654</v>
      </c>
      <c r="D325" s="17">
        <v>176</v>
      </c>
    </row>
    <row r="326" spans="1:4" x14ac:dyDescent="0.2">
      <c r="A326" s="17">
        <v>6683</v>
      </c>
      <c r="B326" s="17" t="s">
        <v>657</v>
      </c>
      <c r="C326" s="17" t="s">
        <v>656</v>
      </c>
      <c r="D326" s="17">
        <v>119</v>
      </c>
    </row>
    <row r="327" spans="1:4" x14ac:dyDescent="0.2">
      <c r="A327" s="17">
        <v>6684</v>
      </c>
      <c r="B327" s="17" t="s">
        <v>659</v>
      </c>
      <c r="C327" s="17" t="s">
        <v>658</v>
      </c>
      <c r="D327" s="17">
        <v>74</v>
      </c>
    </row>
    <row r="328" spans="1:4" x14ac:dyDescent="0.2">
      <c r="A328" s="17">
        <v>4099</v>
      </c>
      <c r="B328" s="17" t="s">
        <v>661</v>
      </c>
      <c r="C328" s="17" t="s">
        <v>660</v>
      </c>
      <c r="D328" s="17">
        <v>1</v>
      </c>
    </row>
    <row r="329" spans="1:4" x14ac:dyDescent="0.2">
      <c r="A329" s="14"/>
      <c r="B329" s="14"/>
      <c r="C329" s="14"/>
      <c r="D329" s="14"/>
    </row>
  </sheetData>
  <autoFilter ref="A1:B329" xr:uid="{00000000-0009-0000-0000-000000000000}"/>
  <customSheetViews>
    <customSheetView guid="{2823F285-EC37-464C-9463-7569505F04CE}" showAutoFilter="1" state="hidden">
      <selection activeCell="D13" sqref="D13"/>
      <pageMargins left="0.75" right="0.75" top="1" bottom="1" header="0.5" footer="0.5"/>
      <headerFooter alignWithMargins="0"/>
      <autoFilter ref="A1:O220986" xr:uid="{4C2076DB-BCBE-4DA1-AD14-A60711676176}"/>
    </customSheetView>
    <customSheetView guid="{F5CEECC2-1AB8-48CD-8B07-22140D0181D3}" showAutoFilter="1" state="hidden">
      <selection activeCell="D13" sqref="D13"/>
      <pageMargins left="0.75" right="0.75" top="1" bottom="1" header="0.5" footer="0.5"/>
      <headerFooter alignWithMargins="0"/>
      <autoFilter ref="A1:O220986" xr:uid="{C11938F0-4F2B-4F28-B1AE-EA204BDC1250}"/>
    </customSheetView>
  </customSheetView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3:J2942"/>
  <sheetViews>
    <sheetView showGridLines="0" tabSelected="1" zoomScale="73" zoomScaleNormal="73" workbookViewId="0">
      <selection activeCell="D33" sqref="D33"/>
    </sheetView>
  </sheetViews>
  <sheetFormatPr baseColWidth="10" defaultRowHeight="12.75" x14ac:dyDescent="0.2"/>
  <cols>
    <col min="1" max="1" width="25.5703125" style="4" bestFit="1" customWidth="1"/>
    <col min="2" max="2" width="43.42578125" style="4" customWidth="1"/>
    <col min="3" max="3" width="20.42578125" bestFit="1" customWidth="1"/>
    <col min="4" max="4" width="22" bestFit="1" customWidth="1"/>
    <col min="5" max="5" width="75.85546875" customWidth="1"/>
    <col min="6" max="6" width="15.5703125" style="3" bestFit="1" customWidth="1"/>
    <col min="7" max="7" width="15.42578125" style="13" bestFit="1" customWidth="1"/>
    <col min="8" max="8" width="35.42578125" bestFit="1" customWidth="1"/>
    <col min="9" max="9" width="36.5703125" style="5" bestFit="1" customWidth="1"/>
    <col min="10" max="10" width="27.42578125" style="3" bestFit="1" customWidth="1"/>
  </cols>
  <sheetData>
    <row r="13" spans="1:9" ht="18" x14ac:dyDescent="0.2">
      <c r="A13" s="8" t="s">
        <v>5</v>
      </c>
      <c r="B13" s="10" t="s">
        <v>666</v>
      </c>
      <c r="C13" s="11"/>
      <c r="D13" s="19"/>
      <c r="G13" s="12" t="s">
        <v>6</v>
      </c>
      <c r="H13" s="9">
        <f ca="1">TODAY()</f>
        <v>44998</v>
      </c>
    </row>
    <row r="15" spans="1:9" s="6" customFormat="1" ht="15.75" x14ac:dyDescent="0.2">
      <c r="A15" s="20" t="s">
        <v>7</v>
      </c>
      <c r="B15" s="20" t="s">
        <v>3</v>
      </c>
      <c r="C15" s="20" t="s">
        <v>662</v>
      </c>
      <c r="D15" s="20" t="s">
        <v>665</v>
      </c>
      <c r="E15" s="15" t="s">
        <v>2</v>
      </c>
      <c r="F15" s="15" t="s">
        <v>1</v>
      </c>
      <c r="G15" s="16" t="s">
        <v>663</v>
      </c>
      <c r="H15" s="15" t="s">
        <v>4</v>
      </c>
      <c r="I15" s="15" t="s">
        <v>667</v>
      </c>
    </row>
    <row r="16" spans="1:9" s="7" customFormat="1" ht="15" x14ac:dyDescent="0.2">
      <c r="A16" s="7" t="str">
        <f>IF(Plantilla_SCAN_EQ3_COUNT_2[[#This Row],[ID MATERIAL]]="","",SIGN(1))</f>
        <v/>
      </c>
      <c r="B16" s="21"/>
      <c r="C16" s="21"/>
      <c r="D16" s="21"/>
      <c r="E16" s="7" t="str">
        <f>IF(Plantilla_SCAN_EQ3_COUNT_2[[#This Row],[ID MATERIAL]]="","",VLOOKUP(Plantilla_SCAN_EQ3_COUNT_2[[#This Row],[ID MATERIAL]],INVENTARIO!$A:$D,2,FALSE))</f>
        <v/>
      </c>
      <c r="F16" s="7" t="str">
        <f>IF(Plantilla_SCAN_EQ3_COUNT_2[[#This Row],[ID MATERIAL]]="","",IF(Plantilla_SCAN_EQ3_COUNT_2[[#This Row],[No. Empaques]]="",1,Plantilla_SCAN_EQ3_COUNT_2[[#This Row],[No. Empaques]]*1))</f>
        <v/>
      </c>
      <c r="G16" s="7" t="str">
        <f>IF(Plantilla_SCAN_EQ3_COUNT_2[[#This Row],[ID MATERIAL]]="","","PZ")</f>
        <v/>
      </c>
      <c r="H16" s="7" t="str">
        <f>IF(Plantilla_SCAN_EQ3_COUNT_2[[#This Row],[ID MATERIAL]]="","",$B$13)</f>
        <v/>
      </c>
      <c r="I16" s="7" t="str">
        <f>IF(Plantilla_SCAN_EQ3_COUNT_2[[#This Row],[ID MATERIAL]]="","","Segundo Conteo")</f>
        <v/>
      </c>
    </row>
    <row r="17" spans="1:9" s="7" customFormat="1" ht="15" x14ac:dyDescent="0.2">
      <c r="A17" s="7" t="str">
        <f>IF(Plantilla_SCAN_EQ3_COUNT_2[[#This Row],[ID MATERIAL]]="","",SIGN(Plantilla_SCAN_EQ3_COUNT_2[[#This Row],[Cantidad]])+A16)</f>
        <v/>
      </c>
      <c r="B17" s="21" t="str">
        <f>IF(Plantilla_SCAN_EQ3_COUNT_2[[#This Row],[ID MATERIAL]]="","",B16)</f>
        <v/>
      </c>
      <c r="C17" s="21"/>
      <c r="D17" s="21"/>
      <c r="E17" s="7" t="str">
        <f>IF(Plantilla_SCAN_EQ3_COUNT_2[[#This Row],[ID MATERIAL]]="","",VLOOKUP(Plantilla_SCAN_EQ3_COUNT_2[[#This Row],[ID MATERIAL]],INVENTARIO!$A:$D,2,FALSE))</f>
        <v/>
      </c>
      <c r="F17" s="7" t="str">
        <f>IF(Plantilla_SCAN_EQ3_COUNT_2[[#This Row],[ID MATERIAL]]="","",IF(Plantilla_SCAN_EQ3_COUNT_2[[#This Row],[No. Empaques]]="",1,Plantilla_SCAN_EQ3_COUNT_2[[#This Row],[No. Empaques]]*1))</f>
        <v/>
      </c>
      <c r="G17" s="7" t="str">
        <f>IF(Plantilla_SCAN_EQ3_COUNT_2[[#This Row],[ID MATERIAL]]="","","PZ")</f>
        <v/>
      </c>
      <c r="H17" s="7" t="str">
        <f>IF(Plantilla_SCAN_EQ3_COUNT_2[[#This Row],[ID MATERIAL]]="","",$B$13)</f>
        <v/>
      </c>
      <c r="I17" s="7" t="str">
        <f>IF(Plantilla_SCAN_EQ3_COUNT_2[[#This Row],[ID MATERIAL]]="","","Segundo Conteo")</f>
        <v/>
      </c>
    </row>
    <row r="18" spans="1:9" s="7" customFormat="1" ht="15" x14ac:dyDescent="0.2">
      <c r="A18" s="7" t="str">
        <f>IF(Plantilla_SCAN_EQ3_COUNT_2[[#This Row],[ID MATERIAL]]="","",SIGN(Plantilla_SCAN_EQ3_COUNT_2[[#This Row],[Cantidad]])+A17)</f>
        <v/>
      </c>
      <c r="B18" s="21" t="str">
        <f>IF(Plantilla_SCAN_EQ3_COUNT_2[[#This Row],[ID MATERIAL]]="","",B17)</f>
        <v/>
      </c>
      <c r="C18" s="21"/>
      <c r="D18" s="21"/>
      <c r="E18" s="7" t="str">
        <f>IF(Plantilla_SCAN_EQ3_COUNT_2[[#This Row],[ID MATERIAL]]="","",VLOOKUP(Plantilla_SCAN_EQ3_COUNT_2[[#This Row],[ID MATERIAL]],INVENTARIO!$A:$D,2,FALSE))</f>
        <v/>
      </c>
      <c r="F18" s="7" t="str">
        <f>IF(Plantilla_SCAN_EQ3_COUNT_2[[#This Row],[ID MATERIAL]]="","",IF(Plantilla_SCAN_EQ3_COUNT_2[[#This Row],[No. Empaques]]="",1,Plantilla_SCAN_EQ3_COUNT_2[[#This Row],[No. Empaques]]*1))</f>
        <v/>
      </c>
      <c r="G18" s="7" t="str">
        <f>IF(Plantilla_SCAN_EQ3_COUNT_2[[#This Row],[ID MATERIAL]]="","","PZ")</f>
        <v/>
      </c>
      <c r="H18" s="7" t="str">
        <f>IF(Plantilla_SCAN_EQ3_COUNT_2[[#This Row],[ID MATERIAL]]="","",$B$13)</f>
        <v/>
      </c>
      <c r="I18" s="7" t="str">
        <f>IF(Plantilla_SCAN_EQ3_COUNT_2[[#This Row],[ID MATERIAL]]="","","Segundo Conteo")</f>
        <v/>
      </c>
    </row>
    <row r="19" spans="1:9" s="7" customFormat="1" ht="15" x14ac:dyDescent="0.2">
      <c r="A19" s="7" t="str">
        <f>IF(Plantilla_SCAN_EQ3_COUNT_2[[#This Row],[ID MATERIAL]]="","",SIGN(Plantilla_SCAN_EQ3_COUNT_2[[#This Row],[Cantidad]])+A18)</f>
        <v/>
      </c>
      <c r="B19" s="21" t="str">
        <f>IF(Plantilla_SCAN_EQ3_COUNT_2[[#This Row],[ID MATERIAL]]="","",B18)</f>
        <v/>
      </c>
      <c r="C19" s="21"/>
      <c r="D19" s="21"/>
      <c r="E19" s="7" t="str">
        <f>IF(Plantilla_SCAN_EQ3_COUNT_2[[#This Row],[ID MATERIAL]]="","",VLOOKUP(Plantilla_SCAN_EQ3_COUNT_2[[#This Row],[ID MATERIAL]],INVENTARIO!$A:$D,2,FALSE))</f>
        <v/>
      </c>
      <c r="F19" s="7" t="str">
        <f>IF(Plantilla_SCAN_EQ3_COUNT_2[[#This Row],[ID MATERIAL]]="","",IF(Plantilla_SCAN_EQ3_COUNT_2[[#This Row],[No. Empaques]]="",1,Plantilla_SCAN_EQ3_COUNT_2[[#This Row],[No. Empaques]]*1))</f>
        <v/>
      </c>
      <c r="G19" s="7" t="str">
        <f>IF(Plantilla_SCAN_EQ3_COUNT_2[[#This Row],[ID MATERIAL]]="","","PZ")</f>
        <v/>
      </c>
      <c r="H19" s="7" t="str">
        <f>IF(Plantilla_SCAN_EQ3_COUNT_2[[#This Row],[ID MATERIAL]]="","",$B$13)</f>
        <v/>
      </c>
      <c r="I19" s="7" t="str">
        <f>IF(Plantilla_SCAN_EQ3_COUNT_2[[#This Row],[ID MATERIAL]]="","","Segundo Conteo")</f>
        <v/>
      </c>
    </row>
    <row r="20" spans="1:9" s="7" customFormat="1" ht="15" x14ac:dyDescent="0.2">
      <c r="A20" s="7" t="str">
        <f>IF(Plantilla_SCAN_EQ3_COUNT_2[[#This Row],[ID MATERIAL]]="","",SIGN(Plantilla_SCAN_EQ3_COUNT_2[[#This Row],[Cantidad]])+A19)</f>
        <v/>
      </c>
      <c r="B20" s="21" t="str">
        <f>IF(Plantilla_SCAN_EQ3_COUNT_2[[#This Row],[ID MATERIAL]]="","",B19)</f>
        <v/>
      </c>
      <c r="C20" s="21"/>
      <c r="D20" s="21"/>
      <c r="E20" s="7" t="str">
        <f>IF(Plantilla_SCAN_EQ3_COUNT_2[[#This Row],[ID MATERIAL]]="","",VLOOKUP(Plantilla_SCAN_EQ3_COUNT_2[[#This Row],[ID MATERIAL]],INVENTARIO!$A:$D,2,FALSE))</f>
        <v/>
      </c>
      <c r="F20" s="7" t="str">
        <f>IF(Plantilla_SCAN_EQ3_COUNT_2[[#This Row],[ID MATERIAL]]="","",IF(Plantilla_SCAN_EQ3_COUNT_2[[#This Row],[No. Empaques]]="",1,Plantilla_SCAN_EQ3_COUNT_2[[#This Row],[No. Empaques]]*1))</f>
        <v/>
      </c>
      <c r="G20" s="7" t="str">
        <f>IF(Plantilla_SCAN_EQ3_COUNT_2[[#This Row],[ID MATERIAL]]="","","PZ")</f>
        <v/>
      </c>
      <c r="H20" s="7" t="str">
        <f>IF(Plantilla_SCAN_EQ3_COUNT_2[[#This Row],[ID MATERIAL]]="","",$B$13)</f>
        <v/>
      </c>
      <c r="I20" s="7" t="str">
        <f>IF(Plantilla_SCAN_EQ3_COUNT_2[[#This Row],[ID MATERIAL]]="","","Segundo Conteo")</f>
        <v/>
      </c>
    </row>
    <row r="21" spans="1:9" s="7" customFormat="1" ht="15" x14ac:dyDescent="0.2">
      <c r="A21" s="7" t="str">
        <f>IF(Plantilla_SCAN_EQ3_COUNT_2[[#This Row],[ID MATERIAL]]="","",SIGN(Plantilla_SCAN_EQ3_COUNT_2[[#This Row],[Cantidad]])+A20)</f>
        <v/>
      </c>
      <c r="B21" s="21" t="str">
        <f>IF(Plantilla_SCAN_EQ3_COUNT_2[[#This Row],[ID MATERIAL]]="","",B20)</f>
        <v/>
      </c>
      <c r="C21" s="21"/>
      <c r="D21" s="21"/>
      <c r="E21" s="7" t="str">
        <f>IF(Plantilla_SCAN_EQ3_COUNT_2[[#This Row],[ID MATERIAL]]="","",VLOOKUP(Plantilla_SCAN_EQ3_COUNT_2[[#This Row],[ID MATERIAL]],INVENTARIO!$A:$D,2,FALSE))</f>
        <v/>
      </c>
      <c r="F21" s="7" t="str">
        <f>IF(Plantilla_SCAN_EQ3_COUNT_2[[#This Row],[ID MATERIAL]]="","",IF(Plantilla_SCAN_EQ3_COUNT_2[[#This Row],[No. Empaques]]="",1,Plantilla_SCAN_EQ3_COUNT_2[[#This Row],[No. Empaques]]*1))</f>
        <v/>
      </c>
      <c r="G21" s="7" t="str">
        <f>IF(Plantilla_SCAN_EQ3_COUNT_2[[#This Row],[ID MATERIAL]]="","","PZ")</f>
        <v/>
      </c>
      <c r="H21" s="7" t="str">
        <f>IF(Plantilla_SCAN_EQ3_COUNT_2[[#This Row],[ID MATERIAL]]="","",$B$13)</f>
        <v/>
      </c>
      <c r="I21" s="7" t="str">
        <f>IF(Plantilla_SCAN_EQ3_COUNT_2[[#This Row],[ID MATERIAL]]="","","Segundo Conteo")</f>
        <v/>
      </c>
    </row>
    <row r="22" spans="1:9" s="7" customFormat="1" ht="15" x14ac:dyDescent="0.2">
      <c r="A22" s="7" t="str">
        <f>IF(Plantilla_SCAN_EQ3_COUNT_2[[#This Row],[ID MATERIAL]]="","",SIGN(Plantilla_SCAN_EQ3_COUNT_2[[#This Row],[Cantidad]])+A21)</f>
        <v/>
      </c>
      <c r="B22" s="21" t="str">
        <f>IF(Plantilla_SCAN_EQ3_COUNT_2[[#This Row],[ID MATERIAL]]="","",B21)</f>
        <v/>
      </c>
      <c r="C22" s="21"/>
      <c r="D22" s="21"/>
      <c r="E22" s="7" t="str">
        <f>IF(Plantilla_SCAN_EQ3_COUNT_2[[#This Row],[ID MATERIAL]]="","",VLOOKUP(Plantilla_SCAN_EQ3_COUNT_2[[#This Row],[ID MATERIAL]],INVENTARIO!$A:$D,2,FALSE))</f>
        <v/>
      </c>
      <c r="F22" s="7" t="str">
        <f>IF(Plantilla_SCAN_EQ3_COUNT_2[[#This Row],[ID MATERIAL]]="","",IF(Plantilla_SCAN_EQ3_COUNT_2[[#This Row],[No. Empaques]]="",1,Plantilla_SCAN_EQ3_COUNT_2[[#This Row],[No. Empaques]]*1))</f>
        <v/>
      </c>
      <c r="G22" s="7" t="str">
        <f>IF(Plantilla_SCAN_EQ3_COUNT_2[[#This Row],[ID MATERIAL]]="","","PZ")</f>
        <v/>
      </c>
      <c r="H22" s="7" t="str">
        <f>IF(Plantilla_SCAN_EQ3_COUNT_2[[#This Row],[ID MATERIAL]]="","",$B$13)</f>
        <v/>
      </c>
      <c r="I22" s="7" t="str">
        <f>IF(Plantilla_SCAN_EQ3_COUNT_2[[#This Row],[ID MATERIAL]]="","","Segundo Conteo")</f>
        <v/>
      </c>
    </row>
    <row r="23" spans="1:9" s="7" customFormat="1" ht="15" x14ac:dyDescent="0.2">
      <c r="A23" s="7" t="str">
        <f>IF(Plantilla_SCAN_EQ3_COUNT_2[[#This Row],[ID MATERIAL]]="","",SIGN(Plantilla_SCAN_EQ3_COUNT_2[[#This Row],[Cantidad]])+A22)</f>
        <v/>
      </c>
      <c r="B23" s="21" t="str">
        <f>IF(Plantilla_SCAN_EQ3_COUNT_2[[#This Row],[ID MATERIAL]]="","",B22)</f>
        <v/>
      </c>
      <c r="C23" s="21"/>
      <c r="D23" s="21"/>
      <c r="E23" s="7" t="str">
        <f>IF(Plantilla_SCAN_EQ3_COUNT_2[[#This Row],[ID MATERIAL]]="","",VLOOKUP(Plantilla_SCAN_EQ3_COUNT_2[[#This Row],[ID MATERIAL]],INVENTARIO!$A:$D,2,FALSE))</f>
        <v/>
      </c>
      <c r="F23" s="7" t="str">
        <f>IF(Plantilla_SCAN_EQ3_COUNT_2[[#This Row],[ID MATERIAL]]="","",IF(Plantilla_SCAN_EQ3_COUNT_2[[#This Row],[No. Empaques]]="",1,Plantilla_SCAN_EQ3_COUNT_2[[#This Row],[No. Empaques]]*1))</f>
        <v/>
      </c>
      <c r="G23" s="7" t="str">
        <f>IF(Plantilla_SCAN_EQ3_COUNT_2[[#This Row],[ID MATERIAL]]="","","PZ")</f>
        <v/>
      </c>
      <c r="H23" s="7" t="str">
        <f>IF(Plantilla_SCAN_EQ3_COUNT_2[[#This Row],[ID MATERIAL]]="","",$B$13)</f>
        <v/>
      </c>
      <c r="I23" s="7" t="str">
        <f>IF(Plantilla_SCAN_EQ3_COUNT_2[[#This Row],[ID MATERIAL]]="","","Segundo Conteo")</f>
        <v/>
      </c>
    </row>
    <row r="24" spans="1:9" s="7" customFormat="1" ht="15" x14ac:dyDescent="0.2">
      <c r="A24" s="7" t="str">
        <f>IF(Plantilla_SCAN_EQ3_COUNT_2[[#This Row],[ID MATERIAL]]="","",SIGN(Plantilla_SCAN_EQ3_COUNT_2[[#This Row],[Cantidad]])+A23)</f>
        <v/>
      </c>
      <c r="B24" s="21" t="str">
        <f>IF(Plantilla_SCAN_EQ3_COUNT_2[[#This Row],[ID MATERIAL]]="","",B23)</f>
        <v/>
      </c>
      <c r="C24" s="21"/>
      <c r="D24" s="21"/>
      <c r="E24" s="7" t="str">
        <f>IF(Plantilla_SCAN_EQ3_COUNT_2[[#This Row],[ID MATERIAL]]="","",VLOOKUP(Plantilla_SCAN_EQ3_COUNT_2[[#This Row],[ID MATERIAL]],INVENTARIO!$A:$D,2,FALSE))</f>
        <v/>
      </c>
      <c r="F24" s="7" t="str">
        <f>IF(Plantilla_SCAN_EQ3_COUNT_2[[#This Row],[ID MATERIAL]]="","",IF(Plantilla_SCAN_EQ3_COUNT_2[[#This Row],[No. Empaques]]="",1,Plantilla_SCAN_EQ3_COUNT_2[[#This Row],[No. Empaques]]*1))</f>
        <v/>
      </c>
      <c r="G24" s="7" t="str">
        <f>IF(Plantilla_SCAN_EQ3_COUNT_2[[#This Row],[ID MATERIAL]]="","","PZ")</f>
        <v/>
      </c>
      <c r="H24" s="7" t="str">
        <f>IF(Plantilla_SCAN_EQ3_COUNT_2[[#This Row],[ID MATERIAL]]="","",$B$13)</f>
        <v/>
      </c>
      <c r="I24" s="7" t="str">
        <f>IF(Plantilla_SCAN_EQ3_COUNT_2[[#This Row],[ID MATERIAL]]="","","Segundo Conteo")</f>
        <v/>
      </c>
    </row>
    <row r="25" spans="1:9" s="7" customFormat="1" ht="15" x14ac:dyDescent="0.2">
      <c r="A25" s="7" t="str">
        <f>IF(Plantilla_SCAN_EQ3_COUNT_2[[#This Row],[ID MATERIAL]]="","",SIGN(Plantilla_SCAN_EQ3_COUNT_2[[#This Row],[Cantidad]])+A24)</f>
        <v/>
      </c>
      <c r="B25" s="21" t="str">
        <f>IF(Plantilla_SCAN_EQ3_COUNT_2[[#This Row],[ID MATERIAL]]="","",B24)</f>
        <v/>
      </c>
      <c r="C25" s="21"/>
      <c r="D25" s="21"/>
      <c r="E25" s="7" t="str">
        <f>IF(Plantilla_SCAN_EQ3_COUNT_2[[#This Row],[ID MATERIAL]]="","",VLOOKUP(Plantilla_SCAN_EQ3_COUNT_2[[#This Row],[ID MATERIAL]],INVENTARIO!$A:$D,2,FALSE))</f>
        <v/>
      </c>
      <c r="F25" s="7" t="str">
        <f>IF(Plantilla_SCAN_EQ3_COUNT_2[[#This Row],[ID MATERIAL]]="","",IF(Plantilla_SCAN_EQ3_COUNT_2[[#This Row],[No. Empaques]]="",1,Plantilla_SCAN_EQ3_COUNT_2[[#This Row],[No. Empaques]]*1))</f>
        <v/>
      </c>
      <c r="G25" s="7" t="str">
        <f>IF(Plantilla_SCAN_EQ3_COUNT_2[[#This Row],[ID MATERIAL]]="","","PZ")</f>
        <v/>
      </c>
      <c r="H25" s="7" t="str">
        <f>IF(Plantilla_SCAN_EQ3_COUNT_2[[#This Row],[ID MATERIAL]]="","",$B$13)</f>
        <v/>
      </c>
      <c r="I25" s="7" t="str">
        <f>IF(Plantilla_SCAN_EQ3_COUNT_2[[#This Row],[ID MATERIAL]]="","","Segundo Conteo")</f>
        <v/>
      </c>
    </row>
    <row r="26" spans="1:9" s="7" customFormat="1" ht="15" x14ac:dyDescent="0.2">
      <c r="A26" s="7" t="str">
        <f>IF(Plantilla_SCAN_EQ3_COUNT_2[[#This Row],[ID MATERIAL]]="","",SIGN(Plantilla_SCAN_EQ3_COUNT_2[[#This Row],[Cantidad]])+A25)</f>
        <v/>
      </c>
      <c r="B26" s="21" t="str">
        <f>IF(Plantilla_SCAN_EQ3_COUNT_2[[#This Row],[ID MATERIAL]]="","",B25)</f>
        <v/>
      </c>
      <c r="C26" s="21"/>
      <c r="D26" s="21"/>
      <c r="E26" s="7" t="str">
        <f>IF(Plantilla_SCAN_EQ3_COUNT_2[[#This Row],[ID MATERIAL]]="","",VLOOKUP(Plantilla_SCAN_EQ3_COUNT_2[[#This Row],[ID MATERIAL]],INVENTARIO!$A:$D,2,FALSE))</f>
        <v/>
      </c>
      <c r="F26" s="7" t="str">
        <f>IF(Plantilla_SCAN_EQ3_COUNT_2[[#This Row],[ID MATERIAL]]="","",IF(Plantilla_SCAN_EQ3_COUNT_2[[#This Row],[No. Empaques]]="",1,Plantilla_SCAN_EQ3_COUNT_2[[#This Row],[No. Empaques]]*1))</f>
        <v/>
      </c>
      <c r="G26" s="7" t="str">
        <f>IF(Plantilla_SCAN_EQ3_COUNT_2[[#This Row],[ID MATERIAL]]="","","PZ")</f>
        <v/>
      </c>
      <c r="H26" s="7" t="str">
        <f>IF(Plantilla_SCAN_EQ3_COUNT_2[[#This Row],[ID MATERIAL]]="","",$B$13)</f>
        <v/>
      </c>
      <c r="I26" s="7" t="str">
        <f>IF(Plantilla_SCAN_EQ3_COUNT_2[[#This Row],[ID MATERIAL]]="","","Segundo Conteo")</f>
        <v/>
      </c>
    </row>
    <row r="27" spans="1:9" s="7" customFormat="1" ht="15" x14ac:dyDescent="0.2">
      <c r="A27" s="7" t="str">
        <f>IF(Plantilla_SCAN_EQ3_COUNT_2[[#This Row],[ID MATERIAL]]="","",SIGN(Plantilla_SCAN_EQ3_COUNT_2[[#This Row],[Cantidad]])+A26)</f>
        <v/>
      </c>
      <c r="B27" s="21" t="str">
        <f>IF(Plantilla_SCAN_EQ3_COUNT_2[[#This Row],[ID MATERIAL]]="","",B26)</f>
        <v/>
      </c>
      <c r="C27" s="21"/>
      <c r="D27" s="21"/>
      <c r="E27" s="7" t="str">
        <f>IF(Plantilla_SCAN_EQ3_COUNT_2[[#This Row],[ID MATERIAL]]="","",VLOOKUP(Plantilla_SCAN_EQ3_COUNT_2[[#This Row],[ID MATERIAL]],INVENTARIO!$A:$D,2,FALSE))</f>
        <v/>
      </c>
      <c r="F27" s="7" t="str">
        <f>IF(Plantilla_SCAN_EQ3_COUNT_2[[#This Row],[ID MATERIAL]]="","",IF(Plantilla_SCAN_EQ3_COUNT_2[[#This Row],[No. Empaques]]="",1,Plantilla_SCAN_EQ3_COUNT_2[[#This Row],[No. Empaques]]*1))</f>
        <v/>
      </c>
      <c r="G27" s="7" t="str">
        <f>IF(Plantilla_SCAN_EQ3_COUNT_2[[#This Row],[ID MATERIAL]]="","","PZ")</f>
        <v/>
      </c>
      <c r="H27" s="7" t="str">
        <f>IF(Plantilla_SCAN_EQ3_COUNT_2[[#This Row],[ID MATERIAL]]="","",$B$13)</f>
        <v/>
      </c>
      <c r="I27" s="7" t="str">
        <f>IF(Plantilla_SCAN_EQ3_COUNT_2[[#This Row],[ID MATERIAL]]="","","Segundo Conteo")</f>
        <v/>
      </c>
    </row>
    <row r="28" spans="1:9" s="7" customFormat="1" ht="15" x14ac:dyDescent="0.2">
      <c r="A28" s="7" t="str">
        <f>IF(Plantilla_SCAN_EQ3_COUNT_2[[#This Row],[ID MATERIAL]]="","",SIGN(Plantilla_SCAN_EQ3_COUNT_2[[#This Row],[Cantidad]])+A27)</f>
        <v/>
      </c>
      <c r="B28" s="21" t="str">
        <f>IF(Plantilla_SCAN_EQ3_COUNT_2[[#This Row],[ID MATERIAL]]="","",B27)</f>
        <v/>
      </c>
      <c r="C28" s="21"/>
      <c r="D28" s="21"/>
      <c r="E28" s="7" t="str">
        <f>IF(Plantilla_SCAN_EQ3_COUNT_2[[#This Row],[ID MATERIAL]]="","",VLOOKUP(Plantilla_SCAN_EQ3_COUNT_2[[#This Row],[ID MATERIAL]],INVENTARIO!$A:$D,2,FALSE))</f>
        <v/>
      </c>
      <c r="F28" s="7" t="str">
        <f>IF(Plantilla_SCAN_EQ3_COUNT_2[[#This Row],[ID MATERIAL]]="","",IF(Plantilla_SCAN_EQ3_COUNT_2[[#This Row],[No. Empaques]]="",1,Plantilla_SCAN_EQ3_COUNT_2[[#This Row],[No. Empaques]]*1))</f>
        <v/>
      </c>
      <c r="G28" s="7" t="str">
        <f>IF(Plantilla_SCAN_EQ3_COUNT_2[[#This Row],[ID MATERIAL]]="","","PZ")</f>
        <v/>
      </c>
      <c r="H28" s="7" t="str">
        <f>IF(Plantilla_SCAN_EQ3_COUNT_2[[#This Row],[ID MATERIAL]]="","",$B$13)</f>
        <v/>
      </c>
      <c r="I28" s="7" t="str">
        <f>IF(Plantilla_SCAN_EQ3_COUNT_2[[#This Row],[ID MATERIAL]]="","","Segundo Conteo")</f>
        <v/>
      </c>
    </row>
    <row r="29" spans="1:9" s="7" customFormat="1" ht="15" x14ac:dyDescent="0.2">
      <c r="A29" s="7" t="str">
        <f>IF(Plantilla_SCAN_EQ3_COUNT_2[[#This Row],[ID MATERIAL]]="","",SIGN(Plantilla_SCAN_EQ3_COUNT_2[[#This Row],[Cantidad]])+A28)</f>
        <v/>
      </c>
      <c r="B29" s="21" t="str">
        <f>IF(Plantilla_SCAN_EQ3_COUNT_2[[#This Row],[ID MATERIAL]]="","",B28)</f>
        <v/>
      </c>
      <c r="C29" s="21"/>
      <c r="D29" s="21"/>
      <c r="E29" s="7" t="str">
        <f>IF(Plantilla_SCAN_EQ3_COUNT_2[[#This Row],[ID MATERIAL]]="","",VLOOKUP(Plantilla_SCAN_EQ3_COUNT_2[[#This Row],[ID MATERIAL]],INVENTARIO!$A:$D,2,FALSE))</f>
        <v/>
      </c>
      <c r="F29" s="7" t="str">
        <f>IF(Plantilla_SCAN_EQ3_COUNT_2[[#This Row],[ID MATERIAL]]="","",IF(Plantilla_SCAN_EQ3_COUNT_2[[#This Row],[No. Empaques]]="",1,Plantilla_SCAN_EQ3_COUNT_2[[#This Row],[No. Empaques]]*1))</f>
        <v/>
      </c>
      <c r="G29" s="7" t="str">
        <f>IF(Plantilla_SCAN_EQ3_COUNT_2[[#This Row],[ID MATERIAL]]="","","PZ")</f>
        <v/>
      </c>
      <c r="H29" s="7" t="str">
        <f>IF(Plantilla_SCAN_EQ3_COUNT_2[[#This Row],[ID MATERIAL]]="","",$B$13)</f>
        <v/>
      </c>
      <c r="I29" s="7" t="str">
        <f>IF(Plantilla_SCAN_EQ3_COUNT_2[[#This Row],[ID MATERIAL]]="","","Segundo Conteo")</f>
        <v/>
      </c>
    </row>
    <row r="30" spans="1:9" s="7" customFormat="1" ht="15" x14ac:dyDescent="0.2">
      <c r="A30" s="7" t="str">
        <f>IF(Plantilla_SCAN_EQ3_COUNT_2[[#This Row],[ID MATERIAL]]="","",SIGN(Plantilla_SCAN_EQ3_COUNT_2[[#This Row],[Cantidad]])+A29)</f>
        <v/>
      </c>
      <c r="B30" s="21" t="str">
        <f>IF(Plantilla_SCAN_EQ3_COUNT_2[[#This Row],[ID MATERIAL]]="","",B29)</f>
        <v/>
      </c>
      <c r="C30" s="21"/>
      <c r="D30" s="21"/>
      <c r="E30" s="7" t="str">
        <f>IF(Plantilla_SCAN_EQ3_COUNT_2[[#This Row],[ID MATERIAL]]="","",VLOOKUP(Plantilla_SCAN_EQ3_COUNT_2[[#This Row],[ID MATERIAL]],INVENTARIO!$A:$D,2,FALSE))</f>
        <v/>
      </c>
      <c r="F30" s="7" t="str">
        <f>IF(Plantilla_SCAN_EQ3_COUNT_2[[#This Row],[ID MATERIAL]]="","",IF(Plantilla_SCAN_EQ3_COUNT_2[[#This Row],[No. Empaques]]="",1,Plantilla_SCAN_EQ3_COUNT_2[[#This Row],[No. Empaques]]*1))</f>
        <v/>
      </c>
      <c r="G30" s="7" t="str">
        <f>IF(Plantilla_SCAN_EQ3_COUNT_2[[#This Row],[ID MATERIAL]]="","","PZ")</f>
        <v/>
      </c>
      <c r="H30" s="7" t="str">
        <f>IF(Plantilla_SCAN_EQ3_COUNT_2[[#This Row],[ID MATERIAL]]="","",$B$13)</f>
        <v/>
      </c>
      <c r="I30" s="7" t="str">
        <f>IF(Plantilla_SCAN_EQ3_COUNT_2[[#This Row],[ID MATERIAL]]="","","Segundo Conteo")</f>
        <v/>
      </c>
    </row>
    <row r="31" spans="1:9" s="7" customFormat="1" ht="15" x14ac:dyDescent="0.2">
      <c r="A31" s="7" t="str">
        <f>IF(Plantilla_SCAN_EQ3_COUNT_2[[#This Row],[ID MATERIAL]]="","",SIGN(Plantilla_SCAN_EQ3_COUNT_2[[#This Row],[Cantidad]])+A30)</f>
        <v/>
      </c>
      <c r="B31" s="21" t="str">
        <f>IF(Plantilla_SCAN_EQ3_COUNT_2[[#This Row],[ID MATERIAL]]="","",B30)</f>
        <v/>
      </c>
      <c r="C31" s="21"/>
      <c r="D31" s="21"/>
      <c r="E31" s="7" t="str">
        <f>IF(Plantilla_SCAN_EQ3_COUNT_2[[#This Row],[ID MATERIAL]]="","",VLOOKUP(Plantilla_SCAN_EQ3_COUNT_2[[#This Row],[ID MATERIAL]],INVENTARIO!$A:$D,2,FALSE))</f>
        <v/>
      </c>
      <c r="F31" s="7" t="str">
        <f>IF(Plantilla_SCAN_EQ3_COUNT_2[[#This Row],[ID MATERIAL]]="","",IF(Plantilla_SCAN_EQ3_COUNT_2[[#This Row],[No. Empaques]]="",1,Plantilla_SCAN_EQ3_COUNT_2[[#This Row],[No. Empaques]]*1))</f>
        <v/>
      </c>
      <c r="G31" s="7" t="str">
        <f>IF(Plantilla_SCAN_EQ3_COUNT_2[[#This Row],[ID MATERIAL]]="","","PZ")</f>
        <v/>
      </c>
      <c r="H31" s="7" t="str">
        <f>IF(Plantilla_SCAN_EQ3_COUNT_2[[#This Row],[ID MATERIAL]]="","",$B$13)</f>
        <v/>
      </c>
      <c r="I31" s="7" t="str">
        <f>IF(Plantilla_SCAN_EQ3_COUNT_2[[#This Row],[ID MATERIAL]]="","","Segundo Conteo")</f>
        <v/>
      </c>
    </row>
    <row r="32" spans="1:9" s="7" customFormat="1" ht="15" x14ac:dyDescent="0.2">
      <c r="A32" s="7" t="str">
        <f>IF(Plantilla_SCAN_EQ3_COUNT_2[[#This Row],[ID MATERIAL]]="","",SIGN(Plantilla_SCAN_EQ3_COUNT_2[[#This Row],[Cantidad]])+A31)</f>
        <v/>
      </c>
      <c r="B32" s="21" t="str">
        <f>IF(Plantilla_SCAN_EQ3_COUNT_2[[#This Row],[ID MATERIAL]]="","",B31)</f>
        <v/>
      </c>
      <c r="C32" s="21"/>
      <c r="D32" s="21"/>
      <c r="E32" s="7" t="str">
        <f>IF(Plantilla_SCAN_EQ3_COUNT_2[[#This Row],[ID MATERIAL]]="","",VLOOKUP(Plantilla_SCAN_EQ3_COUNT_2[[#This Row],[ID MATERIAL]],INVENTARIO!$A:$D,2,FALSE))</f>
        <v/>
      </c>
      <c r="F32" s="7" t="str">
        <f>IF(Plantilla_SCAN_EQ3_COUNT_2[[#This Row],[ID MATERIAL]]="","",IF(Plantilla_SCAN_EQ3_COUNT_2[[#This Row],[No. Empaques]]="",1,Plantilla_SCAN_EQ3_COUNT_2[[#This Row],[No. Empaques]]*1))</f>
        <v/>
      </c>
      <c r="G32" s="7" t="str">
        <f>IF(Plantilla_SCAN_EQ3_COUNT_2[[#This Row],[ID MATERIAL]]="","","PZ")</f>
        <v/>
      </c>
      <c r="H32" s="7" t="str">
        <f>IF(Plantilla_SCAN_EQ3_COUNT_2[[#This Row],[ID MATERIAL]]="","",$B$13)</f>
        <v/>
      </c>
      <c r="I32" s="7" t="str">
        <f>IF(Plantilla_SCAN_EQ3_COUNT_2[[#This Row],[ID MATERIAL]]="","","Segundo Conteo")</f>
        <v/>
      </c>
    </row>
    <row r="33" spans="1:9" s="7" customFormat="1" ht="15" x14ac:dyDescent="0.2">
      <c r="A33" s="7" t="str">
        <f>IF(Plantilla_SCAN_EQ3_COUNT_2[[#This Row],[ID MATERIAL]]="","",SIGN(Plantilla_SCAN_EQ3_COUNT_2[[#This Row],[Cantidad]])+A32)</f>
        <v/>
      </c>
      <c r="B33" s="21" t="str">
        <f>IF(Plantilla_SCAN_EQ3_COUNT_2[[#This Row],[ID MATERIAL]]="","",B32)</f>
        <v/>
      </c>
      <c r="C33" s="21"/>
      <c r="D33" s="21"/>
      <c r="E33" s="7" t="str">
        <f>IF(Plantilla_SCAN_EQ3_COUNT_2[[#This Row],[ID MATERIAL]]="","",VLOOKUP(Plantilla_SCAN_EQ3_COUNT_2[[#This Row],[ID MATERIAL]],INVENTARIO!$A:$D,2,FALSE))</f>
        <v/>
      </c>
      <c r="F33" s="7" t="str">
        <f>IF(Plantilla_SCAN_EQ3_COUNT_2[[#This Row],[ID MATERIAL]]="","",IF(Plantilla_SCAN_EQ3_COUNT_2[[#This Row],[No. Empaques]]="",1,Plantilla_SCAN_EQ3_COUNT_2[[#This Row],[No. Empaques]]*1))</f>
        <v/>
      </c>
      <c r="G33" s="7" t="str">
        <f>IF(Plantilla_SCAN_EQ3_COUNT_2[[#This Row],[ID MATERIAL]]="","","PZ")</f>
        <v/>
      </c>
      <c r="H33" s="7" t="str">
        <f>IF(Plantilla_SCAN_EQ3_COUNT_2[[#This Row],[ID MATERIAL]]="","",$B$13)</f>
        <v/>
      </c>
      <c r="I33" s="7" t="str">
        <f>IF(Plantilla_SCAN_EQ3_COUNT_2[[#This Row],[ID MATERIAL]]="","","Segundo Conteo")</f>
        <v/>
      </c>
    </row>
    <row r="34" spans="1:9" s="7" customFormat="1" ht="15" x14ac:dyDescent="0.2">
      <c r="A34" s="7" t="str">
        <f>IF(Plantilla_SCAN_EQ3_COUNT_2[[#This Row],[ID MATERIAL]]="","",SIGN(Plantilla_SCAN_EQ3_COUNT_2[[#This Row],[Cantidad]])+A33)</f>
        <v/>
      </c>
      <c r="B34" s="21" t="str">
        <f>IF(Plantilla_SCAN_EQ3_COUNT_2[[#This Row],[ID MATERIAL]]="","",B33)</f>
        <v/>
      </c>
      <c r="C34" s="21"/>
      <c r="D34" s="21"/>
      <c r="E34" s="7" t="str">
        <f>IF(Plantilla_SCAN_EQ3_COUNT_2[[#This Row],[ID MATERIAL]]="","",VLOOKUP(Plantilla_SCAN_EQ3_COUNT_2[[#This Row],[ID MATERIAL]],INVENTARIO!$A:$D,2,FALSE))</f>
        <v/>
      </c>
      <c r="F34" s="7" t="str">
        <f>IF(Plantilla_SCAN_EQ3_COUNT_2[[#This Row],[ID MATERIAL]]="","",IF(Plantilla_SCAN_EQ3_COUNT_2[[#This Row],[No. Empaques]]="",1,Plantilla_SCAN_EQ3_COUNT_2[[#This Row],[No. Empaques]]*1))</f>
        <v/>
      </c>
      <c r="G34" s="7" t="str">
        <f>IF(Plantilla_SCAN_EQ3_COUNT_2[[#This Row],[ID MATERIAL]]="","","PZ")</f>
        <v/>
      </c>
      <c r="H34" s="7" t="str">
        <f>IF(Plantilla_SCAN_EQ3_COUNT_2[[#This Row],[ID MATERIAL]]="","",$B$13)</f>
        <v/>
      </c>
      <c r="I34" s="7" t="str">
        <f>IF(Plantilla_SCAN_EQ3_COUNT_2[[#This Row],[ID MATERIAL]]="","","Segundo Conteo")</f>
        <v/>
      </c>
    </row>
    <row r="35" spans="1:9" s="7" customFormat="1" ht="15" x14ac:dyDescent="0.2">
      <c r="A35" s="7" t="str">
        <f>IF(Plantilla_SCAN_EQ3_COUNT_2[[#This Row],[ID MATERIAL]]="","",SIGN(Plantilla_SCAN_EQ3_COUNT_2[[#This Row],[Cantidad]])+A34)</f>
        <v/>
      </c>
      <c r="B35" s="21" t="str">
        <f>IF(Plantilla_SCAN_EQ3_COUNT_2[[#This Row],[ID MATERIAL]]="","",B34)</f>
        <v/>
      </c>
      <c r="C35" s="21"/>
      <c r="D35" s="21"/>
      <c r="E35" s="7" t="str">
        <f>IF(Plantilla_SCAN_EQ3_COUNT_2[[#This Row],[ID MATERIAL]]="","",VLOOKUP(Plantilla_SCAN_EQ3_COUNT_2[[#This Row],[ID MATERIAL]],INVENTARIO!$A:$D,2,FALSE))</f>
        <v/>
      </c>
      <c r="F35" s="7" t="str">
        <f>IF(Plantilla_SCAN_EQ3_COUNT_2[[#This Row],[ID MATERIAL]]="","",IF(Plantilla_SCAN_EQ3_COUNT_2[[#This Row],[No. Empaques]]="",1,Plantilla_SCAN_EQ3_COUNT_2[[#This Row],[No. Empaques]]*1))</f>
        <v/>
      </c>
      <c r="G35" s="7" t="str">
        <f>IF(Plantilla_SCAN_EQ3_COUNT_2[[#This Row],[ID MATERIAL]]="","","PZ")</f>
        <v/>
      </c>
      <c r="H35" s="7" t="str">
        <f>IF(Plantilla_SCAN_EQ3_COUNT_2[[#This Row],[ID MATERIAL]]="","",$B$13)</f>
        <v/>
      </c>
      <c r="I35" s="7" t="str">
        <f>IF(Plantilla_SCAN_EQ3_COUNT_2[[#This Row],[ID MATERIAL]]="","","Segundo Conteo")</f>
        <v/>
      </c>
    </row>
    <row r="36" spans="1:9" s="7" customFormat="1" ht="15" x14ac:dyDescent="0.2">
      <c r="A36" s="7" t="str">
        <f>IF(Plantilla_SCAN_EQ3_COUNT_2[[#This Row],[ID MATERIAL]]="","",SIGN(Plantilla_SCAN_EQ3_COUNT_2[[#This Row],[Cantidad]])+A35)</f>
        <v/>
      </c>
      <c r="B36" s="21" t="str">
        <f>IF(Plantilla_SCAN_EQ3_COUNT_2[[#This Row],[ID MATERIAL]]="","",B35)</f>
        <v/>
      </c>
      <c r="C36" s="21"/>
      <c r="D36" s="21"/>
      <c r="E36" s="7" t="str">
        <f>IF(Plantilla_SCAN_EQ3_COUNT_2[[#This Row],[ID MATERIAL]]="","",VLOOKUP(Plantilla_SCAN_EQ3_COUNT_2[[#This Row],[ID MATERIAL]],INVENTARIO!$A:$D,2,FALSE))</f>
        <v/>
      </c>
      <c r="F36" s="7" t="str">
        <f>IF(Plantilla_SCAN_EQ3_COUNT_2[[#This Row],[ID MATERIAL]]="","",IF(Plantilla_SCAN_EQ3_COUNT_2[[#This Row],[No. Empaques]]="",1,Plantilla_SCAN_EQ3_COUNT_2[[#This Row],[No. Empaques]]*1))</f>
        <v/>
      </c>
      <c r="G36" s="7" t="str">
        <f>IF(Plantilla_SCAN_EQ3_COUNT_2[[#This Row],[ID MATERIAL]]="","","PZ")</f>
        <v/>
      </c>
      <c r="H36" s="7" t="str">
        <f>IF(Plantilla_SCAN_EQ3_COUNT_2[[#This Row],[ID MATERIAL]]="","",$B$13)</f>
        <v/>
      </c>
      <c r="I36" s="7" t="str">
        <f>IF(Plantilla_SCAN_EQ3_COUNT_2[[#This Row],[ID MATERIAL]]="","","Segundo Conteo")</f>
        <v/>
      </c>
    </row>
    <row r="37" spans="1:9" s="7" customFormat="1" ht="15" x14ac:dyDescent="0.2">
      <c r="A37" s="7" t="str">
        <f>IF(Plantilla_SCAN_EQ3_COUNT_2[[#This Row],[ID MATERIAL]]="","",SIGN(Plantilla_SCAN_EQ3_COUNT_2[[#This Row],[Cantidad]])+A36)</f>
        <v/>
      </c>
      <c r="B37" s="21" t="str">
        <f>IF(Plantilla_SCAN_EQ3_COUNT_2[[#This Row],[ID MATERIAL]]="","",B36)</f>
        <v/>
      </c>
      <c r="C37" s="21"/>
      <c r="D37" s="21"/>
      <c r="E37" s="7" t="str">
        <f>IF(Plantilla_SCAN_EQ3_COUNT_2[[#This Row],[ID MATERIAL]]="","",VLOOKUP(Plantilla_SCAN_EQ3_COUNT_2[[#This Row],[ID MATERIAL]],INVENTARIO!$A:$D,2,FALSE))</f>
        <v/>
      </c>
      <c r="F37" s="7" t="str">
        <f>IF(Plantilla_SCAN_EQ3_COUNT_2[[#This Row],[ID MATERIAL]]="","",IF(Plantilla_SCAN_EQ3_COUNT_2[[#This Row],[No. Empaques]]="",1,Plantilla_SCAN_EQ3_COUNT_2[[#This Row],[No. Empaques]]*1))</f>
        <v/>
      </c>
      <c r="G37" s="7" t="str">
        <f>IF(Plantilla_SCAN_EQ3_COUNT_2[[#This Row],[ID MATERIAL]]="","","PZ")</f>
        <v/>
      </c>
      <c r="H37" s="7" t="str">
        <f>IF(Plantilla_SCAN_EQ3_COUNT_2[[#This Row],[ID MATERIAL]]="","",$B$13)</f>
        <v/>
      </c>
      <c r="I37" s="7" t="str">
        <f>IF(Plantilla_SCAN_EQ3_COUNT_2[[#This Row],[ID MATERIAL]]="","","Segundo Conteo")</f>
        <v/>
      </c>
    </row>
    <row r="38" spans="1:9" s="7" customFormat="1" ht="15" x14ac:dyDescent="0.2">
      <c r="A38" s="7" t="str">
        <f>IF(Plantilla_SCAN_EQ3_COUNT_2[[#This Row],[ID MATERIAL]]="","",SIGN(Plantilla_SCAN_EQ3_COUNT_2[[#This Row],[Cantidad]])+A37)</f>
        <v/>
      </c>
      <c r="B38" s="21" t="str">
        <f>IF(Plantilla_SCAN_EQ3_COUNT_2[[#This Row],[ID MATERIAL]]="","",B37)</f>
        <v/>
      </c>
      <c r="C38" s="21"/>
      <c r="D38" s="21"/>
      <c r="E38" s="7" t="str">
        <f>IF(Plantilla_SCAN_EQ3_COUNT_2[[#This Row],[ID MATERIAL]]="","",VLOOKUP(Plantilla_SCAN_EQ3_COUNT_2[[#This Row],[ID MATERIAL]],INVENTARIO!$A:$D,2,FALSE))</f>
        <v/>
      </c>
      <c r="F38" s="7" t="str">
        <f>IF(Plantilla_SCAN_EQ3_COUNT_2[[#This Row],[ID MATERIAL]]="","",IF(Plantilla_SCAN_EQ3_COUNT_2[[#This Row],[No. Empaques]]="",1,Plantilla_SCAN_EQ3_COUNT_2[[#This Row],[No. Empaques]]*1))</f>
        <v/>
      </c>
      <c r="G38" s="7" t="str">
        <f>IF(Plantilla_SCAN_EQ3_COUNT_2[[#This Row],[ID MATERIAL]]="","","PZ")</f>
        <v/>
      </c>
      <c r="H38" s="7" t="str">
        <f>IF(Plantilla_SCAN_EQ3_COUNT_2[[#This Row],[ID MATERIAL]]="","",$B$13)</f>
        <v/>
      </c>
      <c r="I38" s="7" t="str">
        <f>IF(Plantilla_SCAN_EQ3_COUNT_2[[#This Row],[ID MATERIAL]]="","","Segundo Conteo")</f>
        <v/>
      </c>
    </row>
    <row r="39" spans="1:9" s="7" customFormat="1" ht="15" x14ac:dyDescent="0.2">
      <c r="A39" s="7" t="str">
        <f>IF(Plantilla_SCAN_EQ3_COUNT_2[[#This Row],[ID MATERIAL]]="","",SIGN(Plantilla_SCAN_EQ3_COUNT_2[[#This Row],[Cantidad]])+A38)</f>
        <v/>
      </c>
      <c r="B39" s="21" t="str">
        <f>IF(Plantilla_SCAN_EQ3_COUNT_2[[#This Row],[ID MATERIAL]]="","",B38)</f>
        <v/>
      </c>
      <c r="C39" s="21"/>
      <c r="D39" s="21"/>
      <c r="E39" s="7" t="str">
        <f>IF(Plantilla_SCAN_EQ3_COUNT_2[[#This Row],[ID MATERIAL]]="","",VLOOKUP(Plantilla_SCAN_EQ3_COUNT_2[[#This Row],[ID MATERIAL]],INVENTARIO!$A:$D,2,FALSE))</f>
        <v/>
      </c>
      <c r="F39" s="7" t="str">
        <f>IF(Plantilla_SCAN_EQ3_COUNT_2[[#This Row],[ID MATERIAL]]="","",IF(Plantilla_SCAN_EQ3_COUNT_2[[#This Row],[No. Empaques]]="",1,Plantilla_SCAN_EQ3_COUNT_2[[#This Row],[No. Empaques]]*1))</f>
        <v/>
      </c>
      <c r="G39" s="7" t="str">
        <f>IF(Plantilla_SCAN_EQ3_COUNT_2[[#This Row],[ID MATERIAL]]="","","PZ")</f>
        <v/>
      </c>
      <c r="H39" s="7" t="str">
        <f>IF(Plantilla_SCAN_EQ3_COUNT_2[[#This Row],[ID MATERIAL]]="","",$B$13)</f>
        <v/>
      </c>
      <c r="I39" s="7" t="str">
        <f>IF(Plantilla_SCAN_EQ3_COUNT_2[[#This Row],[ID MATERIAL]]="","","Segundo Conteo")</f>
        <v/>
      </c>
    </row>
    <row r="40" spans="1:9" s="7" customFormat="1" ht="15" x14ac:dyDescent="0.2">
      <c r="A40" s="7" t="str">
        <f>IF(Plantilla_SCAN_EQ3_COUNT_2[[#This Row],[ID MATERIAL]]="","",SIGN(Plantilla_SCAN_EQ3_COUNT_2[[#This Row],[Cantidad]])+A39)</f>
        <v/>
      </c>
      <c r="B40" s="21" t="str">
        <f>IF(Plantilla_SCAN_EQ3_COUNT_2[[#This Row],[ID MATERIAL]]="","",B39)</f>
        <v/>
      </c>
      <c r="C40" s="21"/>
      <c r="D40" s="21"/>
      <c r="E40" s="7" t="str">
        <f>IF(Plantilla_SCAN_EQ3_COUNT_2[[#This Row],[ID MATERIAL]]="","",VLOOKUP(Plantilla_SCAN_EQ3_COUNT_2[[#This Row],[ID MATERIAL]],INVENTARIO!$A:$D,2,FALSE))</f>
        <v/>
      </c>
      <c r="F40" s="7" t="str">
        <f>IF(Plantilla_SCAN_EQ3_COUNT_2[[#This Row],[ID MATERIAL]]="","",IF(Plantilla_SCAN_EQ3_COUNT_2[[#This Row],[No. Empaques]]="",1,Plantilla_SCAN_EQ3_COUNT_2[[#This Row],[No. Empaques]]*1))</f>
        <v/>
      </c>
      <c r="G40" s="7" t="str">
        <f>IF(Plantilla_SCAN_EQ3_COUNT_2[[#This Row],[ID MATERIAL]]="","","PZ")</f>
        <v/>
      </c>
      <c r="H40" s="7" t="str">
        <f>IF(Plantilla_SCAN_EQ3_COUNT_2[[#This Row],[ID MATERIAL]]="","",$B$13)</f>
        <v/>
      </c>
      <c r="I40" s="7" t="str">
        <f>IF(Plantilla_SCAN_EQ3_COUNT_2[[#This Row],[ID MATERIAL]]="","","Segundo Conteo")</f>
        <v/>
      </c>
    </row>
    <row r="41" spans="1:9" s="7" customFormat="1" ht="15" x14ac:dyDescent="0.2">
      <c r="A41" s="7" t="str">
        <f>IF(Plantilla_SCAN_EQ3_COUNT_2[[#This Row],[ID MATERIAL]]="","",SIGN(Plantilla_SCAN_EQ3_COUNT_2[[#This Row],[Cantidad]])+A40)</f>
        <v/>
      </c>
      <c r="B41" s="21" t="str">
        <f>IF(Plantilla_SCAN_EQ3_COUNT_2[[#This Row],[ID MATERIAL]]="","",B40)</f>
        <v/>
      </c>
      <c r="C41" s="21"/>
      <c r="D41" s="21"/>
      <c r="E41" s="7" t="str">
        <f>IF(Plantilla_SCAN_EQ3_COUNT_2[[#This Row],[ID MATERIAL]]="","",VLOOKUP(Plantilla_SCAN_EQ3_COUNT_2[[#This Row],[ID MATERIAL]],INVENTARIO!$A:$D,2,FALSE))</f>
        <v/>
      </c>
      <c r="F41" s="7" t="str">
        <f>IF(Plantilla_SCAN_EQ3_COUNT_2[[#This Row],[ID MATERIAL]]="","",IF(Plantilla_SCAN_EQ3_COUNT_2[[#This Row],[No. Empaques]]="",1,Plantilla_SCAN_EQ3_COUNT_2[[#This Row],[No. Empaques]]*1))</f>
        <v/>
      </c>
      <c r="G41" s="7" t="str">
        <f>IF(Plantilla_SCAN_EQ3_COUNT_2[[#This Row],[ID MATERIAL]]="","","PZ")</f>
        <v/>
      </c>
      <c r="H41" s="7" t="str">
        <f>IF(Plantilla_SCAN_EQ3_COUNT_2[[#This Row],[ID MATERIAL]]="","",$B$13)</f>
        <v/>
      </c>
      <c r="I41" s="7" t="str">
        <f>IF(Plantilla_SCAN_EQ3_COUNT_2[[#This Row],[ID MATERIAL]]="","","Segundo Conteo")</f>
        <v/>
      </c>
    </row>
    <row r="42" spans="1:9" s="7" customFormat="1" ht="15" x14ac:dyDescent="0.2">
      <c r="A42" s="7" t="str">
        <f>IF(Plantilla_SCAN_EQ3_COUNT_2[[#This Row],[ID MATERIAL]]="","",SIGN(Plantilla_SCAN_EQ3_COUNT_2[[#This Row],[Cantidad]])+A41)</f>
        <v/>
      </c>
      <c r="B42" s="21" t="str">
        <f>IF(Plantilla_SCAN_EQ3_COUNT_2[[#This Row],[ID MATERIAL]]="","",B41)</f>
        <v/>
      </c>
      <c r="C42" s="21"/>
      <c r="D42" s="21"/>
      <c r="E42" s="7" t="str">
        <f>IF(Plantilla_SCAN_EQ3_COUNT_2[[#This Row],[ID MATERIAL]]="","",VLOOKUP(Plantilla_SCAN_EQ3_COUNT_2[[#This Row],[ID MATERIAL]],INVENTARIO!$A:$D,2,FALSE))</f>
        <v/>
      </c>
      <c r="F42" s="7" t="str">
        <f>IF(Plantilla_SCAN_EQ3_COUNT_2[[#This Row],[ID MATERIAL]]="","",IF(Plantilla_SCAN_EQ3_COUNT_2[[#This Row],[No. Empaques]]="",1,Plantilla_SCAN_EQ3_COUNT_2[[#This Row],[No. Empaques]]*1))</f>
        <v/>
      </c>
      <c r="G42" s="7" t="str">
        <f>IF(Plantilla_SCAN_EQ3_COUNT_2[[#This Row],[ID MATERIAL]]="","","PZ")</f>
        <v/>
      </c>
      <c r="H42" s="7" t="str">
        <f>IF(Plantilla_SCAN_EQ3_COUNT_2[[#This Row],[ID MATERIAL]]="","",$B$13)</f>
        <v/>
      </c>
      <c r="I42" s="7" t="str">
        <f>IF(Plantilla_SCAN_EQ3_COUNT_2[[#This Row],[ID MATERIAL]]="","","Segundo Conteo")</f>
        <v/>
      </c>
    </row>
    <row r="43" spans="1:9" s="7" customFormat="1" ht="15" x14ac:dyDescent="0.2">
      <c r="A43" s="7" t="str">
        <f>IF(Plantilla_SCAN_EQ3_COUNT_2[[#This Row],[ID MATERIAL]]="","",SIGN(Plantilla_SCAN_EQ3_COUNT_2[[#This Row],[Cantidad]])+A42)</f>
        <v/>
      </c>
      <c r="B43" s="21" t="str">
        <f>IF(Plantilla_SCAN_EQ3_COUNT_2[[#This Row],[ID MATERIAL]]="","",B42)</f>
        <v/>
      </c>
      <c r="C43" s="21"/>
      <c r="D43" s="21"/>
      <c r="E43" s="7" t="str">
        <f>IF(Plantilla_SCAN_EQ3_COUNT_2[[#This Row],[ID MATERIAL]]="","",VLOOKUP(Plantilla_SCAN_EQ3_COUNT_2[[#This Row],[ID MATERIAL]],INVENTARIO!$A:$D,2,FALSE))</f>
        <v/>
      </c>
      <c r="F43" s="7" t="str">
        <f>IF(Plantilla_SCAN_EQ3_COUNT_2[[#This Row],[ID MATERIAL]]="","",IF(Plantilla_SCAN_EQ3_COUNT_2[[#This Row],[No. Empaques]]="",1,Plantilla_SCAN_EQ3_COUNT_2[[#This Row],[No. Empaques]]*1))</f>
        <v/>
      </c>
      <c r="G43" s="7" t="str">
        <f>IF(Plantilla_SCAN_EQ3_COUNT_2[[#This Row],[ID MATERIAL]]="","","PZ")</f>
        <v/>
      </c>
      <c r="H43" s="7" t="str">
        <f>IF(Plantilla_SCAN_EQ3_COUNT_2[[#This Row],[ID MATERIAL]]="","",$B$13)</f>
        <v/>
      </c>
      <c r="I43" s="7" t="str">
        <f>IF(Plantilla_SCAN_EQ3_COUNT_2[[#This Row],[ID MATERIAL]]="","","Segundo Conteo")</f>
        <v/>
      </c>
    </row>
    <row r="44" spans="1:9" s="7" customFormat="1" ht="15" x14ac:dyDescent="0.2">
      <c r="A44" s="7" t="str">
        <f>IF(Plantilla_SCAN_EQ3_COUNT_2[[#This Row],[ID MATERIAL]]="","",SIGN(Plantilla_SCAN_EQ3_COUNT_2[[#This Row],[Cantidad]])+A43)</f>
        <v/>
      </c>
      <c r="B44" s="21" t="str">
        <f>IF(Plantilla_SCAN_EQ3_COUNT_2[[#This Row],[ID MATERIAL]]="","",B43)</f>
        <v/>
      </c>
      <c r="C44" s="21"/>
      <c r="D44" s="21"/>
      <c r="E44" s="7" t="str">
        <f>IF(Plantilla_SCAN_EQ3_COUNT_2[[#This Row],[ID MATERIAL]]="","",VLOOKUP(Plantilla_SCAN_EQ3_COUNT_2[[#This Row],[ID MATERIAL]],INVENTARIO!$A:$D,2,FALSE))</f>
        <v/>
      </c>
      <c r="F44" s="7" t="str">
        <f>IF(Plantilla_SCAN_EQ3_COUNT_2[[#This Row],[ID MATERIAL]]="","",IF(Plantilla_SCAN_EQ3_COUNT_2[[#This Row],[No. Empaques]]="",1,Plantilla_SCAN_EQ3_COUNT_2[[#This Row],[No. Empaques]]*1))</f>
        <v/>
      </c>
      <c r="G44" s="7" t="str">
        <f>IF(Plantilla_SCAN_EQ3_COUNT_2[[#This Row],[ID MATERIAL]]="","","PZ")</f>
        <v/>
      </c>
      <c r="H44" s="7" t="str">
        <f>IF(Plantilla_SCAN_EQ3_COUNT_2[[#This Row],[ID MATERIAL]]="","",$B$13)</f>
        <v/>
      </c>
      <c r="I44" s="7" t="str">
        <f>IF(Plantilla_SCAN_EQ3_COUNT_2[[#This Row],[ID MATERIAL]]="","","Segundo Conteo")</f>
        <v/>
      </c>
    </row>
    <row r="45" spans="1:9" s="7" customFormat="1" ht="15" x14ac:dyDescent="0.2">
      <c r="A45" s="7" t="str">
        <f>IF(Plantilla_SCAN_EQ3_COUNT_2[[#This Row],[ID MATERIAL]]="","",SIGN(Plantilla_SCAN_EQ3_COUNT_2[[#This Row],[Cantidad]])+A44)</f>
        <v/>
      </c>
      <c r="B45" s="21" t="str">
        <f>IF(Plantilla_SCAN_EQ3_COUNT_2[[#This Row],[ID MATERIAL]]="","",B44)</f>
        <v/>
      </c>
      <c r="C45" s="21"/>
      <c r="D45" s="21"/>
      <c r="E45" s="7" t="str">
        <f>IF(Plantilla_SCAN_EQ3_COUNT_2[[#This Row],[ID MATERIAL]]="","",VLOOKUP(Plantilla_SCAN_EQ3_COUNT_2[[#This Row],[ID MATERIAL]],INVENTARIO!$A:$D,2,FALSE))</f>
        <v/>
      </c>
      <c r="F45" s="7" t="str">
        <f>IF(Plantilla_SCAN_EQ3_COUNT_2[[#This Row],[ID MATERIAL]]="","",IF(Plantilla_SCAN_EQ3_COUNT_2[[#This Row],[No. Empaques]]="",1,Plantilla_SCAN_EQ3_COUNT_2[[#This Row],[No. Empaques]]*1))</f>
        <v/>
      </c>
      <c r="G45" s="7" t="str">
        <f>IF(Plantilla_SCAN_EQ3_COUNT_2[[#This Row],[ID MATERIAL]]="","","PZ")</f>
        <v/>
      </c>
      <c r="H45" s="7" t="str">
        <f>IF(Plantilla_SCAN_EQ3_COUNT_2[[#This Row],[ID MATERIAL]]="","",$B$13)</f>
        <v/>
      </c>
      <c r="I45" s="7" t="str">
        <f>IF(Plantilla_SCAN_EQ3_COUNT_2[[#This Row],[ID MATERIAL]]="","","Segundo Conteo")</f>
        <v/>
      </c>
    </row>
    <row r="46" spans="1:9" s="7" customFormat="1" ht="15" x14ac:dyDescent="0.2">
      <c r="A46" s="7" t="str">
        <f>IF(Plantilla_SCAN_EQ3_COUNT_2[[#This Row],[ID MATERIAL]]="","",SIGN(Plantilla_SCAN_EQ3_COUNT_2[[#This Row],[Cantidad]])+A45)</f>
        <v/>
      </c>
      <c r="B46" s="21" t="str">
        <f>IF(Plantilla_SCAN_EQ3_COUNT_2[[#This Row],[ID MATERIAL]]="","",B45)</f>
        <v/>
      </c>
      <c r="C46" s="21"/>
      <c r="D46" s="21"/>
      <c r="E46" s="7" t="str">
        <f>IF(Plantilla_SCAN_EQ3_COUNT_2[[#This Row],[ID MATERIAL]]="","",VLOOKUP(Plantilla_SCAN_EQ3_COUNT_2[[#This Row],[ID MATERIAL]],INVENTARIO!$A:$D,2,FALSE))</f>
        <v/>
      </c>
      <c r="F46" s="7" t="str">
        <f>IF(Plantilla_SCAN_EQ3_COUNT_2[[#This Row],[ID MATERIAL]]="","",IF(Plantilla_SCAN_EQ3_COUNT_2[[#This Row],[No. Empaques]]="",1,Plantilla_SCAN_EQ3_COUNT_2[[#This Row],[No. Empaques]]*1))</f>
        <v/>
      </c>
      <c r="G46" s="7" t="str">
        <f>IF(Plantilla_SCAN_EQ3_COUNT_2[[#This Row],[ID MATERIAL]]="","","PZ")</f>
        <v/>
      </c>
      <c r="H46" s="7" t="str">
        <f>IF(Plantilla_SCAN_EQ3_COUNT_2[[#This Row],[ID MATERIAL]]="","",$B$13)</f>
        <v/>
      </c>
      <c r="I46" s="7" t="str">
        <f>IF(Plantilla_SCAN_EQ3_COUNT_2[[#This Row],[ID MATERIAL]]="","","Segundo Conteo")</f>
        <v/>
      </c>
    </row>
    <row r="47" spans="1:9" s="7" customFormat="1" ht="15" x14ac:dyDescent="0.2">
      <c r="A47" s="7" t="str">
        <f>IF(Plantilla_SCAN_EQ3_COUNT_2[[#This Row],[ID MATERIAL]]="","",SIGN(Plantilla_SCAN_EQ3_COUNT_2[[#This Row],[Cantidad]])+A46)</f>
        <v/>
      </c>
      <c r="B47" s="21" t="str">
        <f>IF(Plantilla_SCAN_EQ3_COUNT_2[[#This Row],[ID MATERIAL]]="","",B46)</f>
        <v/>
      </c>
      <c r="C47" s="21"/>
      <c r="D47" s="21"/>
      <c r="E47" s="7" t="str">
        <f>IF(Plantilla_SCAN_EQ3_COUNT_2[[#This Row],[ID MATERIAL]]="","",VLOOKUP(Plantilla_SCAN_EQ3_COUNT_2[[#This Row],[ID MATERIAL]],INVENTARIO!$A:$D,2,FALSE))</f>
        <v/>
      </c>
      <c r="F47" s="7" t="str">
        <f>IF(Plantilla_SCAN_EQ3_COUNT_2[[#This Row],[ID MATERIAL]]="","",IF(Plantilla_SCAN_EQ3_COUNT_2[[#This Row],[No. Empaques]]="",1,Plantilla_SCAN_EQ3_COUNT_2[[#This Row],[No. Empaques]]*1))</f>
        <v/>
      </c>
      <c r="G47" s="7" t="str">
        <f>IF(Plantilla_SCAN_EQ3_COUNT_2[[#This Row],[ID MATERIAL]]="","","PZ")</f>
        <v/>
      </c>
      <c r="H47" s="7" t="str">
        <f>IF(Plantilla_SCAN_EQ3_COUNT_2[[#This Row],[ID MATERIAL]]="","",$B$13)</f>
        <v/>
      </c>
      <c r="I47" s="7" t="str">
        <f>IF(Plantilla_SCAN_EQ3_COUNT_2[[#This Row],[ID MATERIAL]]="","","Segundo Conteo")</f>
        <v/>
      </c>
    </row>
    <row r="48" spans="1:9" s="7" customFormat="1" ht="15" x14ac:dyDescent="0.2">
      <c r="A48" s="7" t="str">
        <f>IF(Plantilla_SCAN_EQ3_COUNT_2[[#This Row],[ID MATERIAL]]="","",SIGN(Plantilla_SCAN_EQ3_COUNT_2[[#This Row],[Cantidad]])+A47)</f>
        <v/>
      </c>
      <c r="B48" s="21" t="str">
        <f>IF(Plantilla_SCAN_EQ3_COUNT_2[[#This Row],[ID MATERIAL]]="","",B47)</f>
        <v/>
      </c>
      <c r="C48" s="21"/>
      <c r="D48" s="21"/>
      <c r="E48" s="7" t="str">
        <f>IF(Plantilla_SCAN_EQ3_COUNT_2[[#This Row],[ID MATERIAL]]="","",VLOOKUP(Plantilla_SCAN_EQ3_COUNT_2[[#This Row],[ID MATERIAL]],INVENTARIO!$A:$D,2,FALSE))</f>
        <v/>
      </c>
      <c r="F48" s="7" t="str">
        <f>IF(Plantilla_SCAN_EQ3_COUNT_2[[#This Row],[ID MATERIAL]]="","",IF(Plantilla_SCAN_EQ3_COUNT_2[[#This Row],[No. Empaques]]="",1,Plantilla_SCAN_EQ3_COUNT_2[[#This Row],[No. Empaques]]*1))</f>
        <v/>
      </c>
      <c r="G48" s="7" t="str">
        <f>IF(Plantilla_SCAN_EQ3_COUNT_2[[#This Row],[ID MATERIAL]]="","","PZ")</f>
        <v/>
      </c>
      <c r="H48" s="7" t="str">
        <f>IF(Plantilla_SCAN_EQ3_COUNT_2[[#This Row],[ID MATERIAL]]="","",$B$13)</f>
        <v/>
      </c>
      <c r="I48" s="7" t="str">
        <f>IF(Plantilla_SCAN_EQ3_COUNT_2[[#This Row],[ID MATERIAL]]="","","Segundo Conteo")</f>
        <v/>
      </c>
    </row>
    <row r="49" spans="1:9" s="7" customFormat="1" ht="15" x14ac:dyDescent="0.2">
      <c r="A49" s="7" t="str">
        <f>IF(Plantilla_SCAN_EQ3_COUNT_2[[#This Row],[ID MATERIAL]]="","",SIGN(Plantilla_SCAN_EQ3_COUNT_2[[#This Row],[Cantidad]])+A48)</f>
        <v/>
      </c>
      <c r="B49" s="21" t="str">
        <f>IF(Plantilla_SCAN_EQ3_COUNT_2[[#This Row],[ID MATERIAL]]="","",B48)</f>
        <v/>
      </c>
      <c r="C49" s="21"/>
      <c r="D49" s="21"/>
      <c r="E49" s="7" t="str">
        <f>IF(Plantilla_SCAN_EQ3_COUNT_2[[#This Row],[ID MATERIAL]]="","",VLOOKUP(Plantilla_SCAN_EQ3_COUNT_2[[#This Row],[ID MATERIAL]],INVENTARIO!$A:$D,2,FALSE))</f>
        <v/>
      </c>
      <c r="F49" s="7" t="str">
        <f>IF(Plantilla_SCAN_EQ3_COUNT_2[[#This Row],[ID MATERIAL]]="","",IF(Plantilla_SCAN_EQ3_COUNT_2[[#This Row],[No. Empaques]]="",1,Plantilla_SCAN_EQ3_COUNT_2[[#This Row],[No. Empaques]]*1))</f>
        <v/>
      </c>
      <c r="G49" s="7" t="str">
        <f>IF(Plantilla_SCAN_EQ3_COUNT_2[[#This Row],[ID MATERIAL]]="","","PZ")</f>
        <v/>
      </c>
      <c r="H49" s="7" t="str">
        <f>IF(Plantilla_SCAN_EQ3_COUNT_2[[#This Row],[ID MATERIAL]]="","",$B$13)</f>
        <v/>
      </c>
      <c r="I49" s="7" t="str">
        <f>IF(Plantilla_SCAN_EQ3_COUNT_2[[#This Row],[ID MATERIAL]]="","","Segundo Conteo")</f>
        <v/>
      </c>
    </row>
    <row r="50" spans="1:9" s="7" customFormat="1" ht="15" x14ac:dyDescent="0.2">
      <c r="A50" s="7" t="str">
        <f>IF(Plantilla_SCAN_EQ3_COUNT_2[[#This Row],[ID MATERIAL]]="","",SIGN(Plantilla_SCAN_EQ3_COUNT_2[[#This Row],[Cantidad]])+A49)</f>
        <v/>
      </c>
      <c r="B50" s="21" t="str">
        <f>IF(Plantilla_SCAN_EQ3_COUNT_2[[#This Row],[ID MATERIAL]]="","",B49)</f>
        <v/>
      </c>
      <c r="C50" s="21"/>
      <c r="D50" s="21"/>
      <c r="E50" s="7" t="str">
        <f>IF(Plantilla_SCAN_EQ3_COUNT_2[[#This Row],[ID MATERIAL]]="","",VLOOKUP(Plantilla_SCAN_EQ3_COUNT_2[[#This Row],[ID MATERIAL]],INVENTARIO!$A:$D,2,FALSE))</f>
        <v/>
      </c>
      <c r="F50" s="7" t="str">
        <f>IF(Plantilla_SCAN_EQ3_COUNT_2[[#This Row],[ID MATERIAL]]="","",IF(Plantilla_SCAN_EQ3_COUNT_2[[#This Row],[No. Empaques]]="",1,Plantilla_SCAN_EQ3_COUNT_2[[#This Row],[No. Empaques]]*1))</f>
        <v/>
      </c>
      <c r="G50" s="7" t="str">
        <f>IF(Plantilla_SCAN_EQ3_COUNT_2[[#This Row],[ID MATERIAL]]="","","PZ")</f>
        <v/>
      </c>
      <c r="H50" s="7" t="str">
        <f>IF(Plantilla_SCAN_EQ3_COUNT_2[[#This Row],[ID MATERIAL]]="","",$B$13)</f>
        <v/>
      </c>
      <c r="I50" s="7" t="str">
        <f>IF(Plantilla_SCAN_EQ3_COUNT_2[[#This Row],[ID MATERIAL]]="","","Segundo Conteo")</f>
        <v/>
      </c>
    </row>
    <row r="51" spans="1:9" s="7" customFormat="1" ht="15" x14ac:dyDescent="0.2">
      <c r="A51" s="7" t="str">
        <f>IF(Plantilla_SCAN_EQ3_COUNT_2[[#This Row],[ID MATERIAL]]="","",SIGN(Plantilla_SCAN_EQ3_COUNT_2[[#This Row],[Cantidad]])+A50)</f>
        <v/>
      </c>
      <c r="B51" s="21" t="str">
        <f>IF(Plantilla_SCAN_EQ3_COUNT_2[[#This Row],[ID MATERIAL]]="","",B50)</f>
        <v/>
      </c>
      <c r="C51" s="21"/>
      <c r="D51" s="21"/>
      <c r="E51" s="7" t="str">
        <f>IF(Plantilla_SCAN_EQ3_COUNT_2[[#This Row],[ID MATERIAL]]="","",VLOOKUP(Plantilla_SCAN_EQ3_COUNT_2[[#This Row],[ID MATERIAL]],INVENTARIO!$A:$D,2,FALSE))</f>
        <v/>
      </c>
      <c r="F51" s="7" t="str">
        <f>IF(Plantilla_SCAN_EQ3_COUNT_2[[#This Row],[ID MATERIAL]]="","",IF(Plantilla_SCAN_EQ3_COUNT_2[[#This Row],[No. Empaques]]="",1,Plantilla_SCAN_EQ3_COUNT_2[[#This Row],[No. Empaques]]*1))</f>
        <v/>
      </c>
      <c r="G51" s="7" t="str">
        <f>IF(Plantilla_SCAN_EQ3_COUNT_2[[#This Row],[ID MATERIAL]]="","","PZ")</f>
        <v/>
      </c>
      <c r="H51" s="7" t="str">
        <f>IF(Plantilla_SCAN_EQ3_COUNT_2[[#This Row],[ID MATERIAL]]="","",$B$13)</f>
        <v/>
      </c>
      <c r="I51" s="7" t="str">
        <f>IF(Plantilla_SCAN_EQ3_COUNT_2[[#This Row],[ID MATERIAL]]="","","Segundo Conteo")</f>
        <v/>
      </c>
    </row>
    <row r="52" spans="1:9" s="7" customFormat="1" ht="15" x14ac:dyDescent="0.2">
      <c r="A52" s="7" t="str">
        <f>IF(Plantilla_SCAN_EQ3_COUNT_2[[#This Row],[ID MATERIAL]]="","",SIGN(Plantilla_SCAN_EQ3_COUNT_2[[#This Row],[Cantidad]])+A51)</f>
        <v/>
      </c>
      <c r="B52" s="21" t="str">
        <f>IF(Plantilla_SCAN_EQ3_COUNT_2[[#This Row],[ID MATERIAL]]="","",B51)</f>
        <v/>
      </c>
      <c r="C52" s="21"/>
      <c r="D52" s="21"/>
      <c r="E52" s="7" t="str">
        <f>IF(Plantilla_SCAN_EQ3_COUNT_2[[#This Row],[ID MATERIAL]]="","",VLOOKUP(Plantilla_SCAN_EQ3_COUNT_2[[#This Row],[ID MATERIAL]],INVENTARIO!$A:$D,2,FALSE))</f>
        <v/>
      </c>
      <c r="F52" s="7" t="str">
        <f>IF(Plantilla_SCAN_EQ3_COUNT_2[[#This Row],[ID MATERIAL]]="","",IF(Plantilla_SCAN_EQ3_COUNT_2[[#This Row],[No. Empaques]]="",1,Plantilla_SCAN_EQ3_COUNT_2[[#This Row],[No. Empaques]]*1))</f>
        <v/>
      </c>
      <c r="G52" s="7" t="str">
        <f>IF(Plantilla_SCAN_EQ3_COUNT_2[[#This Row],[ID MATERIAL]]="","","PZ")</f>
        <v/>
      </c>
      <c r="H52" s="7" t="str">
        <f>IF(Plantilla_SCAN_EQ3_COUNT_2[[#This Row],[ID MATERIAL]]="","",$B$13)</f>
        <v/>
      </c>
      <c r="I52" s="7" t="str">
        <f>IF(Plantilla_SCAN_EQ3_COUNT_2[[#This Row],[ID MATERIAL]]="","","Segundo Conteo")</f>
        <v/>
      </c>
    </row>
    <row r="53" spans="1:9" s="7" customFormat="1" ht="15" x14ac:dyDescent="0.2">
      <c r="A53" s="7" t="str">
        <f>IF(Plantilla_SCAN_EQ3_COUNT_2[[#This Row],[ID MATERIAL]]="","",SIGN(Plantilla_SCAN_EQ3_COUNT_2[[#This Row],[Cantidad]])+A52)</f>
        <v/>
      </c>
      <c r="B53" s="21" t="str">
        <f>IF(Plantilla_SCAN_EQ3_COUNT_2[[#This Row],[ID MATERIAL]]="","",B52)</f>
        <v/>
      </c>
      <c r="C53" s="21"/>
      <c r="D53" s="21"/>
      <c r="E53" s="7" t="str">
        <f>IF(Plantilla_SCAN_EQ3_COUNT_2[[#This Row],[ID MATERIAL]]="","",VLOOKUP(Plantilla_SCAN_EQ3_COUNT_2[[#This Row],[ID MATERIAL]],INVENTARIO!$A:$D,2,FALSE))</f>
        <v/>
      </c>
      <c r="F53" s="7" t="str">
        <f>IF(Plantilla_SCAN_EQ3_COUNT_2[[#This Row],[ID MATERIAL]]="","",IF(Plantilla_SCAN_EQ3_COUNT_2[[#This Row],[No. Empaques]]="",1,Plantilla_SCAN_EQ3_COUNT_2[[#This Row],[No. Empaques]]*1))</f>
        <v/>
      </c>
      <c r="G53" s="7" t="str">
        <f>IF(Plantilla_SCAN_EQ3_COUNT_2[[#This Row],[ID MATERIAL]]="","","PZ")</f>
        <v/>
      </c>
      <c r="H53" s="7" t="str">
        <f>IF(Plantilla_SCAN_EQ3_COUNT_2[[#This Row],[ID MATERIAL]]="","",$B$13)</f>
        <v/>
      </c>
      <c r="I53" s="7" t="str">
        <f>IF(Plantilla_SCAN_EQ3_COUNT_2[[#This Row],[ID MATERIAL]]="","","Segundo Conteo")</f>
        <v/>
      </c>
    </row>
    <row r="54" spans="1:9" s="7" customFormat="1" ht="15" x14ac:dyDescent="0.2">
      <c r="A54" s="7" t="str">
        <f>IF(Plantilla_SCAN_EQ3_COUNT_2[[#This Row],[ID MATERIAL]]="","",SIGN(Plantilla_SCAN_EQ3_COUNT_2[[#This Row],[Cantidad]])+A53)</f>
        <v/>
      </c>
      <c r="B54" s="21" t="str">
        <f>IF(Plantilla_SCAN_EQ3_COUNT_2[[#This Row],[ID MATERIAL]]="","",B53)</f>
        <v/>
      </c>
      <c r="C54" s="21"/>
      <c r="D54" s="21"/>
      <c r="E54" s="7" t="str">
        <f>IF(Plantilla_SCAN_EQ3_COUNT_2[[#This Row],[ID MATERIAL]]="","",VLOOKUP(Plantilla_SCAN_EQ3_COUNT_2[[#This Row],[ID MATERIAL]],INVENTARIO!$A:$D,2,FALSE))</f>
        <v/>
      </c>
      <c r="F54" s="7" t="str">
        <f>IF(Plantilla_SCAN_EQ3_COUNT_2[[#This Row],[ID MATERIAL]]="","",IF(Plantilla_SCAN_EQ3_COUNT_2[[#This Row],[No. Empaques]]="",1,Plantilla_SCAN_EQ3_COUNT_2[[#This Row],[No. Empaques]]*1))</f>
        <v/>
      </c>
      <c r="G54" s="7" t="str">
        <f>IF(Plantilla_SCAN_EQ3_COUNT_2[[#This Row],[ID MATERIAL]]="","","PZ")</f>
        <v/>
      </c>
      <c r="H54" s="7" t="str">
        <f>IF(Plantilla_SCAN_EQ3_COUNT_2[[#This Row],[ID MATERIAL]]="","",$B$13)</f>
        <v/>
      </c>
      <c r="I54" s="7" t="str">
        <f>IF(Plantilla_SCAN_EQ3_COUNT_2[[#This Row],[ID MATERIAL]]="","","Segundo Conteo")</f>
        <v/>
      </c>
    </row>
    <row r="55" spans="1:9" s="7" customFormat="1" ht="15" x14ac:dyDescent="0.2">
      <c r="A55" s="7" t="str">
        <f>IF(Plantilla_SCAN_EQ3_COUNT_2[[#This Row],[ID MATERIAL]]="","",SIGN(Plantilla_SCAN_EQ3_COUNT_2[[#This Row],[Cantidad]])+A54)</f>
        <v/>
      </c>
      <c r="B55" s="21" t="str">
        <f>IF(Plantilla_SCAN_EQ3_COUNT_2[[#This Row],[ID MATERIAL]]="","",B54)</f>
        <v/>
      </c>
      <c r="C55" s="21"/>
      <c r="D55" s="21"/>
      <c r="E55" s="7" t="str">
        <f>IF(Plantilla_SCAN_EQ3_COUNT_2[[#This Row],[ID MATERIAL]]="","",VLOOKUP(Plantilla_SCAN_EQ3_COUNT_2[[#This Row],[ID MATERIAL]],INVENTARIO!$A:$D,2,FALSE))</f>
        <v/>
      </c>
      <c r="F55" s="7" t="str">
        <f>IF(Plantilla_SCAN_EQ3_COUNT_2[[#This Row],[ID MATERIAL]]="","",IF(Plantilla_SCAN_EQ3_COUNT_2[[#This Row],[No. Empaques]]="",1,Plantilla_SCAN_EQ3_COUNT_2[[#This Row],[No. Empaques]]*1))</f>
        <v/>
      </c>
      <c r="G55" s="7" t="str">
        <f>IF(Plantilla_SCAN_EQ3_COUNT_2[[#This Row],[ID MATERIAL]]="","","PZ")</f>
        <v/>
      </c>
      <c r="H55" s="7" t="str">
        <f>IF(Plantilla_SCAN_EQ3_COUNT_2[[#This Row],[ID MATERIAL]]="","",$B$13)</f>
        <v/>
      </c>
      <c r="I55" s="7" t="str">
        <f>IF(Plantilla_SCAN_EQ3_COUNT_2[[#This Row],[ID MATERIAL]]="","","Segundo Conteo")</f>
        <v/>
      </c>
    </row>
    <row r="56" spans="1:9" s="7" customFormat="1" ht="15" x14ac:dyDescent="0.2">
      <c r="A56" s="7" t="str">
        <f>IF(Plantilla_SCAN_EQ3_COUNT_2[[#This Row],[ID MATERIAL]]="","",SIGN(Plantilla_SCAN_EQ3_COUNT_2[[#This Row],[Cantidad]])+A55)</f>
        <v/>
      </c>
      <c r="B56" s="21" t="str">
        <f>IF(Plantilla_SCAN_EQ3_COUNT_2[[#This Row],[ID MATERIAL]]="","",B55)</f>
        <v/>
      </c>
      <c r="C56" s="21"/>
      <c r="D56" s="21"/>
      <c r="E56" s="7" t="str">
        <f>IF(Plantilla_SCAN_EQ3_COUNT_2[[#This Row],[ID MATERIAL]]="","",VLOOKUP(Plantilla_SCAN_EQ3_COUNT_2[[#This Row],[ID MATERIAL]],INVENTARIO!$A:$D,2,FALSE))</f>
        <v/>
      </c>
      <c r="F56" s="7" t="str">
        <f>IF(Plantilla_SCAN_EQ3_COUNT_2[[#This Row],[ID MATERIAL]]="","",IF(Plantilla_SCAN_EQ3_COUNT_2[[#This Row],[No. Empaques]]="",1,Plantilla_SCAN_EQ3_COUNT_2[[#This Row],[No. Empaques]]*1))</f>
        <v/>
      </c>
      <c r="G56" s="7" t="str">
        <f>IF(Plantilla_SCAN_EQ3_COUNT_2[[#This Row],[ID MATERIAL]]="","","PZ")</f>
        <v/>
      </c>
      <c r="H56" s="7" t="str">
        <f>IF(Plantilla_SCAN_EQ3_COUNT_2[[#This Row],[ID MATERIAL]]="","",$B$13)</f>
        <v/>
      </c>
      <c r="I56" s="7" t="str">
        <f>IF(Plantilla_SCAN_EQ3_COUNT_2[[#This Row],[ID MATERIAL]]="","","Segundo Conteo")</f>
        <v/>
      </c>
    </row>
    <row r="57" spans="1:9" s="7" customFormat="1" ht="15" x14ac:dyDescent="0.2">
      <c r="A57" s="7" t="str">
        <f>IF(Plantilla_SCAN_EQ3_COUNT_2[[#This Row],[ID MATERIAL]]="","",SIGN(Plantilla_SCAN_EQ3_COUNT_2[[#This Row],[Cantidad]])+A56)</f>
        <v/>
      </c>
      <c r="B57" s="21" t="str">
        <f>IF(Plantilla_SCAN_EQ3_COUNT_2[[#This Row],[ID MATERIAL]]="","",B56)</f>
        <v/>
      </c>
      <c r="C57" s="21"/>
      <c r="D57" s="21"/>
      <c r="E57" s="7" t="str">
        <f>IF(Plantilla_SCAN_EQ3_COUNT_2[[#This Row],[ID MATERIAL]]="","",VLOOKUP(Plantilla_SCAN_EQ3_COUNT_2[[#This Row],[ID MATERIAL]],INVENTARIO!$A:$D,2,FALSE))</f>
        <v/>
      </c>
      <c r="F57" s="7" t="str">
        <f>IF(Plantilla_SCAN_EQ3_COUNT_2[[#This Row],[ID MATERIAL]]="","",IF(Plantilla_SCAN_EQ3_COUNT_2[[#This Row],[No. Empaques]]="",1,Plantilla_SCAN_EQ3_COUNT_2[[#This Row],[No. Empaques]]*1))</f>
        <v/>
      </c>
      <c r="G57" s="7" t="str">
        <f>IF(Plantilla_SCAN_EQ3_COUNT_2[[#This Row],[ID MATERIAL]]="","","PZ")</f>
        <v/>
      </c>
      <c r="H57" s="7" t="str">
        <f>IF(Plantilla_SCAN_EQ3_COUNT_2[[#This Row],[ID MATERIAL]]="","",$B$13)</f>
        <v/>
      </c>
      <c r="I57" s="7" t="str">
        <f>IF(Plantilla_SCAN_EQ3_COUNT_2[[#This Row],[ID MATERIAL]]="","","Segundo Conteo")</f>
        <v/>
      </c>
    </row>
    <row r="58" spans="1:9" s="7" customFormat="1" ht="15" x14ac:dyDescent="0.2">
      <c r="A58" s="7" t="str">
        <f>IF(Plantilla_SCAN_EQ3_COUNT_2[[#This Row],[ID MATERIAL]]="","",SIGN(Plantilla_SCAN_EQ3_COUNT_2[[#This Row],[Cantidad]])+A57)</f>
        <v/>
      </c>
      <c r="B58" s="21" t="str">
        <f>IF(Plantilla_SCAN_EQ3_COUNT_2[[#This Row],[ID MATERIAL]]="","",B57)</f>
        <v/>
      </c>
      <c r="C58" s="21"/>
      <c r="D58" s="21"/>
      <c r="E58" s="7" t="str">
        <f>IF(Plantilla_SCAN_EQ3_COUNT_2[[#This Row],[ID MATERIAL]]="","",VLOOKUP(Plantilla_SCAN_EQ3_COUNT_2[[#This Row],[ID MATERIAL]],INVENTARIO!$A:$D,2,FALSE))</f>
        <v/>
      </c>
      <c r="F58" s="7" t="str">
        <f>IF(Plantilla_SCAN_EQ3_COUNT_2[[#This Row],[ID MATERIAL]]="","",IF(Plantilla_SCAN_EQ3_COUNT_2[[#This Row],[No. Empaques]]="",1,Plantilla_SCAN_EQ3_COUNT_2[[#This Row],[No. Empaques]]*1))</f>
        <v/>
      </c>
      <c r="G58" s="7" t="str">
        <f>IF(Plantilla_SCAN_EQ3_COUNT_2[[#This Row],[ID MATERIAL]]="","","PZ")</f>
        <v/>
      </c>
      <c r="H58" s="7" t="str">
        <f>IF(Plantilla_SCAN_EQ3_COUNT_2[[#This Row],[ID MATERIAL]]="","",$B$13)</f>
        <v/>
      </c>
      <c r="I58" s="7" t="str">
        <f>IF(Plantilla_SCAN_EQ3_COUNT_2[[#This Row],[ID MATERIAL]]="","","Segundo Conteo")</f>
        <v/>
      </c>
    </row>
    <row r="59" spans="1:9" s="7" customFormat="1" ht="15" x14ac:dyDescent="0.2">
      <c r="A59" s="7" t="str">
        <f>IF(Plantilla_SCAN_EQ3_COUNT_2[[#This Row],[ID MATERIAL]]="","",SIGN(Plantilla_SCAN_EQ3_COUNT_2[[#This Row],[Cantidad]])+A58)</f>
        <v/>
      </c>
      <c r="B59" s="21" t="str">
        <f>IF(Plantilla_SCAN_EQ3_COUNT_2[[#This Row],[ID MATERIAL]]="","",B58)</f>
        <v/>
      </c>
      <c r="C59" s="21"/>
      <c r="D59" s="21"/>
      <c r="E59" s="7" t="str">
        <f>IF(Plantilla_SCAN_EQ3_COUNT_2[[#This Row],[ID MATERIAL]]="","",VLOOKUP(Plantilla_SCAN_EQ3_COUNT_2[[#This Row],[ID MATERIAL]],INVENTARIO!$A:$D,2,FALSE))</f>
        <v/>
      </c>
      <c r="F59" s="7" t="str">
        <f>IF(Plantilla_SCAN_EQ3_COUNT_2[[#This Row],[ID MATERIAL]]="","",IF(Plantilla_SCAN_EQ3_COUNT_2[[#This Row],[No. Empaques]]="",1,Plantilla_SCAN_EQ3_COUNT_2[[#This Row],[No. Empaques]]*1))</f>
        <v/>
      </c>
      <c r="G59" s="7" t="str">
        <f>IF(Plantilla_SCAN_EQ3_COUNT_2[[#This Row],[ID MATERIAL]]="","","PZ")</f>
        <v/>
      </c>
      <c r="H59" s="7" t="str">
        <f>IF(Plantilla_SCAN_EQ3_COUNT_2[[#This Row],[ID MATERIAL]]="","",$B$13)</f>
        <v/>
      </c>
      <c r="I59" s="7" t="str">
        <f>IF(Plantilla_SCAN_EQ3_COUNT_2[[#This Row],[ID MATERIAL]]="","","Segundo Conteo")</f>
        <v/>
      </c>
    </row>
    <row r="60" spans="1:9" s="7" customFormat="1" ht="15" x14ac:dyDescent="0.2">
      <c r="A60" s="7" t="str">
        <f>IF(Plantilla_SCAN_EQ3_COUNT_2[[#This Row],[ID MATERIAL]]="","",SIGN(Plantilla_SCAN_EQ3_COUNT_2[[#This Row],[Cantidad]])+A59)</f>
        <v/>
      </c>
      <c r="B60" s="21" t="str">
        <f>IF(Plantilla_SCAN_EQ3_COUNT_2[[#This Row],[ID MATERIAL]]="","",B59)</f>
        <v/>
      </c>
      <c r="C60" s="21"/>
      <c r="D60" s="21"/>
      <c r="E60" s="7" t="str">
        <f>IF(Plantilla_SCAN_EQ3_COUNT_2[[#This Row],[ID MATERIAL]]="","",VLOOKUP(Plantilla_SCAN_EQ3_COUNT_2[[#This Row],[ID MATERIAL]],INVENTARIO!$A:$D,2,FALSE))</f>
        <v/>
      </c>
      <c r="F60" s="7" t="str">
        <f>IF(Plantilla_SCAN_EQ3_COUNT_2[[#This Row],[ID MATERIAL]]="","",IF(Plantilla_SCAN_EQ3_COUNT_2[[#This Row],[No. Empaques]]="",1,Plantilla_SCAN_EQ3_COUNT_2[[#This Row],[No. Empaques]]*1))</f>
        <v/>
      </c>
      <c r="G60" s="7" t="str">
        <f>IF(Plantilla_SCAN_EQ3_COUNT_2[[#This Row],[ID MATERIAL]]="","","PZ")</f>
        <v/>
      </c>
      <c r="H60" s="7" t="str">
        <f>IF(Plantilla_SCAN_EQ3_COUNT_2[[#This Row],[ID MATERIAL]]="","",$B$13)</f>
        <v/>
      </c>
      <c r="I60" s="7" t="str">
        <f>IF(Plantilla_SCAN_EQ3_COUNT_2[[#This Row],[ID MATERIAL]]="","","Segundo Conteo")</f>
        <v/>
      </c>
    </row>
    <row r="61" spans="1:9" s="7" customFormat="1" ht="15" x14ac:dyDescent="0.2">
      <c r="A61" s="7" t="str">
        <f>IF(Plantilla_SCAN_EQ3_COUNT_2[[#This Row],[ID MATERIAL]]="","",SIGN(Plantilla_SCAN_EQ3_COUNT_2[[#This Row],[Cantidad]])+A60)</f>
        <v/>
      </c>
      <c r="B61" s="21" t="str">
        <f>IF(Plantilla_SCAN_EQ3_COUNT_2[[#This Row],[ID MATERIAL]]="","",B60)</f>
        <v/>
      </c>
      <c r="C61" s="21"/>
      <c r="D61" s="21"/>
      <c r="E61" s="7" t="str">
        <f>IF(Plantilla_SCAN_EQ3_COUNT_2[[#This Row],[ID MATERIAL]]="","",VLOOKUP(Plantilla_SCAN_EQ3_COUNT_2[[#This Row],[ID MATERIAL]],INVENTARIO!$A:$D,2,FALSE))</f>
        <v/>
      </c>
      <c r="F61" s="7" t="str">
        <f>IF(Plantilla_SCAN_EQ3_COUNT_2[[#This Row],[ID MATERIAL]]="","",IF(Plantilla_SCAN_EQ3_COUNT_2[[#This Row],[No. Empaques]]="",1,Plantilla_SCAN_EQ3_COUNT_2[[#This Row],[No. Empaques]]*1))</f>
        <v/>
      </c>
      <c r="G61" s="7" t="str">
        <f>IF(Plantilla_SCAN_EQ3_COUNT_2[[#This Row],[ID MATERIAL]]="","","PZ")</f>
        <v/>
      </c>
      <c r="H61" s="7" t="str">
        <f>IF(Plantilla_SCAN_EQ3_COUNT_2[[#This Row],[ID MATERIAL]]="","",$B$13)</f>
        <v/>
      </c>
      <c r="I61" s="7" t="str">
        <f>IF(Plantilla_SCAN_EQ3_COUNT_2[[#This Row],[ID MATERIAL]]="","","Segundo Conteo")</f>
        <v/>
      </c>
    </row>
    <row r="62" spans="1:9" s="7" customFormat="1" ht="15" x14ac:dyDescent="0.2">
      <c r="A62" s="7" t="str">
        <f>IF(Plantilla_SCAN_EQ3_COUNT_2[[#This Row],[ID MATERIAL]]="","",SIGN(Plantilla_SCAN_EQ3_COUNT_2[[#This Row],[Cantidad]])+A61)</f>
        <v/>
      </c>
      <c r="B62" s="21" t="str">
        <f>IF(Plantilla_SCAN_EQ3_COUNT_2[[#This Row],[ID MATERIAL]]="","",B61)</f>
        <v/>
      </c>
      <c r="C62" s="21"/>
      <c r="D62" s="21"/>
      <c r="E62" s="7" t="str">
        <f>IF(Plantilla_SCAN_EQ3_COUNT_2[[#This Row],[ID MATERIAL]]="","",VLOOKUP(Plantilla_SCAN_EQ3_COUNT_2[[#This Row],[ID MATERIAL]],INVENTARIO!$A:$D,2,FALSE))</f>
        <v/>
      </c>
      <c r="F62" s="7" t="str">
        <f>IF(Plantilla_SCAN_EQ3_COUNT_2[[#This Row],[ID MATERIAL]]="","",IF(Plantilla_SCAN_EQ3_COUNT_2[[#This Row],[No. Empaques]]="",1,Plantilla_SCAN_EQ3_COUNT_2[[#This Row],[No. Empaques]]*1))</f>
        <v/>
      </c>
      <c r="G62" s="7" t="str">
        <f>IF(Plantilla_SCAN_EQ3_COUNT_2[[#This Row],[ID MATERIAL]]="","","PZ")</f>
        <v/>
      </c>
      <c r="H62" s="7" t="str">
        <f>IF(Plantilla_SCAN_EQ3_COUNT_2[[#This Row],[ID MATERIAL]]="","",$B$13)</f>
        <v/>
      </c>
      <c r="I62" s="7" t="str">
        <f>IF(Plantilla_SCAN_EQ3_COUNT_2[[#This Row],[ID MATERIAL]]="","","Segundo Conteo")</f>
        <v/>
      </c>
    </row>
    <row r="63" spans="1:9" s="7" customFormat="1" ht="15" x14ac:dyDescent="0.2">
      <c r="A63" s="7" t="str">
        <f>IF(Plantilla_SCAN_EQ3_COUNT_2[[#This Row],[ID MATERIAL]]="","",SIGN(Plantilla_SCAN_EQ3_COUNT_2[[#This Row],[Cantidad]])+A62)</f>
        <v/>
      </c>
      <c r="B63" s="21" t="str">
        <f>IF(Plantilla_SCAN_EQ3_COUNT_2[[#This Row],[ID MATERIAL]]="","",B62)</f>
        <v/>
      </c>
      <c r="C63" s="21"/>
      <c r="D63" s="21"/>
      <c r="E63" s="7" t="str">
        <f>IF(Plantilla_SCAN_EQ3_COUNT_2[[#This Row],[ID MATERIAL]]="","",VLOOKUP(Plantilla_SCAN_EQ3_COUNT_2[[#This Row],[ID MATERIAL]],INVENTARIO!$A:$D,2,FALSE))</f>
        <v/>
      </c>
      <c r="F63" s="7" t="str">
        <f>IF(Plantilla_SCAN_EQ3_COUNT_2[[#This Row],[ID MATERIAL]]="","",IF(Plantilla_SCAN_EQ3_COUNT_2[[#This Row],[No. Empaques]]="",1,Plantilla_SCAN_EQ3_COUNT_2[[#This Row],[No. Empaques]]*1))</f>
        <v/>
      </c>
      <c r="G63" s="7" t="str">
        <f>IF(Plantilla_SCAN_EQ3_COUNT_2[[#This Row],[ID MATERIAL]]="","","PZ")</f>
        <v/>
      </c>
      <c r="H63" s="7" t="str">
        <f>IF(Plantilla_SCAN_EQ3_COUNT_2[[#This Row],[ID MATERIAL]]="","",$B$13)</f>
        <v/>
      </c>
      <c r="I63" s="7" t="str">
        <f>IF(Plantilla_SCAN_EQ3_COUNT_2[[#This Row],[ID MATERIAL]]="","","Segundo Conteo")</f>
        <v/>
      </c>
    </row>
    <row r="64" spans="1:9" s="7" customFormat="1" ht="15" x14ac:dyDescent="0.2">
      <c r="A64" s="7" t="str">
        <f>IF(Plantilla_SCAN_EQ3_COUNT_2[[#This Row],[ID MATERIAL]]="","",SIGN(Plantilla_SCAN_EQ3_COUNT_2[[#This Row],[Cantidad]])+A63)</f>
        <v/>
      </c>
      <c r="B64" s="21" t="str">
        <f>IF(Plantilla_SCAN_EQ3_COUNT_2[[#This Row],[ID MATERIAL]]="","",B63)</f>
        <v/>
      </c>
      <c r="C64" s="21"/>
      <c r="D64" s="21"/>
      <c r="E64" s="7" t="str">
        <f>IF(Plantilla_SCAN_EQ3_COUNT_2[[#This Row],[ID MATERIAL]]="","",VLOOKUP(Plantilla_SCAN_EQ3_COUNT_2[[#This Row],[ID MATERIAL]],INVENTARIO!$A:$D,2,FALSE))</f>
        <v/>
      </c>
      <c r="F64" s="7" t="str">
        <f>IF(Plantilla_SCAN_EQ3_COUNT_2[[#This Row],[ID MATERIAL]]="","",IF(Plantilla_SCAN_EQ3_COUNT_2[[#This Row],[No. Empaques]]="",1,Plantilla_SCAN_EQ3_COUNT_2[[#This Row],[No. Empaques]]*1))</f>
        <v/>
      </c>
      <c r="G64" s="7" t="str">
        <f>IF(Plantilla_SCAN_EQ3_COUNT_2[[#This Row],[ID MATERIAL]]="","","PZ")</f>
        <v/>
      </c>
      <c r="H64" s="7" t="str">
        <f>IF(Plantilla_SCAN_EQ3_COUNT_2[[#This Row],[ID MATERIAL]]="","",$B$13)</f>
        <v/>
      </c>
      <c r="I64" s="7" t="str">
        <f>IF(Plantilla_SCAN_EQ3_COUNT_2[[#This Row],[ID MATERIAL]]="","","Segundo Conteo")</f>
        <v/>
      </c>
    </row>
    <row r="65" spans="1:9" s="7" customFormat="1" ht="15" x14ac:dyDescent="0.2">
      <c r="A65" s="7" t="str">
        <f>IF(Plantilla_SCAN_EQ3_COUNT_2[[#This Row],[ID MATERIAL]]="","",SIGN(Plantilla_SCAN_EQ3_COUNT_2[[#This Row],[Cantidad]])+A64)</f>
        <v/>
      </c>
      <c r="B65" s="21" t="str">
        <f>IF(Plantilla_SCAN_EQ3_COUNT_2[[#This Row],[ID MATERIAL]]="","",B64)</f>
        <v/>
      </c>
      <c r="C65" s="21"/>
      <c r="D65" s="21"/>
      <c r="E65" s="7" t="str">
        <f>IF(Plantilla_SCAN_EQ3_COUNT_2[[#This Row],[ID MATERIAL]]="","",VLOOKUP(Plantilla_SCAN_EQ3_COUNT_2[[#This Row],[ID MATERIAL]],INVENTARIO!$A:$D,2,FALSE))</f>
        <v/>
      </c>
      <c r="F65" s="7" t="str">
        <f>IF(Plantilla_SCAN_EQ3_COUNT_2[[#This Row],[ID MATERIAL]]="","",IF(Plantilla_SCAN_EQ3_COUNT_2[[#This Row],[No. Empaques]]="",1,Plantilla_SCAN_EQ3_COUNT_2[[#This Row],[No. Empaques]]*1))</f>
        <v/>
      </c>
      <c r="G65" s="7" t="str">
        <f>IF(Plantilla_SCAN_EQ3_COUNT_2[[#This Row],[ID MATERIAL]]="","","PZ")</f>
        <v/>
      </c>
      <c r="H65" s="7" t="str">
        <f>IF(Plantilla_SCAN_EQ3_COUNT_2[[#This Row],[ID MATERIAL]]="","",$B$13)</f>
        <v/>
      </c>
      <c r="I65" s="7" t="str">
        <f>IF(Plantilla_SCAN_EQ3_COUNT_2[[#This Row],[ID MATERIAL]]="","","Segundo Conteo")</f>
        <v/>
      </c>
    </row>
    <row r="66" spans="1:9" s="7" customFormat="1" ht="15" x14ac:dyDescent="0.2">
      <c r="A66" s="7" t="str">
        <f>IF(Plantilla_SCAN_EQ3_COUNT_2[[#This Row],[ID MATERIAL]]="","",SIGN(Plantilla_SCAN_EQ3_COUNT_2[[#This Row],[Cantidad]])+A65)</f>
        <v/>
      </c>
      <c r="B66" s="21" t="str">
        <f>IF(Plantilla_SCAN_EQ3_COUNT_2[[#This Row],[ID MATERIAL]]="","",B65)</f>
        <v/>
      </c>
      <c r="C66" s="21"/>
      <c r="D66" s="21"/>
      <c r="E66" s="7" t="str">
        <f>IF(Plantilla_SCAN_EQ3_COUNT_2[[#This Row],[ID MATERIAL]]="","",VLOOKUP(Plantilla_SCAN_EQ3_COUNT_2[[#This Row],[ID MATERIAL]],INVENTARIO!$A:$D,2,FALSE))</f>
        <v/>
      </c>
      <c r="F66" s="7" t="str">
        <f>IF(Plantilla_SCAN_EQ3_COUNT_2[[#This Row],[ID MATERIAL]]="","",IF(Plantilla_SCAN_EQ3_COUNT_2[[#This Row],[No. Empaques]]="",1,Plantilla_SCAN_EQ3_COUNT_2[[#This Row],[No. Empaques]]*1))</f>
        <v/>
      </c>
      <c r="G66" s="7" t="str">
        <f>IF(Plantilla_SCAN_EQ3_COUNT_2[[#This Row],[ID MATERIAL]]="","","PZ")</f>
        <v/>
      </c>
      <c r="H66" s="7" t="str">
        <f>IF(Plantilla_SCAN_EQ3_COUNT_2[[#This Row],[ID MATERIAL]]="","",$B$13)</f>
        <v/>
      </c>
      <c r="I66" s="7" t="str">
        <f>IF(Plantilla_SCAN_EQ3_COUNT_2[[#This Row],[ID MATERIAL]]="","","Segundo Conteo")</f>
        <v/>
      </c>
    </row>
    <row r="67" spans="1:9" s="7" customFormat="1" ht="15" x14ac:dyDescent="0.2">
      <c r="A67" s="7" t="str">
        <f>IF(Plantilla_SCAN_EQ3_COUNT_2[[#This Row],[ID MATERIAL]]="","",SIGN(Plantilla_SCAN_EQ3_COUNT_2[[#This Row],[Cantidad]])+A66)</f>
        <v/>
      </c>
      <c r="B67" s="21" t="str">
        <f>IF(Plantilla_SCAN_EQ3_COUNT_2[[#This Row],[ID MATERIAL]]="","",B66)</f>
        <v/>
      </c>
      <c r="C67" s="21"/>
      <c r="D67" s="21"/>
      <c r="E67" s="7" t="str">
        <f>IF(Plantilla_SCAN_EQ3_COUNT_2[[#This Row],[ID MATERIAL]]="","",VLOOKUP(Plantilla_SCAN_EQ3_COUNT_2[[#This Row],[ID MATERIAL]],INVENTARIO!$A:$D,2,FALSE))</f>
        <v/>
      </c>
      <c r="F67" s="7" t="str">
        <f>IF(Plantilla_SCAN_EQ3_COUNT_2[[#This Row],[ID MATERIAL]]="","",IF(Plantilla_SCAN_EQ3_COUNT_2[[#This Row],[No. Empaques]]="",1,Plantilla_SCAN_EQ3_COUNT_2[[#This Row],[No. Empaques]]*1))</f>
        <v/>
      </c>
      <c r="G67" s="7" t="str">
        <f>IF(Plantilla_SCAN_EQ3_COUNT_2[[#This Row],[ID MATERIAL]]="","","PZ")</f>
        <v/>
      </c>
      <c r="H67" s="7" t="str">
        <f>IF(Plantilla_SCAN_EQ3_COUNT_2[[#This Row],[ID MATERIAL]]="","",$B$13)</f>
        <v/>
      </c>
      <c r="I67" s="7" t="str">
        <f>IF(Plantilla_SCAN_EQ3_COUNT_2[[#This Row],[ID MATERIAL]]="","","Segundo Conteo")</f>
        <v/>
      </c>
    </row>
    <row r="68" spans="1:9" s="7" customFormat="1" ht="15" x14ac:dyDescent="0.2">
      <c r="A68" s="7" t="str">
        <f>IF(Plantilla_SCAN_EQ3_COUNT_2[[#This Row],[ID MATERIAL]]="","",SIGN(Plantilla_SCAN_EQ3_COUNT_2[[#This Row],[Cantidad]])+A67)</f>
        <v/>
      </c>
      <c r="B68" s="21" t="str">
        <f>IF(Plantilla_SCAN_EQ3_COUNT_2[[#This Row],[ID MATERIAL]]="","",B67)</f>
        <v/>
      </c>
      <c r="C68" s="21"/>
      <c r="D68" s="21"/>
      <c r="E68" s="7" t="str">
        <f>IF(Plantilla_SCAN_EQ3_COUNT_2[[#This Row],[ID MATERIAL]]="","",VLOOKUP(Plantilla_SCAN_EQ3_COUNT_2[[#This Row],[ID MATERIAL]],INVENTARIO!$A:$D,2,FALSE))</f>
        <v/>
      </c>
      <c r="F68" s="7" t="str">
        <f>IF(Plantilla_SCAN_EQ3_COUNT_2[[#This Row],[ID MATERIAL]]="","",IF(Plantilla_SCAN_EQ3_COUNT_2[[#This Row],[No. Empaques]]="",1,Plantilla_SCAN_EQ3_COUNT_2[[#This Row],[No. Empaques]]*1))</f>
        <v/>
      </c>
      <c r="G68" s="7" t="str">
        <f>IF(Plantilla_SCAN_EQ3_COUNT_2[[#This Row],[ID MATERIAL]]="","","PZ")</f>
        <v/>
      </c>
      <c r="H68" s="7" t="str">
        <f>IF(Plantilla_SCAN_EQ3_COUNT_2[[#This Row],[ID MATERIAL]]="","",$B$13)</f>
        <v/>
      </c>
      <c r="I68" s="7" t="str">
        <f>IF(Plantilla_SCAN_EQ3_COUNT_2[[#This Row],[ID MATERIAL]]="","","Segundo Conteo")</f>
        <v/>
      </c>
    </row>
    <row r="69" spans="1:9" s="7" customFormat="1" ht="15" x14ac:dyDescent="0.2">
      <c r="A69" s="7" t="str">
        <f>IF(Plantilla_SCAN_EQ3_COUNT_2[[#This Row],[ID MATERIAL]]="","",SIGN(Plantilla_SCAN_EQ3_COUNT_2[[#This Row],[Cantidad]])+A68)</f>
        <v/>
      </c>
      <c r="B69" s="21" t="str">
        <f>IF(Plantilla_SCAN_EQ3_COUNT_2[[#This Row],[ID MATERIAL]]="","",B68)</f>
        <v/>
      </c>
      <c r="C69" s="21"/>
      <c r="D69" s="21"/>
      <c r="E69" s="7" t="str">
        <f>IF(Plantilla_SCAN_EQ3_COUNT_2[[#This Row],[ID MATERIAL]]="","",VLOOKUP(Plantilla_SCAN_EQ3_COUNT_2[[#This Row],[ID MATERIAL]],INVENTARIO!$A:$D,2,FALSE))</f>
        <v/>
      </c>
      <c r="F69" s="7" t="str">
        <f>IF(Plantilla_SCAN_EQ3_COUNT_2[[#This Row],[ID MATERIAL]]="","",IF(Plantilla_SCAN_EQ3_COUNT_2[[#This Row],[No. Empaques]]="",1,Plantilla_SCAN_EQ3_COUNT_2[[#This Row],[No. Empaques]]*1))</f>
        <v/>
      </c>
      <c r="G69" s="7" t="str">
        <f>IF(Plantilla_SCAN_EQ3_COUNT_2[[#This Row],[ID MATERIAL]]="","","PZ")</f>
        <v/>
      </c>
      <c r="H69" s="7" t="str">
        <f>IF(Plantilla_SCAN_EQ3_COUNT_2[[#This Row],[ID MATERIAL]]="","",$B$13)</f>
        <v/>
      </c>
      <c r="I69" s="7" t="str">
        <f>IF(Plantilla_SCAN_EQ3_COUNT_2[[#This Row],[ID MATERIAL]]="","","Segundo Conteo")</f>
        <v/>
      </c>
    </row>
    <row r="70" spans="1:9" s="7" customFormat="1" ht="15" x14ac:dyDescent="0.2">
      <c r="A70" s="7" t="str">
        <f>IF(Plantilla_SCAN_EQ3_COUNT_2[[#This Row],[ID MATERIAL]]="","",SIGN(Plantilla_SCAN_EQ3_COUNT_2[[#This Row],[Cantidad]])+A69)</f>
        <v/>
      </c>
      <c r="B70" s="21" t="str">
        <f>IF(Plantilla_SCAN_EQ3_COUNT_2[[#This Row],[ID MATERIAL]]="","",B69)</f>
        <v/>
      </c>
      <c r="C70" s="21"/>
      <c r="D70" s="21"/>
      <c r="E70" s="7" t="str">
        <f>IF(Plantilla_SCAN_EQ3_COUNT_2[[#This Row],[ID MATERIAL]]="","",VLOOKUP(Plantilla_SCAN_EQ3_COUNT_2[[#This Row],[ID MATERIAL]],INVENTARIO!$A:$D,2,FALSE))</f>
        <v/>
      </c>
      <c r="F70" s="7" t="str">
        <f>IF(Plantilla_SCAN_EQ3_COUNT_2[[#This Row],[ID MATERIAL]]="","",IF(Plantilla_SCAN_EQ3_COUNT_2[[#This Row],[No. Empaques]]="",1,Plantilla_SCAN_EQ3_COUNT_2[[#This Row],[No. Empaques]]*1))</f>
        <v/>
      </c>
      <c r="G70" s="7" t="str">
        <f>IF(Plantilla_SCAN_EQ3_COUNT_2[[#This Row],[ID MATERIAL]]="","","PZ")</f>
        <v/>
      </c>
      <c r="H70" s="7" t="str">
        <f>IF(Plantilla_SCAN_EQ3_COUNT_2[[#This Row],[ID MATERIAL]]="","",$B$13)</f>
        <v/>
      </c>
      <c r="I70" s="7" t="str">
        <f>IF(Plantilla_SCAN_EQ3_COUNT_2[[#This Row],[ID MATERIAL]]="","","Segundo Conteo")</f>
        <v/>
      </c>
    </row>
    <row r="71" spans="1:9" s="7" customFormat="1" ht="15" x14ac:dyDescent="0.2">
      <c r="A71" s="7" t="str">
        <f>IF(Plantilla_SCAN_EQ3_COUNT_2[[#This Row],[ID MATERIAL]]="","",SIGN(Plantilla_SCAN_EQ3_COUNT_2[[#This Row],[Cantidad]])+A70)</f>
        <v/>
      </c>
      <c r="B71" s="21" t="str">
        <f>IF(Plantilla_SCAN_EQ3_COUNT_2[[#This Row],[ID MATERIAL]]="","",B70)</f>
        <v/>
      </c>
      <c r="C71" s="21"/>
      <c r="D71" s="21"/>
      <c r="E71" s="7" t="str">
        <f>IF(Plantilla_SCAN_EQ3_COUNT_2[[#This Row],[ID MATERIAL]]="","",VLOOKUP(Plantilla_SCAN_EQ3_COUNT_2[[#This Row],[ID MATERIAL]],INVENTARIO!$A:$D,2,FALSE))</f>
        <v/>
      </c>
      <c r="F71" s="7" t="str">
        <f>IF(Plantilla_SCAN_EQ3_COUNT_2[[#This Row],[ID MATERIAL]]="","",IF(Plantilla_SCAN_EQ3_COUNT_2[[#This Row],[No. Empaques]]="",1,Plantilla_SCAN_EQ3_COUNT_2[[#This Row],[No. Empaques]]*1))</f>
        <v/>
      </c>
      <c r="G71" s="7" t="str">
        <f>IF(Plantilla_SCAN_EQ3_COUNT_2[[#This Row],[ID MATERIAL]]="","","PZ")</f>
        <v/>
      </c>
      <c r="H71" s="7" t="str">
        <f>IF(Plantilla_SCAN_EQ3_COUNT_2[[#This Row],[ID MATERIAL]]="","",$B$13)</f>
        <v/>
      </c>
      <c r="I71" s="7" t="str">
        <f>IF(Plantilla_SCAN_EQ3_COUNT_2[[#This Row],[ID MATERIAL]]="","","Segundo Conteo")</f>
        <v/>
      </c>
    </row>
    <row r="72" spans="1:9" s="7" customFormat="1" ht="15" x14ac:dyDescent="0.2">
      <c r="A72" s="7" t="str">
        <f>IF(Plantilla_SCAN_EQ3_COUNT_2[[#This Row],[ID MATERIAL]]="","",SIGN(Plantilla_SCAN_EQ3_COUNT_2[[#This Row],[Cantidad]])+A71)</f>
        <v/>
      </c>
      <c r="B72" s="21" t="str">
        <f>IF(Plantilla_SCAN_EQ3_COUNT_2[[#This Row],[ID MATERIAL]]="","",B71)</f>
        <v/>
      </c>
      <c r="C72" s="21"/>
      <c r="D72" s="21"/>
      <c r="E72" s="7" t="str">
        <f>IF(Plantilla_SCAN_EQ3_COUNT_2[[#This Row],[ID MATERIAL]]="","",VLOOKUP(Plantilla_SCAN_EQ3_COUNT_2[[#This Row],[ID MATERIAL]],INVENTARIO!$A:$D,2,FALSE))</f>
        <v/>
      </c>
      <c r="F72" s="7" t="str">
        <f>IF(Plantilla_SCAN_EQ3_COUNT_2[[#This Row],[ID MATERIAL]]="","",IF(Plantilla_SCAN_EQ3_COUNT_2[[#This Row],[No. Empaques]]="",1,Plantilla_SCAN_EQ3_COUNT_2[[#This Row],[No. Empaques]]*1))</f>
        <v/>
      </c>
      <c r="G72" s="7" t="str">
        <f>IF(Plantilla_SCAN_EQ3_COUNT_2[[#This Row],[ID MATERIAL]]="","","PZ")</f>
        <v/>
      </c>
      <c r="H72" s="7" t="str">
        <f>IF(Plantilla_SCAN_EQ3_COUNT_2[[#This Row],[ID MATERIAL]]="","",$B$13)</f>
        <v/>
      </c>
      <c r="I72" s="7" t="str">
        <f>IF(Plantilla_SCAN_EQ3_COUNT_2[[#This Row],[ID MATERIAL]]="","","Segundo Conteo")</f>
        <v/>
      </c>
    </row>
    <row r="73" spans="1:9" s="7" customFormat="1" ht="15" x14ac:dyDescent="0.2">
      <c r="A73" s="7" t="str">
        <f>IF(Plantilla_SCAN_EQ3_COUNT_2[[#This Row],[ID MATERIAL]]="","",SIGN(Plantilla_SCAN_EQ3_COUNT_2[[#This Row],[Cantidad]])+A72)</f>
        <v/>
      </c>
      <c r="B73" s="21" t="str">
        <f>IF(Plantilla_SCAN_EQ3_COUNT_2[[#This Row],[ID MATERIAL]]="","",B72)</f>
        <v/>
      </c>
      <c r="C73" s="21"/>
      <c r="D73" s="21"/>
      <c r="E73" s="7" t="str">
        <f>IF(Plantilla_SCAN_EQ3_COUNT_2[[#This Row],[ID MATERIAL]]="","",VLOOKUP(Plantilla_SCAN_EQ3_COUNT_2[[#This Row],[ID MATERIAL]],INVENTARIO!$A:$D,2,FALSE))</f>
        <v/>
      </c>
      <c r="F73" s="7" t="str">
        <f>IF(Plantilla_SCAN_EQ3_COUNT_2[[#This Row],[ID MATERIAL]]="","",IF(Plantilla_SCAN_EQ3_COUNT_2[[#This Row],[No. Empaques]]="",1,Plantilla_SCAN_EQ3_COUNT_2[[#This Row],[No. Empaques]]*1))</f>
        <v/>
      </c>
      <c r="G73" s="7" t="str">
        <f>IF(Plantilla_SCAN_EQ3_COUNT_2[[#This Row],[ID MATERIAL]]="","","PZ")</f>
        <v/>
      </c>
      <c r="H73" s="7" t="str">
        <f>IF(Plantilla_SCAN_EQ3_COUNT_2[[#This Row],[ID MATERIAL]]="","",$B$13)</f>
        <v/>
      </c>
      <c r="I73" s="7" t="str">
        <f>IF(Plantilla_SCAN_EQ3_COUNT_2[[#This Row],[ID MATERIAL]]="","","Segundo Conteo")</f>
        <v/>
      </c>
    </row>
    <row r="74" spans="1:9" s="7" customFormat="1" ht="15" x14ac:dyDescent="0.2">
      <c r="A74" s="7" t="str">
        <f>IF(Plantilla_SCAN_EQ3_COUNT_2[[#This Row],[ID MATERIAL]]="","",SIGN(Plantilla_SCAN_EQ3_COUNT_2[[#This Row],[Cantidad]])+A73)</f>
        <v/>
      </c>
      <c r="B74" s="21" t="str">
        <f>IF(Plantilla_SCAN_EQ3_COUNT_2[[#This Row],[ID MATERIAL]]="","",B73)</f>
        <v/>
      </c>
      <c r="C74" s="21"/>
      <c r="D74" s="21"/>
      <c r="E74" s="7" t="str">
        <f>IF(Plantilla_SCAN_EQ3_COUNT_2[[#This Row],[ID MATERIAL]]="","",VLOOKUP(Plantilla_SCAN_EQ3_COUNT_2[[#This Row],[ID MATERIAL]],INVENTARIO!$A:$D,2,FALSE))</f>
        <v/>
      </c>
      <c r="F74" s="7" t="str">
        <f>IF(Plantilla_SCAN_EQ3_COUNT_2[[#This Row],[ID MATERIAL]]="","",IF(Plantilla_SCAN_EQ3_COUNT_2[[#This Row],[No. Empaques]]="",1,Plantilla_SCAN_EQ3_COUNT_2[[#This Row],[No. Empaques]]*1))</f>
        <v/>
      </c>
      <c r="G74" s="7" t="str">
        <f>IF(Plantilla_SCAN_EQ3_COUNT_2[[#This Row],[ID MATERIAL]]="","","PZ")</f>
        <v/>
      </c>
      <c r="H74" s="7" t="str">
        <f>IF(Plantilla_SCAN_EQ3_COUNT_2[[#This Row],[ID MATERIAL]]="","",$B$13)</f>
        <v/>
      </c>
      <c r="I74" s="7" t="str">
        <f>IF(Plantilla_SCAN_EQ3_COUNT_2[[#This Row],[ID MATERIAL]]="","","Segundo Conteo")</f>
        <v/>
      </c>
    </row>
    <row r="75" spans="1:9" s="7" customFormat="1" ht="15" x14ac:dyDescent="0.2">
      <c r="A75" s="7" t="str">
        <f>IF(Plantilla_SCAN_EQ3_COUNT_2[[#This Row],[ID MATERIAL]]="","",SIGN(Plantilla_SCAN_EQ3_COUNT_2[[#This Row],[Cantidad]])+A74)</f>
        <v/>
      </c>
      <c r="B75" s="21" t="str">
        <f>IF(Plantilla_SCAN_EQ3_COUNT_2[[#This Row],[ID MATERIAL]]="","",B74)</f>
        <v/>
      </c>
      <c r="C75" s="21"/>
      <c r="D75" s="21"/>
      <c r="E75" s="7" t="str">
        <f>IF(Plantilla_SCAN_EQ3_COUNT_2[[#This Row],[ID MATERIAL]]="","",VLOOKUP(Plantilla_SCAN_EQ3_COUNT_2[[#This Row],[ID MATERIAL]],INVENTARIO!$A:$D,2,FALSE))</f>
        <v/>
      </c>
      <c r="F75" s="7" t="str">
        <f>IF(Plantilla_SCAN_EQ3_COUNT_2[[#This Row],[ID MATERIAL]]="","",IF(Plantilla_SCAN_EQ3_COUNT_2[[#This Row],[No. Empaques]]="",1,Plantilla_SCAN_EQ3_COUNT_2[[#This Row],[No. Empaques]]*1))</f>
        <v/>
      </c>
      <c r="G75" s="7" t="str">
        <f>IF(Plantilla_SCAN_EQ3_COUNT_2[[#This Row],[ID MATERIAL]]="","","PZ")</f>
        <v/>
      </c>
      <c r="H75" s="7" t="str">
        <f>IF(Plantilla_SCAN_EQ3_COUNT_2[[#This Row],[ID MATERIAL]]="","",$B$13)</f>
        <v/>
      </c>
      <c r="I75" s="7" t="str">
        <f>IF(Plantilla_SCAN_EQ3_COUNT_2[[#This Row],[ID MATERIAL]]="","","Segundo Conteo")</f>
        <v/>
      </c>
    </row>
    <row r="76" spans="1:9" s="7" customFormat="1" ht="15" x14ac:dyDescent="0.2">
      <c r="A76" s="7" t="str">
        <f>IF(Plantilla_SCAN_EQ3_COUNT_2[[#This Row],[ID MATERIAL]]="","",SIGN(Plantilla_SCAN_EQ3_COUNT_2[[#This Row],[Cantidad]])+A75)</f>
        <v/>
      </c>
      <c r="B76" s="21" t="str">
        <f>IF(Plantilla_SCAN_EQ3_COUNT_2[[#This Row],[ID MATERIAL]]="","",B75)</f>
        <v/>
      </c>
      <c r="C76" s="21"/>
      <c r="D76" s="21"/>
      <c r="E76" s="7" t="str">
        <f>IF(Plantilla_SCAN_EQ3_COUNT_2[[#This Row],[ID MATERIAL]]="","",VLOOKUP(Plantilla_SCAN_EQ3_COUNT_2[[#This Row],[ID MATERIAL]],INVENTARIO!$A:$D,2,FALSE))</f>
        <v/>
      </c>
      <c r="F76" s="7" t="str">
        <f>IF(Plantilla_SCAN_EQ3_COUNT_2[[#This Row],[ID MATERIAL]]="","",IF(Plantilla_SCAN_EQ3_COUNT_2[[#This Row],[No. Empaques]]="",1,Plantilla_SCAN_EQ3_COUNT_2[[#This Row],[No. Empaques]]*1))</f>
        <v/>
      </c>
      <c r="G76" s="7" t="str">
        <f>IF(Plantilla_SCAN_EQ3_COUNT_2[[#This Row],[ID MATERIAL]]="","","PZ")</f>
        <v/>
      </c>
      <c r="H76" s="7" t="str">
        <f>IF(Plantilla_SCAN_EQ3_COUNT_2[[#This Row],[ID MATERIAL]]="","",$B$13)</f>
        <v/>
      </c>
      <c r="I76" s="7" t="str">
        <f>IF(Plantilla_SCAN_EQ3_COUNT_2[[#This Row],[ID MATERIAL]]="","","Segundo Conteo")</f>
        <v/>
      </c>
    </row>
    <row r="77" spans="1:9" s="7" customFormat="1" ht="15" x14ac:dyDescent="0.2">
      <c r="A77" s="7" t="str">
        <f>IF(Plantilla_SCAN_EQ3_COUNT_2[[#This Row],[ID MATERIAL]]="","",SIGN(Plantilla_SCAN_EQ3_COUNT_2[[#This Row],[Cantidad]])+A76)</f>
        <v/>
      </c>
      <c r="B77" s="21" t="str">
        <f>IF(Plantilla_SCAN_EQ3_COUNT_2[[#This Row],[ID MATERIAL]]="","",B76)</f>
        <v/>
      </c>
      <c r="C77" s="21"/>
      <c r="D77" s="21"/>
      <c r="E77" s="7" t="str">
        <f>IF(Plantilla_SCAN_EQ3_COUNT_2[[#This Row],[ID MATERIAL]]="","",VLOOKUP(Plantilla_SCAN_EQ3_COUNT_2[[#This Row],[ID MATERIAL]],INVENTARIO!$A:$D,2,FALSE))</f>
        <v/>
      </c>
      <c r="F77" s="7" t="str">
        <f>IF(Plantilla_SCAN_EQ3_COUNT_2[[#This Row],[ID MATERIAL]]="","",IF(Plantilla_SCAN_EQ3_COUNT_2[[#This Row],[No. Empaques]]="",1,Plantilla_SCAN_EQ3_COUNT_2[[#This Row],[No. Empaques]]*1))</f>
        <v/>
      </c>
      <c r="G77" s="7" t="str">
        <f>IF(Plantilla_SCAN_EQ3_COUNT_2[[#This Row],[ID MATERIAL]]="","","PZ")</f>
        <v/>
      </c>
      <c r="H77" s="7" t="str">
        <f>IF(Plantilla_SCAN_EQ3_COUNT_2[[#This Row],[ID MATERIAL]]="","",$B$13)</f>
        <v/>
      </c>
      <c r="I77" s="7" t="str">
        <f>IF(Plantilla_SCAN_EQ3_COUNT_2[[#This Row],[ID MATERIAL]]="","","Segundo Conteo")</f>
        <v/>
      </c>
    </row>
    <row r="78" spans="1:9" s="7" customFormat="1" ht="15" x14ac:dyDescent="0.2">
      <c r="A78" s="7" t="str">
        <f>IF(Plantilla_SCAN_EQ3_COUNT_2[[#This Row],[ID MATERIAL]]="","",SIGN(Plantilla_SCAN_EQ3_COUNT_2[[#This Row],[Cantidad]])+A77)</f>
        <v/>
      </c>
      <c r="B78" s="21" t="str">
        <f>IF(Plantilla_SCAN_EQ3_COUNT_2[[#This Row],[ID MATERIAL]]="","",B77)</f>
        <v/>
      </c>
      <c r="C78" s="21"/>
      <c r="D78" s="21"/>
      <c r="E78" s="7" t="str">
        <f>IF(Plantilla_SCAN_EQ3_COUNT_2[[#This Row],[ID MATERIAL]]="","",VLOOKUP(Plantilla_SCAN_EQ3_COUNT_2[[#This Row],[ID MATERIAL]],INVENTARIO!$A:$D,2,FALSE))</f>
        <v/>
      </c>
      <c r="F78" s="7" t="str">
        <f>IF(Plantilla_SCAN_EQ3_COUNT_2[[#This Row],[ID MATERIAL]]="","",IF(Plantilla_SCAN_EQ3_COUNT_2[[#This Row],[No. Empaques]]="",1,Plantilla_SCAN_EQ3_COUNT_2[[#This Row],[No. Empaques]]*1))</f>
        <v/>
      </c>
      <c r="G78" s="7" t="str">
        <f>IF(Plantilla_SCAN_EQ3_COUNT_2[[#This Row],[ID MATERIAL]]="","","PZ")</f>
        <v/>
      </c>
      <c r="H78" s="7" t="str">
        <f>IF(Plantilla_SCAN_EQ3_COUNT_2[[#This Row],[ID MATERIAL]]="","",$B$13)</f>
        <v/>
      </c>
      <c r="I78" s="7" t="str">
        <f>IF(Plantilla_SCAN_EQ3_COUNT_2[[#This Row],[ID MATERIAL]]="","","Segundo Conteo")</f>
        <v/>
      </c>
    </row>
    <row r="79" spans="1:9" s="7" customFormat="1" ht="15" x14ac:dyDescent="0.2">
      <c r="A79" s="7" t="str">
        <f>IF(Plantilla_SCAN_EQ3_COUNT_2[[#This Row],[ID MATERIAL]]="","",SIGN(Plantilla_SCAN_EQ3_COUNT_2[[#This Row],[Cantidad]])+A78)</f>
        <v/>
      </c>
      <c r="B79" s="21" t="str">
        <f>IF(Plantilla_SCAN_EQ3_COUNT_2[[#This Row],[ID MATERIAL]]="","",B78)</f>
        <v/>
      </c>
      <c r="C79" s="21"/>
      <c r="D79" s="21"/>
      <c r="E79" s="7" t="str">
        <f>IF(Plantilla_SCAN_EQ3_COUNT_2[[#This Row],[ID MATERIAL]]="","",VLOOKUP(Plantilla_SCAN_EQ3_COUNT_2[[#This Row],[ID MATERIAL]],INVENTARIO!$A:$D,2,FALSE))</f>
        <v/>
      </c>
      <c r="F79" s="7" t="str">
        <f>IF(Plantilla_SCAN_EQ3_COUNT_2[[#This Row],[ID MATERIAL]]="","",IF(Plantilla_SCAN_EQ3_COUNT_2[[#This Row],[No. Empaques]]="",1,Plantilla_SCAN_EQ3_COUNT_2[[#This Row],[No. Empaques]]*1))</f>
        <v/>
      </c>
      <c r="G79" s="7" t="str">
        <f>IF(Plantilla_SCAN_EQ3_COUNT_2[[#This Row],[ID MATERIAL]]="","","PZ")</f>
        <v/>
      </c>
      <c r="H79" s="7" t="str">
        <f>IF(Plantilla_SCAN_EQ3_COUNT_2[[#This Row],[ID MATERIAL]]="","",$B$13)</f>
        <v/>
      </c>
      <c r="I79" s="7" t="str">
        <f>IF(Plantilla_SCAN_EQ3_COUNT_2[[#This Row],[ID MATERIAL]]="","","Segundo Conteo")</f>
        <v/>
      </c>
    </row>
    <row r="80" spans="1:9" s="7" customFormat="1" ht="15" x14ac:dyDescent="0.2">
      <c r="A80" s="7" t="str">
        <f>IF(Plantilla_SCAN_EQ3_COUNT_2[[#This Row],[ID MATERIAL]]="","",SIGN(Plantilla_SCAN_EQ3_COUNT_2[[#This Row],[Cantidad]])+A79)</f>
        <v/>
      </c>
      <c r="B80" s="21" t="str">
        <f>IF(Plantilla_SCAN_EQ3_COUNT_2[[#This Row],[ID MATERIAL]]="","",B79)</f>
        <v/>
      </c>
      <c r="C80" s="21"/>
      <c r="D80" s="21"/>
      <c r="E80" s="7" t="str">
        <f>IF(Plantilla_SCAN_EQ3_COUNT_2[[#This Row],[ID MATERIAL]]="","",VLOOKUP(Plantilla_SCAN_EQ3_COUNT_2[[#This Row],[ID MATERIAL]],INVENTARIO!$A:$D,2,FALSE))</f>
        <v/>
      </c>
      <c r="F80" s="7" t="str">
        <f>IF(Plantilla_SCAN_EQ3_COUNT_2[[#This Row],[ID MATERIAL]]="","",IF(Plantilla_SCAN_EQ3_COUNT_2[[#This Row],[No. Empaques]]="",1,Plantilla_SCAN_EQ3_COUNT_2[[#This Row],[No. Empaques]]*1))</f>
        <v/>
      </c>
      <c r="G80" s="7" t="str">
        <f>IF(Plantilla_SCAN_EQ3_COUNT_2[[#This Row],[ID MATERIAL]]="","","PZ")</f>
        <v/>
      </c>
      <c r="H80" s="7" t="str">
        <f>IF(Plantilla_SCAN_EQ3_COUNT_2[[#This Row],[ID MATERIAL]]="","",$B$13)</f>
        <v/>
      </c>
      <c r="I80" s="7" t="str">
        <f>IF(Plantilla_SCAN_EQ3_COUNT_2[[#This Row],[ID MATERIAL]]="","","Segundo Conteo")</f>
        <v/>
      </c>
    </row>
    <row r="81" spans="1:9" s="7" customFormat="1" ht="15" x14ac:dyDescent="0.2">
      <c r="A81" s="7" t="str">
        <f>IF(Plantilla_SCAN_EQ3_COUNT_2[[#This Row],[ID MATERIAL]]="","",SIGN(Plantilla_SCAN_EQ3_COUNT_2[[#This Row],[Cantidad]])+A80)</f>
        <v/>
      </c>
      <c r="B81" s="21" t="str">
        <f>IF(Plantilla_SCAN_EQ3_COUNT_2[[#This Row],[ID MATERIAL]]="","",B80)</f>
        <v/>
      </c>
      <c r="C81" s="21"/>
      <c r="D81" s="21"/>
      <c r="E81" s="7" t="str">
        <f>IF(Plantilla_SCAN_EQ3_COUNT_2[[#This Row],[ID MATERIAL]]="","",VLOOKUP(Plantilla_SCAN_EQ3_COUNT_2[[#This Row],[ID MATERIAL]],INVENTARIO!$A:$D,2,FALSE))</f>
        <v/>
      </c>
      <c r="F81" s="7" t="str">
        <f>IF(Plantilla_SCAN_EQ3_COUNT_2[[#This Row],[ID MATERIAL]]="","",IF(Plantilla_SCAN_EQ3_COUNT_2[[#This Row],[No. Empaques]]="",1,Plantilla_SCAN_EQ3_COUNT_2[[#This Row],[No. Empaques]]*1))</f>
        <v/>
      </c>
      <c r="G81" s="7" t="str">
        <f>IF(Plantilla_SCAN_EQ3_COUNT_2[[#This Row],[ID MATERIAL]]="","","PZ")</f>
        <v/>
      </c>
      <c r="H81" s="7" t="str">
        <f>IF(Plantilla_SCAN_EQ3_COUNT_2[[#This Row],[ID MATERIAL]]="","",$B$13)</f>
        <v/>
      </c>
      <c r="I81" s="7" t="str">
        <f>IF(Plantilla_SCAN_EQ3_COUNT_2[[#This Row],[ID MATERIAL]]="","","Segundo Conteo")</f>
        <v/>
      </c>
    </row>
    <row r="82" spans="1:9" s="7" customFormat="1" ht="15" x14ac:dyDescent="0.2">
      <c r="A82" s="7" t="str">
        <f>IF(Plantilla_SCAN_EQ3_COUNT_2[[#This Row],[ID MATERIAL]]="","",SIGN(Plantilla_SCAN_EQ3_COUNT_2[[#This Row],[Cantidad]])+A81)</f>
        <v/>
      </c>
      <c r="B82" s="21" t="str">
        <f>IF(Plantilla_SCAN_EQ3_COUNT_2[[#This Row],[ID MATERIAL]]="","",B81)</f>
        <v/>
      </c>
      <c r="C82" s="21"/>
      <c r="D82" s="21"/>
      <c r="E82" s="7" t="str">
        <f>IF(Plantilla_SCAN_EQ3_COUNT_2[[#This Row],[ID MATERIAL]]="","",VLOOKUP(Plantilla_SCAN_EQ3_COUNT_2[[#This Row],[ID MATERIAL]],INVENTARIO!$A:$D,2,FALSE))</f>
        <v/>
      </c>
      <c r="F82" s="7" t="str">
        <f>IF(Plantilla_SCAN_EQ3_COUNT_2[[#This Row],[ID MATERIAL]]="","",IF(Plantilla_SCAN_EQ3_COUNT_2[[#This Row],[No. Empaques]]="",1,Plantilla_SCAN_EQ3_COUNT_2[[#This Row],[No. Empaques]]*1))</f>
        <v/>
      </c>
      <c r="G82" s="7" t="str">
        <f>IF(Plantilla_SCAN_EQ3_COUNT_2[[#This Row],[ID MATERIAL]]="","","PZ")</f>
        <v/>
      </c>
      <c r="H82" s="7" t="str">
        <f>IF(Plantilla_SCAN_EQ3_COUNT_2[[#This Row],[ID MATERIAL]]="","",$B$13)</f>
        <v/>
      </c>
      <c r="I82" s="7" t="str">
        <f>IF(Plantilla_SCAN_EQ3_COUNT_2[[#This Row],[ID MATERIAL]]="","","Segundo Conteo")</f>
        <v/>
      </c>
    </row>
    <row r="83" spans="1:9" s="7" customFormat="1" ht="15" x14ac:dyDescent="0.2">
      <c r="A83" s="7" t="str">
        <f>IF(Plantilla_SCAN_EQ3_COUNT_2[[#This Row],[ID MATERIAL]]="","",SIGN(Plantilla_SCAN_EQ3_COUNT_2[[#This Row],[Cantidad]])+A82)</f>
        <v/>
      </c>
      <c r="B83" s="21" t="str">
        <f>IF(Plantilla_SCAN_EQ3_COUNT_2[[#This Row],[ID MATERIAL]]="","",B82)</f>
        <v/>
      </c>
      <c r="C83" s="21"/>
      <c r="D83" s="21"/>
      <c r="E83" s="7" t="str">
        <f>IF(Plantilla_SCAN_EQ3_COUNT_2[[#This Row],[ID MATERIAL]]="","",VLOOKUP(Plantilla_SCAN_EQ3_COUNT_2[[#This Row],[ID MATERIAL]],INVENTARIO!$A:$D,2,FALSE))</f>
        <v/>
      </c>
      <c r="F83" s="7" t="str">
        <f>IF(Plantilla_SCAN_EQ3_COUNT_2[[#This Row],[ID MATERIAL]]="","",IF(Plantilla_SCAN_EQ3_COUNT_2[[#This Row],[No. Empaques]]="",1,Plantilla_SCAN_EQ3_COUNT_2[[#This Row],[No. Empaques]]*1))</f>
        <v/>
      </c>
      <c r="G83" s="7" t="str">
        <f>IF(Plantilla_SCAN_EQ3_COUNT_2[[#This Row],[ID MATERIAL]]="","","PZ")</f>
        <v/>
      </c>
      <c r="H83" s="7" t="str">
        <f>IF(Plantilla_SCAN_EQ3_COUNT_2[[#This Row],[ID MATERIAL]]="","",$B$13)</f>
        <v/>
      </c>
      <c r="I83" s="7" t="str">
        <f>IF(Plantilla_SCAN_EQ3_COUNT_2[[#This Row],[ID MATERIAL]]="","","Segundo Conteo")</f>
        <v/>
      </c>
    </row>
    <row r="84" spans="1:9" s="7" customFormat="1" ht="15" x14ac:dyDescent="0.2">
      <c r="A84" s="7" t="str">
        <f>IF(Plantilla_SCAN_EQ3_COUNT_2[[#This Row],[ID MATERIAL]]="","",SIGN(Plantilla_SCAN_EQ3_COUNT_2[[#This Row],[Cantidad]])+A83)</f>
        <v/>
      </c>
      <c r="B84" s="21" t="str">
        <f>IF(Plantilla_SCAN_EQ3_COUNT_2[[#This Row],[ID MATERIAL]]="","",B83)</f>
        <v/>
      </c>
      <c r="C84" s="21"/>
      <c r="D84" s="21"/>
      <c r="E84" s="7" t="str">
        <f>IF(Plantilla_SCAN_EQ3_COUNT_2[[#This Row],[ID MATERIAL]]="","",VLOOKUP(Plantilla_SCAN_EQ3_COUNT_2[[#This Row],[ID MATERIAL]],INVENTARIO!$A:$D,2,FALSE))</f>
        <v/>
      </c>
      <c r="F84" s="7" t="str">
        <f>IF(Plantilla_SCAN_EQ3_COUNT_2[[#This Row],[ID MATERIAL]]="","",IF(Plantilla_SCAN_EQ3_COUNT_2[[#This Row],[No. Empaques]]="",1,Plantilla_SCAN_EQ3_COUNT_2[[#This Row],[No. Empaques]]*1))</f>
        <v/>
      </c>
      <c r="G84" s="7" t="str">
        <f>IF(Plantilla_SCAN_EQ3_COUNT_2[[#This Row],[ID MATERIAL]]="","","PZ")</f>
        <v/>
      </c>
      <c r="H84" s="7" t="str">
        <f>IF(Plantilla_SCAN_EQ3_COUNT_2[[#This Row],[ID MATERIAL]]="","",$B$13)</f>
        <v/>
      </c>
      <c r="I84" s="7" t="str">
        <f>IF(Plantilla_SCAN_EQ3_COUNT_2[[#This Row],[ID MATERIAL]]="","","Segundo Conteo")</f>
        <v/>
      </c>
    </row>
    <row r="85" spans="1:9" s="7" customFormat="1" ht="15" x14ac:dyDescent="0.2">
      <c r="A85" s="7" t="str">
        <f>IF(Plantilla_SCAN_EQ3_COUNT_2[[#This Row],[ID MATERIAL]]="","",SIGN(Plantilla_SCAN_EQ3_COUNT_2[[#This Row],[Cantidad]])+A84)</f>
        <v/>
      </c>
      <c r="B85" s="21" t="str">
        <f>IF(Plantilla_SCAN_EQ3_COUNT_2[[#This Row],[ID MATERIAL]]="","",B84)</f>
        <v/>
      </c>
      <c r="C85" s="21"/>
      <c r="D85" s="21"/>
      <c r="E85" s="7" t="str">
        <f>IF(Plantilla_SCAN_EQ3_COUNT_2[[#This Row],[ID MATERIAL]]="","",VLOOKUP(Plantilla_SCAN_EQ3_COUNT_2[[#This Row],[ID MATERIAL]],INVENTARIO!$A:$D,2,FALSE))</f>
        <v/>
      </c>
      <c r="F85" s="7" t="str">
        <f>IF(Plantilla_SCAN_EQ3_COUNT_2[[#This Row],[ID MATERIAL]]="","",IF(Plantilla_SCAN_EQ3_COUNT_2[[#This Row],[No. Empaques]]="",1,Plantilla_SCAN_EQ3_COUNT_2[[#This Row],[No. Empaques]]*1))</f>
        <v/>
      </c>
      <c r="G85" s="7" t="str">
        <f>IF(Plantilla_SCAN_EQ3_COUNT_2[[#This Row],[ID MATERIAL]]="","","PZ")</f>
        <v/>
      </c>
      <c r="H85" s="7" t="str">
        <f>IF(Plantilla_SCAN_EQ3_COUNT_2[[#This Row],[ID MATERIAL]]="","",$B$13)</f>
        <v/>
      </c>
      <c r="I85" s="7" t="str">
        <f>IF(Plantilla_SCAN_EQ3_COUNT_2[[#This Row],[ID MATERIAL]]="","","Segundo Conteo")</f>
        <v/>
      </c>
    </row>
    <row r="86" spans="1:9" s="7" customFormat="1" ht="15" x14ac:dyDescent="0.2">
      <c r="A86" s="7" t="str">
        <f>IF(Plantilla_SCAN_EQ3_COUNT_2[[#This Row],[ID MATERIAL]]="","",SIGN(Plantilla_SCAN_EQ3_COUNT_2[[#This Row],[Cantidad]])+A85)</f>
        <v/>
      </c>
      <c r="B86" s="21" t="str">
        <f>IF(Plantilla_SCAN_EQ3_COUNT_2[[#This Row],[ID MATERIAL]]="","",B85)</f>
        <v/>
      </c>
      <c r="C86" s="21"/>
      <c r="D86" s="21"/>
      <c r="E86" s="7" t="str">
        <f>IF(Plantilla_SCAN_EQ3_COUNT_2[[#This Row],[ID MATERIAL]]="","",VLOOKUP(Plantilla_SCAN_EQ3_COUNT_2[[#This Row],[ID MATERIAL]],INVENTARIO!$A:$D,2,FALSE))</f>
        <v/>
      </c>
      <c r="F86" s="7" t="str">
        <f>IF(Plantilla_SCAN_EQ3_COUNT_2[[#This Row],[ID MATERIAL]]="","",IF(Plantilla_SCAN_EQ3_COUNT_2[[#This Row],[No. Empaques]]="",1,Plantilla_SCAN_EQ3_COUNT_2[[#This Row],[No. Empaques]]*1))</f>
        <v/>
      </c>
      <c r="G86" s="7" t="str">
        <f>IF(Plantilla_SCAN_EQ3_COUNT_2[[#This Row],[ID MATERIAL]]="","","PZ")</f>
        <v/>
      </c>
      <c r="H86" s="7" t="str">
        <f>IF(Plantilla_SCAN_EQ3_COUNT_2[[#This Row],[ID MATERIAL]]="","",$B$13)</f>
        <v/>
      </c>
      <c r="I86" s="7" t="str">
        <f>IF(Plantilla_SCAN_EQ3_COUNT_2[[#This Row],[ID MATERIAL]]="","","Segundo Conteo")</f>
        <v/>
      </c>
    </row>
    <row r="87" spans="1:9" s="7" customFormat="1" ht="15" x14ac:dyDescent="0.2">
      <c r="A87" s="7" t="str">
        <f>IF(Plantilla_SCAN_EQ3_COUNT_2[[#This Row],[ID MATERIAL]]="","",SIGN(Plantilla_SCAN_EQ3_COUNT_2[[#This Row],[Cantidad]])+A86)</f>
        <v/>
      </c>
      <c r="B87" s="21" t="str">
        <f>IF(Plantilla_SCAN_EQ3_COUNT_2[[#This Row],[ID MATERIAL]]="","",B86)</f>
        <v/>
      </c>
      <c r="C87" s="21"/>
      <c r="D87" s="21"/>
      <c r="E87" s="7" t="str">
        <f>IF(Plantilla_SCAN_EQ3_COUNT_2[[#This Row],[ID MATERIAL]]="","",VLOOKUP(Plantilla_SCAN_EQ3_COUNT_2[[#This Row],[ID MATERIAL]],INVENTARIO!$A:$D,2,FALSE))</f>
        <v/>
      </c>
      <c r="F87" s="7" t="str">
        <f>IF(Plantilla_SCAN_EQ3_COUNT_2[[#This Row],[ID MATERIAL]]="","",IF(Plantilla_SCAN_EQ3_COUNT_2[[#This Row],[No. Empaques]]="",1,Plantilla_SCAN_EQ3_COUNT_2[[#This Row],[No. Empaques]]*1))</f>
        <v/>
      </c>
      <c r="G87" s="7" t="str">
        <f>IF(Plantilla_SCAN_EQ3_COUNT_2[[#This Row],[ID MATERIAL]]="","","PZ")</f>
        <v/>
      </c>
      <c r="H87" s="7" t="str">
        <f>IF(Plantilla_SCAN_EQ3_COUNT_2[[#This Row],[ID MATERIAL]]="","",$B$13)</f>
        <v/>
      </c>
      <c r="I87" s="7" t="str">
        <f>IF(Plantilla_SCAN_EQ3_COUNT_2[[#This Row],[ID MATERIAL]]="","","Segundo Conteo")</f>
        <v/>
      </c>
    </row>
    <row r="88" spans="1:9" s="7" customFormat="1" ht="15" x14ac:dyDescent="0.2">
      <c r="A88" s="7" t="str">
        <f>IF(Plantilla_SCAN_EQ3_COUNT_2[[#This Row],[ID MATERIAL]]="","",SIGN(Plantilla_SCAN_EQ3_COUNT_2[[#This Row],[Cantidad]])+A87)</f>
        <v/>
      </c>
      <c r="B88" s="21" t="str">
        <f>IF(Plantilla_SCAN_EQ3_COUNT_2[[#This Row],[ID MATERIAL]]="","",B87)</f>
        <v/>
      </c>
      <c r="C88" s="21"/>
      <c r="D88" s="21"/>
      <c r="E88" s="7" t="str">
        <f>IF(Plantilla_SCAN_EQ3_COUNT_2[[#This Row],[ID MATERIAL]]="","",VLOOKUP(Plantilla_SCAN_EQ3_COUNT_2[[#This Row],[ID MATERIAL]],INVENTARIO!$A:$D,2,FALSE))</f>
        <v/>
      </c>
      <c r="F88" s="7" t="str">
        <f>IF(Plantilla_SCAN_EQ3_COUNT_2[[#This Row],[ID MATERIAL]]="","",IF(Plantilla_SCAN_EQ3_COUNT_2[[#This Row],[No. Empaques]]="",1,Plantilla_SCAN_EQ3_COUNT_2[[#This Row],[No. Empaques]]*1))</f>
        <v/>
      </c>
      <c r="G88" s="7" t="str">
        <f>IF(Plantilla_SCAN_EQ3_COUNT_2[[#This Row],[ID MATERIAL]]="","","PZ")</f>
        <v/>
      </c>
      <c r="H88" s="7" t="str">
        <f>IF(Plantilla_SCAN_EQ3_COUNT_2[[#This Row],[ID MATERIAL]]="","",$B$13)</f>
        <v/>
      </c>
      <c r="I88" s="7" t="str">
        <f>IF(Plantilla_SCAN_EQ3_COUNT_2[[#This Row],[ID MATERIAL]]="","","Segundo Conteo")</f>
        <v/>
      </c>
    </row>
    <row r="89" spans="1:9" s="7" customFormat="1" ht="15" x14ac:dyDescent="0.2">
      <c r="A89" s="7" t="str">
        <f>IF(Plantilla_SCAN_EQ3_COUNT_2[[#This Row],[ID MATERIAL]]="","",SIGN(Plantilla_SCAN_EQ3_COUNT_2[[#This Row],[Cantidad]])+A88)</f>
        <v/>
      </c>
      <c r="B89" s="21" t="str">
        <f>IF(Plantilla_SCAN_EQ3_COUNT_2[[#This Row],[ID MATERIAL]]="","",B88)</f>
        <v/>
      </c>
      <c r="C89" s="21"/>
      <c r="D89" s="21"/>
      <c r="E89" s="7" t="str">
        <f>IF(Plantilla_SCAN_EQ3_COUNT_2[[#This Row],[ID MATERIAL]]="","",VLOOKUP(Plantilla_SCAN_EQ3_COUNT_2[[#This Row],[ID MATERIAL]],INVENTARIO!$A:$D,2,FALSE))</f>
        <v/>
      </c>
      <c r="F89" s="7" t="str">
        <f>IF(Plantilla_SCAN_EQ3_COUNT_2[[#This Row],[ID MATERIAL]]="","",IF(Plantilla_SCAN_EQ3_COUNT_2[[#This Row],[No. Empaques]]="",1,Plantilla_SCAN_EQ3_COUNT_2[[#This Row],[No. Empaques]]*1))</f>
        <v/>
      </c>
      <c r="G89" s="7" t="str">
        <f>IF(Plantilla_SCAN_EQ3_COUNT_2[[#This Row],[ID MATERIAL]]="","","PZ")</f>
        <v/>
      </c>
      <c r="H89" s="7" t="str">
        <f>IF(Plantilla_SCAN_EQ3_COUNT_2[[#This Row],[ID MATERIAL]]="","",$B$13)</f>
        <v/>
      </c>
      <c r="I89" s="7" t="str">
        <f>IF(Plantilla_SCAN_EQ3_COUNT_2[[#This Row],[ID MATERIAL]]="","","Segundo Conteo")</f>
        <v/>
      </c>
    </row>
    <row r="90" spans="1:9" s="7" customFormat="1" ht="15" x14ac:dyDescent="0.2">
      <c r="A90" s="7" t="str">
        <f>IF(Plantilla_SCAN_EQ3_COUNT_2[[#This Row],[ID MATERIAL]]="","",SIGN(Plantilla_SCAN_EQ3_COUNT_2[[#This Row],[Cantidad]])+A89)</f>
        <v/>
      </c>
      <c r="B90" s="21" t="str">
        <f>IF(Plantilla_SCAN_EQ3_COUNT_2[[#This Row],[ID MATERIAL]]="","",B89)</f>
        <v/>
      </c>
      <c r="C90" s="21"/>
      <c r="D90" s="21"/>
      <c r="E90" s="7" t="str">
        <f>IF(Plantilla_SCAN_EQ3_COUNT_2[[#This Row],[ID MATERIAL]]="","",VLOOKUP(Plantilla_SCAN_EQ3_COUNT_2[[#This Row],[ID MATERIAL]],INVENTARIO!$A:$D,2,FALSE))</f>
        <v/>
      </c>
      <c r="F90" s="7" t="str">
        <f>IF(Plantilla_SCAN_EQ3_COUNT_2[[#This Row],[ID MATERIAL]]="","",IF(Plantilla_SCAN_EQ3_COUNT_2[[#This Row],[No. Empaques]]="",1,Plantilla_SCAN_EQ3_COUNT_2[[#This Row],[No. Empaques]]*1))</f>
        <v/>
      </c>
      <c r="G90" s="7" t="str">
        <f>IF(Plantilla_SCAN_EQ3_COUNT_2[[#This Row],[ID MATERIAL]]="","","PZ")</f>
        <v/>
      </c>
      <c r="H90" s="7" t="str">
        <f>IF(Plantilla_SCAN_EQ3_COUNT_2[[#This Row],[ID MATERIAL]]="","",$B$13)</f>
        <v/>
      </c>
      <c r="I90" s="7" t="str">
        <f>IF(Plantilla_SCAN_EQ3_COUNT_2[[#This Row],[ID MATERIAL]]="","","Segundo Conteo")</f>
        <v/>
      </c>
    </row>
    <row r="91" spans="1:9" s="7" customFormat="1" ht="15" x14ac:dyDescent="0.2">
      <c r="A91" s="7" t="str">
        <f>IF(Plantilla_SCAN_EQ3_COUNT_2[[#This Row],[ID MATERIAL]]="","",SIGN(Plantilla_SCAN_EQ3_COUNT_2[[#This Row],[Cantidad]])+A90)</f>
        <v/>
      </c>
      <c r="B91" s="21" t="str">
        <f>IF(Plantilla_SCAN_EQ3_COUNT_2[[#This Row],[ID MATERIAL]]="","",B90)</f>
        <v/>
      </c>
      <c r="C91" s="21"/>
      <c r="D91" s="21"/>
      <c r="E91" s="7" t="str">
        <f>IF(Plantilla_SCAN_EQ3_COUNT_2[[#This Row],[ID MATERIAL]]="","",VLOOKUP(Plantilla_SCAN_EQ3_COUNT_2[[#This Row],[ID MATERIAL]],INVENTARIO!$A:$D,2,FALSE))</f>
        <v/>
      </c>
      <c r="F91" s="7" t="str">
        <f>IF(Plantilla_SCAN_EQ3_COUNT_2[[#This Row],[ID MATERIAL]]="","",IF(Plantilla_SCAN_EQ3_COUNT_2[[#This Row],[No. Empaques]]="",1,Plantilla_SCAN_EQ3_COUNT_2[[#This Row],[No. Empaques]]*1))</f>
        <v/>
      </c>
      <c r="G91" s="7" t="str">
        <f>IF(Plantilla_SCAN_EQ3_COUNT_2[[#This Row],[ID MATERIAL]]="","","PZ")</f>
        <v/>
      </c>
      <c r="H91" s="7" t="str">
        <f>IF(Plantilla_SCAN_EQ3_COUNT_2[[#This Row],[ID MATERIAL]]="","",$B$13)</f>
        <v/>
      </c>
      <c r="I91" s="7" t="str">
        <f>IF(Plantilla_SCAN_EQ3_COUNT_2[[#This Row],[ID MATERIAL]]="","","Segundo Conteo")</f>
        <v/>
      </c>
    </row>
    <row r="92" spans="1:9" s="7" customFormat="1" ht="15" x14ac:dyDescent="0.2">
      <c r="A92" s="7" t="str">
        <f>IF(Plantilla_SCAN_EQ3_COUNT_2[[#This Row],[ID MATERIAL]]="","",SIGN(Plantilla_SCAN_EQ3_COUNT_2[[#This Row],[Cantidad]])+A91)</f>
        <v/>
      </c>
      <c r="B92" s="21" t="str">
        <f>IF(Plantilla_SCAN_EQ3_COUNT_2[[#This Row],[ID MATERIAL]]="","",B91)</f>
        <v/>
      </c>
      <c r="C92" s="21"/>
      <c r="D92" s="21"/>
      <c r="E92" s="7" t="str">
        <f>IF(Plantilla_SCAN_EQ3_COUNT_2[[#This Row],[ID MATERIAL]]="","",VLOOKUP(Plantilla_SCAN_EQ3_COUNT_2[[#This Row],[ID MATERIAL]],INVENTARIO!$A:$D,2,FALSE))</f>
        <v/>
      </c>
      <c r="F92" s="7" t="str">
        <f>IF(Plantilla_SCAN_EQ3_COUNT_2[[#This Row],[ID MATERIAL]]="","",IF(Plantilla_SCAN_EQ3_COUNT_2[[#This Row],[No. Empaques]]="",1,Plantilla_SCAN_EQ3_COUNT_2[[#This Row],[No. Empaques]]*1))</f>
        <v/>
      </c>
      <c r="G92" s="7" t="str">
        <f>IF(Plantilla_SCAN_EQ3_COUNT_2[[#This Row],[ID MATERIAL]]="","","PZ")</f>
        <v/>
      </c>
      <c r="H92" s="7" t="str">
        <f>IF(Plantilla_SCAN_EQ3_COUNT_2[[#This Row],[ID MATERIAL]]="","",$B$13)</f>
        <v/>
      </c>
      <c r="I92" s="7" t="str">
        <f>IF(Plantilla_SCAN_EQ3_COUNT_2[[#This Row],[ID MATERIAL]]="","","Segundo Conteo")</f>
        <v/>
      </c>
    </row>
    <row r="93" spans="1:9" s="7" customFormat="1" ht="15" x14ac:dyDescent="0.2">
      <c r="A93" s="7" t="str">
        <f>IF(Plantilla_SCAN_EQ3_COUNT_2[[#This Row],[ID MATERIAL]]="","",SIGN(Plantilla_SCAN_EQ3_COUNT_2[[#This Row],[Cantidad]])+A92)</f>
        <v/>
      </c>
      <c r="B93" s="21" t="str">
        <f>IF(Plantilla_SCAN_EQ3_COUNT_2[[#This Row],[ID MATERIAL]]="","",B92)</f>
        <v/>
      </c>
      <c r="C93" s="21"/>
      <c r="D93" s="21"/>
      <c r="E93" s="7" t="str">
        <f>IF(Plantilla_SCAN_EQ3_COUNT_2[[#This Row],[ID MATERIAL]]="","",VLOOKUP(Plantilla_SCAN_EQ3_COUNT_2[[#This Row],[ID MATERIAL]],INVENTARIO!$A:$D,2,FALSE))</f>
        <v/>
      </c>
      <c r="F93" s="7" t="str">
        <f>IF(Plantilla_SCAN_EQ3_COUNT_2[[#This Row],[ID MATERIAL]]="","",IF(Plantilla_SCAN_EQ3_COUNT_2[[#This Row],[No. Empaques]]="",1,Plantilla_SCAN_EQ3_COUNT_2[[#This Row],[No. Empaques]]*1))</f>
        <v/>
      </c>
      <c r="G93" s="7" t="str">
        <f>IF(Plantilla_SCAN_EQ3_COUNT_2[[#This Row],[ID MATERIAL]]="","","PZ")</f>
        <v/>
      </c>
      <c r="H93" s="7" t="str">
        <f>IF(Plantilla_SCAN_EQ3_COUNT_2[[#This Row],[ID MATERIAL]]="","",$B$13)</f>
        <v/>
      </c>
      <c r="I93" s="7" t="str">
        <f>IF(Plantilla_SCAN_EQ3_COUNT_2[[#This Row],[ID MATERIAL]]="","","Segundo Conteo")</f>
        <v/>
      </c>
    </row>
    <row r="94" spans="1:9" s="7" customFormat="1" ht="15" x14ac:dyDescent="0.2">
      <c r="A94" s="7" t="str">
        <f>IF(Plantilla_SCAN_EQ3_COUNT_2[[#This Row],[ID MATERIAL]]="","",SIGN(Plantilla_SCAN_EQ3_COUNT_2[[#This Row],[Cantidad]])+A93)</f>
        <v/>
      </c>
      <c r="B94" s="21" t="str">
        <f>IF(Plantilla_SCAN_EQ3_COUNT_2[[#This Row],[ID MATERIAL]]="","",B93)</f>
        <v/>
      </c>
      <c r="C94" s="21"/>
      <c r="D94" s="21"/>
      <c r="E94" s="7" t="str">
        <f>IF(Plantilla_SCAN_EQ3_COUNT_2[[#This Row],[ID MATERIAL]]="","",VLOOKUP(Plantilla_SCAN_EQ3_COUNT_2[[#This Row],[ID MATERIAL]],INVENTARIO!$A:$D,2,FALSE))</f>
        <v/>
      </c>
      <c r="F94" s="7" t="str">
        <f>IF(Plantilla_SCAN_EQ3_COUNT_2[[#This Row],[ID MATERIAL]]="","",IF(Plantilla_SCAN_EQ3_COUNT_2[[#This Row],[No. Empaques]]="",1,Plantilla_SCAN_EQ3_COUNT_2[[#This Row],[No. Empaques]]*1))</f>
        <v/>
      </c>
      <c r="G94" s="7" t="str">
        <f>IF(Plantilla_SCAN_EQ3_COUNT_2[[#This Row],[ID MATERIAL]]="","","PZ")</f>
        <v/>
      </c>
      <c r="H94" s="7" t="str">
        <f>IF(Plantilla_SCAN_EQ3_COUNT_2[[#This Row],[ID MATERIAL]]="","",$B$13)</f>
        <v/>
      </c>
      <c r="I94" s="7" t="str">
        <f>IF(Plantilla_SCAN_EQ3_COUNT_2[[#This Row],[ID MATERIAL]]="","","Segundo Conteo")</f>
        <v/>
      </c>
    </row>
    <row r="95" spans="1:9" s="7" customFormat="1" ht="15" x14ac:dyDescent="0.2">
      <c r="A95" s="7" t="str">
        <f>IF(Plantilla_SCAN_EQ3_COUNT_2[[#This Row],[ID MATERIAL]]="","",SIGN(Plantilla_SCAN_EQ3_COUNT_2[[#This Row],[Cantidad]])+A94)</f>
        <v/>
      </c>
      <c r="B95" s="21" t="str">
        <f>IF(Plantilla_SCAN_EQ3_COUNT_2[[#This Row],[ID MATERIAL]]="","",B94)</f>
        <v/>
      </c>
      <c r="C95" s="21"/>
      <c r="D95" s="21"/>
      <c r="E95" s="7" t="str">
        <f>IF(Plantilla_SCAN_EQ3_COUNT_2[[#This Row],[ID MATERIAL]]="","",VLOOKUP(Plantilla_SCAN_EQ3_COUNT_2[[#This Row],[ID MATERIAL]],INVENTARIO!$A:$D,2,FALSE))</f>
        <v/>
      </c>
      <c r="F95" s="7" t="str">
        <f>IF(Plantilla_SCAN_EQ3_COUNT_2[[#This Row],[ID MATERIAL]]="","",IF(Plantilla_SCAN_EQ3_COUNT_2[[#This Row],[No. Empaques]]="",1,Plantilla_SCAN_EQ3_COUNT_2[[#This Row],[No. Empaques]]*1))</f>
        <v/>
      </c>
      <c r="G95" s="7" t="str">
        <f>IF(Plantilla_SCAN_EQ3_COUNT_2[[#This Row],[ID MATERIAL]]="","","PZ")</f>
        <v/>
      </c>
      <c r="H95" s="7" t="str">
        <f>IF(Plantilla_SCAN_EQ3_COUNT_2[[#This Row],[ID MATERIAL]]="","",$B$13)</f>
        <v/>
      </c>
      <c r="I95" s="7" t="str">
        <f>IF(Plantilla_SCAN_EQ3_COUNT_2[[#This Row],[ID MATERIAL]]="","","Segundo Conteo")</f>
        <v/>
      </c>
    </row>
    <row r="96" spans="1:9" s="7" customFormat="1" ht="15" x14ac:dyDescent="0.2">
      <c r="A96" s="7" t="str">
        <f>IF(Plantilla_SCAN_EQ3_COUNT_2[[#This Row],[ID MATERIAL]]="","",SIGN(Plantilla_SCAN_EQ3_COUNT_2[[#This Row],[Cantidad]])+A95)</f>
        <v/>
      </c>
      <c r="B96" s="21" t="str">
        <f>IF(Plantilla_SCAN_EQ3_COUNT_2[[#This Row],[ID MATERIAL]]="","",B95)</f>
        <v/>
      </c>
      <c r="C96" s="21"/>
      <c r="D96" s="21"/>
      <c r="E96" s="7" t="str">
        <f>IF(Plantilla_SCAN_EQ3_COUNT_2[[#This Row],[ID MATERIAL]]="","",VLOOKUP(Plantilla_SCAN_EQ3_COUNT_2[[#This Row],[ID MATERIAL]],INVENTARIO!$A:$D,2,FALSE))</f>
        <v/>
      </c>
      <c r="F96" s="7" t="str">
        <f>IF(Plantilla_SCAN_EQ3_COUNT_2[[#This Row],[ID MATERIAL]]="","",IF(Plantilla_SCAN_EQ3_COUNT_2[[#This Row],[No. Empaques]]="",1,Plantilla_SCAN_EQ3_COUNT_2[[#This Row],[No. Empaques]]*1))</f>
        <v/>
      </c>
      <c r="G96" s="7" t="str">
        <f>IF(Plantilla_SCAN_EQ3_COUNT_2[[#This Row],[ID MATERIAL]]="","","PZ")</f>
        <v/>
      </c>
      <c r="H96" s="7" t="str">
        <f>IF(Plantilla_SCAN_EQ3_COUNT_2[[#This Row],[ID MATERIAL]]="","",$B$13)</f>
        <v/>
      </c>
      <c r="I96" s="7" t="str">
        <f>IF(Plantilla_SCAN_EQ3_COUNT_2[[#This Row],[ID MATERIAL]]="","","Segundo Conteo")</f>
        <v/>
      </c>
    </row>
    <row r="97" spans="1:9" s="7" customFormat="1" ht="15" x14ac:dyDescent="0.2">
      <c r="A97" s="7" t="str">
        <f>IF(Plantilla_SCAN_EQ3_COUNT_2[[#This Row],[ID MATERIAL]]="","",SIGN(Plantilla_SCAN_EQ3_COUNT_2[[#This Row],[Cantidad]])+A96)</f>
        <v/>
      </c>
      <c r="B97" s="21" t="str">
        <f>IF(Plantilla_SCAN_EQ3_COUNT_2[[#This Row],[ID MATERIAL]]="","",B96)</f>
        <v/>
      </c>
      <c r="C97" s="21"/>
      <c r="D97" s="21"/>
      <c r="E97" s="7" t="str">
        <f>IF(Plantilla_SCAN_EQ3_COUNT_2[[#This Row],[ID MATERIAL]]="","",VLOOKUP(Plantilla_SCAN_EQ3_COUNT_2[[#This Row],[ID MATERIAL]],INVENTARIO!$A:$D,2,FALSE))</f>
        <v/>
      </c>
      <c r="F97" s="7" t="str">
        <f>IF(Plantilla_SCAN_EQ3_COUNT_2[[#This Row],[ID MATERIAL]]="","",IF(Plantilla_SCAN_EQ3_COUNT_2[[#This Row],[No. Empaques]]="",1,Plantilla_SCAN_EQ3_COUNT_2[[#This Row],[No. Empaques]]*1))</f>
        <v/>
      </c>
      <c r="G97" s="7" t="str">
        <f>IF(Plantilla_SCAN_EQ3_COUNT_2[[#This Row],[ID MATERIAL]]="","","PZ")</f>
        <v/>
      </c>
      <c r="H97" s="7" t="str">
        <f>IF(Plantilla_SCAN_EQ3_COUNT_2[[#This Row],[ID MATERIAL]]="","",$B$13)</f>
        <v/>
      </c>
      <c r="I97" s="7" t="str">
        <f>IF(Plantilla_SCAN_EQ3_COUNT_2[[#This Row],[ID MATERIAL]]="","","Segundo Conteo")</f>
        <v/>
      </c>
    </row>
    <row r="98" spans="1:9" s="7" customFormat="1" ht="15" x14ac:dyDescent="0.2">
      <c r="A98" s="7" t="str">
        <f>IF(Plantilla_SCAN_EQ3_COUNT_2[[#This Row],[ID MATERIAL]]="","",SIGN(Plantilla_SCAN_EQ3_COUNT_2[[#This Row],[Cantidad]])+A97)</f>
        <v/>
      </c>
      <c r="B98" s="21" t="str">
        <f>IF(Plantilla_SCAN_EQ3_COUNT_2[[#This Row],[ID MATERIAL]]="","",B97)</f>
        <v/>
      </c>
      <c r="C98" s="21"/>
      <c r="D98" s="21"/>
      <c r="E98" s="7" t="str">
        <f>IF(Plantilla_SCAN_EQ3_COUNT_2[[#This Row],[ID MATERIAL]]="","",VLOOKUP(Plantilla_SCAN_EQ3_COUNT_2[[#This Row],[ID MATERIAL]],INVENTARIO!$A:$D,2,FALSE))</f>
        <v/>
      </c>
      <c r="F98" s="7" t="str">
        <f>IF(Plantilla_SCAN_EQ3_COUNT_2[[#This Row],[ID MATERIAL]]="","",IF(Plantilla_SCAN_EQ3_COUNT_2[[#This Row],[No. Empaques]]="",1,Plantilla_SCAN_EQ3_COUNT_2[[#This Row],[No. Empaques]]*1))</f>
        <v/>
      </c>
      <c r="G98" s="7" t="str">
        <f>IF(Plantilla_SCAN_EQ3_COUNT_2[[#This Row],[ID MATERIAL]]="","","PZ")</f>
        <v/>
      </c>
      <c r="H98" s="7" t="str">
        <f>IF(Plantilla_SCAN_EQ3_COUNT_2[[#This Row],[ID MATERIAL]]="","",$B$13)</f>
        <v/>
      </c>
      <c r="I98" s="7" t="str">
        <f>IF(Plantilla_SCAN_EQ3_COUNT_2[[#This Row],[ID MATERIAL]]="","","Segundo Conteo")</f>
        <v/>
      </c>
    </row>
    <row r="99" spans="1:9" s="7" customFormat="1" ht="15" x14ac:dyDescent="0.2">
      <c r="A99" s="7" t="str">
        <f>IF(Plantilla_SCAN_EQ3_COUNT_2[[#This Row],[ID MATERIAL]]="","",SIGN(Plantilla_SCAN_EQ3_COUNT_2[[#This Row],[Cantidad]])+A98)</f>
        <v/>
      </c>
      <c r="B99" s="21" t="str">
        <f>IF(Plantilla_SCAN_EQ3_COUNT_2[[#This Row],[ID MATERIAL]]="","",B98)</f>
        <v/>
      </c>
      <c r="C99" s="21"/>
      <c r="D99" s="21"/>
      <c r="E99" s="7" t="str">
        <f>IF(Plantilla_SCAN_EQ3_COUNT_2[[#This Row],[ID MATERIAL]]="","",VLOOKUP(Plantilla_SCAN_EQ3_COUNT_2[[#This Row],[ID MATERIAL]],INVENTARIO!$A:$D,2,FALSE))</f>
        <v/>
      </c>
      <c r="F99" s="7" t="str">
        <f>IF(Plantilla_SCAN_EQ3_COUNT_2[[#This Row],[ID MATERIAL]]="","",IF(Plantilla_SCAN_EQ3_COUNT_2[[#This Row],[No. Empaques]]="",1,Plantilla_SCAN_EQ3_COUNT_2[[#This Row],[No. Empaques]]*1))</f>
        <v/>
      </c>
      <c r="G99" s="7" t="str">
        <f>IF(Plantilla_SCAN_EQ3_COUNT_2[[#This Row],[ID MATERIAL]]="","","PZ")</f>
        <v/>
      </c>
      <c r="H99" s="7" t="str">
        <f>IF(Plantilla_SCAN_EQ3_COUNT_2[[#This Row],[ID MATERIAL]]="","",$B$13)</f>
        <v/>
      </c>
      <c r="I99" s="7" t="str">
        <f>IF(Plantilla_SCAN_EQ3_COUNT_2[[#This Row],[ID MATERIAL]]="","","Segundo Conteo")</f>
        <v/>
      </c>
    </row>
    <row r="100" spans="1:9" s="7" customFormat="1" ht="15" x14ac:dyDescent="0.2">
      <c r="A100" s="7" t="str">
        <f>IF(Plantilla_SCAN_EQ3_COUNT_2[[#This Row],[ID MATERIAL]]="","",SIGN(Plantilla_SCAN_EQ3_COUNT_2[[#This Row],[Cantidad]])+A99)</f>
        <v/>
      </c>
      <c r="B100" s="21" t="str">
        <f>IF(Plantilla_SCAN_EQ3_COUNT_2[[#This Row],[ID MATERIAL]]="","",B99)</f>
        <v/>
      </c>
      <c r="C100" s="21"/>
      <c r="D100" s="21"/>
      <c r="E100" s="7" t="str">
        <f>IF(Plantilla_SCAN_EQ3_COUNT_2[[#This Row],[ID MATERIAL]]="","",VLOOKUP(Plantilla_SCAN_EQ3_COUNT_2[[#This Row],[ID MATERIAL]],INVENTARIO!$A:$D,2,FALSE))</f>
        <v/>
      </c>
      <c r="F100" s="7" t="str">
        <f>IF(Plantilla_SCAN_EQ3_COUNT_2[[#This Row],[ID MATERIAL]]="","",IF(Plantilla_SCAN_EQ3_COUNT_2[[#This Row],[No. Empaques]]="",1,Plantilla_SCAN_EQ3_COUNT_2[[#This Row],[No. Empaques]]*1))</f>
        <v/>
      </c>
      <c r="G100" s="7" t="str">
        <f>IF(Plantilla_SCAN_EQ3_COUNT_2[[#This Row],[ID MATERIAL]]="","","PZ")</f>
        <v/>
      </c>
      <c r="H100" s="7" t="str">
        <f>IF(Plantilla_SCAN_EQ3_COUNT_2[[#This Row],[ID MATERIAL]]="","",$B$13)</f>
        <v/>
      </c>
      <c r="I100" s="7" t="str">
        <f>IF(Plantilla_SCAN_EQ3_COUNT_2[[#This Row],[ID MATERIAL]]="","","Segundo Conteo")</f>
        <v/>
      </c>
    </row>
    <row r="101" spans="1:9" s="7" customFormat="1" ht="15" x14ac:dyDescent="0.2">
      <c r="A101" s="7" t="str">
        <f>IF(Plantilla_SCAN_EQ3_COUNT_2[[#This Row],[ID MATERIAL]]="","",SIGN(Plantilla_SCAN_EQ3_COUNT_2[[#This Row],[Cantidad]])+A100)</f>
        <v/>
      </c>
      <c r="B101" s="21" t="str">
        <f>IF(Plantilla_SCAN_EQ3_COUNT_2[[#This Row],[ID MATERIAL]]="","",B100)</f>
        <v/>
      </c>
      <c r="C101" s="21"/>
      <c r="D101" s="21"/>
      <c r="E101" s="7" t="str">
        <f>IF(Plantilla_SCAN_EQ3_COUNT_2[[#This Row],[ID MATERIAL]]="","",VLOOKUP(Plantilla_SCAN_EQ3_COUNT_2[[#This Row],[ID MATERIAL]],INVENTARIO!$A:$D,2,FALSE))</f>
        <v/>
      </c>
      <c r="F101" s="7" t="str">
        <f>IF(Plantilla_SCAN_EQ3_COUNT_2[[#This Row],[ID MATERIAL]]="","",IF(Plantilla_SCAN_EQ3_COUNT_2[[#This Row],[No. Empaques]]="",1,Plantilla_SCAN_EQ3_COUNT_2[[#This Row],[No. Empaques]]*1))</f>
        <v/>
      </c>
      <c r="G101" s="7" t="str">
        <f>IF(Plantilla_SCAN_EQ3_COUNT_2[[#This Row],[ID MATERIAL]]="","","PZ")</f>
        <v/>
      </c>
      <c r="H101" s="7" t="str">
        <f>IF(Plantilla_SCAN_EQ3_COUNT_2[[#This Row],[ID MATERIAL]]="","",$B$13)</f>
        <v/>
      </c>
      <c r="I101" s="7" t="str">
        <f>IF(Plantilla_SCAN_EQ3_COUNT_2[[#This Row],[ID MATERIAL]]="","","Segundo Conteo")</f>
        <v/>
      </c>
    </row>
    <row r="102" spans="1:9" s="7" customFormat="1" ht="15" x14ac:dyDescent="0.2">
      <c r="A102" s="7" t="str">
        <f>IF(Plantilla_SCAN_EQ3_COUNT_2[[#This Row],[ID MATERIAL]]="","",SIGN(Plantilla_SCAN_EQ3_COUNT_2[[#This Row],[Cantidad]])+A101)</f>
        <v/>
      </c>
      <c r="B102" s="21" t="str">
        <f>IF(Plantilla_SCAN_EQ3_COUNT_2[[#This Row],[ID MATERIAL]]="","",B101)</f>
        <v/>
      </c>
      <c r="C102" s="21"/>
      <c r="D102" s="21"/>
      <c r="E102" s="7" t="str">
        <f>IF(Plantilla_SCAN_EQ3_COUNT_2[[#This Row],[ID MATERIAL]]="","",VLOOKUP(Plantilla_SCAN_EQ3_COUNT_2[[#This Row],[ID MATERIAL]],INVENTARIO!$A:$D,2,FALSE))</f>
        <v/>
      </c>
      <c r="F102" s="7" t="str">
        <f>IF(Plantilla_SCAN_EQ3_COUNT_2[[#This Row],[ID MATERIAL]]="","",IF(Plantilla_SCAN_EQ3_COUNT_2[[#This Row],[No. Empaques]]="",1,Plantilla_SCAN_EQ3_COUNT_2[[#This Row],[No. Empaques]]*1))</f>
        <v/>
      </c>
      <c r="G102" s="7" t="str">
        <f>IF(Plantilla_SCAN_EQ3_COUNT_2[[#This Row],[ID MATERIAL]]="","","PZ")</f>
        <v/>
      </c>
      <c r="H102" s="7" t="str">
        <f>IF(Plantilla_SCAN_EQ3_COUNT_2[[#This Row],[ID MATERIAL]]="","",$B$13)</f>
        <v/>
      </c>
      <c r="I102" s="7" t="str">
        <f>IF(Plantilla_SCAN_EQ3_COUNT_2[[#This Row],[ID MATERIAL]]="","","Segundo Conteo")</f>
        <v/>
      </c>
    </row>
    <row r="103" spans="1:9" s="7" customFormat="1" ht="15" x14ac:dyDescent="0.2">
      <c r="A103" s="7" t="str">
        <f>IF(Plantilla_SCAN_EQ3_COUNT_2[[#This Row],[ID MATERIAL]]="","",SIGN(Plantilla_SCAN_EQ3_COUNT_2[[#This Row],[Cantidad]])+A102)</f>
        <v/>
      </c>
      <c r="B103" s="21" t="str">
        <f>IF(Plantilla_SCAN_EQ3_COUNT_2[[#This Row],[ID MATERIAL]]="","",B102)</f>
        <v/>
      </c>
      <c r="C103" s="21"/>
      <c r="D103" s="21"/>
      <c r="E103" s="7" t="str">
        <f>IF(Plantilla_SCAN_EQ3_COUNT_2[[#This Row],[ID MATERIAL]]="","",VLOOKUP(Plantilla_SCAN_EQ3_COUNT_2[[#This Row],[ID MATERIAL]],INVENTARIO!$A:$D,2,FALSE))</f>
        <v/>
      </c>
      <c r="F103" s="7" t="str">
        <f>IF(Plantilla_SCAN_EQ3_COUNT_2[[#This Row],[ID MATERIAL]]="","",IF(Plantilla_SCAN_EQ3_COUNT_2[[#This Row],[No. Empaques]]="",1,Plantilla_SCAN_EQ3_COUNT_2[[#This Row],[No. Empaques]]*1))</f>
        <v/>
      </c>
      <c r="G103" s="7" t="str">
        <f>IF(Plantilla_SCAN_EQ3_COUNT_2[[#This Row],[ID MATERIAL]]="","","PZ")</f>
        <v/>
      </c>
      <c r="H103" s="7" t="str">
        <f>IF(Plantilla_SCAN_EQ3_COUNT_2[[#This Row],[ID MATERIAL]]="","",$B$13)</f>
        <v/>
      </c>
      <c r="I103" s="7" t="str">
        <f>IF(Plantilla_SCAN_EQ3_COUNT_2[[#This Row],[ID MATERIAL]]="","","Segundo Conteo")</f>
        <v/>
      </c>
    </row>
    <row r="104" spans="1:9" s="7" customFormat="1" ht="15" x14ac:dyDescent="0.2">
      <c r="A104" s="7" t="str">
        <f>IF(Plantilla_SCAN_EQ3_COUNT_2[[#This Row],[ID MATERIAL]]="","",SIGN(Plantilla_SCAN_EQ3_COUNT_2[[#This Row],[Cantidad]])+A103)</f>
        <v/>
      </c>
      <c r="B104" s="21" t="str">
        <f>IF(Plantilla_SCAN_EQ3_COUNT_2[[#This Row],[ID MATERIAL]]="","",B103)</f>
        <v/>
      </c>
      <c r="C104" s="21"/>
      <c r="D104" s="21"/>
      <c r="E104" s="7" t="str">
        <f>IF(Plantilla_SCAN_EQ3_COUNT_2[[#This Row],[ID MATERIAL]]="","",VLOOKUP(Plantilla_SCAN_EQ3_COUNT_2[[#This Row],[ID MATERIAL]],INVENTARIO!$A:$D,2,FALSE))</f>
        <v/>
      </c>
      <c r="F104" s="7" t="str">
        <f>IF(Plantilla_SCAN_EQ3_COUNT_2[[#This Row],[ID MATERIAL]]="","",IF(Plantilla_SCAN_EQ3_COUNT_2[[#This Row],[No. Empaques]]="",1,Plantilla_SCAN_EQ3_COUNT_2[[#This Row],[No. Empaques]]*1))</f>
        <v/>
      </c>
      <c r="G104" s="7" t="str">
        <f>IF(Plantilla_SCAN_EQ3_COUNT_2[[#This Row],[ID MATERIAL]]="","","PZ")</f>
        <v/>
      </c>
      <c r="H104" s="7" t="str">
        <f>IF(Plantilla_SCAN_EQ3_COUNT_2[[#This Row],[ID MATERIAL]]="","",$B$13)</f>
        <v/>
      </c>
      <c r="I104" s="7" t="str">
        <f>IF(Plantilla_SCAN_EQ3_COUNT_2[[#This Row],[ID MATERIAL]]="","","Segundo Conteo")</f>
        <v/>
      </c>
    </row>
    <row r="105" spans="1:9" s="7" customFormat="1" ht="15" x14ac:dyDescent="0.2">
      <c r="A105" s="7" t="str">
        <f>IF(Plantilla_SCAN_EQ3_COUNT_2[[#This Row],[ID MATERIAL]]="","",SIGN(Plantilla_SCAN_EQ3_COUNT_2[[#This Row],[Cantidad]])+A104)</f>
        <v/>
      </c>
      <c r="B105" s="21" t="str">
        <f>IF(Plantilla_SCAN_EQ3_COUNT_2[[#This Row],[ID MATERIAL]]="","",B104)</f>
        <v/>
      </c>
      <c r="C105" s="21"/>
      <c r="D105" s="21"/>
      <c r="E105" s="7" t="str">
        <f>IF(Plantilla_SCAN_EQ3_COUNT_2[[#This Row],[ID MATERIAL]]="","",VLOOKUP(Plantilla_SCAN_EQ3_COUNT_2[[#This Row],[ID MATERIAL]],INVENTARIO!$A:$D,2,FALSE))</f>
        <v/>
      </c>
      <c r="F105" s="7" t="str">
        <f>IF(Plantilla_SCAN_EQ3_COUNT_2[[#This Row],[ID MATERIAL]]="","",IF(Plantilla_SCAN_EQ3_COUNT_2[[#This Row],[No. Empaques]]="",1,Plantilla_SCAN_EQ3_COUNT_2[[#This Row],[No. Empaques]]*1))</f>
        <v/>
      </c>
      <c r="G105" s="7" t="str">
        <f>IF(Plantilla_SCAN_EQ3_COUNT_2[[#This Row],[ID MATERIAL]]="","","PZ")</f>
        <v/>
      </c>
      <c r="H105" s="7" t="str">
        <f>IF(Plantilla_SCAN_EQ3_COUNT_2[[#This Row],[ID MATERIAL]]="","",$B$13)</f>
        <v/>
      </c>
      <c r="I105" s="7" t="str">
        <f>IF(Plantilla_SCAN_EQ3_COUNT_2[[#This Row],[ID MATERIAL]]="","","Segundo Conteo")</f>
        <v/>
      </c>
    </row>
    <row r="106" spans="1:9" s="7" customFormat="1" ht="15" x14ac:dyDescent="0.2">
      <c r="A106" s="7" t="str">
        <f>IF(Plantilla_SCAN_EQ3_COUNT_2[[#This Row],[ID MATERIAL]]="","",SIGN(Plantilla_SCAN_EQ3_COUNT_2[[#This Row],[Cantidad]])+A105)</f>
        <v/>
      </c>
      <c r="B106" s="21" t="str">
        <f>IF(Plantilla_SCAN_EQ3_COUNT_2[[#This Row],[ID MATERIAL]]="","",B105)</f>
        <v/>
      </c>
      <c r="C106" s="21"/>
      <c r="D106" s="21"/>
      <c r="E106" s="7" t="str">
        <f>IF(Plantilla_SCAN_EQ3_COUNT_2[[#This Row],[ID MATERIAL]]="","",VLOOKUP(Plantilla_SCAN_EQ3_COUNT_2[[#This Row],[ID MATERIAL]],INVENTARIO!$A:$D,2,FALSE))</f>
        <v/>
      </c>
      <c r="F106" s="7" t="str">
        <f>IF(Plantilla_SCAN_EQ3_COUNT_2[[#This Row],[ID MATERIAL]]="","",IF(Plantilla_SCAN_EQ3_COUNT_2[[#This Row],[No. Empaques]]="",1,Plantilla_SCAN_EQ3_COUNT_2[[#This Row],[No. Empaques]]*1))</f>
        <v/>
      </c>
      <c r="G106" s="7" t="str">
        <f>IF(Plantilla_SCAN_EQ3_COUNT_2[[#This Row],[ID MATERIAL]]="","","PZ")</f>
        <v/>
      </c>
      <c r="H106" s="7" t="str">
        <f>IF(Plantilla_SCAN_EQ3_COUNT_2[[#This Row],[ID MATERIAL]]="","",$B$13)</f>
        <v/>
      </c>
      <c r="I106" s="7" t="str">
        <f>IF(Plantilla_SCAN_EQ3_COUNT_2[[#This Row],[ID MATERIAL]]="","","Segundo Conteo")</f>
        <v/>
      </c>
    </row>
    <row r="107" spans="1:9" s="7" customFormat="1" ht="15" x14ac:dyDescent="0.2">
      <c r="A107" s="7" t="str">
        <f>IF(Plantilla_SCAN_EQ3_COUNT_2[[#This Row],[ID MATERIAL]]="","",SIGN(Plantilla_SCAN_EQ3_COUNT_2[[#This Row],[Cantidad]])+A106)</f>
        <v/>
      </c>
      <c r="B107" s="21" t="str">
        <f>IF(Plantilla_SCAN_EQ3_COUNT_2[[#This Row],[ID MATERIAL]]="","",B106)</f>
        <v/>
      </c>
      <c r="C107" s="21"/>
      <c r="D107" s="21"/>
      <c r="E107" s="7" t="str">
        <f>IF(Plantilla_SCAN_EQ3_COUNT_2[[#This Row],[ID MATERIAL]]="","",VLOOKUP(Plantilla_SCAN_EQ3_COUNT_2[[#This Row],[ID MATERIAL]],INVENTARIO!$A:$D,2,FALSE))</f>
        <v/>
      </c>
      <c r="F107" s="7" t="str">
        <f>IF(Plantilla_SCAN_EQ3_COUNT_2[[#This Row],[ID MATERIAL]]="","",IF(Plantilla_SCAN_EQ3_COUNT_2[[#This Row],[No. Empaques]]="",1,Plantilla_SCAN_EQ3_COUNT_2[[#This Row],[No. Empaques]]*1))</f>
        <v/>
      </c>
      <c r="G107" s="7" t="str">
        <f>IF(Plantilla_SCAN_EQ3_COUNT_2[[#This Row],[ID MATERIAL]]="","","PZ")</f>
        <v/>
      </c>
      <c r="H107" s="7" t="str">
        <f>IF(Plantilla_SCAN_EQ3_COUNT_2[[#This Row],[ID MATERIAL]]="","",$B$13)</f>
        <v/>
      </c>
      <c r="I107" s="7" t="str">
        <f>IF(Plantilla_SCAN_EQ3_COUNT_2[[#This Row],[ID MATERIAL]]="","","Segundo Conteo")</f>
        <v/>
      </c>
    </row>
    <row r="108" spans="1:9" s="7" customFormat="1" ht="15" x14ac:dyDescent="0.2">
      <c r="A108" s="7" t="str">
        <f>IF(Plantilla_SCAN_EQ3_COUNT_2[[#This Row],[ID MATERIAL]]="","",SIGN(Plantilla_SCAN_EQ3_COUNT_2[[#This Row],[Cantidad]])+A107)</f>
        <v/>
      </c>
      <c r="B108" s="21" t="str">
        <f>IF(Plantilla_SCAN_EQ3_COUNT_2[[#This Row],[ID MATERIAL]]="","",B107)</f>
        <v/>
      </c>
      <c r="C108" s="21"/>
      <c r="D108" s="21"/>
      <c r="E108" s="7" t="str">
        <f>IF(Plantilla_SCAN_EQ3_COUNT_2[[#This Row],[ID MATERIAL]]="","",VLOOKUP(Plantilla_SCAN_EQ3_COUNT_2[[#This Row],[ID MATERIAL]],INVENTARIO!$A:$D,2,FALSE))</f>
        <v/>
      </c>
      <c r="F108" s="7" t="str">
        <f>IF(Plantilla_SCAN_EQ3_COUNT_2[[#This Row],[ID MATERIAL]]="","",IF(Plantilla_SCAN_EQ3_COUNT_2[[#This Row],[No. Empaques]]="",1,Plantilla_SCAN_EQ3_COUNT_2[[#This Row],[No. Empaques]]*1))</f>
        <v/>
      </c>
      <c r="G108" s="7" t="str">
        <f>IF(Plantilla_SCAN_EQ3_COUNT_2[[#This Row],[ID MATERIAL]]="","","PZ")</f>
        <v/>
      </c>
      <c r="H108" s="7" t="str">
        <f>IF(Plantilla_SCAN_EQ3_COUNT_2[[#This Row],[ID MATERIAL]]="","",$B$13)</f>
        <v/>
      </c>
      <c r="I108" s="7" t="str">
        <f>IF(Plantilla_SCAN_EQ3_COUNT_2[[#This Row],[ID MATERIAL]]="","","Segundo Conteo")</f>
        <v/>
      </c>
    </row>
    <row r="109" spans="1:9" s="7" customFormat="1" ht="15" x14ac:dyDescent="0.2">
      <c r="A109" s="7" t="str">
        <f>IF(Plantilla_SCAN_EQ3_COUNT_2[[#This Row],[ID MATERIAL]]="","",SIGN(Plantilla_SCAN_EQ3_COUNT_2[[#This Row],[Cantidad]])+A108)</f>
        <v/>
      </c>
      <c r="B109" s="21" t="str">
        <f>IF(Plantilla_SCAN_EQ3_COUNT_2[[#This Row],[ID MATERIAL]]="","",B108)</f>
        <v/>
      </c>
      <c r="C109" s="21"/>
      <c r="D109" s="21"/>
      <c r="E109" s="7" t="str">
        <f>IF(Plantilla_SCAN_EQ3_COUNT_2[[#This Row],[ID MATERIAL]]="","",VLOOKUP(Plantilla_SCAN_EQ3_COUNT_2[[#This Row],[ID MATERIAL]],INVENTARIO!$A:$D,2,FALSE))</f>
        <v/>
      </c>
      <c r="F109" s="7" t="str">
        <f>IF(Plantilla_SCAN_EQ3_COUNT_2[[#This Row],[ID MATERIAL]]="","",IF(Plantilla_SCAN_EQ3_COUNT_2[[#This Row],[No. Empaques]]="",1,Plantilla_SCAN_EQ3_COUNT_2[[#This Row],[No. Empaques]]*1))</f>
        <v/>
      </c>
      <c r="G109" s="7" t="str">
        <f>IF(Plantilla_SCAN_EQ3_COUNT_2[[#This Row],[ID MATERIAL]]="","","PZ")</f>
        <v/>
      </c>
      <c r="H109" s="7" t="str">
        <f>IF(Plantilla_SCAN_EQ3_COUNT_2[[#This Row],[ID MATERIAL]]="","",$B$13)</f>
        <v/>
      </c>
      <c r="I109" s="7" t="str">
        <f>IF(Plantilla_SCAN_EQ3_COUNT_2[[#This Row],[ID MATERIAL]]="","","Segundo Conteo")</f>
        <v/>
      </c>
    </row>
    <row r="110" spans="1:9" s="7" customFormat="1" ht="15" x14ac:dyDescent="0.2">
      <c r="A110" s="7" t="str">
        <f>IF(Plantilla_SCAN_EQ3_COUNT_2[[#This Row],[ID MATERIAL]]="","",SIGN(Plantilla_SCAN_EQ3_COUNT_2[[#This Row],[Cantidad]])+A109)</f>
        <v/>
      </c>
      <c r="B110" s="21" t="str">
        <f>IF(Plantilla_SCAN_EQ3_COUNT_2[[#This Row],[ID MATERIAL]]="","",B109)</f>
        <v/>
      </c>
      <c r="C110" s="21"/>
      <c r="D110" s="21"/>
      <c r="E110" s="7" t="str">
        <f>IF(Plantilla_SCAN_EQ3_COUNT_2[[#This Row],[ID MATERIAL]]="","",VLOOKUP(Plantilla_SCAN_EQ3_COUNT_2[[#This Row],[ID MATERIAL]],INVENTARIO!$A:$D,2,FALSE))</f>
        <v/>
      </c>
      <c r="F110" s="7" t="str">
        <f>IF(Plantilla_SCAN_EQ3_COUNT_2[[#This Row],[ID MATERIAL]]="","",IF(Plantilla_SCAN_EQ3_COUNT_2[[#This Row],[No. Empaques]]="",1,Plantilla_SCAN_EQ3_COUNT_2[[#This Row],[No. Empaques]]*1))</f>
        <v/>
      </c>
      <c r="G110" s="7" t="str">
        <f>IF(Plantilla_SCAN_EQ3_COUNT_2[[#This Row],[ID MATERIAL]]="","","PZ")</f>
        <v/>
      </c>
      <c r="H110" s="7" t="str">
        <f>IF(Plantilla_SCAN_EQ3_COUNT_2[[#This Row],[ID MATERIAL]]="","",$B$13)</f>
        <v/>
      </c>
      <c r="I110" s="7" t="str">
        <f>IF(Plantilla_SCAN_EQ3_COUNT_2[[#This Row],[ID MATERIAL]]="","","Segundo Conteo")</f>
        <v/>
      </c>
    </row>
    <row r="111" spans="1:9" s="7" customFormat="1" ht="15" x14ac:dyDescent="0.2">
      <c r="A111" s="7" t="str">
        <f>IF(Plantilla_SCAN_EQ3_COUNT_2[[#This Row],[ID MATERIAL]]="","",SIGN(Plantilla_SCAN_EQ3_COUNT_2[[#This Row],[Cantidad]])+A110)</f>
        <v/>
      </c>
      <c r="B111" s="21" t="str">
        <f>IF(Plantilla_SCAN_EQ3_COUNT_2[[#This Row],[ID MATERIAL]]="","",B110)</f>
        <v/>
      </c>
      <c r="C111" s="21"/>
      <c r="D111" s="21"/>
      <c r="E111" s="7" t="str">
        <f>IF(Plantilla_SCAN_EQ3_COUNT_2[[#This Row],[ID MATERIAL]]="","",VLOOKUP(Plantilla_SCAN_EQ3_COUNT_2[[#This Row],[ID MATERIAL]],INVENTARIO!$A:$D,2,FALSE))</f>
        <v/>
      </c>
      <c r="F111" s="7" t="str">
        <f>IF(Plantilla_SCAN_EQ3_COUNT_2[[#This Row],[ID MATERIAL]]="","",IF(Plantilla_SCAN_EQ3_COUNT_2[[#This Row],[No. Empaques]]="",1,Plantilla_SCAN_EQ3_COUNT_2[[#This Row],[No. Empaques]]*1))</f>
        <v/>
      </c>
      <c r="G111" s="7" t="str">
        <f>IF(Plantilla_SCAN_EQ3_COUNT_2[[#This Row],[ID MATERIAL]]="","","PZ")</f>
        <v/>
      </c>
      <c r="H111" s="7" t="str">
        <f>IF(Plantilla_SCAN_EQ3_COUNT_2[[#This Row],[ID MATERIAL]]="","",$B$13)</f>
        <v/>
      </c>
      <c r="I111" s="7" t="str">
        <f>IF(Plantilla_SCAN_EQ3_COUNT_2[[#This Row],[ID MATERIAL]]="","","Segundo Conteo")</f>
        <v/>
      </c>
    </row>
    <row r="112" spans="1:9" s="7" customFormat="1" ht="15" x14ac:dyDescent="0.2">
      <c r="A112" s="7" t="str">
        <f>IF(Plantilla_SCAN_EQ3_COUNT_2[[#This Row],[ID MATERIAL]]="","",SIGN(Plantilla_SCAN_EQ3_COUNT_2[[#This Row],[Cantidad]])+A111)</f>
        <v/>
      </c>
      <c r="B112" s="21" t="str">
        <f>IF(Plantilla_SCAN_EQ3_COUNT_2[[#This Row],[ID MATERIAL]]="","",B111)</f>
        <v/>
      </c>
      <c r="C112" s="21"/>
      <c r="D112" s="21"/>
      <c r="E112" s="7" t="str">
        <f>IF(Plantilla_SCAN_EQ3_COUNT_2[[#This Row],[ID MATERIAL]]="","",VLOOKUP(Plantilla_SCAN_EQ3_COUNT_2[[#This Row],[ID MATERIAL]],INVENTARIO!$A:$D,2,FALSE))</f>
        <v/>
      </c>
      <c r="F112" s="7" t="str">
        <f>IF(Plantilla_SCAN_EQ3_COUNT_2[[#This Row],[ID MATERIAL]]="","",IF(Plantilla_SCAN_EQ3_COUNT_2[[#This Row],[No. Empaques]]="",1,Plantilla_SCAN_EQ3_COUNT_2[[#This Row],[No. Empaques]]*1))</f>
        <v/>
      </c>
      <c r="G112" s="7" t="str">
        <f>IF(Plantilla_SCAN_EQ3_COUNT_2[[#This Row],[ID MATERIAL]]="","","PZ")</f>
        <v/>
      </c>
      <c r="H112" s="7" t="str">
        <f>IF(Plantilla_SCAN_EQ3_COUNT_2[[#This Row],[ID MATERIAL]]="","",$B$13)</f>
        <v/>
      </c>
      <c r="I112" s="7" t="str">
        <f>IF(Plantilla_SCAN_EQ3_COUNT_2[[#This Row],[ID MATERIAL]]="","","Segundo Conteo")</f>
        <v/>
      </c>
    </row>
    <row r="113" spans="1:9" s="7" customFormat="1" ht="15" x14ac:dyDescent="0.2">
      <c r="A113" s="7" t="str">
        <f>IF(Plantilla_SCAN_EQ3_COUNT_2[[#This Row],[ID MATERIAL]]="","",SIGN(Plantilla_SCAN_EQ3_COUNT_2[[#This Row],[Cantidad]])+A112)</f>
        <v/>
      </c>
      <c r="B113" s="21" t="str">
        <f>IF(Plantilla_SCAN_EQ3_COUNT_2[[#This Row],[ID MATERIAL]]="","",B112)</f>
        <v/>
      </c>
      <c r="C113" s="21"/>
      <c r="D113" s="21"/>
      <c r="E113" s="7" t="str">
        <f>IF(Plantilla_SCAN_EQ3_COUNT_2[[#This Row],[ID MATERIAL]]="","",VLOOKUP(Plantilla_SCAN_EQ3_COUNT_2[[#This Row],[ID MATERIAL]],INVENTARIO!$A:$D,2,FALSE))</f>
        <v/>
      </c>
      <c r="F113" s="7" t="str">
        <f>IF(Plantilla_SCAN_EQ3_COUNT_2[[#This Row],[ID MATERIAL]]="","",IF(Plantilla_SCAN_EQ3_COUNT_2[[#This Row],[No. Empaques]]="",1,Plantilla_SCAN_EQ3_COUNT_2[[#This Row],[No. Empaques]]*1))</f>
        <v/>
      </c>
      <c r="G113" s="7" t="str">
        <f>IF(Plantilla_SCAN_EQ3_COUNT_2[[#This Row],[ID MATERIAL]]="","","PZ")</f>
        <v/>
      </c>
      <c r="H113" s="7" t="str">
        <f>IF(Plantilla_SCAN_EQ3_COUNT_2[[#This Row],[ID MATERIAL]]="","",$B$13)</f>
        <v/>
      </c>
      <c r="I113" s="7" t="str">
        <f>IF(Plantilla_SCAN_EQ3_COUNT_2[[#This Row],[ID MATERIAL]]="","","Segundo Conteo")</f>
        <v/>
      </c>
    </row>
    <row r="114" spans="1:9" s="7" customFormat="1" ht="15" x14ac:dyDescent="0.2">
      <c r="A114" s="7" t="str">
        <f>IF(Plantilla_SCAN_EQ3_COUNT_2[[#This Row],[ID MATERIAL]]="","",SIGN(Plantilla_SCAN_EQ3_COUNT_2[[#This Row],[Cantidad]])+A113)</f>
        <v/>
      </c>
      <c r="B114" s="21" t="str">
        <f>IF(Plantilla_SCAN_EQ3_COUNT_2[[#This Row],[ID MATERIAL]]="","",B113)</f>
        <v/>
      </c>
      <c r="C114" s="21"/>
      <c r="D114" s="21"/>
      <c r="E114" s="7" t="str">
        <f>IF(Plantilla_SCAN_EQ3_COUNT_2[[#This Row],[ID MATERIAL]]="","",VLOOKUP(Plantilla_SCAN_EQ3_COUNT_2[[#This Row],[ID MATERIAL]],INVENTARIO!$A:$D,2,FALSE))</f>
        <v/>
      </c>
      <c r="F114" s="7" t="str">
        <f>IF(Plantilla_SCAN_EQ3_COUNT_2[[#This Row],[ID MATERIAL]]="","",IF(Plantilla_SCAN_EQ3_COUNT_2[[#This Row],[No. Empaques]]="",1,Plantilla_SCAN_EQ3_COUNT_2[[#This Row],[No. Empaques]]*1))</f>
        <v/>
      </c>
      <c r="G114" s="7" t="str">
        <f>IF(Plantilla_SCAN_EQ3_COUNT_2[[#This Row],[ID MATERIAL]]="","","PZ")</f>
        <v/>
      </c>
      <c r="H114" s="7" t="str">
        <f>IF(Plantilla_SCAN_EQ3_COUNT_2[[#This Row],[ID MATERIAL]]="","",$B$13)</f>
        <v/>
      </c>
      <c r="I114" s="7" t="str">
        <f>IF(Plantilla_SCAN_EQ3_COUNT_2[[#This Row],[ID MATERIAL]]="","","Segundo Conteo")</f>
        <v/>
      </c>
    </row>
    <row r="115" spans="1:9" s="7" customFormat="1" ht="15" x14ac:dyDescent="0.2">
      <c r="A115" s="7" t="str">
        <f>IF(Plantilla_SCAN_EQ3_COUNT_2[[#This Row],[ID MATERIAL]]="","",SIGN(Plantilla_SCAN_EQ3_COUNT_2[[#This Row],[Cantidad]])+A114)</f>
        <v/>
      </c>
      <c r="B115" s="21" t="str">
        <f>IF(Plantilla_SCAN_EQ3_COUNT_2[[#This Row],[ID MATERIAL]]="","",B114)</f>
        <v/>
      </c>
      <c r="C115" s="21"/>
      <c r="D115" s="21"/>
      <c r="E115" s="7" t="str">
        <f>IF(Plantilla_SCAN_EQ3_COUNT_2[[#This Row],[ID MATERIAL]]="","",VLOOKUP(Plantilla_SCAN_EQ3_COUNT_2[[#This Row],[ID MATERIAL]],INVENTARIO!$A:$D,2,FALSE))</f>
        <v/>
      </c>
      <c r="F115" s="7" t="str">
        <f>IF(Plantilla_SCAN_EQ3_COUNT_2[[#This Row],[ID MATERIAL]]="","",IF(Plantilla_SCAN_EQ3_COUNT_2[[#This Row],[No. Empaques]]="",1,Plantilla_SCAN_EQ3_COUNT_2[[#This Row],[No. Empaques]]*1))</f>
        <v/>
      </c>
      <c r="G115" s="7" t="str">
        <f>IF(Plantilla_SCAN_EQ3_COUNT_2[[#This Row],[ID MATERIAL]]="","","PZ")</f>
        <v/>
      </c>
      <c r="H115" s="7" t="str">
        <f>IF(Plantilla_SCAN_EQ3_COUNT_2[[#This Row],[ID MATERIAL]]="","",$B$13)</f>
        <v/>
      </c>
      <c r="I115" s="7" t="str">
        <f>IF(Plantilla_SCAN_EQ3_COUNT_2[[#This Row],[ID MATERIAL]]="","","Segundo Conteo")</f>
        <v/>
      </c>
    </row>
    <row r="116" spans="1:9" s="7" customFormat="1" ht="15" x14ac:dyDescent="0.2">
      <c r="A116" s="7" t="str">
        <f>IF(Plantilla_SCAN_EQ3_COUNT_2[[#This Row],[ID MATERIAL]]="","",SIGN(Plantilla_SCAN_EQ3_COUNT_2[[#This Row],[Cantidad]])+A115)</f>
        <v/>
      </c>
      <c r="B116" s="21" t="str">
        <f>IF(Plantilla_SCAN_EQ3_COUNT_2[[#This Row],[ID MATERIAL]]="","",B115)</f>
        <v/>
      </c>
      <c r="C116" s="21"/>
      <c r="D116" s="21"/>
      <c r="E116" s="7" t="str">
        <f>IF(Plantilla_SCAN_EQ3_COUNT_2[[#This Row],[ID MATERIAL]]="","",VLOOKUP(Plantilla_SCAN_EQ3_COUNT_2[[#This Row],[ID MATERIAL]],INVENTARIO!$A:$D,2,FALSE))</f>
        <v/>
      </c>
      <c r="F116" s="7" t="str">
        <f>IF(Plantilla_SCAN_EQ3_COUNT_2[[#This Row],[ID MATERIAL]]="","",IF(Plantilla_SCAN_EQ3_COUNT_2[[#This Row],[No. Empaques]]="",1,Plantilla_SCAN_EQ3_COUNT_2[[#This Row],[No. Empaques]]*1))</f>
        <v/>
      </c>
      <c r="G116" s="7" t="str">
        <f>IF(Plantilla_SCAN_EQ3_COUNT_2[[#This Row],[ID MATERIAL]]="","","PZ")</f>
        <v/>
      </c>
      <c r="H116" s="7" t="str">
        <f>IF(Plantilla_SCAN_EQ3_COUNT_2[[#This Row],[ID MATERIAL]]="","",$B$13)</f>
        <v/>
      </c>
      <c r="I116" s="7" t="str">
        <f>IF(Plantilla_SCAN_EQ3_COUNT_2[[#This Row],[ID MATERIAL]]="","","Segundo Conteo")</f>
        <v/>
      </c>
    </row>
    <row r="117" spans="1:9" s="7" customFormat="1" ht="15" x14ac:dyDescent="0.2">
      <c r="A117" s="7" t="str">
        <f>IF(Plantilla_SCAN_EQ3_COUNT_2[[#This Row],[ID MATERIAL]]="","",SIGN(Plantilla_SCAN_EQ3_COUNT_2[[#This Row],[Cantidad]])+A116)</f>
        <v/>
      </c>
      <c r="B117" s="21" t="str">
        <f>IF(Plantilla_SCAN_EQ3_COUNT_2[[#This Row],[ID MATERIAL]]="","",B116)</f>
        <v/>
      </c>
      <c r="C117" s="21"/>
      <c r="D117" s="21"/>
      <c r="E117" s="7" t="str">
        <f>IF(Plantilla_SCAN_EQ3_COUNT_2[[#This Row],[ID MATERIAL]]="","",VLOOKUP(Plantilla_SCAN_EQ3_COUNT_2[[#This Row],[ID MATERIAL]],INVENTARIO!$A:$D,2,FALSE))</f>
        <v/>
      </c>
      <c r="F117" s="7" t="str">
        <f>IF(Plantilla_SCAN_EQ3_COUNT_2[[#This Row],[ID MATERIAL]]="","",IF(Plantilla_SCAN_EQ3_COUNT_2[[#This Row],[No. Empaques]]="",1,Plantilla_SCAN_EQ3_COUNT_2[[#This Row],[No. Empaques]]*1))</f>
        <v/>
      </c>
      <c r="G117" s="7" t="str">
        <f>IF(Plantilla_SCAN_EQ3_COUNT_2[[#This Row],[ID MATERIAL]]="","","PZ")</f>
        <v/>
      </c>
      <c r="H117" s="7" t="str">
        <f>IF(Plantilla_SCAN_EQ3_COUNT_2[[#This Row],[ID MATERIAL]]="","",$B$13)</f>
        <v/>
      </c>
      <c r="I117" s="7" t="str">
        <f>IF(Plantilla_SCAN_EQ3_COUNT_2[[#This Row],[ID MATERIAL]]="","","Segundo Conteo")</f>
        <v/>
      </c>
    </row>
    <row r="118" spans="1:9" s="7" customFormat="1" ht="15" x14ac:dyDescent="0.2">
      <c r="A118" s="7" t="str">
        <f>IF(Plantilla_SCAN_EQ3_COUNT_2[[#This Row],[ID MATERIAL]]="","",SIGN(Plantilla_SCAN_EQ3_COUNT_2[[#This Row],[Cantidad]])+A117)</f>
        <v/>
      </c>
      <c r="B118" s="21" t="str">
        <f>IF(Plantilla_SCAN_EQ3_COUNT_2[[#This Row],[ID MATERIAL]]="","",B117)</f>
        <v/>
      </c>
      <c r="C118" s="21"/>
      <c r="D118" s="21"/>
      <c r="E118" s="7" t="str">
        <f>IF(Plantilla_SCAN_EQ3_COUNT_2[[#This Row],[ID MATERIAL]]="","",VLOOKUP(Plantilla_SCAN_EQ3_COUNT_2[[#This Row],[ID MATERIAL]],INVENTARIO!$A:$D,2,FALSE))</f>
        <v/>
      </c>
      <c r="F118" s="7" t="str">
        <f>IF(Plantilla_SCAN_EQ3_COUNT_2[[#This Row],[ID MATERIAL]]="","",IF(Plantilla_SCAN_EQ3_COUNT_2[[#This Row],[No. Empaques]]="",1,Plantilla_SCAN_EQ3_COUNT_2[[#This Row],[No. Empaques]]*1))</f>
        <v/>
      </c>
      <c r="G118" s="7" t="str">
        <f>IF(Plantilla_SCAN_EQ3_COUNT_2[[#This Row],[ID MATERIAL]]="","","PZ")</f>
        <v/>
      </c>
      <c r="H118" s="7" t="str">
        <f>IF(Plantilla_SCAN_EQ3_COUNT_2[[#This Row],[ID MATERIAL]]="","",$B$13)</f>
        <v/>
      </c>
      <c r="I118" s="7" t="str">
        <f>IF(Plantilla_SCAN_EQ3_COUNT_2[[#This Row],[ID MATERIAL]]="","","Segundo Conteo")</f>
        <v/>
      </c>
    </row>
    <row r="119" spans="1:9" s="7" customFormat="1" ht="15" x14ac:dyDescent="0.2">
      <c r="A119" s="7" t="str">
        <f>IF(Plantilla_SCAN_EQ3_COUNT_2[[#This Row],[ID MATERIAL]]="","",SIGN(Plantilla_SCAN_EQ3_COUNT_2[[#This Row],[Cantidad]])+A118)</f>
        <v/>
      </c>
      <c r="B119" s="21" t="str">
        <f>IF(Plantilla_SCAN_EQ3_COUNT_2[[#This Row],[ID MATERIAL]]="","",B118)</f>
        <v/>
      </c>
      <c r="C119" s="21"/>
      <c r="D119" s="21"/>
      <c r="E119" s="7" t="str">
        <f>IF(Plantilla_SCAN_EQ3_COUNT_2[[#This Row],[ID MATERIAL]]="","",VLOOKUP(Plantilla_SCAN_EQ3_COUNT_2[[#This Row],[ID MATERIAL]],INVENTARIO!$A:$D,2,FALSE))</f>
        <v/>
      </c>
      <c r="F119" s="7" t="str">
        <f>IF(Plantilla_SCAN_EQ3_COUNT_2[[#This Row],[ID MATERIAL]]="","",IF(Plantilla_SCAN_EQ3_COUNT_2[[#This Row],[No. Empaques]]="",1,Plantilla_SCAN_EQ3_COUNT_2[[#This Row],[No. Empaques]]*1))</f>
        <v/>
      </c>
      <c r="G119" s="7" t="str">
        <f>IF(Plantilla_SCAN_EQ3_COUNT_2[[#This Row],[ID MATERIAL]]="","","PZ")</f>
        <v/>
      </c>
      <c r="H119" s="7" t="str">
        <f>IF(Plantilla_SCAN_EQ3_COUNT_2[[#This Row],[ID MATERIAL]]="","",$B$13)</f>
        <v/>
      </c>
      <c r="I119" s="7" t="str">
        <f>IF(Plantilla_SCAN_EQ3_COUNT_2[[#This Row],[ID MATERIAL]]="","","Segundo Conteo")</f>
        <v/>
      </c>
    </row>
    <row r="120" spans="1:9" s="7" customFormat="1" ht="15" x14ac:dyDescent="0.2">
      <c r="A120" s="7" t="str">
        <f>IF(Plantilla_SCAN_EQ3_COUNT_2[[#This Row],[ID MATERIAL]]="","",SIGN(Plantilla_SCAN_EQ3_COUNT_2[[#This Row],[Cantidad]])+A119)</f>
        <v/>
      </c>
      <c r="B120" s="21" t="str">
        <f>IF(Plantilla_SCAN_EQ3_COUNT_2[[#This Row],[ID MATERIAL]]="","",B119)</f>
        <v/>
      </c>
      <c r="C120" s="21"/>
      <c r="D120" s="21"/>
      <c r="E120" s="7" t="str">
        <f>IF(Plantilla_SCAN_EQ3_COUNT_2[[#This Row],[ID MATERIAL]]="","",VLOOKUP(Plantilla_SCAN_EQ3_COUNT_2[[#This Row],[ID MATERIAL]],INVENTARIO!$A:$D,2,FALSE))</f>
        <v/>
      </c>
      <c r="F120" s="7" t="str">
        <f>IF(Plantilla_SCAN_EQ3_COUNT_2[[#This Row],[ID MATERIAL]]="","",IF(Plantilla_SCAN_EQ3_COUNT_2[[#This Row],[No. Empaques]]="",1,Plantilla_SCAN_EQ3_COUNT_2[[#This Row],[No. Empaques]]*1))</f>
        <v/>
      </c>
      <c r="G120" s="7" t="str">
        <f>IF(Plantilla_SCAN_EQ3_COUNT_2[[#This Row],[ID MATERIAL]]="","","PZ")</f>
        <v/>
      </c>
      <c r="H120" s="7" t="str">
        <f>IF(Plantilla_SCAN_EQ3_COUNT_2[[#This Row],[ID MATERIAL]]="","",$B$13)</f>
        <v/>
      </c>
      <c r="I120" s="7" t="str">
        <f>IF(Plantilla_SCAN_EQ3_COUNT_2[[#This Row],[ID MATERIAL]]="","","Segundo Conteo")</f>
        <v/>
      </c>
    </row>
    <row r="121" spans="1:9" s="7" customFormat="1" ht="15" x14ac:dyDescent="0.2">
      <c r="A121" s="7" t="str">
        <f>IF(Plantilla_SCAN_EQ3_COUNT_2[[#This Row],[ID MATERIAL]]="","",SIGN(Plantilla_SCAN_EQ3_COUNT_2[[#This Row],[Cantidad]])+A120)</f>
        <v/>
      </c>
      <c r="B121" s="21" t="str">
        <f>IF(Plantilla_SCAN_EQ3_COUNT_2[[#This Row],[ID MATERIAL]]="","",B120)</f>
        <v/>
      </c>
      <c r="C121" s="21"/>
      <c r="D121" s="21"/>
      <c r="E121" s="7" t="str">
        <f>IF(Plantilla_SCAN_EQ3_COUNT_2[[#This Row],[ID MATERIAL]]="","",VLOOKUP(Plantilla_SCAN_EQ3_COUNT_2[[#This Row],[ID MATERIAL]],INVENTARIO!$A:$D,2,FALSE))</f>
        <v/>
      </c>
      <c r="F121" s="7" t="str">
        <f>IF(Plantilla_SCAN_EQ3_COUNT_2[[#This Row],[ID MATERIAL]]="","",IF(Plantilla_SCAN_EQ3_COUNT_2[[#This Row],[No. Empaques]]="",1,Plantilla_SCAN_EQ3_COUNT_2[[#This Row],[No. Empaques]]*1))</f>
        <v/>
      </c>
      <c r="G121" s="7" t="str">
        <f>IF(Plantilla_SCAN_EQ3_COUNT_2[[#This Row],[ID MATERIAL]]="","","PZ")</f>
        <v/>
      </c>
      <c r="H121" s="7" t="str">
        <f>IF(Plantilla_SCAN_EQ3_COUNT_2[[#This Row],[ID MATERIAL]]="","",$B$13)</f>
        <v/>
      </c>
      <c r="I121" s="7" t="str">
        <f>IF(Plantilla_SCAN_EQ3_COUNT_2[[#This Row],[ID MATERIAL]]="","","Segundo Conteo")</f>
        <v/>
      </c>
    </row>
    <row r="122" spans="1:9" s="7" customFormat="1" ht="15" x14ac:dyDescent="0.2">
      <c r="A122" s="7" t="str">
        <f>IF(Plantilla_SCAN_EQ3_COUNT_2[[#This Row],[ID MATERIAL]]="","",SIGN(Plantilla_SCAN_EQ3_COUNT_2[[#This Row],[Cantidad]])+A121)</f>
        <v/>
      </c>
      <c r="B122" s="21" t="str">
        <f>IF(Plantilla_SCAN_EQ3_COUNT_2[[#This Row],[ID MATERIAL]]="","",B121)</f>
        <v/>
      </c>
      <c r="C122" s="21"/>
      <c r="D122" s="21"/>
      <c r="E122" s="7" t="str">
        <f>IF(Plantilla_SCAN_EQ3_COUNT_2[[#This Row],[ID MATERIAL]]="","",VLOOKUP(Plantilla_SCAN_EQ3_COUNT_2[[#This Row],[ID MATERIAL]],INVENTARIO!$A:$D,2,FALSE))</f>
        <v/>
      </c>
      <c r="F122" s="7" t="str">
        <f>IF(Plantilla_SCAN_EQ3_COUNT_2[[#This Row],[ID MATERIAL]]="","",IF(Plantilla_SCAN_EQ3_COUNT_2[[#This Row],[No. Empaques]]="",1,Plantilla_SCAN_EQ3_COUNT_2[[#This Row],[No. Empaques]]*1))</f>
        <v/>
      </c>
      <c r="G122" s="7" t="str">
        <f>IF(Plantilla_SCAN_EQ3_COUNT_2[[#This Row],[ID MATERIAL]]="","","PZ")</f>
        <v/>
      </c>
      <c r="H122" s="7" t="str">
        <f>IF(Plantilla_SCAN_EQ3_COUNT_2[[#This Row],[ID MATERIAL]]="","",$B$13)</f>
        <v/>
      </c>
      <c r="I122" s="7" t="str">
        <f>IF(Plantilla_SCAN_EQ3_COUNT_2[[#This Row],[ID MATERIAL]]="","","Segundo Conteo")</f>
        <v/>
      </c>
    </row>
    <row r="123" spans="1:9" s="7" customFormat="1" ht="15" x14ac:dyDescent="0.2">
      <c r="A123" s="7" t="str">
        <f>IF(Plantilla_SCAN_EQ3_COUNT_2[[#This Row],[ID MATERIAL]]="","",SIGN(Plantilla_SCAN_EQ3_COUNT_2[[#This Row],[Cantidad]])+A122)</f>
        <v/>
      </c>
      <c r="B123" s="21" t="str">
        <f>IF(Plantilla_SCAN_EQ3_COUNT_2[[#This Row],[ID MATERIAL]]="","",B122)</f>
        <v/>
      </c>
      <c r="C123" s="21"/>
      <c r="D123" s="21"/>
      <c r="E123" s="7" t="str">
        <f>IF(Plantilla_SCAN_EQ3_COUNT_2[[#This Row],[ID MATERIAL]]="","",VLOOKUP(Plantilla_SCAN_EQ3_COUNT_2[[#This Row],[ID MATERIAL]],INVENTARIO!$A:$D,2,FALSE))</f>
        <v/>
      </c>
      <c r="F123" s="7" t="str">
        <f>IF(Plantilla_SCAN_EQ3_COUNT_2[[#This Row],[ID MATERIAL]]="","",IF(Plantilla_SCAN_EQ3_COUNT_2[[#This Row],[No. Empaques]]="",1,Plantilla_SCAN_EQ3_COUNT_2[[#This Row],[No. Empaques]]*1))</f>
        <v/>
      </c>
      <c r="G123" s="7" t="str">
        <f>IF(Plantilla_SCAN_EQ3_COUNT_2[[#This Row],[ID MATERIAL]]="","","PZ")</f>
        <v/>
      </c>
      <c r="H123" s="7" t="str">
        <f>IF(Plantilla_SCAN_EQ3_COUNT_2[[#This Row],[ID MATERIAL]]="","",$B$13)</f>
        <v/>
      </c>
      <c r="I123" s="7" t="str">
        <f>IF(Plantilla_SCAN_EQ3_COUNT_2[[#This Row],[ID MATERIAL]]="","","Segundo Conteo")</f>
        <v/>
      </c>
    </row>
    <row r="124" spans="1:9" s="7" customFormat="1" ht="15" x14ac:dyDescent="0.2">
      <c r="A124" s="7" t="str">
        <f>IF(Plantilla_SCAN_EQ3_COUNT_2[[#This Row],[ID MATERIAL]]="","",SIGN(Plantilla_SCAN_EQ3_COUNT_2[[#This Row],[Cantidad]])+A123)</f>
        <v/>
      </c>
      <c r="B124" s="21" t="str">
        <f>IF(Plantilla_SCAN_EQ3_COUNT_2[[#This Row],[ID MATERIAL]]="","",B123)</f>
        <v/>
      </c>
      <c r="C124" s="21"/>
      <c r="D124" s="21"/>
      <c r="E124" s="7" t="str">
        <f>IF(Plantilla_SCAN_EQ3_COUNT_2[[#This Row],[ID MATERIAL]]="","",VLOOKUP(Plantilla_SCAN_EQ3_COUNT_2[[#This Row],[ID MATERIAL]],INVENTARIO!$A:$D,2,FALSE))</f>
        <v/>
      </c>
      <c r="F124" s="7" t="str">
        <f>IF(Plantilla_SCAN_EQ3_COUNT_2[[#This Row],[ID MATERIAL]]="","",IF(Plantilla_SCAN_EQ3_COUNT_2[[#This Row],[No. Empaques]]="",1,Plantilla_SCAN_EQ3_COUNT_2[[#This Row],[No. Empaques]]*1))</f>
        <v/>
      </c>
      <c r="G124" s="7" t="str">
        <f>IF(Plantilla_SCAN_EQ3_COUNT_2[[#This Row],[ID MATERIAL]]="","","PZ")</f>
        <v/>
      </c>
      <c r="H124" s="7" t="str">
        <f>IF(Plantilla_SCAN_EQ3_COUNT_2[[#This Row],[ID MATERIAL]]="","",$B$13)</f>
        <v/>
      </c>
      <c r="I124" s="7" t="str">
        <f>IF(Plantilla_SCAN_EQ3_COUNT_2[[#This Row],[ID MATERIAL]]="","","Segundo Conteo")</f>
        <v/>
      </c>
    </row>
    <row r="125" spans="1:9" s="7" customFormat="1" ht="15" x14ac:dyDescent="0.2">
      <c r="A125" s="7" t="str">
        <f>IF(Plantilla_SCAN_EQ3_COUNT_2[[#This Row],[ID MATERIAL]]="","",SIGN(Plantilla_SCAN_EQ3_COUNT_2[[#This Row],[Cantidad]])+A124)</f>
        <v/>
      </c>
      <c r="B125" s="21" t="str">
        <f>IF(Plantilla_SCAN_EQ3_COUNT_2[[#This Row],[ID MATERIAL]]="","",B124)</f>
        <v/>
      </c>
      <c r="C125" s="21"/>
      <c r="D125" s="21"/>
      <c r="E125" s="7" t="str">
        <f>IF(Plantilla_SCAN_EQ3_COUNT_2[[#This Row],[ID MATERIAL]]="","",VLOOKUP(Plantilla_SCAN_EQ3_COUNT_2[[#This Row],[ID MATERIAL]],INVENTARIO!$A:$D,2,FALSE))</f>
        <v/>
      </c>
      <c r="F125" s="7" t="str">
        <f>IF(Plantilla_SCAN_EQ3_COUNT_2[[#This Row],[ID MATERIAL]]="","",IF(Plantilla_SCAN_EQ3_COUNT_2[[#This Row],[No. Empaques]]="",1,Plantilla_SCAN_EQ3_COUNT_2[[#This Row],[No. Empaques]]*1))</f>
        <v/>
      </c>
      <c r="G125" s="7" t="str">
        <f>IF(Plantilla_SCAN_EQ3_COUNT_2[[#This Row],[ID MATERIAL]]="","","PZ")</f>
        <v/>
      </c>
      <c r="H125" s="7" t="str">
        <f>IF(Plantilla_SCAN_EQ3_COUNT_2[[#This Row],[ID MATERIAL]]="","",$B$13)</f>
        <v/>
      </c>
      <c r="I125" s="7" t="str">
        <f>IF(Plantilla_SCAN_EQ3_COUNT_2[[#This Row],[ID MATERIAL]]="","","Segundo Conteo")</f>
        <v/>
      </c>
    </row>
    <row r="126" spans="1:9" s="7" customFormat="1" ht="15" x14ac:dyDescent="0.2">
      <c r="A126" s="7" t="str">
        <f>IF(Plantilla_SCAN_EQ3_COUNT_2[[#This Row],[ID MATERIAL]]="","",SIGN(Plantilla_SCAN_EQ3_COUNT_2[[#This Row],[Cantidad]])+A125)</f>
        <v/>
      </c>
      <c r="B126" s="21" t="str">
        <f>IF(Plantilla_SCAN_EQ3_COUNT_2[[#This Row],[ID MATERIAL]]="","",B125)</f>
        <v/>
      </c>
      <c r="C126" s="21"/>
      <c r="D126" s="21"/>
      <c r="E126" s="7" t="str">
        <f>IF(Plantilla_SCAN_EQ3_COUNT_2[[#This Row],[ID MATERIAL]]="","",VLOOKUP(Plantilla_SCAN_EQ3_COUNT_2[[#This Row],[ID MATERIAL]],INVENTARIO!$A:$D,2,FALSE))</f>
        <v/>
      </c>
      <c r="F126" s="7" t="str">
        <f>IF(Plantilla_SCAN_EQ3_COUNT_2[[#This Row],[ID MATERIAL]]="","",IF(Plantilla_SCAN_EQ3_COUNT_2[[#This Row],[No. Empaques]]="",1,Plantilla_SCAN_EQ3_COUNT_2[[#This Row],[No. Empaques]]*1))</f>
        <v/>
      </c>
      <c r="G126" s="7" t="str">
        <f>IF(Plantilla_SCAN_EQ3_COUNT_2[[#This Row],[ID MATERIAL]]="","","PZ")</f>
        <v/>
      </c>
      <c r="H126" s="7" t="str">
        <f>IF(Plantilla_SCAN_EQ3_COUNT_2[[#This Row],[ID MATERIAL]]="","",$B$13)</f>
        <v/>
      </c>
      <c r="I126" s="7" t="str">
        <f>IF(Plantilla_SCAN_EQ3_COUNT_2[[#This Row],[ID MATERIAL]]="","","Segundo Conteo")</f>
        <v/>
      </c>
    </row>
    <row r="127" spans="1:9" s="7" customFormat="1" ht="15" x14ac:dyDescent="0.2">
      <c r="A127" s="7" t="str">
        <f>IF(Plantilla_SCAN_EQ3_COUNT_2[[#This Row],[ID MATERIAL]]="","",SIGN(Plantilla_SCAN_EQ3_COUNT_2[[#This Row],[Cantidad]])+A126)</f>
        <v/>
      </c>
      <c r="B127" s="21" t="str">
        <f>IF(Plantilla_SCAN_EQ3_COUNT_2[[#This Row],[ID MATERIAL]]="","",B126)</f>
        <v/>
      </c>
      <c r="C127" s="21"/>
      <c r="D127" s="21"/>
      <c r="E127" s="7" t="str">
        <f>IF(Plantilla_SCAN_EQ3_COUNT_2[[#This Row],[ID MATERIAL]]="","",VLOOKUP(Plantilla_SCAN_EQ3_COUNT_2[[#This Row],[ID MATERIAL]],INVENTARIO!$A:$D,2,FALSE))</f>
        <v/>
      </c>
      <c r="F127" s="7" t="str">
        <f>IF(Plantilla_SCAN_EQ3_COUNT_2[[#This Row],[ID MATERIAL]]="","",IF(Plantilla_SCAN_EQ3_COUNT_2[[#This Row],[No. Empaques]]="",1,Plantilla_SCAN_EQ3_COUNT_2[[#This Row],[No. Empaques]]*1))</f>
        <v/>
      </c>
      <c r="G127" s="7" t="str">
        <f>IF(Plantilla_SCAN_EQ3_COUNT_2[[#This Row],[ID MATERIAL]]="","","PZ")</f>
        <v/>
      </c>
      <c r="H127" s="7" t="str">
        <f>IF(Plantilla_SCAN_EQ3_COUNT_2[[#This Row],[ID MATERIAL]]="","",$B$13)</f>
        <v/>
      </c>
      <c r="I127" s="7" t="str">
        <f>IF(Plantilla_SCAN_EQ3_COUNT_2[[#This Row],[ID MATERIAL]]="","","Segundo Conteo")</f>
        <v/>
      </c>
    </row>
    <row r="128" spans="1:9" s="7" customFormat="1" ht="15" x14ac:dyDescent="0.2">
      <c r="A128" s="7" t="str">
        <f>IF(Plantilla_SCAN_EQ3_COUNT_2[[#This Row],[ID MATERIAL]]="","",SIGN(Plantilla_SCAN_EQ3_COUNT_2[[#This Row],[Cantidad]])+A127)</f>
        <v/>
      </c>
      <c r="B128" s="21" t="str">
        <f>IF(Plantilla_SCAN_EQ3_COUNT_2[[#This Row],[ID MATERIAL]]="","",B127)</f>
        <v/>
      </c>
      <c r="C128" s="21"/>
      <c r="D128" s="21"/>
      <c r="E128" s="7" t="str">
        <f>IF(Plantilla_SCAN_EQ3_COUNT_2[[#This Row],[ID MATERIAL]]="","",VLOOKUP(Plantilla_SCAN_EQ3_COUNT_2[[#This Row],[ID MATERIAL]],INVENTARIO!$A:$D,2,FALSE))</f>
        <v/>
      </c>
      <c r="F128" s="7" t="str">
        <f>IF(Plantilla_SCAN_EQ3_COUNT_2[[#This Row],[ID MATERIAL]]="","",IF(Plantilla_SCAN_EQ3_COUNT_2[[#This Row],[No. Empaques]]="",1,Plantilla_SCAN_EQ3_COUNT_2[[#This Row],[No. Empaques]]*1))</f>
        <v/>
      </c>
      <c r="G128" s="7" t="str">
        <f>IF(Plantilla_SCAN_EQ3_COUNT_2[[#This Row],[ID MATERIAL]]="","","PZ")</f>
        <v/>
      </c>
      <c r="H128" s="7" t="str">
        <f>IF(Plantilla_SCAN_EQ3_COUNT_2[[#This Row],[ID MATERIAL]]="","",$B$13)</f>
        <v/>
      </c>
      <c r="I128" s="7" t="str">
        <f>IF(Plantilla_SCAN_EQ3_COUNT_2[[#This Row],[ID MATERIAL]]="","","Segundo Conteo")</f>
        <v/>
      </c>
    </row>
    <row r="129" spans="1:9" s="7" customFormat="1" ht="15" x14ac:dyDescent="0.2">
      <c r="A129" s="7" t="str">
        <f>IF(Plantilla_SCAN_EQ3_COUNT_2[[#This Row],[ID MATERIAL]]="","",SIGN(Plantilla_SCAN_EQ3_COUNT_2[[#This Row],[Cantidad]])+A128)</f>
        <v/>
      </c>
      <c r="B129" s="21" t="str">
        <f>IF(Plantilla_SCAN_EQ3_COUNT_2[[#This Row],[ID MATERIAL]]="","",B128)</f>
        <v/>
      </c>
      <c r="C129" s="21"/>
      <c r="D129" s="21"/>
      <c r="E129" s="7" t="str">
        <f>IF(Plantilla_SCAN_EQ3_COUNT_2[[#This Row],[ID MATERIAL]]="","",VLOOKUP(Plantilla_SCAN_EQ3_COUNT_2[[#This Row],[ID MATERIAL]],INVENTARIO!$A:$D,2,FALSE))</f>
        <v/>
      </c>
      <c r="F129" s="7" t="str">
        <f>IF(Plantilla_SCAN_EQ3_COUNT_2[[#This Row],[ID MATERIAL]]="","",IF(Plantilla_SCAN_EQ3_COUNT_2[[#This Row],[No. Empaques]]="",1,Plantilla_SCAN_EQ3_COUNT_2[[#This Row],[No. Empaques]]*1))</f>
        <v/>
      </c>
      <c r="G129" s="7" t="str">
        <f>IF(Plantilla_SCAN_EQ3_COUNT_2[[#This Row],[ID MATERIAL]]="","","PZ")</f>
        <v/>
      </c>
      <c r="H129" s="7" t="str">
        <f>IF(Plantilla_SCAN_EQ3_COUNT_2[[#This Row],[ID MATERIAL]]="","",$B$13)</f>
        <v/>
      </c>
      <c r="I129" s="7" t="str">
        <f>IF(Plantilla_SCAN_EQ3_COUNT_2[[#This Row],[ID MATERIAL]]="","","Segundo Conteo")</f>
        <v/>
      </c>
    </row>
    <row r="130" spans="1:9" s="7" customFormat="1" ht="15" x14ac:dyDescent="0.2">
      <c r="A130" s="7" t="str">
        <f>IF(Plantilla_SCAN_EQ3_COUNT_2[[#This Row],[ID MATERIAL]]="","",SIGN(Plantilla_SCAN_EQ3_COUNT_2[[#This Row],[Cantidad]])+A129)</f>
        <v/>
      </c>
      <c r="B130" s="21" t="str">
        <f>IF(Plantilla_SCAN_EQ3_COUNT_2[[#This Row],[ID MATERIAL]]="","",B129)</f>
        <v/>
      </c>
      <c r="C130" s="21"/>
      <c r="D130" s="21"/>
      <c r="E130" s="7" t="str">
        <f>IF(Plantilla_SCAN_EQ3_COUNT_2[[#This Row],[ID MATERIAL]]="","",VLOOKUP(Plantilla_SCAN_EQ3_COUNT_2[[#This Row],[ID MATERIAL]],INVENTARIO!$A:$D,2,FALSE))</f>
        <v/>
      </c>
      <c r="F130" s="7" t="str">
        <f>IF(Plantilla_SCAN_EQ3_COUNT_2[[#This Row],[ID MATERIAL]]="","",IF(Plantilla_SCAN_EQ3_COUNT_2[[#This Row],[No. Empaques]]="",1,Plantilla_SCAN_EQ3_COUNT_2[[#This Row],[No. Empaques]]*1))</f>
        <v/>
      </c>
      <c r="G130" s="7" t="str">
        <f>IF(Plantilla_SCAN_EQ3_COUNT_2[[#This Row],[ID MATERIAL]]="","","PZ")</f>
        <v/>
      </c>
      <c r="H130" s="7" t="str">
        <f>IF(Plantilla_SCAN_EQ3_COUNT_2[[#This Row],[ID MATERIAL]]="","",$B$13)</f>
        <v/>
      </c>
      <c r="I130" s="7" t="str">
        <f>IF(Plantilla_SCAN_EQ3_COUNT_2[[#This Row],[ID MATERIAL]]="","","Segundo Conteo")</f>
        <v/>
      </c>
    </row>
    <row r="131" spans="1:9" s="7" customFormat="1" ht="15" x14ac:dyDescent="0.2">
      <c r="A131" s="7" t="str">
        <f>IF(Plantilla_SCAN_EQ3_COUNT_2[[#This Row],[ID MATERIAL]]="","",SIGN(Plantilla_SCAN_EQ3_COUNT_2[[#This Row],[Cantidad]])+A130)</f>
        <v/>
      </c>
      <c r="B131" s="21" t="str">
        <f>IF(Plantilla_SCAN_EQ3_COUNT_2[[#This Row],[ID MATERIAL]]="","",B130)</f>
        <v/>
      </c>
      <c r="C131" s="21"/>
      <c r="D131" s="21"/>
      <c r="E131" s="7" t="str">
        <f>IF(Plantilla_SCAN_EQ3_COUNT_2[[#This Row],[ID MATERIAL]]="","",VLOOKUP(Plantilla_SCAN_EQ3_COUNT_2[[#This Row],[ID MATERIAL]],INVENTARIO!$A:$D,2,FALSE))</f>
        <v/>
      </c>
      <c r="F131" s="7" t="str">
        <f>IF(Plantilla_SCAN_EQ3_COUNT_2[[#This Row],[ID MATERIAL]]="","",IF(Plantilla_SCAN_EQ3_COUNT_2[[#This Row],[No. Empaques]]="",1,Plantilla_SCAN_EQ3_COUNT_2[[#This Row],[No. Empaques]]*1))</f>
        <v/>
      </c>
      <c r="G131" s="7" t="str">
        <f>IF(Plantilla_SCAN_EQ3_COUNT_2[[#This Row],[ID MATERIAL]]="","","PZ")</f>
        <v/>
      </c>
      <c r="H131" s="7" t="str">
        <f>IF(Plantilla_SCAN_EQ3_COUNT_2[[#This Row],[ID MATERIAL]]="","",$B$13)</f>
        <v/>
      </c>
      <c r="I131" s="7" t="str">
        <f>IF(Plantilla_SCAN_EQ3_COUNT_2[[#This Row],[ID MATERIAL]]="","","Segundo Conteo")</f>
        <v/>
      </c>
    </row>
    <row r="132" spans="1:9" s="7" customFormat="1" ht="15" x14ac:dyDescent="0.2">
      <c r="A132" s="7" t="str">
        <f>IF(Plantilla_SCAN_EQ3_COUNT_2[[#This Row],[ID MATERIAL]]="","",SIGN(Plantilla_SCAN_EQ3_COUNT_2[[#This Row],[Cantidad]])+A131)</f>
        <v/>
      </c>
      <c r="B132" s="21" t="str">
        <f>IF(Plantilla_SCAN_EQ3_COUNT_2[[#This Row],[ID MATERIAL]]="","",B131)</f>
        <v/>
      </c>
      <c r="C132" s="21"/>
      <c r="D132" s="21"/>
      <c r="E132" s="7" t="str">
        <f>IF(Plantilla_SCAN_EQ3_COUNT_2[[#This Row],[ID MATERIAL]]="","",VLOOKUP(Plantilla_SCAN_EQ3_COUNT_2[[#This Row],[ID MATERIAL]],INVENTARIO!$A:$D,2,FALSE))</f>
        <v/>
      </c>
      <c r="F132" s="7" t="str">
        <f>IF(Plantilla_SCAN_EQ3_COUNT_2[[#This Row],[ID MATERIAL]]="","",IF(Plantilla_SCAN_EQ3_COUNT_2[[#This Row],[No. Empaques]]="",1,Plantilla_SCAN_EQ3_COUNT_2[[#This Row],[No. Empaques]]*1))</f>
        <v/>
      </c>
      <c r="G132" s="7" t="str">
        <f>IF(Plantilla_SCAN_EQ3_COUNT_2[[#This Row],[ID MATERIAL]]="","","PZ")</f>
        <v/>
      </c>
      <c r="H132" s="7" t="str">
        <f>IF(Plantilla_SCAN_EQ3_COUNT_2[[#This Row],[ID MATERIAL]]="","",$B$13)</f>
        <v/>
      </c>
      <c r="I132" s="7" t="str">
        <f>IF(Plantilla_SCAN_EQ3_COUNT_2[[#This Row],[ID MATERIAL]]="","","Segundo Conteo")</f>
        <v/>
      </c>
    </row>
    <row r="133" spans="1:9" s="7" customFormat="1" ht="15" x14ac:dyDescent="0.2">
      <c r="A133" s="7" t="str">
        <f>IF(Plantilla_SCAN_EQ3_COUNT_2[[#This Row],[ID MATERIAL]]="","",SIGN(Plantilla_SCAN_EQ3_COUNT_2[[#This Row],[Cantidad]])+A132)</f>
        <v/>
      </c>
      <c r="B133" s="21" t="str">
        <f>IF(Plantilla_SCAN_EQ3_COUNT_2[[#This Row],[ID MATERIAL]]="","",B132)</f>
        <v/>
      </c>
      <c r="C133" s="21"/>
      <c r="D133" s="21"/>
      <c r="E133" s="7" t="str">
        <f>IF(Plantilla_SCAN_EQ3_COUNT_2[[#This Row],[ID MATERIAL]]="","",VLOOKUP(Plantilla_SCAN_EQ3_COUNT_2[[#This Row],[ID MATERIAL]],INVENTARIO!$A:$D,2,FALSE))</f>
        <v/>
      </c>
      <c r="F133" s="7" t="str">
        <f>IF(Plantilla_SCAN_EQ3_COUNT_2[[#This Row],[ID MATERIAL]]="","",IF(Plantilla_SCAN_EQ3_COUNT_2[[#This Row],[No. Empaques]]="",1,Plantilla_SCAN_EQ3_COUNT_2[[#This Row],[No. Empaques]]*1))</f>
        <v/>
      </c>
      <c r="G133" s="7" t="str">
        <f>IF(Plantilla_SCAN_EQ3_COUNT_2[[#This Row],[ID MATERIAL]]="","","PZ")</f>
        <v/>
      </c>
      <c r="H133" s="7" t="str">
        <f>IF(Plantilla_SCAN_EQ3_COUNT_2[[#This Row],[ID MATERIAL]]="","",$B$13)</f>
        <v/>
      </c>
      <c r="I133" s="7" t="str">
        <f>IF(Plantilla_SCAN_EQ3_COUNT_2[[#This Row],[ID MATERIAL]]="","","Segundo Conteo")</f>
        <v/>
      </c>
    </row>
    <row r="134" spans="1:9" s="7" customFormat="1" ht="15" x14ac:dyDescent="0.2">
      <c r="A134" s="7" t="str">
        <f>IF(Plantilla_SCAN_EQ3_COUNT_2[[#This Row],[ID MATERIAL]]="","",SIGN(Plantilla_SCAN_EQ3_COUNT_2[[#This Row],[Cantidad]])+A133)</f>
        <v/>
      </c>
      <c r="B134" s="21" t="str">
        <f>IF(Plantilla_SCAN_EQ3_COUNT_2[[#This Row],[ID MATERIAL]]="","",B133)</f>
        <v/>
      </c>
      <c r="C134" s="21"/>
      <c r="D134" s="21"/>
      <c r="E134" s="7" t="str">
        <f>IF(Plantilla_SCAN_EQ3_COUNT_2[[#This Row],[ID MATERIAL]]="","",VLOOKUP(Plantilla_SCAN_EQ3_COUNT_2[[#This Row],[ID MATERIAL]],INVENTARIO!$A:$D,2,FALSE))</f>
        <v/>
      </c>
      <c r="F134" s="7" t="str">
        <f>IF(Plantilla_SCAN_EQ3_COUNT_2[[#This Row],[ID MATERIAL]]="","",IF(Plantilla_SCAN_EQ3_COUNT_2[[#This Row],[No. Empaques]]="",1,Plantilla_SCAN_EQ3_COUNT_2[[#This Row],[No. Empaques]]*1))</f>
        <v/>
      </c>
      <c r="G134" s="7" t="str">
        <f>IF(Plantilla_SCAN_EQ3_COUNT_2[[#This Row],[ID MATERIAL]]="","","PZ")</f>
        <v/>
      </c>
      <c r="H134" s="7" t="str">
        <f>IF(Plantilla_SCAN_EQ3_COUNT_2[[#This Row],[ID MATERIAL]]="","",$B$13)</f>
        <v/>
      </c>
      <c r="I134" s="7" t="str">
        <f>IF(Plantilla_SCAN_EQ3_COUNT_2[[#This Row],[ID MATERIAL]]="","","Segundo Conteo")</f>
        <v/>
      </c>
    </row>
    <row r="135" spans="1:9" s="7" customFormat="1" ht="15" x14ac:dyDescent="0.2">
      <c r="A135" s="7" t="str">
        <f>IF(Plantilla_SCAN_EQ3_COUNT_2[[#This Row],[ID MATERIAL]]="","",SIGN(Plantilla_SCAN_EQ3_COUNT_2[[#This Row],[Cantidad]])+A134)</f>
        <v/>
      </c>
      <c r="B135" s="21" t="str">
        <f>IF(Plantilla_SCAN_EQ3_COUNT_2[[#This Row],[ID MATERIAL]]="","",B134)</f>
        <v/>
      </c>
      <c r="C135" s="21"/>
      <c r="D135" s="21"/>
      <c r="E135" s="7" t="str">
        <f>IF(Plantilla_SCAN_EQ3_COUNT_2[[#This Row],[ID MATERIAL]]="","",VLOOKUP(Plantilla_SCAN_EQ3_COUNT_2[[#This Row],[ID MATERIAL]],INVENTARIO!$A:$D,2,FALSE))</f>
        <v/>
      </c>
      <c r="F135" s="7" t="str">
        <f>IF(Plantilla_SCAN_EQ3_COUNT_2[[#This Row],[ID MATERIAL]]="","",IF(Plantilla_SCAN_EQ3_COUNT_2[[#This Row],[No. Empaques]]="",1,Plantilla_SCAN_EQ3_COUNT_2[[#This Row],[No. Empaques]]*1))</f>
        <v/>
      </c>
      <c r="G135" s="7" t="str">
        <f>IF(Plantilla_SCAN_EQ3_COUNT_2[[#This Row],[ID MATERIAL]]="","","PZ")</f>
        <v/>
      </c>
      <c r="H135" s="7" t="str">
        <f>IF(Plantilla_SCAN_EQ3_COUNT_2[[#This Row],[ID MATERIAL]]="","",$B$13)</f>
        <v/>
      </c>
      <c r="I135" s="7" t="str">
        <f>IF(Plantilla_SCAN_EQ3_COUNT_2[[#This Row],[ID MATERIAL]]="","","Segundo Conteo")</f>
        <v/>
      </c>
    </row>
    <row r="136" spans="1:9" s="7" customFormat="1" ht="15" x14ac:dyDescent="0.2">
      <c r="A136" s="7" t="str">
        <f>IF(Plantilla_SCAN_EQ3_COUNT_2[[#This Row],[ID MATERIAL]]="","",SIGN(Plantilla_SCAN_EQ3_COUNT_2[[#This Row],[Cantidad]])+A135)</f>
        <v/>
      </c>
      <c r="B136" s="21" t="str">
        <f>IF(Plantilla_SCAN_EQ3_COUNT_2[[#This Row],[ID MATERIAL]]="","",B135)</f>
        <v/>
      </c>
      <c r="C136" s="21"/>
      <c r="D136" s="21"/>
      <c r="E136" s="7" t="str">
        <f>IF(Plantilla_SCAN_EQ3_COUNT_2[[#This Row],[ID MATERIAL]]="","",VLOOKUP(Plantilla_SCAN_EQ3_COUNT_2[[#This Row],[ID MATERIAL]],INVENTARIO!$A:$D,2,FALSE))</f>
        <v/>
      </c>
      <c r="F136" s="7" t="str">
        <f>IF(Plantilla_SCAN_EQ3_COUNT_2[[#This Row],[ID MATERIAL]]="","",IF(Plantilla_SCAN_EQ3_COUNT_2[[#This Row],[No. Empaques]]="",1,Plantilla_SCAN_EQ3_COUNT_2[[#This Row],[No. Empaques]]*1))</f>
        <v/>
      </c>
      <c r="G136" s="7" t="str">
        <f>IF(Plantilla_SCAN_EQ3_COUNT_2[[#This Row],[ID MATERIAL]]="","","PZ")</f>
        <v/>
      </c>
      <c r="H136" s="7" t="str">
        <f>IF(Plantilla_SCAN_EQ3_COUNT_2[[#This Row],[ID MATERIAL]]="","",$B$13)</f>
        <v/>
      </c>
      <c r="I136" s="7" t="str">
        <f>IF(Plantilla_SCAN_EQ3_COUNT_2[[#This Row],[ID MATERIAL]]="","","Segundo Conteo")</f>
        <v/>
      </c>
    </row>
    <row r="137" spans="1:9" s="7" customFormat="1" ht="15" x14ac:dyDescent="0.2">
      <c r="A137" s="7" t="str">
        <f>IF(Plantilla_SCAN_EQ3_COUNT_2[[#This Row],[ID MATERIAL]]="","",SIGN(Plantilla_SCAN_EQ3_COUNT_2[[#This Row],[Cantidad]])+A136)</f>
        <v/>
      </c>
      <c r="B137" s="21" t="str">
        <f>IF(Plantilla_SCAN_EQ3_COUNT_2[[#This Row],[ID MATERIAL]]="","",B136)</f>
        <v/>
      </c>
      <c r="C137" s="21"/>
      <c r="D137" s="21"/>
      <c r="E137" s="7" t="str">
        <f>IF(Plantilla_SCAN_EQ3_COUNT_2[[#This Row],[ID MATERIAL]]="","",VLOOKUP(Plantilla_SCAN_EQ3_COUNT_2[[#This Row],[ID MATERIAL]],INVENTARIO!$A:$D,2,FALSE))</f>
        <v/>
      </c>
      <c r="F137" s="7" t="str">
        <f>IF(Plantilla_SCAN_EQ3_COUNT_2[[#This Row],[ID MATERIAL]]="","",IF(Plantilla_SCAN_EQ3_COUNT_2[[#This Row],[No. Empaques]]="",1,Plantilla_SCAN_EQ3_COUNT_2[[#This Row],[No. Empaques]]*1))</f>
        <v/>
      </c>
      <c r="G137" s="7" t="str">
        <f>IF(Plantilla_SCAN_EQ3_COUNT_2[[#This Row],[ID MATERIAL]]="","","PZ")</f>
        <v/>
      </c>
      <c r="H137" s="7" t="str">
        <f>IF(Plantilla_SCAN_EQ3_COUNT_2[[#This Row],[ID MATERIAL]]="","",$B$13)</f>
        <v/>
      </c>
      <c r="I137" s="7" t="str">
        <f>IF(Plantilla_SCAN_EQ3_COUNT_2[[#This Row],[ID MATERIAL]]="","","Segundo Conteo")</f>
        <v/>
      </c>
    </row>
    <row r="138" spans="1:9" s="7" customFormat="1" ht="15" x14ac:dyDescent="0.2">
      <c r="A138" s="7" t="str">
        <f>IF(Plantilla_SCAN_EQ3_COUNT_2[[#This Row],[ID MATERIAL]]="","",SIGN(Plantilla_SCAN_EQ3_COUNT_2[[#This Row],[Cantidad]])+A137)</f>
        <v/>
      </c>
      <c r="B138" s="21" t="str">
        <f>IF(Plantilla_SCAN_EQ3_COUNT_2[[#This Row],[ID MATERIAL]]="","",B137)</f>
        <v/>
      </c>
      <c r="C138" s="21"/>
      <c r="D138" s="21"/>
      <c r="E138" s="7" t="str">
        <f>IF(Plantilla_SCAN_EQ3_COUNT_2[[#This Row],[ID MATERIAL]]="","",VLOOKUP(Plantilla_SCAN_EQ3_COUNT_2[[#This Row],[ID MATERIAL]],INVENTARIO!$A:$D,2,FALSE))</f>
        <v/>
      </c>
      <c r="F138" s="7" t="str">
        <f>IF(Plantilla_SCAN_EQ3_COUNT_2[[#This Row],[ID MATERIAL]]="","",IF(Plantilla_SCAN_EQ3_COUNT_2[[#This Row],[No. Empaques]]="",1,Plantilla_SCAN_EQ3_COUNT_2[[#This Row],[No. Empaques]]*1))</f>
        <v/>
      </c>
      <c r="G138" s="7" t="str">
        <f>IF(Plantilla_SCAN_EQ3_COUNT_2[[#This Row],[ID MATERIAL]]="","","PZ")</f>
        <v/>
      </c>
      <c r="H138" s="7" t="str">
        <f>IF(Plantilla_SCAN_EQ3_COUNT_2[[#This Row],[ID MATERIAL]]="","",$B$13)</f>
        <v/>
      </c>
      <c r="I138" s="7" t="str">
        <f>IF(Plantilla_SCAN_EQ3_COUNT_2[[#This Row],[ID MATERIAL]]="","","Segundo Conteo")</f>
        <v/>
      </c>
    </row>
    <row r="139" spans="1:9" s="7" customFormat="1" ht="15" x14ac:dyDescent="0.2">
      <c r="A139" s="7" t="str">
        <f>IF(Plantilla_SCAN_EQ3_COUNT_2[[#This Row],[ID MATERIAL]]="","",SIGN(Plantilla_SCAN_EQ3_COUNT_2[[#This Row],[Cantidad]])+A138)</f>
        <v/>
      </c>
      <c r="B139" s="21" t="str">
        <f>IF(Plantilla_SCAN_EQ3_COUNT_2[[#This Row],[ID MATERIAL]]="","",B138)</f>
        <v/>
      </c>
      <c r="C139" s="21"/>
      <c r="D139" s="21"/>
      <c r="E139" s="7" t="str">
        <f>IF(Plantilla_SCAN_EQ3_COUNT_2[[#This Row],[ID MATERIAL]]="","",VLOOKUP(Plantilla_SCAN_EQ3_COUNT_2[[#This Row],[ID MATERIAL]],INVENTARIO!$A:$D,2,FALSE))</f>
        <v/>
      </c>
      <c r="F139" s="7" t="str">
        <f>IF(Plantilla_SCAN_EQ3_COUNT_2[[#This Row],[ID MATERIAL]]="","",IF(Plantilla_SCAN_EQ3_COUNT_2[[#This Row],[No. Empaques]]="",1,Plantilla_SCAN_EQ3_COUNT_2[[#This Row],[No. Empaques]]*1))</f>
        <v/>
      </c>
      <c r="G139" s="7" t="str">
        <f>IF(Plantilla_SCAN_EQ3_COUNT_2[[#This Row],[ID MATERIAL]]="","","PZ")</f>
        <v/>
      </c>
      <c r="H139" s="7" t="str">
        <f>IF(Plantilla_SCAN_EQ3_COUNT_2[[#This Row],[ID MATERIAL]]="","",$B$13)</f>
        <v/>
      </c>
      <c r="I139" s="7" t="str">
        <f>IF(Plantilla_SCAN_EQ3_COUNT_2[[#This Row],[ID MATERIAL]]="","","Segundo Conteo")</f>
        <v/>
      </c>
    </row>
    <row r="140" spans="1:9" s="7" customFormat="1" ht="15" x14ac:dyDescent="0.2">
      <c r="A140" s="7" t="str">
        <f>IF(Plantilla_SCAN_EQ3_COUNT_2[[#This Row],[ID MATERIAL]]="","",SIGN(Plantilla_SCAN_EQ3_COUNT_2[[#This Row],[Cantidad]])+A139)</f>
        <v/>
      </c>
      <c r="B140" s="21" t="str">
        <f>IF(Plantilla_SCAN_EQ3_COUNT_2[[#This Row],[ID MATERIAL]]="","",B139)</f>
        <v/>
      </c>
      <c r="C140" s="21"/>
      <c r="D140" s="21"/>
      <c r="E140" s="7" t="str">
        <f>IF(Plantilla_SCAN_EQ3_COUNT_2[[#This Row],[ID MATERIAL]]="","",VLOOKUP(Plantilla_SCAN_EQ3_COUNT_2[[#This Row],[ID MATERIAL]],INVENTARIO!$A:$D,2,FALSE))</f>
        <v/>
      </c>
      <c r="F140" s="7" t="str">
        <f>IF(Plantilla_SCAN_EQ3_COUNT_2[[#This Row],[ID MATERIAL]]="","",IF(Plantilla_SCAN_EQ3_COUNT_2[[#This Row],[No. Empaques]]="",1,Plantilla_SCAN_EQ3_COUNT_2[[#This Row],[No. Empaques]]*1))</f>
        <v/>
      </c>
      <c r="G140" s="7" t="str">
        <f>IF(Plantilla_SCAN_EQ3_COUNT_2[[#This Row],[ID MATERIAL]]="","","PZ")</f>
        <v/>
      </c>
      <c r="H140" s="7" t="str">
        <f>IF(Plantilla_SCAN_EQ3_COUNT_2[[#This Row],[ID MATERIAL]]="","",$B$13)</f>
        <v/>
      </c>
      <c r="I140" s="7" t="str">
        <f>IF(Plantilla_SCAN_EQ3_COUNT_2[[#This Row],[ID MATERIAL]]="","","Segundo Conteo")</f>
        <v/>
      </c>
    </row>
    <row r="141" spans="1:9" s="7" customFormat="1" ht="15" x14ac:dyDescent="0.2">
      <c r="A141" s="7" t="str">
        <f>IF(Plantilla_SCAN_EQ3_COUNT_2[[#This Row],[ID MATERIAL]]="","",SIGN(Plantilla_SCAN_EQ3_COUNT_2[[#This Row],[Cantidad]])+A140)</f>
        <v/>
      </c>
      <c r="B141" s="21" t="str">
        <f>IF(Plantilla_SCAN_EQ3_COUNT_2[[#This Row],[ID MATERIAL]]="","",B140)</f>
        <v/>
      </c>
      <c r="C141" s="21"/>
      <c r="D141" s="21"/>
      <c r="E141" s="7" t="str">
        <f>IF(Plantilla_SCAN_EQ3_COUNT_2[[#This Row],[ID MATERIAL]]="","",VLOOKUP(Plantilla_SCAN_EQ3_COUNT_2[[#This Row],[ID MATERIAL]],INVENTARIO!$A:$D,2,FALSE))</f>
        <v/>
      </c>
      <c r="F141" s="7" t="str">
        <f>IF(Plantilla_SCAN_EQ3_COUNT_2[[#This Row],[ID MATERIAL]]="","",IF(Plantilla_SCAN_EQ3_COUNT_2[[#This Row],[No. Empaques]]="",1,Plantilla_SCAN_EQ3_COUNT_2[[#This Row],[No. Empaques]]*1))</f>
        <v/>
      </c>
      <c r="G141" s="7" t="str">
        <f>IF(Plantilla_SCAN_EQ3_COUNT_2[[#This Row],[ID MATERIAL]]="","","PZ")</f>
        <v/>
      </c>
      <c r="H141" s="7" t="str">
        <f>IF(Plantilla_SCAN_EQ3_COUNT_2[[#This Row],[ID MATERIAL]]="","",$B$13)</f>
        <v/>
      </c>
      <c r="I141" s="7" t="str">
        <f>IF(Plantilla_SCAN_EQ3_COUNT_2[[#This Row],[ID MATERIAL]]="","","Segundo Conteo")</f>
        <v/>
      </c>
    </row>
    <row r="142" spans="1:9" s="7" customFormat="1" ht="15" x14ac:dyDescent="0.2">
      <c r="A142" s="7" t="str">
        <f>IF(Plantilla_SCAN_EQ3_COUNT_2[[#This Row],[ID MATERIAL]]="","",SIGN(Plantilla_SCAN_EQ3_COUNT_2[[#This Row],[Cantidad]])+A141)</f>
        <v/>
      </c>
      <c r="B142" s="21" t="str">
        <f>IF(Plantilla_SCAN_EQ3_COUNT_2[[#This Row],[ID MATERIAL]]="","",B141)</f>
        <v/>
      </c>
      <c r="C142" s="21"/>
      <c r="D142" s="21"/>
      <c r="E142" s="7" t="str">
        <f>IF(Plantilla_SCAN_EQ3_COUNT_2[[#This Row],[ID MATERIAL]]="","",VLOOKUP(Plantilla_SCAN_EQ3_COUNT_2[[#This Row],[ID MATERIAL]],INVENTARIO!$A:$D,2,FALSE))</f>
        <v/>
      </c>
      <c r="F142" s="7" t="str">
        <f>IF(Plantilla_SCAN_EQ3_COUNT_2[[#This Row],[ID MATERIAL]]="","",IF(Plantilla_SCAN_EQ3_COUNT_2[[#This Row],[No. Empaques]]="",1,Plantilla_SCAN_EQ3_COUNT_2[[#This Row],[No. Empaques]]*1))</f>
        <v/>
      </c>
      <c r="G142" s="7" t="str">
        <f>IF(Plantilla_SCAN_EQ3_COUNT_2[[#This Row],[ID MATERIAL]]="","","PZ")</f>
        <v/>
      </c>
      <c r="H142" s="7" t="str">
        <f>IF(Plantilla_SCAN_EQ3_COUNT_2[[#This Row],[ID MATERIAL]]="","",$B$13)</f>
        <v/>
      </c>
      <c r="I142" s="7" t="str">
        <f>IF(Plantilla_SCAN_EQ3_COUNT_2[[#This Row],[ID MATERIAL]]="","","Segundo Conteo")</f>
        <v/>
      </c>
    </row>
    <row r="143" spans="1:9" s="7" customFormat="1" ht="15" x14ac:dyDescent="0.2">
      <c r="A143" s="7" t="str">
        <f>IF(Plantilla_SCAN_EQ3_COUNT_2[[#This Row],[ID MATERIAL]]="","",SIGN(Plantilla_SCAN_EQ3_COUNT_2[[#This Row],[Cantidad]])+A142)</f>
        <v/>
      </c>
      <c r="B143" s="21" t="str">
        <f>IF(Plantilla_SCAN_EQ3_COUNT_2[[#This Row],[ID MATERIAL]]="","",B142)</f>
        <v/>
      </c>
      <c r="C143" s="21"/>
      <c r="D143" s="21"/>
      <c r="E143" s="7" t="str">
        <f>IF(Plantilla_SCAN_EQ3_COUNT_2[[#This Row],[ID MATERIAL]]="","",VLOOKUP(Plantilla_SCAN_EQ3_COUNT_2[[#This Row],[ID MATERIAL]],INVENTARIO!$A:$D,2,FALSE))</f>
        <v/>
      </c>
      <c r="F143" s="7" t="str">
        <f>IF(Plantilla_SCAN_EQ3_COUNT_2[[#This Row],[ID MATERIAL]]="","",IF(Plantilla_SCAN_EQ3_COUNT_2[[#This Row],[No. Empaques]]="",1,Plantilla_SCAN_EQ3_COUNT_2[[#This Row],[No. Empaques]]*1))</f>
        <v/>
      </c>
      <c r="G143" s="7" t="str">
        <f>IF(Plantilla_SCAN_EQ3_COUNT_2[[#This Row],[ID MATERIAL]]="","","PZ")</f>
        <v/>
      </c>
      <c r="H143" s="7" t="str">
        <f>IF(Plantilla_SCAN_EQ3_COUNT_2[[#This Row],[ID MATERIAL]]="","",$B$13)</f>
        <v/>
      </c>
      <c r="I143" s="7" t="str">
        <f>IF(Plantilla_SCAN_EQ3_COUNT_2[[#This Row],[ID MATERIAL]]="","","Segundo Conteo")</f>
        <v/>
      </c>
    </row>
    <row r="144" spans="1:9" s="7" customFormat="1" ht="15" x14ac:dyDescent="0.2">
      <c r="A144" s="7" t="str">
        <f>IF(Plantilla_SCAN_EQ3_COUNT_2[[#This Row],[ID MATERIAL]]="","",SIGN(Plantilla_SCAN_EQ3_COUNT_2[[#This Row],[Cantidad]])+A143)</f>
        <v/>
      </c>
      <c r="B144" s="21" t="str">
        <f>IF(Plantilla_SCAN_EQ3_COUNT_2[[#This Row],[ID MATERIAL]]="","",B143)</f>
        <v/>
      </c>
      <c r="C144" s="21"/>
      <c r="D144" s="21"/>
      <c r="E144" s="7" t="str">
        <f>IF(Plantilla_SCAN_EQ3_COUNT_2[[#This Row],[ID MATERIAL]]="","",VLOOKUP(Plantilla_SCAN_EQ3_COUNT_2[[#This Row],[ID MATERIAL]],INVENTARIO!$A:$D,2,FALSE))</f>
        <v/>
      </c>
      <c r="F144" s="7" t="str">
        <f>IF(Plantilla_SCAN_EQ3_COUNT_2[[#This Row],[ID MATERIAL]]="","",IF(Plantilla_SCAN_EQ3_COUNT_2[[#This Row],[No. Empaques]]="",1,Plantilla_SCAN_EQ3_COUNT_2[[#This Row],[No. Empaques]]*1))</f>
        <v/>
      </c>
      <c r="G144" s="7" t="str">
        <f>IF(Plantilla_SCAN_EQ3_COUNT_2[[#This Row],[ID MATERIAL]]="","","PZ")</f>
        <v/>
      </c>
      <c r="H144" s="7" t="str">
        <f>IF(Plantilla_SCAN_EQ3_COUNT_2[[#This Row],[ID MATERIAL]]="","",$B$13)</f>
        <v/>
      </c>
      <c r="I144" s="7" t="str">
        <f>IF(Plantilla_SCAN_EQ3_COUNT_2[[#This Row],[ID MATERIAL]]="","","Segundo Conteo")</f>
        <v/>
      </c>
    </row>
    <row r="145" spans="1:9" s="7" customFormat="1" ht="15" x14ac:dyDescent="0.2">
      <c r="A145" s="7" t="str">
        <f>IF(Plantilla_SCAN_EQ3_COUNT_2[[#This Row],[ID MATERIAL]]="","",SIGN(Plantilla_SCAN_EQ3_COUNT_2[[#This Row],[Cantidad]])+A144)</f>
        <v/>
      </c>
      <c r="B145" s="21" t="str">
        <f>IF(Plantilla_SCAN_EQ3_COUNT_2[[#This Row],[ID MATERIAL]]="","",B144)</f>
        <v/>
      </c>
      <c r="C145" s="21"/>
      <c r="D145" s="21"/>
      <c r="E145" s="7" t="str">
        <f>IF(Plantilla_SCAN_EQ3_COUNT_2[[#This Row],[ID MATERIAL]]="","",VLOOKUP(Plantilla_SCAN_EQ3_COUNT_2[[#This Row],[ID MATERIAL]],INVENTARIO!$A:$D,2,FALSE))</f>
        <v/>
      </c>
      <c r="F145" s="7" t="str">
        <f>IF(Plantilla_SCAN_EQ3_COUNT_2[[#This Row],[ID MATERIAL]]="","",IF(Plantilla_SCAN_EQ3_COUNT_2[[#This Row],[No. Empaques]]="",1,Plantilla_SCAN_EQ3_COUNT_2[[#This Row],[No. Empaques]]*1))</f>
        <v/>
      </c>
      <c r="G145" s="7" t="str">
        <f>IF(Plantilla_SCAN_EQ3_COUNT_2[[#This Row],[ID MATERIAL]]="","","PZ")</f>
        <v/>
      </c>
      <c r="H145" s="7" t="str">
        <f>IF(Plantilla_SCAN_EQ3_COUNT_2[[#This Row],[ID MATERIAL]]="","",$B$13)</f>
        <v/>
      </c>
      <c r="I145" s="7" t="str">
        <f>IF(Plantilla_SCAN_EQ3_COUNT_2[[#This Row],[ID MATERIAL]]="","","Segundo Conteo")</f>
        <v/>
      </c>
    </row>
    <row r="146" spans="1:9" s="7" customFormat="1" ht="15" x14ac:dyDescent="0.2">
      <c r="A146" s="7" t="str">
        <f>IF(Plantilla_SCAN_EQ3_COUNT_2[[#This Row],[ID MATERIAL]]="","",SIGN(Plantilla_SCAN_EQ3_COUNT_2[[#This Row],[Cantidad]])+A145)</f>
        <v/>
      </c>
      <c r="B146" s="21" t="str">
        <f>IF(Plantilla_SCAN_EQ3_COUNT_2[[#This Row],[ID MATERIAL]]="","",B145)</f>
        <v/>
      </c>
      <c r="C146" s="21"/>
      <c r="D146" s="21"/>
      <c r="E146" s="7" t="str">
        <f>IF(Plantilla_SCAN_EQ3_COUNT_2[[#This Row],[ID MATERIAL]]="","",VLOOKUP(Plantilla_SCAN_EQ3_COUNT_2[[#This Row],[ID MATERIAL]],INVENTARIO!$A:$D,2,FALSE))</f>
        <v/>
      </c>
      <c r="F146" s="7" t="str">
        <f>IF(Plantilla_SCAN_EQ3_COUNT_2[[#This Row],[ID MATERIAL]]="","",IF(Plantilla_SCAN_EQ3_COUNT_2[[#This Row],[No. Empaques]]="",1,Plantilla_SCAN_EQ3_COUNT_2[[#This Row],[No. Empaques]]*1))</f>
        <v/>
      </c>
      <c r="G146" s="7" t="str">
        <f>IF(Plantilla_SCAN_EQ3_COUNT_2[[#This Row],[ID MATERIAL]]="","","PZ")</f>
        <v/>
      </c>
      <c r="H146" s="7" t="str">
        <f>IF(Plantilla_SCAN_EQ3_COUNT_2[[#This Row],[ID MATERIAL]]="","",$B$13)</f>
        <v/>
      </c>
      <c r="I146" s="7" t="str">
        <f>IF(Plantilla_SCAN_EQ3_COUNT_2[[#This Row],[ID MATERIAL]]="","","Segundo Conteo")</f>
        <v/>
      </c>
    </row>
    <row r="147" spans="1:9" s="7" customFormat="1" ht="15" x14ac:dyDescent="0.2">
      <c r="A147" s="7" t="str">
        <f>IF(Plantilla_SCAN_EQ3_COUNT_2[[#This Row],[ID MATERIAL]]="","",SIGN(Plantilla_SCAN_EQ3_COUNT_2[[#This Row],[Cantidad]])+A146)</f>
        <v/>
      </c>
      <c r="B147" s="21" t="str">
        <f>IF(Plantilla_SCAN_EQ3_COUNT_2[[#This Row],[ID MATERIAL]]="","",B146)</f>
        <v/>
      </c>
      <c r="C147" s="21"/>
      <c r="D147" s="21"/>
      <c r="E147" s="7" t="str">
        <f>IF(Plantilla_SCAN_EQ3_COUNT_2[[#This Row],[ID MATERIAL]]="","",VLOOKUP(Plantilla_SCAN_EQ3_COUNT_2[[#This Row],[ID MATERIAL]],INVENTARIO!$A:$D,2,FALSE))</f>
        <v/>
      </c>
      <c r="F147" s="7" t="str">
        <f>IF(Plantilla_SCAN_EQ3_COUNT_2[[#This Row],[ID MATERIAL]]="","",IF(Plantilla_SCAN_EQ3_COUNT_2[[#This Row],[No. Empaques]]="",1,Plantilla_SCAN_EQ3_COUNT_2[[#This Row],[No. Empaques]]*1))</f>
        <v/>
      </c>
      <c r="G147" s="7" t="str">
        <f>IF(Plantilla_SCAN_EQ3_COUNT_2[[#This Row],[ID MATERIAL]]="","","PZ")</f>
        <v/>
      </c>
      <c r="H147" s="7" t="str">
        <f>IF(Plantilla_SCAN_EQ3_COUNT_2[[#This Row],[ID MATERIAL]]="","",$B$13)</f>
        <v/>
      </c>
      <c r="I147" s="7" t="str">
        <f>IF(Plantilla_SCAN_EQ3_COUNT_2[[#This Row],[ID MATERIAL]]="","","Segundo Conteo")</f>
        <v/>
      </c>
    </row>
    <row r="148" spans="1:9" s="7" customFormat="1" ht="15" x14ac:dyDescent="0.2">
      <c r="A148" s="7" t="str">
        <f>IF(Plantilla_SCAN_EQ3_COUNT_2[[#This Row],[ID MATERIAL]]="","",SIGN(Plantilla_SCAN_EQ3_COUNT_2[[#This Row],[Cantidad]])+A147)</f>
        <v/>
      </c>
      <c r="B148" s="21" t="str">
        <f>IF(Plantilla_SCAN_EQ3_COUNT_2[[#This Row],[ID MATERIAL]]="","",B147)</f>
        <v/>
      </c>
      <c r="C148" s="21"/>
      <c r="D148" s="21"/>
      <c r="E148" s="7" t="str">
        <f>IF(Plantilla_SCAN_EQ3_COUNT_2[[#This Row],[ID MATERIAL]]="","",VLOOKUP(Plantilla_SCAN_EQ3_COUNT_2[[#This Row],[ID MATERIAL]],INVENTARIO!$A:$D,2,FALSE))</f>
        <v/>
      </c>
      <c r="F148" s="7" t="str">
        <f>IF(Plantilla_SCAN_EQ3_COUNT_2[[#This Row],[ID MATERIAL]]="","",IF(Plantilla_SCAN_EQ3_COUNT_2[[#This Row],[No. Empaques]]="",1,Plantilla_SCAN_EQ3_COUNT_2[[#This Row],[No. Empaques]]*1))</f>
        <v/>
      </c>
      <c r="G148" s="7" t="str">
        <f>IF(Plantilla_SCAN_EQ3_COUNT_2[[#This Row],[ID MATERIAL]]="","","PZ")</f>
        <v/>
      </c>
      <c r="H148" s="7" t="str">
        <f>IF(Plantilla_SCAN_EQ3_COUNT_2[[#This Row],[ID MATERIAL]]="","",$B$13)</f>
        <v/>
      </c>
      <c r="I148" s="7" t="str">
        <f>IF(Plantilla_SCAN_EQ3_COUNT_2[[#This Row],[ID MATERIAL]]="","","Segundo Conteo")</f>
        <v/>
      </c>
    </row>
    <row r="149" spans="1:9" s="7" customFormat="1" ht="15" x14ac:dyDescent="0.2">
      <c r="A149" s="7" t="str">
        <f>IF(Plantilla_SCAN_EQ3_COUNT_2[[#This Row],[ID MATERIAL]]="","",SIGN(Plantilla_SCAN_EQ3_COUNT_2[[#This Row],[Cantidad]])+A148)</f>
        <v/>
      </c>
      <c r="B149" s="21" t="str">
        <f>IF(Plantilla_SCAN_EQ3_COUNT_2[[#This Row],[ID MATERIAL]]="","",B148)</f>
        <v/>
      </c>
      <c r="C149" s="21"/>
      <c r="D149" s="21"/>
      <c r="E149" s="7" t="str">
        <f>IF(Plantilla_SCAN_EQ3_COUNT_2[[#This Row],[ID MATERIAL]]="","",VLOOKUP(Plantilla_SCAN_EQ3_COUNT_2[[#This Row],[ID MATERIAL]],INVENTARIO!$A:$D,2,FALSE))</f>
        <v/>
      </c>
      <c r="F149" s="7" t="str">
        <f>IF(Plantilla_SCAN_EQ3_COUNT_2[[#This Row],[ID MATERIAL]]="","",IF(Plantilla_SCAN_EQ3_COUNT_2[[#This Row],[No. Empaques]]="",1,Plantilla_SCAN_EQ3_COUNT_2[[#This Row],[No. Empaques]]*1))</f>
        <v/>
      </c>
      <c r="G149" s="7" t="str">
        <f>IF(Plantilla_SCAN_EQ3_COUNT_2[[#This Row],[ID MATERIAL]]="","","PZ")</f>
        <v/>
      </c>
      <c r="H149" s="7" t="str">
        <f>IF(Plantilla_SCAN_EQ3_COUNT_2[[#This Row],[ID MATERIAL]]="","",$B$13)</f>
        <v/>
      </c>
      <c r="I149" s="7" t="str">
        <f>IF(Plantilla_SCAN_EQ3_COUNT_2[[#This Row],[ID MATERIAL]]="","","Segundo Conteo")</f>
        <v/>
      </c>
    </row>
    <row r="150" spans="1:9" s="7" customFormat="1" ht="15" x14ac:dyDescent="0.2">
      <c r="A150" s="7" t="str">
        <f>IF(Plantilla_SCAN_EQ3_COUNT_2[[#This Row],[ID MATERIAL]]="","",SIGN(Plantilla_SCAN_EQ3_COUNT_2[[#This Row],[Cantidad]])+A149)</f>
        <v/>
      </c>
      <c r="B150" s="21" t="str">
        <f>IF(Plantilla_SCAN_EQ3_COUNT_2[[#This Row],[ID MATERIAL]]="","",B149)</f>
        <v/>
      </c>
      <c r="C150" s="21"/>
      <c r="D150" s="21"/>
      <c r="E150" s="7" t="str">
        <f>IF(Plantilla_SCAN_EQ3_COUNT_2[[#This Row],[ID MATERIAL]]="","",VLOOKUP(Plantilla_SCAN_EQ3_COUNT_2[[#This Row],[ID MATERIAL]],INVENTARIO!$A:$D,2,FALSE))</f>
        <v/>
      </c>
      <c r="F150" s="7" t="str">
        <f>IF(Plantilla_SCAN_EQ3_COUNT_2[[#This Row],[ID MATERIAL]]="","",IF(Plantilla_SCAN_EQ3_COUNT_2[[#This Row],[No. Empaques]]="",1,Plantilla_SCAN_EQ3_COUNT_2[[#This Row],[No. Empaques]]*1))</f>
        <v/>
      </c>
      <c r="G150" s="7" t="str">
        <f>IF(Plantilla_SCAN_EQ3_COUNT_2[[#This Row],[ID MATERIAL]]="","","PZ")</f>
        <v/>
      </c>
      <c r="H150" s="7" t="str">
        <f>IF(Plantilla_SCAN_EQ3_COUNT_2[[#This Row],[ID MATERIAL]]="","",$B$13)</f>
        <v/>
      </c>
      <c r="I150" s="7" t="str">
        <f>IF(Plantilla_SCAN_EQ3_COUNT_2[[#This Row],[ID MATERIAL]]="","","Segundo Conteo")</f>
        <v/>
      </c>
    </row>
    <row r="151" spans="1:9" s="7" customFormat="1" ht="15" x14ac:dyDescent="0.2">
      <c r="A151" s="7" t="str">
        <f>IF(Plantilla_SCAN_EQ3_COUNT_2[[#This Row],[ID MATERIAL]]="","",SIGN(Plantilla_SCAN_EQ3_COUNT_2[[#This Row],[Cantidad]])+A150)</f>
        <v/>
      </c>
      <c r="B151" s="21" t="str">
        <f>IF(Plantilla_SCAN_EQ3_COUNT_2[[#This Row],[ID MATERIAL]]="","",B150)</f>
        <v/>
      </c>
      <c r="C151" s="21"/>
      <c r="D151" s="21"/>
      <c r="E151" s="7" t="str">
        <f>IF(Plantilla_SCAN_EQ3_COUNT_2[[#This Row],[ID MATERIAL]]="","",VLOOKUP(Plantilla_SCAN_EQ3_COUNT_2[[#This Row],[ID MATERIAL]],INVENTARIO!$A:$D,2,FALSE))</f>
        <v/>
      </c>
      <c r="F151" s="7" t="str">
        <f>IF(Plantilla_SCAN_EQ3_COUNT_2[[#This Row],[ID MATERIAL]]="","",IF(Plantilla_SCAN_EQ3_COUNT_2[[#This Row],[No. Empaques]]="",1,Plantilla_SCAN_EQ3_COUNT_2[[#This Row],[No. Empaques]]*1))</f>
        <v/>
      </c>
      <c r="G151" s="7" t="str">
        <f>IF(Plantilla_SCAN_EQ3_COUNT_2[[#This Row],[ID MATERIAL]]="","","PZ")</f>
        <v/>
      </c>
      <c r="H151" s="7" t="str">
        <f>IF(Plantilla_SCAN_EQ3_COUNT_2[[#This Row],[ID MATERIAL]]="","",$B$13)</f>
        <v/>
      </c>
      <c r="I151" s="7" t="str">
        <f>IF(Plantilla_SCAN_EQ3_COUNT_2[[#This Row],[ID MATERIAL]]="","","Segundo Conteo")</f>
        <v/>
      </c>
    </row>
    <row r="152" spans="1:9" s="7" customFormat="1" ht="15" x14ac:dyDescent="0.2">
      <c r="A152" s="7" t="str">
        <f>IF(Plantilla_SCAN_EQ3_COUNT_2[[#This Row],[ID MATERIAL]]="","",SIGN(Plantilla_SCAN_EQ3_COUNT_2[[#This Row],[Cantidad]])+A151)</f>
        <v/>
      </c>
      <c r="B152" s="21" t="str">
        <f>IF(Plantilla_SCAN_EQ3_COUNT_2[[#This Row],[ID MATERIAL]]="","",B151)</f>
        <v/>
      </c>
      <c r="C152" s="21"/>
      <c r="D152" s="21"/>
      <c r="E152" s="7" t="str">
        <f>IF(Plantilla_SCAN_EQ3_COUNT_2[[#This Row],[ID MATERIAL]]="","",VLOOKUP(Plantilla_SCAN_EQ3_COUNT_2[[#This Row],[ID MATERIAL]],INVENTARIO!$A:$D,2,FALSE))</f>
        <v/>
      </c>
      <c r="F152" s="7" t="str">
        <f>IF(Plantilla_SCAN_EQ3_COUNT_2[[#This Row],[ID MATERIAL]]="","",IF(Plantilla_SCAN_EQ3_COUNT_2[[#This Row],[No. Empaques]]="",1,Plantilla_SCAN_EQ3_COUNT_2[[#This Row],[No. Empaques]]*1))</f>
        <v/>
      </c>
      <c r="G152" s="7" t="str">
        <f>IF(Plantilla_SCAN_EQ3_COUNT_2[[#This Row],[ID MATERIAL]]="","","PZ")</f>
        <v/>
      </c>
      <c r="H152" s="7" t="str">
        <f>IF(Plantilla_SCAN_EQ3_COUNT_2[[#This Row],[ID MATERIAL]]="","",$B$13)</f>
        <v/>
      </c>
      <c r="I152" s="7" t="str">
        <f>IF(Plantilla_SCAN_EQ3_COUNT_2[[#This Row],[ID MATERIAL]]="","","Segundo Conteo")</f>
        <v/>
      </c>
    </row>
    <row r="153" spans="1:9" s="7" customFormat="1" ht="15" x14ac:dyDescent="0.2">
      <c r="A153" s="7" t="str">
        <f>IF(Plantilla_SCAN_EQ3_COUNT_2[[#This Row],[ID MATERIAL]]="","",SIGN(Plantilla_SCAN_EQ3_COUNT_2[[#This Row],[Cantidad]])+A152)</f>
        <v/>
      </c>
      <c r="B153" s="21" t="str">
        <f>IF(Plantilla_SCAN_EQ3_COUNT_2[[#This Row],[ID MATERIAL]]="","",B152)</f>
        <v/>
      </c>
      <c r="C153" s="21"/>
      <c r="D153" s="21"/>
      <c r="E153" s="7" t="str">
        <f>IF(Plantilla_SCAN_EQ3_COUNT_2[[#This Row],[ID MATERIAL]]="","",VLOOKUP(Plantilla_SCAN_EQ3_COUNT_2[[#This Row],[ID MATERIAL]],INVENTARIO!$A:$D,2,FALSE))</f>
        <v/>
      </c>
      <c r="F153" s="7" t="str">
        <f>IF(Plantilla_SCAN_EQ3_COUNT_2[[#This Row],[ID MATERIAL]]="","",IF(Plantilla_SCAN_EQ3_COUNT_2[[#This Row],[No. Empaques]]="",1,Plantilla_SCAN_EQ3_COUNT_2[[#This Row],[No. Empaques]]*1))</f>
        <v/>
      </c>
      <c r="G153" s="7" t="str">
        <f>IF(Plantilla_SCAN_EQ3_COUNT_2[[#This Row],[ID MATERIAL]]="","","PZ")</f>
        <v/>
      </c>
      <c r="H153" s="7" t="str">
        <f>IF(Plantilla_SCAN_EQ3_COUNT_2[[#This Row],[ID MATERIAL]]="","",$B$13)</f>
        <v/>
      </c>
      <c r="I153" s="7" t="str">
        <f>IF(Plantilla_SCAN_EQ3_COUNT_2[[#This Row],[ID MATERIAL]]="","","Segundo Conteo")</f>
        <v/>
      </c>
    </row>
    <row r="154" spans="1:9" s="7" customFormat="1" ht="15" x14ac:dyDescent="0.2">
      <c r="A154" s="7" t="str">
        <f>IF(Plantilla_SCAN_EQ3_COUNT_2[[#This Row],[ID MATERIAL]]="","",SIGN(Plantilla_SCAN_EQ3_COUNT_2[[#This Row],[Cantidad]])+A153)</f>
        <v/>
      </c>
      <c r="B154" s="21" t="str">
        <f>IF(Plantilla_SCAN_EQ3_COUNT_2[[#This Row],[ID MATERIAL]]="","",B153)</f>
        <v/>
      </c>
      <c r="C154" s="21"/>
      <c r="D154" s="21"/>
      <c r="E154" s="7" t="str">
        <f>IF(Plantilla_SCAN_EQ3_COUNT_2[[#This Row],[ID MATERIAL]]="","",VLOOKUP(Plantilla_SCAN_EQ3_COUNT_2[[#This Row],[ID MATERIAL]],INVENTARIO!$A:$D,2,FALSE))</f>
        <v/>
      </c>
      <c r="F154" s="7" t="str">
        <f>IF(Plantilla_SCAN_EQ3_COUNT_2[[#This Row],[ID MATERIAL]]="","",IF(Plantilla_SCAN_EQ3_COUNT_2[[#This Row],[No. Empaques]]="",1,Plantilla_SCAN_EQ3_COUNT_2[[#This Row],[No. Empaques]]*1))</f>
        <v/>
      </c>
      <c r="G154" s="7" t="str">
        <f>IF(Plantilla_SCAN_EQ3_COUNT_2[[#This Row],[ID MATERIAL]]="","","PZ")</f>
        <v/>
      </c>
      <c r="H154" s="7" t="str">
        <f>IF(Plantilla_SCAN_EQ3_COUNT_2[[#This Row],[ID MATERIAL]]="","",$B$13)</f>
        <v/>
      </c>
      <c r="I154" s="7" t="str">
        <f>IF(Plantilla_SCAN_EQ3_COUNT_2[[#This Row],[ID MATERIAL]]="","","Segundo Conteo")</f>
        <v/>
      </c>
    </row>
    <row r="155" spans="1:9" s="7" customFormat="1" ht="15" x14ac:dyDescent="0.2">
      <c r="A155" s="7" t="str">
        <f>IF(Plantilla_SCAN_EQ3_COUNT_2[[#This Row],[ID MATERIAL]]="","",SIGN(Plantilla_SCAN_EQ3_COUNT_2[[#This Row],[Cantidad]])+A154)</f>
        <v/>
      </c>
      <c r="B155" s="21" t="str">
        <f>IF(Plantilla_SCAN_EQ3_COUNT_2[[#This Row],[ID MATERIAL]]="","",B154)</f>
        <v/>
      </c>
      <c r="C155" s="21"/>
      <c r="D155" s="21"/>
      <c r="E155" s="7" t="str">
        <f>IF(Plantilla_SCAN_EQ3_COUNT_2[[#This Row],[ID MATERIAL]]="","",VLOOKUP(Plantilla_SCAN_EQ3_COUNT_2[[#This Row],[ID MATERIAL]],INVENTARIO!$A:$D,2,FALSE))</f>
        <v/>
      </c>
      <c r="F155" s="7" t="str">
        <f>IF(Plantilla_SCAN_EQ3_COUNT_2[[#This Row],[ID MATERIAL]]="","",IF(Plantilla_SCAN_EQ3_COUNT_2[[#This Row],[No. Empaques]]="",1,Plantilla_SCAN_EQ3_COUNT_2[[#This Row],[No. Empaques]]*1))</f>
        <v/>
      </c>
      <c r="G155" s="7" t="str">
        <f>IF(Plantilla_SCAN_EQ3_COUNT_2[[#This Row],[ID MATERIAL]]="","","PZ")</f>
        <v/>
      </c>
      <c r="H155" s="7" t="str">
        <f>IF(Plantilla_SCAN_EQ3_COUNT_2[[#This Row],[ID MATERIAL]]="","",$B$13)</f>
        <v/>
      </c>
      <c r="I155" s="7" t="str">
        <f>IF(Plantilla_SCAN_EQ3_COUNT_2[[#This Row],[ID MATERIAL]]="","","Segundo Conteo")</f>
        <v/>
      </c>
    </row>
    <row r="156" spans="1:9" s="7" customFormat="1" ht="15" x14ac:dyDescent="0.2">
      <c r="A156" s="7" t="str">
        <f>IF(Plantilla_SCAN_EQ3_COUNT_2[[#This Row],[ID MATERIAL]]="","",SIGN(Plantilla_SCAN_EQ3_COUNT_2[[#This Row],[Cantidad]])+A155)</f>
        <v/>
      </c>
      <c r="B156" s="21" t="str">
        <f>IF(Plantilla_SCAN_EQ3_COUNT_2[[#This Row],[ID MATERIAL]]="","",B155)</f>
        <v/>
      </c>
      <c r="C156" s="21"/>
      <c r="D156" s="21"/>
      <c r="E156" s="7" t="str">
        <f>IF(Plantilla_SCAN_EQ3_COUNT_2[[#This Row],[ID MATERIAL]]="","",VLOOKUP(Plantilla_SCAN_EQ3_COUNT_2[[#This Row],[ID MATERIAL]],INVENTARIO!$A:$D,2,FALSE))</f>
        <v/>
      </c>
      <c r="F156" s="7" t="str">
        <f>IF(Plantilla_SCAN_EQ3_COUNT_2[[#This Row],[ID MATERIAL]]="","",IF(Plantilla_SCAN_EQ3_COUNT_2[[#This Row],[No. Empaques]]="",1,Plantilla_SCAN_EQ3_COUNT_2[[#This Row],[No. Empaques]]*1))</f>
        <v/>
      </c>
      <c r="G156" s="7" t="str">
        <f>IF(Plantilla_SCAN_EQ3_COUNT_2[[#This Row],[ID MATERIAL]]="","","PZ")</f>
        <v/>
      </c>
      <c r="H156" s="7" t="str">
        <f>IF(Plantilla_SCAN_EQ3_COUNT_2[[#This Row],[ID MATERIAL]]="","",$B$13)</f>
        <v/>
      </c>
      <c r="I156" s="7" t="str">
        <f>IF(Plantilla_SCAN_EQ3_COUNT_2[[#This Row],[ID MATERIAL]]="","","Segundo Conteo")</f>
        <v/>
      </c>
    </row>
    <row r="157" spans="1:9" s="7" customFormat="1" ht="15" x14ac:dyDescent="0.2">
      <c r="A157" s="7" t="str">
        <f>IF(Plantilla_SCAN_EQ3_COUNT_2[[#This Row],[ID MATERIAL]]="","",SIGN(Plantilla_SCAN_EQ3_COUNT_2[[#This Row],[Cantidad]])+A156)</f>
        <v/>
      </c>
      <c r="B157" s="21" t="str">
        <f>IF(Plantilla_SCAN_EQ3_COUNT_2[[#This Row],[ID MATERIAL]]="","",B156)</f>
        <v/>
      </c>
      <c r="C157" s="21"/>
      <c r="D157" s="21"/>
      <c r="E157" s="7" t="str">
        <f>IF(Plantilla_SCAN_EQ3_COUNT_2[[#This Row],[ID MATERIAL]]="","",VLOOKUP(Plantilla_SCAN_EQ3_COUNT_2[[#This Row],[ID MATERIAL]],INVENTARIO!$A:$D,2,FALSE))</f>
        <v/>
      </c>
      <c r="F157" s="7" t="str">
        <f>IF(Plantilla_SCAN_EQ3_COUNT_2[[#This Row],[ID MATERIAL]]="","",IF(Plantilla_SCAN_EQ3_COUNT_2[[#This Row],[No. Empaques]]="",1,Plantilla_SCAN_EQ3_COUNT_2[[#This Row],[No. Empaques]]*1))</f>
        <v/>
      </c>
      <c r="G157" s="7" t="str">
        <f>IF(Plantilla_SCAN_EQ3_COUNT_2[[#This Row],[ID MATERIAL]]="","","PZ")</f>
        <v/>
      </c>
      <c r="H157" s="7" t="str">
        <f>IF(Plantilla_SCAN_EQ3_COUNT_2[[#This Row],[ID MATERIAL]]="","",$B$13)</f>
        <v/>
      </c>
      <c r="I157" s="7" t="str">
        <f>IF(Plantilla_SCAN_EQ3_COUNT_2[[#This Row],[ID MATERIAL]]="","","Segundo Conteo")</f>
        <v/>
      </c>
    </row>
    <row r="158" spans="1:9" s="7" customFormat="1" ht="15" x14ac:dyDescent="0.2">
      <c r="A158" s="7" t="str">
        <f>IF(Plantilla_SCAN_EQ3_COUNT_2[[#This Row],[ID MATERIAL]]="","",SIGN(Plantilla_SCAN_EQ3_COUNT_2[[#This Row],[Cantidad]])+A157)</f>
        <v/>
      </c>
      <c r="B158" s="21" t="str">
        <f>IF(Plantilla_SCAN_EQ3_COUNT_2[[#This Row],[ID MATERIAL]]="","",B157)</f>
        <v/>
      </c>
      <c r="C158" s="21"/>
      <c r="D158" s="21"/>
      <c r="E158" s="7" t="str">
        <f>IF(Plantilla_SCAN_EQ3_COUNT_2[[#This Row],[ID MATERIAL]]="","",VLOOKUP(Plantilla_SCAN_EQ3_COUNT_2[[#This Row],[ID MATERIAL]],INVENTARIO!$A:$D,2,FALSE))</f>
        <v/>
      </c>
      <c r="F158" s="7" t="str">
        <f>IF(Plantilla_SCAN_EQ3_COUNT_2[[#This Row],[ID MATERIAL]]="","",IF(Plantilla_SCAN_EQ3_COUNT_2[[#This Row],[No. Empaques]]="",1,Plantilla_SCAN_EQ3_COUNT_2[[#This Row],[No. Empaques]]*1))</f>
        <v/>
      </c>
      <c r="G158" s="7" t="str">
        <f>IF(Plantilla_SCAN_EQ3_COUNT_2[[#This Row],[ID MATERIAL]]="","","PZ")</f>
        <v/>
      </c>
      <c r="H158" s="7" t="str">
        <f>IF(Plantilla_SCAN_EQ3_COUNT_2[[#This Row],[ID MATERIAL]]="","",$B$13)</f>
        <v/>
      </c>
      <c r="I158" s="7" t="str">
        <f>IF(Plantilla_SCAN_EQ3_COUNT_2[[#This Row],[ID MATERIAL]]="","","Segundo Conteo")</f>
        <v/>
      </c>
    </row>
    <row r="159" spans="1:9" s="7" customFormat="1" ht="15" x14ac:dyDescent="0.2">
      <c r="A159" s="7" t="str">
        <f>IF(Plantilla_SCAN_EQ3_COUNT_2[[#This Row],[ID MATERIAL]]="","",SIGN(Plantilla_SCAN_EQ3_COUNT_2[[#This Row],[Cantidad]])+A158)</f>
        <v/>
      </c>
      <c r="B159" s="21" t="str">
        <f>IF(Plantilla_SCAN_EQ3_COUNT_2[[#This Row],[ID MATERIAL]]="","",B158)</f>
        <v/>
      </c>
      <c r="C159" s="21"/>
      <c r="D159" s="21"/>
      <c r="E159" s="7" t="str">
        <f>IF(Plantilla_SCAN_EQ3_COUNT_2[[#This Row],[ID MATERIAL]]="","",VLOOKUP(Plantilla_SCAN_EQ3_COUNT_2[[#This Row],[ID MATERIAL]],INVENTARIO!$A:$D,2,FALSE))</f>
        <v/>
      </c>
      <c r="F159" s="7" t="str">
        <f>IF(Plantilla_SCAN_EQ3_COUNT_2[[#This Row],[ID MATERIAL]]="","",IF(Plantilla_SCAN_EQ3_COUNT_2[[#This Row],[No. Empaques]]="",1,Plantilla_SCAN_EQ3_COUNT_2[[#This Row],[No. Empaques]]*1))</f>
        <v/>
      </c>
      <c r="G159" s="7" t="str">
        <f>IF(Plantilla_SCAN_EQ3_COUNT_2[[#This Row],[ID MATERIAL]]="","","PZ")</f>
        <v/>
      </c>
      <c r="H159" s="7" t="str">
        <f>IF(Plantilla_SCAN_EQ3_COUNT_2[[#This Row],[ID MATERIAL]]="","",$B$13)</f>
        <v/>
      </c>
      <c r="I159" s="7" t="str">
        <f>IF(Plantilla_SCAN_EQ3_COUNT_2[[#This Row],[ID MATERIAL]]="","","Segundo Conteo")</f>
        <v/>
      </c>
    </row>
    <row r="160" spans="1:9" s="7" customFormat="1" ht="15" x14ac:dyDescent="0.2">
      <c r="A160" s="7" t="str">
        <f>IF(Plantilla_SCAN_EQ3_COUNT_2[[#This Row],[ID MATERIAL]]="","",SIGN(Plantilla_SCAN_EQ3_COUNT_2[[#This Row],[Cantidad]])+A159)</f>
        <v/>
      </c>
      <c r="B160" s="21" t="str">
        <f>IF(Plantilla_SCAN_EQ3_COUNT_2[[#This Row],[ID MATERIAL]]="","",B159)</f>
        <v/>
      </c>
      <c r="C160" s="21"/>
      <c r="D160" s="21"/>
      <c r="E160" s="7" t="str">
        <f>IF(Plantilla_SCAN_EQ3_COUNT_2[[#This Row],[ID MATERIAL]]="","",VLOOKUP(Plantilla_SCAN_EQ3_COUNT_2[[#This Row],[ID MATERIAL]],INVENTARIO!$A:$D,2,FALSE))</f>
        <v/>
      </c>
      <c r="F160" s="7" t="str">
        <f>IF(Plantilla_SCAN_EQ3_COUNT_2[[#This Row],[ID MATERIAL]]="","",IF(Plantilla_SCAN_EQ3_COUNT_2[[#This Row],[No. Empaques]]="",1,Plantilla_SCAN_EQ3_COUNT_2[[#This Row],[No. Empaques]]*1))</f>
        <v/>
      </c>
      <c r="G160" s="7" t="str">
        <f>IF(Plantilla_SCAN_EQ3_COUNT_2[[#This Row],[ID MATERIAL]]="","","PZ")</f>
        <v/>
      </c>
      <c r="H160" s="7" t="str">
        <f>IF(Plantilla_SCAN_EQ3_COUNT_2[[#This Row],[ID MATERIAL]]="","",$B$13)</f>
        <v/>
      </c>
      <c r="I160" s="7" t="str">
        <f>IF(Plantilla_SCAN_EQ3_COUNT_2[[#This Row],[ID MATERIAL]]="","","Segundo Conteo")</f>
        <v/>
      </c>
    </row>
    <row r="161" spans="1:9" s="7" customFormat="1" ht="15" x14ac:dyDescent="0.2">
      <c r="A161" s="7" t="str">
        <f>IF(Plantilla_SCAN_EQ3_COUNT_2[[#This Row],[ID MATERIAL]]="","",SIGN(Plantilla_SCAN_EQ3_COUNT_2[[#This Row],[Cantidad]])+A160)</f>
        <v/>
      </c>
      <c r="B161" s="21" t="str">
        <f>IF(Plantilla_SCAN_EQ3_COUNT_2[[#This Row],[ID MATERIAL]]="","",B160)</f>
        <v/>
      </c>
      <c r="C161" s="21"/>
      <c r="D161" s="21"/>
      <c r="E161" s="7" t="str">
        <f>IF(Plantilla_SCAN_EQ3_COUNT_2[[#This Row],[ID MATERIAL]]="","",VLOOKUP(Plantilla_SCAN_EQ3_COUNT_2[[#This Row],[ID MATERIAL]],INVENTARIO!$A:$D,2,FALSE))</f>
        <v/>
      </c>
      <c r="F161" s="7" t="str">
        <f>IF(Plantilla_SCAN_EQ3_COUNT_2[[#This Row],[ID MATERIAL]]="","",IF(Plantilla_SCAN_EQ3_COUNT_2[[#This Row],[No. Empaques]]="",1,Plantilla_SCAN_EQ3_COUNT_2[[#This Row],[No. Empaques]]*1))</f>
        <v/>
      </c>
      <c r="G161" s="7" t="str">
        <f>IF(Plantilla_SCAN_EQ3_COUNT_2[[#This Row],[ID MATERIAL]]="","","PZ")</f>
        <v/>
      </c>
      <c r="H161" s="7" t="str">
        <f>IF(Plantilla_SCAN_EQ3_COUNT_2[[#This Row],[ID MATERIAL]]="","",$B$13)</f>
        <v/>
      </c>
      <c r="I161" s="7" t="str">
        <f>IF(Plantilla_SCAN_EQ3_COUNT_2[[#This Row],[ID MATERIAL]]="","","Segundo Conteo")</f>
        <v/>
      </c>
    </row>
    <row r="162" spans="1:9" s="7" customFormat="1" ht="15" x14ac:dyDescent="0.2">
      <c r="A162" s="7" t="str">
        <f>IF(Plantilla_SCAN_EQ3_COUNT_2[[#This Row],[ID MATERIAL]]="","",SIGN(Plantilla_SCAN_EQ3_COUNT_2[[#This Row],[Cantidad]])+A161)</f>
        <v/>
      </c>
      <c r="B162" s="21" t="str">
        <f>IF(Plantilla_SCAN_EQ3_COUNT_2[[#This Row],[ID MATERIAL]]="","",B161)</f>
        <v/>
      </c>
      <c r="C162" s="21"/>
      <c r="D162" s="21"/>
      <c r="E162" s="7" t="str">
        <f>IF(Plantilla_SCAN_EQ3_COUNT_2[[#This Row],[ID MATERIAL]]="","",VLOOKUP(Plantilla_SCAN_EQ3_COUNT_2[[#This Row],[ID MATERIAL]],INVENTARIO!$A:$D,2,FALSE))</f>
        <v/>
      </c>
      <c r="F162" s="7" t="str">
        <f>IF(Plantilla_SCAN_EQ3_COUNT_2[[#This Row],[ID MATERIAL]]="","",IF(Plantilla_SCAN_EQ3_COUNT_2[[#This Row],[No. Empaques]]="",1,Plantilla_SCAN_EQ3_COUNT_2[[#This Row],[No. Empaques]]*1))</f>
        <v/>
      </c>
      <c r="G162" s="7" t="str">
        <f>IF(Plantilla_SCAN_EQ3_COUNT_2[[#This Row],[ID MATERIAL]]="","","PZ")</f>
        <v/>
      </c>
      <c r="H162" s="7" t="str">
        <f>IF(Plantilla_SCAN_EQ3_COUNT_2[[#This Row],[ID MATERIAL]]="","",$B$13)</f>
        <v/>
      </c>
      <c r="I162" s="7" t="str">
        <f>IF(Plantilla_SCAN_EQ3_COUNT_2[[#This Row],[ID MATERIAL]]="","","Segundo Conteo")</f>
        <v/>
      </c>
    </row>
    <row r="163" spans="1:9" s="7" customFormat="1" ht="15" x14ac:dyDescent="0.2">
      <c r="A163" s="7" t="str">
        <f>IF(Plantilla_SCAN_EQ3_COUNT_2[[#This Row],[ID MATERIAL]]="","",SIGN(Plantilla_SCAN_EQ3_COUNT_2[[#This Row],[Cantidad]])+A162)</f>
        <v/>
      </c>
      <c r="B163" s="21" t="str">
        <f>IF(Plantilla_SCAN_EQ3_COUNT_2[[#This Row],[ID MATERIAL]]="","",B162)</f>
        <v/>
      </c>
      <c r="C163" s="21"/>
      <c r="D163" s="21"/>
      <c r="E163" s="7" t="str">
        <f>IF(Plantilla_SCAN_EQ3_COUNT_2[[#This Row],[ID MATERIAL]]="","",VLOOKUP(Plantilla_SCAN_EQ3_COUNT_2[[#This Row],[ID MATERIAL]],INVENTARIO!$A:$D,2,FALSE))</f>
        <v/>
      </c>
      <c r="F163" s="7" t="str">
        <f>IF(Plantilla_SCAN_EQ3_COUNT_2[[#This Row],[ID MATERIAL]]="","",IF(Plantilla_SCAN_EQ3_COUNT_2[[#This Row],[No. Empaques]]="",1,Plantilla_SCAN_EQ3_COUNT_2[[#This Row],[No. Empaques]]*1))</f>
        <v/>
      </c>
      <c r="G163" s="7" t="str">
        <f>IF(Plantilla_SCAN_EQ3_COUNT_2[[#This Row],[ID MATERIAL]]="","","PZ")</f>
        <v/>
      </c>
      <c r="H163" s="7" t="str">
        <f>IF(Plantilla_SCAN_EQ3_COUNT_2[[#This Row],[ID MATERIAL]]="","",$B$13)</f>
        <v/>
      </c>
      <c r="I163" s="7" t="str">
        <f>IF(Plantilla_SCAN_EQ3_COUNT_2[[#This Row],[ID MATERIAL]]="","","Segundo Conteo")</f>
        <v/>
      </c>
    </row>
    <row r="164" spans="1:9" s="7" customFormat="1" ht="15" x14ac:dyDescent="0.2">
      <c r="A164" s="7" t="str">
        <f>IF(Plantilla_SCAN_EQ3_COUNT_2[[#This Row],[ID MATERIAL]]="","",SIGN(Plantilla_SCAN_EQ3_COUNT_2[[#This Row],[Cantidad]])+A163)</f>
        <v/>
      </c>
      <c r="B164" s="21" t="str">
        <f>IF(Plantilla_SCAN_EQ3_COUNT_2[[#This Row],[ID MATERIAL]]="","",B163)</f>
        <v/>
      </c>
      <c r="C164" s="21"/>
      <c r="D164" s="21"/>
      <c r="E164" s="7" t="str">
        <f>IF(Plantilla_SCAN_EQ3_COUNT_2[[#This Row],[ID MATERIAL]]="","",VLOOKUP(Plantilla_SCAN_EQ3_COUNT_2[[#This Row],[ID MATERIAL]],INVENTARIO!$A:$D,2,FALSE))</f>
        <v/>
      </c>
      <c r="F164" s="7" t="str">
        <f>IF(Plantilla_SCAN_EQ3_COUNT_2[[#This Row],[ID MATERIAL]]="","",IF(Plantilla_SCAN_EQ3_COUNT_2[[#This Row],[No. Empaques]]="",1,Plantilla_SCAN_EQ3_COUNT_2[[#This Row],[No. Empaques]]*1))</f>
        <v/>
      </c>
      <c r="G164" s="7" t="str">
        <f>IF(Plantilla_SCAN_EQ3_COUNT_2[[#This Row],[ID MATERIAL]]="","","PZ")</f>
        <v/>
      </c>
      <c r="H164" s="7" t="str">
        <f>IF(Plantilla_SCAN_EQ3_COUNT_2[[#This Row],[ID MATERIAL]]="","",$B$13)</f>
        <v/>
      </c>
      <c r="I164" s="7" t="str">
        <f>IF(Plantilla_SCAN_EQ3_COUNT_2[[#This Row],[ID MATERIAL]]="","","Segundo Conteo")</f>
        <v/>
      </c>
    </row>
    <row r="165" spans="1:9" s="7" customFormat="1" ht="15" x14ac:dyDescent="0.2">
      <c r="A165" s="7" t="str">
        <f>IF(Plantilla_SCAN_EQ3_COUNT_2[[#This Row],[ID MATERIAL]]="","",SIGN(Plantilla_SCAN_EQ3_COUNT_2[[#This Row],[Cantidad]])+A164)</f>
        <v/>
      </c>
      <c r="B165" s="21" t="str">
        <f>IF(Plantilla_SCAN_EQ3_COUNT_2[[#This Row],[ID MATERIAL]]="","",B164)</f>
        <v/>
      </c>
      <c r="C165" s="21"/>
      <c r="D165" s="21"/>
      <c r="E165" s="7" t="str">
        <f>IF(Plantilla_SCAN_EQ3_COUNT_2[[#This Row],[ID MATERIAL]]="","",VLOOKUP(Plantilla_SCAN_EQ3_COUNT_2[[#This Row],[ID MATERIAL]],INVENTARIO!$A:$D,2,FALSE))</f>
        <v/>
      </c>
      <c r="F165" s="7" t="str">
        <f>IF(Plantilla_SCAN_EQ3_COUNT_2[[#This Row],[ID MATERIAL]]="","",IF(Plantilla_SCAN_EQ3_COUNT_2[[#This Row],[No. Empaques]]="",1,Plantilla_SCAN_EQ3_COUNT_2[[#This Row],[No. Empaques]]*1))</f>
        <v/>
      </c>
      <c r="G165" s="7" t="str">
        <f>IF(Plantilla_SCAN_EQ3_COUNT_2[[#This Row],[ID MATERIAL]]="","","PZ")</f>
        <v/>
      </c>
      <c r="H165" s="7" t="str">
        <f>IF(Plantilla_SCAN_EQ3_COUNT_2[[#This Row],[ID MATERIAL]]="","",$B$13)</f>
        <v/>
      </c>
      <c r="I165" s="7" t="str">
        <f>IF(Plantilla_SCAN_EQ3_COUNT_2[[#This Row],[ID MATERIAL]]="","","Segundo Conteo")</f>
        <v/>
      </c>
    </row>
    <row r="166" spans="1:9" s="7" customFormat="1" ht="15" x14ac:dyDescent="0.2">
      <c r="A166" s="7" t="str">
        <f>IF(Plantilla_SCAN_EQ3_COUNT_2[[#This Row],[ID MATERIAL]]="","",SIGN(Plantilla_SCAN_EQ3_COUNT_2[[#This Row],[Cantidad]])+A165)</f>
        <v/>
      </c>
      <c r="B166" s="21" t="str">
        <f>IF(Plantilla_SCAN_EQ3_COUNT_2[[#This Row],[ID MATERIAL]]="","",B165)</f>
        <v/>
      </c>
      <c r="C166" s="21"/>
      <c r="D166" s="21"/>
      <c r="E166" s="7" t="str">
        <f>IF(Plantilla_SCAN_EQ3_COUNT_2[[#This Row],[ID MATERIAL]]="","",VLOOKUP(Plantilla_SCAN_EQ3_COUNT_2[[#This Row],[ID MATERIAL]],INVENTARIO!$A:$D,2,FALSE))</f>
        <v/>
      </c>
      <c r="F166" s="7" t="str">
        <f>IF(Plantilla_SCAN_EQ3_COUNT_2[[#This Row],[ID MATERIAL]]="","",IF(Plantilla_SCAN_EQ3_COUNT_2[[#This Row],[No. Empaques]]="",1,Plantilla_SCAN_EQ3_COUNT_2[[#This Row],[No. Empaques]]*1))</f>
        <v/>
      </c>
      <c r="G166" s="7" t="str">
        <f>IF(Plantilla_SCAN_EQ3_COUNT_2[[#This Row],[ID MATERIAL]]="","","PZ")</f>
        <v/>
      </c>
      <c r="H166" s="7" t="str">
        <f>IF(Plantilla_SCAN_EQ3_COUNT_2[[#This Row],[ID MATERIAL]]="","",$B$13)</f>
        <v/>
      </c>
      <c r="I166" s="7" t="str">
        <f>IF(Plantilla_SCAN_EQ3_COUNT_2[[#This Row],[ID MATERIAL]]="","","Segundo Conteo")</f>
        <v/>
      </c>
    </row>
    <row r="167" spans="1:9" s="7" customFormat="1" ht="15" x14ac:dyDescent="0.2">
      <c r="A167" s="7" t="str">
        <f>IF(Plantilla_SCAN_EQ3_COUNT_2[[#This Row],[ID MATERIAL]]="","",SIGN(Plantilla_SCAN_EQ3_COUNT_2[[#This Row],[Cantidad]])+A166)</f>
        <v/>
      </c>
      <c r="B167" s="21" t="str">
        <f>IF(Plantilla_SCAN_EQ3_COUNT_2[[#This Row],[ID MATERIAL]]="","",B166)</f>
        <v/>
      </c>
      <c r="C167" s="21"/>
      <c r="D167" s="21"/>
      <c r="E167" s="7" t="str">
        <f>IF(Plantilla_SCAN_EQ3_COUNT_2[[#This Row],[ID MATERIAL]]="","",VLOOKUP(Plantilla_SCAN_EQ3_COUNT_2[[#This Row],[ID MATERIAL]],INVENTARIO!$A:$D,2,FALSE))</f>
        <v/>
      </c>
      <c r="F167" s="7" t="str">
        <f>IF(Plantilla_SCAN_EQ3_COUNT_2[[#This Row],[ID MATERIAL]]="","",IF(Plantilla_SCAN_EQ3_COUNT_2[[#This Row],[No. Empaques]]="",1,Plantilla_SCAN_EQ3_COUNT_2[[#This Row],[No. Empaques]]*1))</f>
        <v/>
      </c>
      <c r="G167" s="7" t="str">
        <f>IF(Plantilla_SCAN_EQ3_COUNT_2[[#This Row],[ID MATERIAL]]="","","PZ")</f>
        <v/>
      </c>
      <c r="H167" s="7" t="str">
        <f>IF(Plantilla_SCAN_EQ3_COUNT_2[[#This Row],[ID MATERIAL]]="","",$B$13)</f>
        <v/>
      </c>
      <c r="I167" s="7" t="str">
        <f>IF(Plantilla_SCAN_EQ3_COUNT_2[[#This Row],[ID MATERIAL]]="","","Segundo Conteo")</f>
        <v/>
      </c>
    </row>
    <row r="168" spans="1:9" s="7" customFormat="1" ht="15" x14ac:dyDescent="0.2">
      <c r="A168" s="7" t="str">
        <f>IF(Plantilla_SCAN_EQ3_COUNT_2[[#This Row],[ID MATERIAL]]="","",SIGN(Plantilla_SCAN_EQ3_COUNT_2[[#This Row],[Cantidad]])+A167)</f>
        <v/>
      </c>
      <c r="B168" s="21" t="str">
        <f>IF(Plantilla_SCAN_EQ3_COUNT_2[[#This Row],[ID MATERIAL]]="","",B167)</f>
        <v/>
      </c>
      <c r="C168" s="21"/>
      <c r="D168" s="21"/>
      <c r="E168" s="7" t="str">
        <f>IF(Plantilla_SCAN_EQ3_COUNT_2[[#This Row],[ID MATERIAL]]="","",VLOOKUP(Plantilla_SCAN_EQ3_COUNT_2[[#This Row],[ID MATERIAL]],INVENTARIO!$A:$D,2,FALSE))</f>
        <v/>
      </c>
      <c r="F168" s="7" t="str">
        <f>IF(Plantilla_SCAN_EQ3_COUNT_2[[#This Row],[ID MATERIAL]]="","",IF(Plantilla_SCAN_EQ3_COUNT_2[[#This Row],[No. Empaques]]="",1,Plantilla_SCAN_EQ3_COUNT_2[[#This Row],[No. Empaques]]*1))</f>
        <v/>
      </c>
      <c r="G168" s="7" t="str">
        <f>IF(Plantilla_SCAN_EQ3_COUNT_2[[#This Row],[ID MATERIAL]]="","","PZ")</f>
        <v/>
      </c>
      <c r="H168" s="7" t="str">
        <f>IF(Plantilla_SCAN_EQ3_COUNT_2[[#This Row],[ID MATERIAL]]="","",$B$13)</f>
        <v/>
      </c>
      <c r="I168" s="7" t="str">
        <f>IF(Plantilla_SCAN_EQ3_COUNT_2[[#This Row],[ID MATERIAL]]="","","Segundo Conteo")</f>
        <v/>
      </c>
    </row>
    <row r="169" spans="1:9" s="7" customFormat="1" ht="15" x14ac:dyDescent="0.2">
      <c r="A169" s="7" t="str">
        <f>IF(Plantilla_SCAN_EQ3_COUNT_2[[#This Row],[ID MATERIAL]]="","",SIGN(Plantilla_SCAN_EQ3_COUNT_2[[#This Row],[Cantidad]])+A168)</f>
        <v/>
      </c>
      <c r="B169" s="21" t="str">
        <f>IF(Plantilla_SCAN_EQ3_COUNT_2[[#This Row],[ID MATERIAL]]="","",B168)</f>
        <v/>
      </c>
      <c r="C169" s="21"/>
      <c r="D169" s="21"/>
      <c r="E169" s="7" t="str">
        <f>IF(Plantilla_SCAN_EQ3_COUNT_2[[#This Row],[ID MATERIAL]]="","",VLOOKUP(Plantilla_SCAN_EQ3_COUNT_2[[#This Row],[ID MATERIAL]],INVENTARIO!$A:$D,2,FALSE))</f>
        <v/>
      </c>
      <c r="F169" s="7" t="str">
        <f>IF(Plantilla_SCAN_EQ3_COUNT_2[[#This Row],[ID MATERIAL]]="","",IF(Plantilla_SCAN_EQ3_COUNT_2[[#This Row],[No. Empaques]]="",1,Plantilla_SCAN_EQ3_COUNT_2[[#This Row],[No. Empaques]]*1))</f>
        <v/>
      </c>
      <c r="G169" s="7" t="str">
        <f>IF(Plantilla_SCAN_EQ3_COUNT_2[[#This Row],[ID MATERIAL]]="","","PZ")</f>
        <v/>
      </c>
      <c r="H169" s="7" t="str">
        <f>IF(Plantilla_SCAN_EQ3_COUNT_2[[#This Row],[ID MATERIAL]]="","",$B$13)</f>
        <v/>
      </c>
      <c r="I169" s="7" t="str">
        <f>IF(Plantilla_SCAN_EQ3_COUNT_2[[#This Row],[ID MATERIAL]]="","","Segundo Conteo")</f>
        <v/>
      </c>
    </row>
    <row r="170" spans="1:9" s="7" customFormat="1" ht="15" x14ac:dyDescent="0.2">
      <c r="A170" s="7" t="str">
        <f>IF(Plantilla_SCAN_EQ3_COUNT_2[[#This Row],[ID MATERIAL]]="","",SIGN(Plantilla_SCAN_EQ3_COUNT_2[[#This Row],[Cantidad]])+A169)</f>
        <v/>
      </c>
      <c r="B170" s="21" t="str">
        <f>IF(Plantilla_SCAN_EQ3_COUNT_2[[#This Row],[ID MATERIAL]]="","",B169)</f>
        <v/>
      </c>
      <c r="C170" s="21"/>
      <c r="D170" s="21"/>
      <c r="E170" s="7" t="str">
        <f>IF(Plantilla_SCAN_EQ3_COUNT_2[[#This Row],[ID MATERIAL]]="","",VLOOKUP(Plantilla_SCAN_EQ3_COUNT_2[[#This Row],[ID MATERIAL]],INVENTARIO!$A:$D,2,FALSE))</f>
        <v/>
      </c>
      <c r="F170" s="7" t="str">
        <f>IF(Plantilla_SCAN_EQ3_COUNT_2[[#This Row],[ID MATERIAL]]="","",IF(Plantilla_SCAN_EQ3_COUNT_2[[#This Row],[No. Empaques]]="",1,Plantilla_SCAN_EQ3_COUNT_2[[#This Row],[No. Empaques]]*1))</f>
        <v/>
      </c>
      <c r="G170" s="7" t="str">
        <f>IF(Plantilla_SCAN_EQ3_COUNT_2[[#This Row],[ID MATERIAL]]="","","PZ")</f>
        <v/>
      </c>
      <c r="H170" s="7" t="str">
        <f>IF(Plantilla_SCAN_EQ3_COUNT_2[[#This Row],[ID MATERIAL]]="","",$B$13)</f>
        <v/>
      </c>
      <c r="I170" s="7" t="str">
        <f>IF(Plantilla_SCAN_EQ3_COUNT_2[[#This Row],[ID MATERIAL]]="","","Segundo Conteo")</f>
        <v/>
      </c>
    </row>
    <row r="171" spans="1:9" s="7" customFormat="1" ht="15" x14ac:dyDescent="0.2">
      <c r="A171" s="7" t="str">
        <f>IF(Plantilla_SCAN_EQ3_COUNT_2[[#This Row],[ID MATERIAL]]="","",SIGN(Plantilla_SCAN_EQ3_COUNT_2[[#This Row],[Cantidad]])+A170)</f>
        <v/>
      </c>
      <c r="B171" s="21" t="str">
        <f>IF(Plantilla_SCAN_EQ3_COUNT_2[[#This Row],[ID MATERIAL]]="","",B170)</f>
        <v/>
      </c>
      <c r="C171" s="21"/>
      <c r="D171" s="21"/>
      <c r="E171" s="7" t="str">
        <f>IF(Plantilla_SCAN_EQ3_COUNT_2[[#This Row],[ID MATERIAL]]="","",VLOOKUP(Plantilla_SCAN_EQ3_COUNT_2[[#This Row],[ID MATERIAL]],INVENTARIO!$A:$D,2,FALSE))</f>
        <v/>
      </c>
      <c r="F171" s="7" t="str">
        <f>IF(Plantilla_SCAN_EQ3_COUNT_2[[#This Row],[ID MATERIAL]]="","",IF(Plantilla_SCAN_EQ3_COUNT_2[[#This Row],[No. Empaques]]="",1,Plantilla_SCAN_EQ3_COUNT_2[[#This Row],[No. Empaques]]*1))</f>
        <v/>
      </c>
      <c r="G171" s="7" t="str">
        <f>IF(Plantilla_SCAN_EQ3_COUNT_2[[#This Row],[ID MATERIAL]]="","","PZ")</f>
        <v/>
      </c>
      <c r="H171" s="7" t="str">
        <f>IF(Plantilla_SCAN_EQ3_COUNT_2[[#This Row],[ID MATERIAL]]="","",$B$13)</f>
        <v/>
      </c>
      <c r="I171" s="7" t="str">
        <f>IF(Plantilla_SCAN_EQ3_COUNT_2[[#This Row],[ID MATERIAL]]="","","Segundo Conteo")</f>
        <v/>
      </c>
    </row>
    <row r="172" spans="1:9" s="7" customFormat="1" ht="15" x14ac:dyDescent="0.2">
      <c r="A172" s="7" t="str">
        <f>IF(Plantilla_SCAN_EQ3_COUNT_2[[#This Row],[ID MATERIAL]]="","",SIGN(Plantilla_SCAN_EQ3_COUNT_2[[#This Row],[Cantidad]])+A171)</f>
        <v/>
      </c>
      <c r="B172" s="21" t="str">
        <f>IF(Plantilla_SCAN_EQ3_COUNT_2[[#This Row],[ID MATERIAL]]="","",B171)</f>
        <v/>
      </c>
      <c r="C172" s="21"/>
      <c r="D172" s="21"/>
      <c r="E172" s="7" t="str">
        <f>IF(Plantilla_SCAN_EQ3_COUNT_2[[#This Row],[ID MATERIAL]]="","",VLOOKUP(Plantilla_SCAN_EQ3_COUNT_2[[#This Row],[ID MATERIAL]],INVENTARIO!$A:$D,2,FALSE))</f>
        <v/>
      </c>
      <c r="F172" s="7" t="str">
        <f>IF(Plantilla_SCAN_EQ3_COUNT_2[[#This Row],[ID MATERIAL]]="","",IF(Plantilla_SCAN_EQ3_COUNT_2[[#This Row],[No. Empaques]]="",1,Plantilla_SCAN_EQ3_COUNT_2[[#This Row],[No. Empaques]]*1))</f>
        <v/>
      </c>
      <c r="G172" s="7" t="str">
        <f>IF(Plantilla_SCAN_EQ3_COUNT_2[[#This Row],[ID MATERIAL]]="","","PZ")</f>
        <v/>
      </c>
      <c r="H172" s="7" t="str">
        <f>IF(Plantilla_SCAN_EQ3_COUNT_2[[#This Row],[ID MATERIAL]]="","",$B$13)</f>
        <v/>
      </c>
      <c r="I172" s="7" t="str">
        <f>IF(Plantilla_SCAN_EQ3_COUNT_2[[#This Row],[ID MATERIAL]]="","","Segundo Conteo")</f>
        <v/>
      </c>
    </row>
    <row r="173" spans="1:9" s="7" customFormat="1" ht="15" x14ac:dyDescent="0.2">
      <c r="A173" s="7" t="str">
        <f>IF(Plantilla_SCAN_EQ3_COUNT_2[[#This Row],[ID MATERIAL]]="","",SIGN(Plantilla_SCAN_EQ3_COUNT_2[[#This Row],[Cantidad]])+A172)</f>
        <v/>
      </c>
      <c r="B173" s="21" t="str">
        <f>IF(Plantilla_SCAN_EQ3_COUNT_2[[#This Row],[ID MATERIAL]]="","",B172)</f>
        <v/>
      </c>
      <c r="C173" s="21"/>
      <c r="D173" s="21"/>
      <c r="E173" s="7" t="str">
        <f>IF(Plantilla_SCAN_EQ3_COUNT_2[[#This Row],[ID MATERIAL]]="","",VLOOKUP(Plantilla_SCAN_EQ3_COUNT_2[[#This Row],[ID MATERIAL]],INVENTARIO!$A:$D,2,FALSE))</f>
        <v/>
      </c>
      <c r="F173" s="7" t="str">
        <f>IF(Plantilla_SCAN_EQ3_COUNT_2[[#This Row],[ID MATERIAL]]="","",IF(Plantilla_SCAN_EQ3_COUNT_2[[#This Row],[No. Empaques]]="",1,Plantilla_SCAN_EQ3_COUNT_2[[#This Row],[No. Empaques]]*1))</f>
        <v/>
      </c>
      <c r="G173" s="7" t="str">
        <f>IF(Plantilla_SCAN_EQ3_COUNT_2[[#This Row],[ID MATERIAL]]="","","PZ")</f>
        <v/>
      </c>
      <c r="H173" s="7" t="str">
        <f>IF(Plantilla_SCAN_EQ3_COUNT_2[[#This Row],[ID MATERIAL]]="","",$B$13)</f>
        <v/>
      </c>
      <c r="I173" s="7" t="str">
        <f>IF(Plantilla_SCAN_EQ3_COUNT_2[[#This Row],[ID MATERIAL]]="","","Segundo Conteo")</f>
        <v/>
      </c>
    </row>
    <row r="174" spans="1:9" s="7" customFormat="1" ht="15" x14ac:dyDescent="0.2">
      <c r="A174" s="7" t="str">
        <f>IF(Plantilla_SCAN_EQ3_COUNT_2[[#This Row],[ID MATERIAL]]="","",SIGN(Plantilla_SCAN_EQ3_COUNT_2[[#This Row],[Cantidad]])+A173)</f>
        <v/>
      </c>
      <c r="B174" s="21" t="str">
        <f>IF(Plantilla_SCAN_EQ3_COUNT_2[[#This Row],[ID MATERIAL]]="","",B173)</f>
        <v/>
      </c>
      <c r="C174" s="21"/>
      <c r="D174" s="21"/>
      <c r="E174" s="7" t="str">
        <f>IF(Plantilla_SCAN_EQ3_COUNT_2[[#This Row],[ID MATERIAL]]="","",VLOOKUP(Plantilla_SCAN_EQ3_COUNT_2[[#This Row],[ID MATERIAL]],INVENTARIO!$A:$D,2,FALSE))</f>
        <v/>
      </c>
      <c r="F174" s="7" t="str">
        <f>IF(Plantilla_SCAN_EQ3_COUNT_2[[#This Row],[ID MATERIAL]]="","",IF(Plantilla_SCAN_EQ3_COUNT_2[[#This Row],[No. Empaques]]="",1,Plantilla_SCAN_EQ3_COUNT_2[[#This Row],[No. Empaques]]*1))</f>
        <v/>
      </c>
      <c r="G174" s="7" t="str">
        <f>IF(Plantilla_SCAN_EQ3_COUNT_2[[#This Row],[ID MATERIAL]]="","","PZ")</f>
        <v/>
      </c>
      <c r="H174" s="7" t="str">
        <f>IF(Plantilla_SCAN_EQ3_COUNT_2[[#This Row],[ID MATERIAL]]="","",$B$13)</f>
        <v/>
      </c>
      <c r="I174" s="7" t="str">
        <f>IF(Plantilla_SCAN_EQ3_COUNT_2[[#This Row],[ID MATERIAL]]="","","Segundo Conteo")</f>
        <v/>
      </c>
    </row>
    <row r="175" spans="1:9" s="7" customFormat="1" ht="15" x14ac:dyDescent="0.2">
      <c r="A175" s="7" t="str">
        <f>IF(Plantilla_SCAN_EQ3_COUNT_2[[#This Row],[ID MATERIAL]]="","",SIGN(Plantilla_SCAN_EQ3_COUNT_2[[#This Row],[Cantidad]])+A174)</f>
        <v/>
      </c>
      <c r="B175" s="21" t="str">
        <f>IF(Plantilla_SCAN_EQ3_COUNT_2[[#This Row],[ID MATERIAL]]="","",B174)</f>
        <v/>
      </c>
      <c r="C175" s="21"/>
      <c r="D175" s="21"/>
      <c r="E175" s="7" t="str">
        <f>IF(Plantilla_SCAN_EQ3_COUNT_2[[#This Row],[ID MATERIAL]]="","",VLOOKUP(Plantilla_SCAN_EQ3_COUNT_2[[#This Row],[ID MATERIAL]],INVENTARIO!$A:$D,2,FALSE))</f>
        <v/>
      </c>
      <c r="F175" s="7" t="str">
        <f>IF(Plantilla_SCAN_EQ3_COUNT_2[[#This Row],[ID MATERIAL]]="","",IF(Plantilla_SCAN_EQ3_COUNT_2[[#This Row],[No. Empaques]]="",1,Plantilla_SCAN_EQ3_COUNT_2[[#This Row],[No. Empaques]]*1))</f>
        <v/>
      </c>
      <c r="G175" s="7" t="str">
        <f>IF(Plantilla_SCAN_EQ3_COUNT_2[[#This Row],[ID MATERIAL]]="","","PZ")</f>
        <v/>
      </c>
      <c r="H175" s="7" t="str">
        <f>IF(Plantilla_SCAN_EQ3_COUNT_2[[#This Row],[ID MATERIAL]]="","",$B$13)</f>
        <v/>
      </c>
      <c r="I175" s="7" t="str">
        <f>IF(Plantilla_SCAN_EQ3_COUNT_2[[#This Row],[ID MATERIAL]]="","","Segundo Conteo")</f>
        <v/>
      </c>
    </row>
    <row r="176" spans="1:9" s="7" customFormat="1" ht="15" x14ac:dyDescent="0.2">
      <c r="A176" s="7" t="str">
        <f>IF(Plantilla_SCAN_EQ3_COUNT_2[[#This Row],[ID MATERIAL]]="","",SIGN(Plantilla_SCAN_EQ3_COUNT_2[[#This Row],[Cantidad]])+A175)</f>
        <v/>
      </c>
      <c r="B176" s="21" t="str">
        <f>IF(Plantilla_SCAN_EQ3_COUNT_2[[#This Row],[ID MATERIAL]]="","",B175)</f>
        <v/>
      </c>
      <c r="C176" s="21"/>
      <c r="D176" s="21"/>
      <c r="E176" s="7" t="str">
        <f>IF(Plantilla_SCAN_EQ3_COUNT_2[[#This Row],[ID MATERIAL]]="","",VLOOKUP(Plantilla_SCAN_EQ3_COUNT_2[[#This Row],[ID MATERIAL]],INVENTARIO!$A:$D,2,FALSE))</f>
        <v/>
      </c>
      <c r="F176" s="7" t="str">
        <f>IF(Plantilla_SCAN_EQ3_COUNT_2[[#This Row],[ID MATERIAL]]="","",IF(Plantilla_SCAN_EQ3_COUNT_2[[#This Row],[No. Empaques]]="",1,Plantilla_SCAN_EQ3_COUNT_2[[#This Row],[No. Empaques]]*1))</f>
        <v/>
      </c>
      <c r="G176" s="7" t="str">
        <f>IF(Plantilla_SCAN_EQ3_COUNT_2[[#This Row],[ID MATERIAL]]="","","PZ")</f>
        <v/>
      </c>
      <c r="H176" s="7" t="str">
        <f>IF(Plantilla_SCAN_EQ3_COUNT_2[[#This Row],[ID MATERIAL]]="","",$B$13)</f>
        <v/>
      </c>
      <c r="I176" s="7" t="str">
        <f>IF(Plantilla_SCAN_EQ3_COUNT_2[[#This Row],[ID MATERIAL]]="","","Segundo Conteo")</f>
        <v/>
      </c>
    </row>
    <row r="177" spans="1:9" s="7" customFormat="1" ht="15" x14ac:dyDescent="0.2">
      <c r="A177" s="7" t="str">
        <f>IF(Plantilla_SCAN_EQ3_COUNT_2[[#This Row],[ID MATERIAL]]="","",SIGN(Plantilla_SCAN_EQ3_COUNT_2[[#This Row],[Cantidad]])+A176)</f>
        <v/>
      </c>
      <c r="B177" s="21" t="str">
        <f>IF(Plantilla_SCAN_EQ3_COUNT_2[[#This Row],[ID MATERIAL]]="","",B176)</f>
        <v/>
      </c>
      <c r="C177" s="21"/>
      <c r="D177" s="21"/>
      <c r="E177" s="7" t="str">
        <f>IF(Plantilla_SCAN_EQ3_COUNT_2[[#This Row],[ID MATERIAL]]="","",VLOOKUP(Plantilla_SCAN_EQ3_COUNT_2[[#This Row],[ID MATERIAL]],INVENTARIO!$A:$D,2,FALSE))</f>
        <v/>
      </c>
      <c r="F177" s="7" t="str">
        <f>IF(Plantilla_SCAN_EQ3_COUNT_2[[#This Row],[ID MATERIAL]]="","",IF(Plantilla_SCAN_EQ3_COUNT_2[[#This Row],[No. Empaques]]="",1,Plantilla_SCAN_EQ3_COUNT_2[[#This Row],[No. Empaques]]*1))</f>
        <v/>
      </c>
      <c r="G177" s="7" t="str">
        <f>IF(Plantilla_SCAN_EQ3_COUNT_2[[#This Row],[ID MATERIAL]]="","","PZ")</f>
        <v/>
      </c>
      <c r="H177" s="7" t="str">
        <f>IF(Plantilla_SCAN_EQ3_COUNT_2[[#This Row],[ID MATERIAL]]="","",$B$13)</f>
        <v/>
      </c>
      <c r="I177" s="7" t="str">
        <f>IF(Plantilla_SCAN_EQ3_COUNT_2[[#This Row],[ID MATERIAL]]="","","Segundo Conteo")</f>
        <v/>
      </c>
    </row>
    <row r="178" spans="1:9" s="7" customFormat="1" ht="15" x14ac:dyDescent="0.2">
      <c r="A178" s="7" t="str">
        <f>IF(Plantilla_SCAN_EQ3_COUNT_2[[#This Row],[ID MATERIAL]]="","",SIGN(Plantilla_SCAN_EQ3_COUNT_2[[#This Row],[Cantidad]])+A177)</f>
        <v/>
      </c>
      <c r="B178" s="21" t="str">
        <f>IF(Plantilla_SCAN_EQ3_COUNT_2[[#This Row],[ID MATERIAL]]="","",B177)</f>
        <v/>
      </c>
      <c r="C178" s="21"/>
      <c r="D178" s="21"/>
      <c r="E178" s="7" t="str">
        <f>IF(Plantilla_SCAN_EQ3_COUNT_2[[#This Row],[ID MATERIAL]]="","",VLOOKUP(Plantilla_SCAN_EQ3_COUNT_2[[#This Row],[ID MATERIAL]],INVENTARIO!$A:$D,2,FALSE))</f>
        <v/>
      </c>
      <c r="F178" s="7" t="str">
        <f>IF(Plantilla_SCAN_EQ3_COUNT_2[[#This Row],[ID MATERIAL]]="","",IF(Plantilla_SCAN_EQ3_COUNT_2[[#This Row],[No. Empaques]]="",1,Plantilla_SCAN_EQ3_COUNT_2[[#This Row],[No. Empaques]]*1))</f>
        <v/>
      </c>
      <c r="G178" s="7" t="str">
        <f>IF(Plantilla_SCAN_EQ3_COUNT_2[[#This Row],[ID MATERIAL]]="","","PZ")</f>
        <v/>
      </c>
      <c r="H178" s="7" t="str">
        <f>IF(Plantilla_SCAN_EQ3_COUNT_2[[#This Row],[ID MATERIAL]]="","",$B$13)</f>
        <v/>
      </c>
      <c r="I178" s="7" t="str">
        <f>IF(Plantilla_SCAN_EQ3_COUNT_2[[#This Row],[ID MATERIAL]]="","","Segundo Conteo")</f>
        <v/>
      </c>
    </row>
    <row r="179" spans="1:9" s="7" customFormat="1" ht="15" x14ac:dyDescent="0.2">
      <c r="A179" s="7" t="str">
        <f>IF(Plantilla_SCAN_EQ3_COUNT_2[[#This Row],[ID MATERIAL]]="","",SIGN(Plantilla_SCAN_EQ3_COUNT_2[[#This Row],[Cantidad]])+A178)</f>
        <v/>
      </c>
      <c r="B179" s="21" t="str">
        <f>IF(Plantilla_SCAN_EQ3_COUNT_2[[#This Row],[ID MATERIAL]]="","",B178)</f>
        <v/>
      </c>
      <c r="C179" s="21"/>
      <c r="D179" s="21"/>
      <c r="E179" s="7" t="str">
        <f>IF(Plantilla_SCAN_EQ3_COUNT_2[[#This Row],[ID MATERIAL]]="","",VLOOKUP(Plantilla_SCAN_EQ3_COUNT_2[[#This Row],[ID MATERIAL]],INVENTARIO!$A:$D,2,FALSE))</f>
        <v/>
      </c>
      <c r="F179" s="7" t="str">
        <f>IF(Plantilla_SCAN_EQ3_COUNT_2[[#This Row],[ID MATERIAL]]="","",IF(Plantilla_SCAN_EQ3_COUNT_2[[#This Row],[No. Empaques]]="",1,Plantilla_SCAN_EQ3_COUNT_2[[#This Row],[No. Empaques]]*1))</f>
        <v/>
      </c>
      <c r="G179" s="7" t="str">
        <f>IF(Plantilla_SCAN_EQ3_COUNT_2[[#This Row],[ID MATERIAL]]="","","PZ")</f>
        <v/>
      </c>
      <c r="H179" s="7" t="str">
        <f>IF(Plantilla_SCAN_EQ3_COUNT_2[[#This Row],[ID MATERIAL]]="","",$B$13)</f>
        <v/>
      </c>
      <c r="I179" s="7" t="str">
        <f>IF(Plantilla_SCAN_EQ3_COUNT_2[[#This Row],[ID MATERIAL]]="","","Segundo Conteo")</f>
        <v/>
      </c>
    </row>
    <row r="180" spans="1:9" s="7" customFormat="1" ht="15" x14ac:dyDescent="0.2">
      <c r="A180" s="7" t="str">
        <f>IF(Plantilla_SCAN_EQ3_COUNT_2[[#This Row],[ID MATERIAL]]="","",SIGN(Plantilla_SCAN_EQ3_COUNT_2[[#This Row],[Cantidad]])+A179)</f>
        <v/>
      </c>
      <c r="B180" s="21" t="str">
        <f>IF(Plantilla_SCAN_EQ3_COUNT_2[[#This Row],[ID MATERIAL]]="","",B179)</f>
        <v/>
      </c>
      <c r="C180" s="21"/>
      <c r="D180" s="21"/>
      <c r="E180" s="7" t="str">
        <f>IF(Plantilla_SCAN_EQ3_COUNT_2[[#This Row],[ID MATERIAL]]="","",VLOOKUP(Plantilla_SCAN_EQ3_COUNT_2[[#This Row],[ID MATERIAL]],INVENTARIO!$A:$D,2,FALSE))</f>
        <v/>
      </c>
      <c r="F180" s="7" t="str">
        <f>IF(Plantilla_SCAN_EQ3_COUNT_2[[#This Row],[ID MATERIAL]]="","",IF(Plantilla_SCAN_EQ3_COUNT_2[[#This Row],[No. Empaques]]="",1,Plantilla_SCAN_EQ3_COUNT_2[[#This Row],[No. Empaques]]*1))</f>
        <v/>
      </c>
      <c r="G180" s="7" t="str">
        <f>IF(Plantilla_SCAN_EQ3_COUNT_2[[#This Row],[ID MATERIAL]]="","","PZ")</f>
        <v/>
      </c>
      <c r="H180" s="7" t="str">
        <f>IF(Plantilla_SCAN_EQ3_COUNT_2[[#This Row],[ID MATERIAL]]="","",$B$13)</f>
        <v/>
      </c>
      <c r="I180" s="7" t="str">
        <f>IF(Plantilla_SCAN_EQ3_COUNT_2[[#This Row],[ID MATERIAL]]="","","Segundo Conteo")</f>
        <v/>
      </c>
    </row>
    <row r="181" spans="1:9" s="7" customFormat="1" ht="15" x14ac:dyDescent="0.2">
      <c r="A181" s="7" t="str">
        <f>IF(Plantilla_SCAN_EQ3_COUNT_2[[#This Row],[ID MATERIAL]]="","",SIGN(Plantilla_SCAN_EQ3_COUNT_2[[#This Row],[Cantidad]])+A180)</f>
        <v/>
      </c>
      <c r="B181" s="21" t="str">
        <f>IF(Plantilla_SCAN_EQ3_COUNT_2[[#This Row],[ID MATERIAL]]="","",B180)</f>
        <v/>
      </c>
      <c r="C181" s="21"/>
      <c r="D181" s="21"/>
      <c r="E181" s="7" t="str">
        <f>IF(Plantilla_SCAN_EQ3_COUNT_2[[#This Row],[ID MATERIAL]]="","",VLOOKUP(Plantilla_SCAN_EQ3_COUNT_2[[#This Row],[ID MATERIAL]],INVENTARIO!$A:$D,2,FALSE))</f>
        <v/>
      </c>
      <c r="F181" s="7" t="str">
        <f>IF(Plantilla_SCAN_EQ3_COUNT_2[[#This Row],[ID MATERIAL]]="","",IF(Plantilla_SCAN_EQ3_COUNT_2[[#This Row],[No. Empaques]]="",1,Plantilla_SCAN_EQ3_COUNT_2[[#This Row],[No. Empaques]]*1))</f>
        <v/>
      </c>
      <c r="G181" s="7" t="str">
        <f>IF(Plantilla_SCAN_EQ3_COUNT_2[[#This Row],[ID MATERIAL]]="","","PZ")</f>
        <v/>
      </c>
      <c r="H181" s="7" t="str">
        <f>IF(Plantilla_SCAN_EQ3_COUNT_2[[#This Row],[ID MATERIAL]]="","",$B$13)</f>
        <v/>
      </c>
      <c r="I181" s="7" t="str">
        <f>IF(Plantilla_SCAN_EQ3_COUNT_2[[#This Row],[ID MATERIAL]]="","","Segundo Conteo")</f>
        <v/>
      </c>
    </row>
    <row r="182" spans="1:9" s="7" customFormat="1" ht="15" x14ac:dyDescent="0.2">
      <c r="A182" s="7" t="str">
        <f>IF(Plantilla_SCAN_EQ3_COUNT_2[[#This Row],[ID MATERIAL]]="","",SIGN(Plantilla_SCAN_EQ3_COUNT_2[[#This Row],[Cantidad]])+A181)</f>
        <v/>
      </c>
      <c r="B182" s="21" t="str">
        <f>IF(Plantilla_SCAN_EQ3_COUNT_2[[#This Row],[ID MATERIAL]]="","",B181)</f>
        <v/>
      </c>
      <c r="C182" s="21"/>
      <c r="D182" s="21"/>
      <c r="E182" s="7" t="str">
        <f>IF(Plantilla_SCAN_EQ3_COUNT_2[[#This Row],[ID MATERIAL]]="","",VLOOKUP(Plantilla_SCAN_EQ3_COUNT_2[[#This Row],[ID MATERIAL]],INVENTARIO!$A:$D,2,FALSE))</f>
        <v/>
      </c>
      <c r="F182" s="7" t="str">
        <f>IF(Plantilla_SCAN_EQ3_COUNT_2[[#This Row],[ID MATERIAL]]="","",IF(Plantilla_SCAN_EQ3_COUNT_2[[#This Row],[No. Empaques]]="",1,Plantilla_SCAN_EQ3_COUNT_2[[#This Row],[No. Empaques]]*1))</f>
        <v/>
      </c>
      <c r="G182" s="7" t="str">
        <f>IF(Plantilla_SCAN_EQ3_COUNT_2[[#This Row],[ID MATERIAL]]="","","PZ")</f>
        <v/>
      </c>
      <c r="H182" s="7" t="str">
        <f>IF(Plantilla_SCAN_EQ3_COUNT_2[[#This Row],[ID MATERIAL]]="","",$B$13)</f>
        <v/>
      </c>
      <c r="I182" s="7" t="str">
        <f>IF(Plantilla_SCAN_EQ3_COUNT_2[[#This Row],[ID MATERIAL]]="","","Segundo Conteo")</f>
        <v/>
      </c>
    </row>
    <row r="183" spans="1:9" s="7" customFormat="1" ht="15" x14ac:dyDescent="0.2">
      <c r="A183" s="7" t="str">
        <f>IF(Plantilla_SCAN_EQ3_COUNT_2[[#This Row],[ID MATERIAL]]="","",SIGN(Plantilla_SCAN_EQ3_COUNT_2[[#This Row],[Cantidad]])+A182)</f>
        <v/>
      </c>
      <c r="B183" s="21" t="str">
        <f>IF(Plantilla_SCAN_EQ3_COUNT_2[[#This Row],[ID MATERIAL]]="","",B182)</f>
        <v/>
      </c>
      <c r="C183" s="21"/>
      <c r="D183" s="21"/>
      <c r="E183" s="7" t="str">
        <f>IF(Plantilla_SCAN_EQ3_COUNT_2[[#This Row],[ID MATERIAL]]="","",VLOOKUP(Plantilla_SCAN_EQ3_COUNT_2[[#This Row],[ID MATERIAL]],INVENTARIO!$A:$D,2,FALSE))</f>
        <v/>
      </c>
      <c r="F183" s="7" t="str">
        <f>IF(Plantilla_SCAN_EQ3_COUNT_2[[#This Row],[ID MATERIAL]]="","",IF(Plantilla_SCAN_EQ3_COUNT_2[[#This Row],[No. Empaques]]="",1,Plantilla_SCAN_EQ3_COUNT_2[[#This Row],[No. Empaques]]*1))</f>
        <v/>
      </c>
      <c r="G183" s="7" t="str">
        <f>IF(Plantilla_SCAN_EQ3_COUNT_2[[#This Row],[ID MATERIAL]]="","","PZ")</f>
        <v/>
      </c>
      <c r="H183" s="7" t="str">
        <f>IF(Plantilla_SCAN_EQ3_COUNT_2[[#This Row],[ID MATERIAL]]="","",$B$13)</f>
        <v/>
      </c>
      <c r="I183" s="7" t="str">
        <f>IF(Plantilla_SCAN_EQ3_COUNT_2[[#This Row],[ID MATERIAL]]="","","Segundo Conteo")</f>
        <v/>
      </c>
    </row>
    <row r="184" spans="1:9" s="7" customFormat="1" ht="15" x14ac:dyDescent="0.2">
      <c r="A184" s="7" t="str">
        <f>IF(Plantilla_SCAN_EQ3_COUNT_2[[#This Row],[ID MATERIAL]]="","",SIGN(Plantilla_SCAN_EQ3_COUNT_2[[#This Row],[Cantidad]])+A183)</f>
        <v/>
      </c>
      <c r="B184" s="21" t="str">
        <f>IF(Plantilla_SCAN_EQ3_COUNT_2[[#This Row],[ID MATERIAL]]="","",B183)</f>
        <v/>
      </c>
      <c r="C184" s="21"/>
      <c r="D184" s="21"/>
      <c r="E184" s="7" t="str">
        <f>IF(Plantilla_SCAN_EQ3_COUNT_2[[#This Row],[ID MATERIAL]]="","",VLOOKUP(Plantilla_SCAN_EQ3_COUNT_2[[#This Row],[ID MATERIAL]],INVENTARIO!$A:$D,2,FALSE))</f>
        <v/>
      </c>
      <c r="F184" s="7" t="str">
        <f>IF(Plantilla_SCAN_EQ3_COUNT_2[[#This Row],[ID MATERIAL]]="","",IF(Plantilla_SCAN_EQ3_COUNT_2[[#This Row],[No. Empaques]]="",1,Plantilla_SCAN_EQ3_COUNT_2[[#This Row],[No. Empaques]]*1))</f>
        <v/>
      </c>
      <c r="G184" s="7" t="str">
        <f>IF(Plantilla_SCAN_EQ3_COUNT_2[[#This Row],[ID MATERIAL]]="","","PZ")</f>
        <v/>
      </c>
      <c r="H184" s="7" t="str">
        <f>IF(Plantilla_SCAN_EQ3_COUNT_2[[#This Row],[ID MATERIAL]]="","",$B$13)</f>
        <v/>
      </c>
      <c r="I184" s="7" t="str">
        <f>IF(Plantilla_SCAN_EQ3_COUNT_2[[#This Row],[ID MATERIAL]]="","","Segundo Conteo")</f>
        <v/>
      </c>
    </row>
    <row r="185" spans="1:9" s="7" customFormat="1" ht="15" x14ac:dyDescent="0.2">
      <c r="A185" s="7" t="str">
        <f>IF(Plantilla_SCAN_EQ3_COUNT_2[[#This Row],[ID MATERIAL]]="","",SIGN(Plantilla_SCAN_EQ3_COUNT_2[[#This Row],[Cantidad]])+A184)</f>
        <v/>
      </c>
      <c r="B185" s="21" t="str">
        <f>IF(Plantilla_SCAN_EQ3_COUNT_2[[#This Row],[ID MATERIAL]]="","",B184)</f>
        <v/>
      </c>
      <c r="C185" s="21"/>
      <c r="D185" s="21"/>
      <c r="E185" s="7" t="str">
        <f>IF(Plantilla_SCAN_EQ3_COUNT_2[[#This Row],[ID MATERIAL]]="","",VLOOKUP(Plantilla_SCAN_EQ3_COUNT_2[[#This Row],[ID MATERIAL]],INVENTARIO!$A:$D,2,FALSE))</f>
        <v/>
      </c>
      <c r="F185" s="7" t="str">
        <f>IF(Plantilla_SCAN_EQ3_COUNT_2[[#This Row],[ID MATERIAL]]="","",IF(Plantilla_SCAN_EQ3_COUNT_2[[#This Row],[No. Empaques]]="",1,Plantilla_SCAN_EQ3_COUNT_2[[#This Row],[No. Empaques]]*1))</f>
        <v/>
      </c>
      <c r="G185" s="7" t="str">
        <f>IF(Plantilla_SCAN_EQ3_COUNT_2[[#This Row],[ID MATERIAL]]="","","PZ")</f>
        <v/>
      </c>
      <c r="H185" s="7" t="str">
        <f>IF(Plantilla_SCAN_EQ3_COUNT_2[[#This Row],[ID MATERIAL]]="","",$B$13)</f>
        <v/>
      </c>
      <c r="I185" s="7" t="str">
        <f>IF(Plantilla_SCAN_EQ3_COUNT_2[[#This Row],[ID MATERIAL]]="","","Segundo Conteo")</f>
        <v/>
      </c>
    </row>
    <row r="186" spans="1:9" s="7" customFormat="1" ht="15" x14ac:dyDescent="0.2">
      <c r="A186" s="7" t="str">
        <f>IF(Plantilla_SCAN_EQ3_COUNT_2[[#This Row],[ID MATERIAL]]="","",SIGN(Plantilla_SCAN_EQ3_COUNT_2[[#This Row],[Cantidad]])+A185)</f>
        <v/>
      </c>
      <c r="B186" s="21" t="str">
        <f>IF(Plantilla_SCAN_EQ3_COUNT_2[[#This Row],[ID MATERIAL]]="","",B185)</f>
        <v/>
      </c>
      <c r="C186" s="21"/>
      <c r="D186" s="21"/>
      <c r="E186" s="7" t="str">
        <f>IF(Plantilla_SCAN_EQ3_COUNT_2[[#This Row],[ID MATERIAL]]="","",VLOOKUP(Plantilla_SCAN_EQ3_COUNT_2[[#This Row],[ID MATERIAL]],INVENTARIO!$A:$D,2,FALSE))</f>
        <v/>
      </c>
      <c r="F186" s="7" t="str">
        <f>IF(Plantilla_SCAN_EQ3_COUNT_2[[#This Row],[ID MATERIAL]]="","",IF(Plantilla_SCAN_EQ3_COUNT_2[[#This Row],[No. Empaques]]="",1,Plantilla_SCAN_EQ3_COUNT_2[[#This Row],[No. Empaques]]*1))</f>
        <v/>
      </c>
      <c r="G186" s="7" t="str">
        <f>IF(Plantilla_SCAN_EQ3_COUNT_2[[#This Row],[ID MATERIAL]]="","","PZ")</f>
        <v/>
      </c>
      <c r="H186" s="7" t="str">
        <f>IF(Plantilla_SCAN_EQ3_COUNT_2[[#This Row],[ID MATERIAL]]="","",$B$13)</f>
        <v/>
      </c>
      <c r="I186" s="7" t="str">
        <f>IF(Plantilla_SCAN_EQ3_COUNT_2[[#This Row],[ID MATERIAL]]="","","Segundo Conteo")</f>
        <v/>
      </c>
    </row>
    <row r="187" spans="1:9" s="7" customFormat="1" ht="15" x14ac:dyDescent="0.2">
      <c r="A187" s="7" t="str">
        <f>IF(Plantilla_SCAN_EQ3_COUNT_2[[#This Row],[ID MATERIAL]]="","",SIGN(Plantilla_SCAN_EQ3_COUNT_2[[#This Row],[Cantidad]])+A186)</f>
        <v/>
      </c>
      <c r="B187" s="21" t="str">
        <f>IF(Plantilla_SCAN_EQ3_COUNT_2[[#This Row],[ID MATERIAL]]="","",B186)</f>
        <v/>
      </c>
      <c r="C187" s="21"/>
      <c r="D187" s="21"/>
      <c r="E187" s="7" t="str">
        <f>IF(Plantilla_SCAN_EQ3_COUNT_2[[#This Row],[ID MATERIAL]]="","",VLOOKUP(Plantilla_SCAN_EQ3_COUNT_2[[#This Row],[ID MATERIAL]],INVENTARIO!$A:$D,2,FALSE))</f>
        <v/>
      </c>
      <c r="F187" s="7" t="str">
        <f>IF(Plantilla_SCAN_EQ3_COUNT_2[[#This Row],[ID MATERIAL]]="","",IF(Plantilla_SCAN_EQ3_COUNT_2[[#This Row],[No. Empaques]]="",1,Plantilla_SCAN_EQ3_COUNT_2[[#This Row],[No. Empaques]]*1))</f>
        <v/>
      </c>
      <c r="G187" s="7" t="str">
        <f>IF(Plantilla_SCAN_EQ3_COUNT_2[[#This Row],[ID MATERIAL]]="","","PZ")</f>
        <v/>
      </c>
      <c r="H187" s="7" t="str">
        <f>IF(Plantilla_SCAN_EQ3_COUNT_2[[#This Row],[ID MATERIAL]]="","",$B$13)</f>
        <v/>
      </c>
      <c r="I187" s="7" t="str">
        <f>IF(Plantilla_SCAN_EQ3_COUNT_2[[#This Row],[ID MATERIAL]]="","","Segundo Conteo")</f>
        <v/>
      </c>
    </row>
    <row r="188" spans="1:9" s="7" customFormat="1" ht="15" x14ac:dyDescent="0.2">
      <c r="A188" s="7" t="str">
        <f>IF(Plantilla_SCAN_EQ3_COUNT_2[[#This Row],[ID MATERIAL]]="","",SIGN(Plantilla_SCAN_EQ3_COUNT_2[[#This Row],[Cantidad]])+A187)</f>
        <v/>
      </c>
      <c r="B188" s="21" t="str">
        <f>IF(Plantilla_SCAN_EQ3_COUNT_2[[#This Row],[ID MATERIAL]]="","",B187)</f>
        <v/>
      </c>
      <c r="C188" s="21"/>
      <c r="D188" s="21"/>
      <c r="E188" s="7" t="str">
        <f>IF(Plantilla_SCAN_EQ3_COUNT_2[[#This Row],[ID MATERIAL]]="","",VLOOKUP(Plantilla_SCAN_EQ3_COUNT_2[[#This Row],[ID MATERIAL]],INVENTARIO!$A:$D,2,FALSE))</f>
        <v/>
      </c>
      <c r="F188" s="7" t="str">
        <f>IF(Plantilla_SCAN_EQ3_COUNT_2[[#This Row],[ID MATERIAL]]="","",IF(Plantilla_SCAN_EQ3_COUNT_2[[#This Row],[No. Empaques]]="",1,Plantilla_SCAN_EQ3_COUNT_2[[#This Row],[No. Empaques]]*1))</f>
        <v/>
      </c>
      <c r="G188" s="7" t="str">
        <f>IF(Plantilla_SCAN_EQ3_COUNT_2[[#This Row],[ID MATERIAL]]="","","PZ")</f>
        <v/>
      </c>
      <c r="H188" s="7" t="str">
        <f>IF(Plantilla_SCAN_EQ3_COUNT_2[[#This Row],[ID MATERIAL]]="","",$B$13)</f>
        <v/>
      </c>
      <c r="I188" s="7" t="str">
        <f>IF(Plantilla_SCAN_EQ3_COUNT_2[[#This Row],[ID MATERIAL]]="","","Segundo Conteo")</f>
        <v/>
      </c>
    </row>
    <row r="189" spans="1:9" s="7" customFormat="1" ht="15" x14ac:dyDescent="0.2">
      <c r="A189" s="7" t="str">
        <f>IF(Plantilla_SCAN_EQ3_COUNT_2[[#This Row],[ID MATERIAL]]="","",SIGN(Plantilla_SCAN_EQ3_COUNT_2[[#This Row],[Cantidad]])+A188)</f>
        <v/>
      </c>
      <c r="B189" s="21" t="str">
        <f>IF(Plantilla_SCAN_EQ3_COUNT_2[[#This Row],[ID MATERIAL]]="","",B188)</f>
        <v/>
      </c>
      <c r="C189" s="21"/>
      <c r="D189" s="21"/>
      <c r="E189" s="7" t="str">
        <f>IF(Plantilla_SCAN_EQ3_COUNT_2[[#This Row],[ID MATERIAL]]="","",VLOOKUP(Plantilla_SCAN_EQ3_COUNT_2[[#This Row],[ID MATERIAL]],INVENTARIO!$A:$D,2,FALSE))</f>
        <v/>
      </c>
      <c r="F189" s="7" t="str">
        <f>IF(Plantilla_SCAN_EQ3_COUNT_2[[#This Row],[ID MATERIAL]]="","",IF(Plantilla_SCAN_EQ3_COUNT_2[[#This Row],[No. Empaques]]="",1,Plantilla_SCAN_EQ3_COUNT_2[[#This Row],[No. Empaques]]*1))</f>
        <v/>
      </c>
      <c r="G189" s="7" t="str">
        <f>IF(Plantilla_SCAN_EQ3_COUNT_2[[#This Row],[ID MATERIAL]]="","","PZ")</f>
        <v/>
      </c>
      <c r="H189" s="7" t="str">
        <f>IF(Plantilla_SCAN_EQ3_COUNT_2[[#This Row],[ID MATERIAL]]="","",$B$13)</f>
        <v/>
      </c>
      <c r="I189" s="7" t="str">
        <f>IF(Plantilla_SCAN_EQ3_COUNT_2[[#This Row],[ID MATERIAL]]="","","Segundo Conteo")</f>
        <v/>
      </c>
    </row>
    <row r="190" spans="1:9" s="7" customFormat="1" ht="15" x14ac:dyDescent="0.2">
      <c r="A190" s="7" t="str">
        <f>IF(Plantilla_SCAN_EQ3_COUNT_2[[#This Row],[ID MATERIAL]]="","",SIGN(Plantilla_SCAN_EQ3_COUNT_2[[#This Row],[Cantidad]])+A189)</f>
        <v/>
      </c>
      <c r="B190" s="21" t="str">
        <f>IF(Plantilla_SCAN_EQ3_COUNT_2[[#This Row],[ID MATERIAL]]="","",B189)</f>
        <v/>
      </c>
      <c r="C190" s="21"/>
      <c r="D190" s="21"/>
      <c r="E190" s="7" t="str">
        <f>IF(Plantilla_SCAN_EQ3_COUNT_2[[#This Row],[ID MATERIAL]]="","",VLOOKUP(Plantilla_SCAN_EQ3_COUNT_2[[#This Row],[ID MATERIAL]],INVENTARIO!$A:$D,2,FALSE))</f>
        <v/>
      </c>
      <c r="F190" s="7" t="str">
        <f>IF(Plantilla_SCAN_EQ3_COUNT_2[[#This Row],[ID MATERIAL]]="","",IF(Plantilla_SCAN_EQ3_COUNT_2[[#This Row],[No. Empaques]]="",1,Plantilla_SCAN_EQ3_COUNT_2[[#This Row],[No. Empaques]]*1))</f>
        <v/>
      </c>
      <c r="G190" s="7" t="str">
        <f>IF(Plantilla_SCAN_EQ3_COUNT_2[[#This Row],[ID MATERIAL]]="","","PZ")</f>
        <v/>
      </c>
      <c r="H190" s="7" t="str">
        <f>IF(Plantilla_SCAN_EQ3_COUNT_2[[#This Row],[ID MATERIAL]]="","",$B$13)</f>
        <v/>
      </c>
      <c r="I190" s="7" t="str">
        <f>IF(Plantilla_SCAN_EQ3_COUNT_2[[#This Row],[ID MATERIAL]]="","","Segundo Conteo")</f>
        <v/>
      </c>
    </row>
    <row r="191" spans="1:9" s="7" customFormat="1" ht="15" x14ac:dyDescent="0.2">
      <c r="A191" s="7" t="str">
        <f>IF(Plantilla_SCAN_EQ3_COUNT_2[[#This Row],[ID MATERIAL]]="","",SIGN(Plantilla_SCAN_EQ3_COUNT_2[[#This Row],[Cantidad]])+A190)</f>
        <v/>
      </c>
      <c r="B191" s="21" t="str">
        <f>IF(Plantilla_SCAN_EQ3_COUNT_2[[#This Row],[ID MATERIAL]]="","",B190)</f>
        <v/>
      </c>
      <c r="C191" s="21"/>
      <c r="D191" s="21"/>
      <c r="E191" s="7" t="str">
        <f>IF(Plantilla_SCAN_EQ3_COUNT_2[[#This Row],[ID MATERIAL]]="","",VLOOKUP(Plantilla_SCAN_EQ3_COUNT_2[[#This Row],[ID MATERIAL]],INVENTARIO!$A:$D,2,FALSE))</f>
        <v/>
      </c>
      <c r="F191" s="7" t="str">
        <f>IF(Plantilla_SCAN_EQ3_COUNT_2[[#This Row],[ID MATERIAL]]="","",IF(Plantilla_SCAN_EQ3_COUNT_2[[#This Row],[No. Empaques]]="",1,Plantilla_SCAN_EQ3_COUNT_2[[#This Row],[No. Empaques]]*1))</f>
        <v/>
      </c>
      <c r="G191" s="7" t="str">
        <f>IF(Plantilla_SCAN_EQ3_COUNT_2[[#This Row],[ID MATERIAL]]="","","PZ")</f>
        <v/>
      </c>
      <c r="H191" s="7" t="str">
        <f>IF(Plantilla_SCAN_EQ3_COUNT_2[[#This Row],[ID MATERIAL]]="","",$B$13)</f>
        <v/>
      </c>
      <c r="I191" s="7" t="str">
        <f>IF(Plantilla_SCAN_EQ3_COUNT_2[[#This Row],[ID MATERIAL]]="","","Segundo Conteo")</f>
        <v/>
      </c>
    </row>
    <row r="192" spans="1:9" s="7" customFormat="1" ht="15" x14ac:dyDescent="0.2">
      <c r="A192" s="7" t="str">
        <f>IF(Plantilla_SCAN_EQ3_COUNT_2[[#This Row],[ID MATERIAL]]="","",SIGN(Plantilla_SCAN_EQ3_COUNT_2[[#This Row],[Cantidad]])+A191)</f>
        <v/>
      </c>
      <c r="B192" s="21" t="str">
        <f>IF(Plantilla_SCAN_EQ3_COUNT_2[[#This Row],[ID MATERIAL]]="","",B191)</f>
        <v/>
      </c>
      <c r="C192" s="21"/>
      <c r="D192" s="21"/>
      <c r="E192" s="7" t="str">
        <f>IF(Plantilla_SCAN_EQ3_COUNT_2[[#This Row],[ID MATERIAL]]="","",VLOOKUP(Plantilla_SCAN_EQ3_COUNT_2[[#This Row],[ID MATERIAL]],INVENTARIO!$A:$D,2,FALSE))</f>
        <v/>
      </c>
      <c r="F192" s="7" t="str">
        <f>IF(Plantilla_SCAN_EQ3_COUNT_2[[#This Row],[ID MATERIAL]]="","",IF(Plantilla_SCAN_EQ3_COUNT_2[[#This Row],[No. Empaques]]="",1,Plantilla_SCAN_EQ3_COUNT_2[[#This Row],[No. Empaques]]*1))</f>
        <v/>
      </c>
      <c r="G192" s="7" t="str">
        <f>IF(Plantilla_SCAN_EQ3_COUNT_2[[#This Row],[ID MATERIAL]]="","","PZ")</f>
        <v/>
      </c>
      <c r="H192" s="7" t="str">
        <f>IF(Plantilla_SCAN_EQ3_COUNT_2[[#This Row],[ID MATERIAL]]="","",$B$13)</f>
        <v/>
      </c>
      <c r="I192" s="7" t="str">
        <f>IF(Plantilla_SCAN_EQ3_COUNT_2[[#This Row],[ID MATERIAL]]="","","Segundo Conteo")</f>
        <v/>
      </c>
    </row>
    <row r="193" spans="1:9" s="7" customFormat="1" ht="15" x14ac:dyDescent="0.2">
      <c r="A193" s="7" t="str">
        <f>IF(Plantilla_SCAN_EQ3_COUNT_2[[#This Row],[ID MATERIAL]]="","",SIGN(Plantilla_SCAN_EQ3_COUNT_2[[#This Row],[Cantidad]])+A192)</f>
        <v/>
      </c>
      <c r="B193" s="21" t="str">
        <f>IF(Plantilla_SCAN_EQ3_COUNT_2[[#This Row],[ID MATERIAL]]="","",B192)</f>
        <v/>
      </c>
      <c r="C193" s="21"/>
      <c r="D193" s="21"/>
      <c r="E193" s="7" t="str">
        <f>IF(Plantilla_SCAN_EQ3_COUNT_2[[#This Row],[ID MATERIAL]]="","",VLOOKUP(Plantilla_SCAN_EQ3_COUNT_2[[#This Row],[ID MATERIAL]],INVENTARIO!$A:$D,2,FALSE))</f>
        <v/>
      </c>
      <c r="F193" s="7" t="str">
        <f>IF(Plantilla_SCAN_EQ3_COUNT_2[[#This Row],[ID MATERIAL]]="","",IF(Plantilla_SCAN_EQ3_COUNT_2[[#This Row],[No. Empaques]]="",1,Plantilla_SCAN_EQ3_COUNT_2[[#This Row],[No. Empaques]]*1))</f>
        <v/>
      </c>
      <c r="G193" s="7" t="str">
        <f>IF(Plantilla_SCAN_EQ3_COUNT_2[[#This Row],[ID MATERIAL]]="","","PZ")</f>
        <v/>
      </c>
      <c r="H193" s="7" t="str">
        <f>IF(Plantilla_SCAN_EQ3_COUNT_2[[#This Row],[ID MATERIAL]]="","",$B$13)</f>
        <v/>
      </c>
      <c r="I193" s="7" t="str">
        <f>IF(Plantilla_SCAN_EQ3_COUNT_2[[#This Row],[ID MATERIAL]]="","","Segundo Conteo")</f>
        <v/>
      </c>
    </row>
    <row r="194" spans="1:9" s="7" customFormat="1" ht="15" x14ac:dyDescent="0.2">
      <c r="A194" s="7" t="str">
        <f>IF(Plantilla_SCAN_EQ3_COUNT_2[[#This Row],[ID MATERIAL]]="","",SIGN(Plantilla_SCAN_EQ3_COUNT_2[[#This Row],[Cantidad]])+A193)</f>
        <v/>
      </c>
      <c r="B194" s="21" t="str">
        <f>IF(Plantilla_SCAN_EQ3_COUNT_2[[#This Row],[ID MATERIAL]]="","",B193)</f>
        <v/>
      </c>
      <c r="C194" s="21"/>
      <c r="D194" s="21"/>
      <c r="E194" s="7" t="str">
        <f>IF(Plantilla_SCAN_EQ3_COUNT_2[[#This Row],[ID MATERIAL]]="","",VLOOKUP(Plantilla_SCAN_EQ3_COUNT_2[[#This Row],[ID MATERIAL]],INVENTARIO!$A:$D,2,FALSE))</f>
        <v/>
      </c>
      <c r="F194" s="7" t="str">
        <f>IF(Plantilla_SCAN_EQ3_COUNT_2[[#This Row],[ID MATERIAL]]="","",IF(Plantilla_SCAN_EQ3_COUNT_2[[#This Row],[No. Empaques]]="",1,Plantilla_SCAN_EQ3_COUNT_2[[#This Row],[No. Empaques]]*1))</f>
        <v/>
      </c>
      <c r="G194" s="7" t="str">
        <f>IF(Plantilla_SCAN_EQ3_COUNT_2[[#This Row],[ID MATERIAL]]="","","PZ")</f>
        <v/>
      </c>
      <c r="H194" s="7" t="str">
        <f>IF(Plantilla_SCAN_EQ3_COUNT_2[[#This Row],[ID MATERIAL]]="","",$B$13)</f>
        <v/>
      </c>
      <c r="I194" s="7" t="str">
        <f>IF(Plantilla_SCAN_EQ3_COUNT_2[[#This Row],[ID MATERIAL]]="","","Segundo Conteo")</f>
        <v/>
      </c>
    </row>
    <row r="195" spans="1:9" s="7" customFormat="1" ht="15" x14ac:dyDescent="0.2">
      <c r="A195" s="7" t="str">
        <f>IF(Plantilla_SCAN_EQ3_COUNT_2[[#This Row],[ID MATERIAL]]="","",SIGN(Plantilla_SCAN_EQ3_COUNT_2[[#This Row],[Cantidad]])+A194)</f>
        <v/>
      </c>
      <c r="B195" s="21" t="str">
        <f>IF(Plantilla_SCAN_EQ3_COUNT_2[[#This Row],[ID MATERIAL]]="","",B194)</f>
        <v/>
      </c>
      <c r="C195" s="21"/>
      <c r="D195" s="21"/>
      <c r="E195" s="7" t="str">
        <f>IF(Plantilla_SCAN_EQ3_COUNT_2[[#This Row],[ID MATERIAL]]="","",VLOOKUP(Plantilla_SCAN_EQ3_COUNT_2[[#This Row],[ID MATERIAL]],INVENTARIO!$A:$D,2,FALSE))</f>
        <v/>
      </c>
      <c r="F195" s="7" t="str">
        <f>IF(Plantilla_SCAN_EQ3_COUNT_2[[#This Row],[ID MATERIAL]]="","",IF(Plantilla_SCAN_EQ3_COUNT_2[[#This Row],[No. Empaques]]="",1,Plantilla_SCAN_EQ3_COUNT_2[[#This Row],[No. Empaques]]*1))</f>
        <v/>
      </c>
      <c r="G195" s="7" t="str">
        <f>IF(Plantilla_SCAN_EQ3_COUNT_2[[#This Row],[ID MATERIAL]]="","","PZ")</f>
        <v/>
      </c>
      <c r="H195" s="7" t="str">
        <f>IF(Plantilla_SCAN_EQ3_COUNT_2[[#This Row],[ID MATERIAL]]="","",$B$13)</f>
        <v/>
      </c>
      <c r="I195" s="7" t="str">
        <f>IF(Plantilla_SCAN_EQ3_COUNT_2[[#This Row],[ID MATERIAL]]="","","Segundo Conteo")</f>
        <v/>
      </c>
    </row>
    <row r="196" spans="1:9" s="7" customFormat="1" ht="15" x14ac:dyDescent="0.2">
      <c r="A196" s="7" t="str">
        <f>IF(Plantilla_SCAN_EQ3_COUNT_2[[#This Row],[ID MATERIAL]]="","",SIGN(Plantilla_SCAN_EQ3_COUNT_2[[#This Row],[Cantidad]])+A195)</f>
        <v/>
      </c>
      <c r="B196" s="21" t="str">
        <f>IF(Plantilla_SCAN_EQ3_COUNT_2[[#This Row],[ID MATERIAL]]="","",B195)</f>
        <v/>
      </c>
      <c r="C196" s="21"/>
      <c r="D196" s="21"/>
      <c r="E196" s="7" t="str">
        <f>IF(Plantilla_SCAN_EQ3_COUNT_2[[#This Row],[ID MATERIAL]]="","",VLOOKUP(Plantilla_SCAN_EQ3_COUNT_2[[#This Row],[ID MATERIAL]],INVENTARIO!$A:$D,2,FALSE))</f>
        <v/>
      </c>
      <c r="F196" s="7" t="str">
        <f>IF(Plantilla_SCAN_EQ3_COUNT_2[[#This Row],[ID MATERIAL]]="","",IF(Plantilla_SCAN_EQ3_COUNT_2[[#This Row],[No. Empaques]]="",1,Plantilla_SCAN_EQ3_COUNT_2[[#This Row],[No. Empaques]]*1))</f>
        <v/>
      </c>
      <c r="G196" s="7" t="str">
        <f>IF(Plantilla_SCAN_EQ3_COUNT_2[[#This Row],[ID MATERIAL]]="","","PZ")</f>
        <v/>
      </c>
      <c r="H196" s="7" t="str">
        <f>IF(Plantilla_SCAN_EQ3_COUNT_2[[#This Row],[ID MATERIAL]]="","",$B$13)</f>
        <v/>
      </c>
      <c r="I196" s="7" t="str">
        <f>IF(Plantilla_SCAN_EQ3_COUNT_2[[#This Row],[ID MATERIAL]]="","","Segundo Conteo")</f>
        <v/>
      </c>
    </row>
    <row r="197" spans="1:9" s="7" customFormat="1" ht="15" x14ac:dyDescent="0.2">
      <c r="A197" s="7" t="str">
        <f>IF(Plantilla_SCAN_EQ3_COUNT_2[[#This Row],[ID MATERIAL]]="","",SIGN(Plantilla_SCAN_EQ3_COUNT_2[[#This Row],[Cantidad]])+A196)</f>
        <v/>
      </c>
      <c r="B197" s="21" t="str">
        <f>IF(Plantilla_SCAN_EQ3_COUNT_2[[#This Row],[ID MATERIAL]]="","",B196)</f>
        <v/>
      </c>
      <c r="C197" s="21"/>
      <c r="D197" s="21"/>
      <c r="E197" s="7" t="str">
        <f>IF(Plantilla_SCAN_EQ3_COUNT_2[[#This Row],[ID MATERIAL]]="","",VLOOKUP(Plantilla_SCAN_EQ3_COUNT_2[[#This Row],[ID MATERIAL]],INVENTARIO!$A:$D,2,FALSE))</f>
        <v/>
      </c>
      <c r="F197" s="7" t="str">
        <f>IF(Plantilla_SCAN_EQ3_COUNT_2[[#This Row],[ID MATERIAL]]="","",IF(Plantilla_SCAN_EQ3_COUNT_2[[#This Row],[No. Empaques]]="",1,Plantilla_SCAN_EQ3_COUNT_2[[#This Row],[No. Empaques]]*1))</f>
        <v/>
      </c>
      <c r="G197" s="7" t="str">
        <f>IF(Plantilla_SCAN_EQ3_COUNT_2[[#This Row],[ID MATERIAL]]="","","PZ")</f>
        <v/>
      </c>
      <c r="H197" s="7" t="str">
        <f>IF(Plantilla_SCAN_EQ3_COUNT_2[[#This Row],[ID MATERIAL]]="","",$B$13)</f>
        <v/>
      </c>
      <c r="I197" s="7" t="str">
        <f>IF(Plantilla_SCAN_EQ3_COUNT_2[[#This Row],[ID MATERIAL]]="","","Segundo Conteo")</f>
        <v/>
      </c>
    </row>
    <row r="198" spans="1:9" s="7" customFormat="1" ht="15" x14ac:dyDescent="0.2">
      <c r="A198" s="7" t="str">
        <f>IF(Plantilla_SCAN_EQ3_COUNT_2[[#This Row],[ID MATERIAL]]="","",SIGN(Plantilla_SCAN_EQ3_COUNT_2[[#This Row],[Cantidad]])+A197)</f>
        <v/>
      </c>
      <c r="B198" s="21" t="str">
        <f>IF(Plantilla_SCAN_EQ3_COUNT_2[[#This Row],[ID MATERIAL]]="","",B197)</f>
        <v/>
      </c>
      <c r="C198" s="21"/>
      <c r="D198" s="21"/>
      <c r="E198" s="7" t="str">
        <f>IF(Plantilla_SCAN_EQ3_COUNT_2[[#This Row],[ID MATERIAL]]="","",VLOOKUP(Plantilla_SCAN_EQ3_COUNT_2[[#This Row],[ID MATERIAL]],INVENTARIO!$A:$D,2,FALSE))</f>
        <v/>
      </c>
      <c r="F198" s="7" t="str">
        <f>IF(Plantilla_SCAN_EQ3_COUNT_2[[#This Row],[ID MATERIAL]]="","",IF(Plantilla_SCAN_EQ3_COUNT_2[[#This Row],[No. Empaques]]="",1,Plantilla_SCAN_EQ3_COUNT_2[[#This Row],[No. Empaques]]*1))</f>
        <v/>
      </c>
      <c r="G198" s="7" t="str">
        <f>IF(Plantilla_SCAN_EQ3_COUNT_2[[#This Row],[ID MATERIAL]]="","","PZ")</f>
        <v/>
      </c>
      <c r="H198" s="7" t="str">
        <f>IF(Plantilla_SCAN_EQ3_COUNT_2[[#This Row],[ID MATERIAL]]="","",$B$13)</f>
        <v/>
      </c>
      <c r="I198" s="7" t="str">
        <f>IF(Plantilla_SCAN_EQ3_COUNT_2[[#This Row],[ID MATERIAL]]="","","Segundo Conteo")</f>
        <v/>
      </c>
    </row>
    <row r="199" spans="1:9" s="7" customFormat="1" ht="15" x14ac:dyDescent="0.2">
      <c r="A199" s="7" t="str">
        <f>IF(Plantilla_SCAN_EQ3_COUNT_2[[#This Row],[ID MATERIAL]]="","",SIGN(Plantilla_SCAN_EQ3_COUNT_2[[#This Row],[Cantidad]])+A198)</f>
        <v/>
      </c>
      <c r="B199" s="21" t="str">
        <f>IF(Plantilla_SCAN_EQ3_COUNT_2[[#This Row],[ID MATERIAL]]="","",B198)</f>
        <v/>
      </c>
      <c r="C199" s="21"/>
      <c r="D199" s="21"/>
      <c r="E199" s="7" t="str">
        <f>IF(Plantilla_SCAN_EQ3_COUNT_2[[#This Row],[ID MATERIAL]]="","",VLOOKUP(Plantilla_SCAN_EQ3_COUNT_2[[#This Row],[ID MATERIAL]],INVENTARIO!$A:$D,2,FALSE))</f>
        <v/>
      </c>
      <c r="F199" s="7" t="str">
        <f>IF(Plantilla_SCAN_EQ3_COUNT_2[[#This Row],[ID MATERIAL]]="","",IF(Plantilla_SCAN_EQ3_COUNT_2[[#This Row],[No. Empaques]]="",1,Plantilla_SCAN_EQ3_COUNT_2[[#This Row],[No. Empaques]]*1))</f>
        <v/>
      </c>
      <c r="G199" s="7" t="str">
        <f>IF(Plantilla_SCAN_EQ3_COUNT_2[[#This Row],[ID MATERIAL]]="","","PZ")</f>
        <v/>
      </c>
      <c r="H199" s="7" t="str">
        <f>IF(Plantilla_SCAN_EQ3_COUNT_2[[#This Row],[ID MATERIAL]]="","",$B$13)</f>
        <v/>
      </c>
      <c r="I199" s="7" t="str">
        <f>IF(Plantilla_SCAN_EQ3_COUNT_2[[#This Row],[ID MATERIAL]]="","","Segundo Conteo")</f>
        <v/>
      </c>
    </row>
    <row r="200" spans="1:9" s="7" customFormat="1" ht="15" x14ac:dyDescent="0.2">
      <c r="A200" s="7" t="str">
        <f>IF(Plantilla_SCAN_EQ3_COUNT_2[[#This Row],[ID MATERIAL]]="","",SIGN(Plantilla_SCAN_EQ3_COUNT_2[[#This Row],[Cantidad]])+A199)</f>
        <v/>
      </c>
      <c r="B200" s="21" t="str">
        <f>IF(Plantilla_SCAN_EQ3_COUNT_2[[#This Row],[ID MATERIAL]]="","",B199)</f>
        <v/>
      </c>
      <c r="C200" s="21"/>
      <c r="D200" s="21"/>
      <c r="E200" s="7" t="str">
        <f>IF(Plantilla_SCAN_EQ3_COUNT_2[[#This Row],[ID MATERIAL]]="","",VLOOKUP(Plantilla_SCAN_EQ3_COUNT_2[[#This Row],[ID MATERIAL]],INVENTARIO!$A:$D,2,FALSE))</f>
        <v/>
      </c>
      <c r="F200" s="7" t="str">
        <f>IF(Plantilla_SCAN_EQ3_COUNT_2[[#This Row],[ID MATERIAL]]="","",IF(Plantilla_SCAN_EQ3_COUNT_2[[#This Row],[No. Empaques]]="",1,Plantilla_SCAN_EQ3_COUNT_2[[#This Row],[No. Empaques]]*1))</f>
        <v/>
      </c>
      <c r="G200" s="7" t="str">
        <f>IF(Plantilla_SCAN_EQ3_COUNT_2[[#This Row],[ID MATERIAL]]="","","PZ")</f>
        <v/>
      </c>
      <c r="H200" s="7" t="str">
        <f>IF(Plantilla_SCAN_EQ3_COUNT_2[[#This Row],[ID MATERIAL]]="","",$B$13)</f>
        <v/>
      </c>
      <c r="I200" s="7" t="str">
        <f>IF(Plantilla_SCAN_EQ3_COUNT_2[[#This Row],[ID MATERIAL]]="","","Segundo Conteo")</f>
        <v/>
      </c>
    </row>
    <row r="201" spans="1:9" s="7" customFormat="1" ht="15" x14ac:dyDescent="0.2">
      <c r="A201" s="7" t="str">
        <f>IF(Plantilla_SCAN_EQ3_COUNT_2[[#This Row],[ID MATERIAL]]="","",SIGN(Plantilla_SCAN_EQ3_COUNT_2[[#This Row],[Cantidad]])+A200)</f>
        <v/>
      </c>
      <c r="B201" s="21" t="str">
        <f>IF(Plantilla_SCAN_EQ3_COUNT_2[[#This Row],[ID MATERIAL]]="","",B200)</f>
        <v/>
      </c>
      <c r="C201" s="21"/>
      <c r="D201" s="21"/>
      <c r="E201" s="7" t="str">
        <f>IF(Plantilla_SCAN_EQ3_COUNT_2[[#This Row],[ID MATERIAL]]="","",VLOOKUP(Plantilla_SCAN_EQ3_COUNT_2[[#This Row],[ID MATERIAL]],INVENTARIO!$A:$D,2,FALSE))</f>
        <v/>
      </c>
      <c r="F201" s="7" t="str">
        <f>IF(Plantilla_SCAN_EQ3_COUNT_2[[#This Row],[ID MATERIAL]]="","",IF(Plantilla_SCAN_EQ3_COUNT_2[[#This Row],[No. Empaques]]="",1,Plantilla_SCAN_EQ3_COUNT_2[[#This Row],[No. Empaques]]*1))</f>
        <v/>
      </c>
      <c r="G201" s="7" t="str">
        <f>IF(Plantilla_SCAN_EQ3_COUNT_2[[#This Row],[ID MATERIAL]]="","","PZ")</f>
        <v/>
      </c>
      <c r="H201" s="7" t="str">
        <f>IF(Plantilla_SCAN_EQ3_COUNT_2[[#This Row],[ID MATERIAL]]="","",$B$13)</f>
        <v/>
      </c>
      <c r="I201" s="7" t="str">
        <f>IF(Plantilla_SCAN_EQ3_COUNT_2[[#This Row],[ID MATERIAL]]="","","Segundo Conteo")</f>
        <v/>
      </c>
    </row>
    <row r="202" spans="1:9" s="7" customFormat="1" ht="15" x14ac:dyDescent="0.2">
      <c r="A202" s="7" t="str">
        <f>IF(Plantilla_SCAN_EQ3_COUNT_2[[#This Row],[ID MATERIAL]]="","",SIGN(Plantilla_SCAN_EQ3_COUNT_2[[#This Row],[Cantidad]])+A201)</f>
        <v/>
      </c>
      <c r="B202" s="21" t="str">
        <f>IF(Plantilla_SCAN_EQ3_COUNT_2[[#This Row],[ID MATERIAL]]="","",B201)</f>
        <v/>
      </c>
      <c r="C202" s="21"/>
      <c r="D202" s="21"/>
      <c r="E202" s="7" t="str">
        <f>IF(Plantilla_SCAN_EQ3_COUNT_2[[#This Row],[ID MATERIAL]]="","",VLOOKUP(Plantilla_SCAN_EQ3_COUNT_2[[#This Row],[ID MATERIAL]],INVENTARIO!$A:$D,2,FALSE))</f>
        <v/>
      </c>
      <c r="F202" s="7" t="str">
        <f>IF(Plantilla_SCAN_EQ3_COUNT_2[[#This Row],[ID MATERIAL]]="","",IF(Plantilla_SCAN_EQ3_COUNT_2[[#This Row],[No. Empaques]]="",1,Plantilla_SCAN_EQ3_COUNT_2[[#This Row],[No. Empaques]]*1))</f>
        <v/>
      </c>
      <c r="G202" s="7" t="str">
        <f>IF(Plantilla_SCAN_EQ3_COUNT_2[[#This Row],[ID MATERIAL]]="","","PZ")</f>
        <v/>
      </c>
      <c r="H202" s="7" t="str">
        <f>IF(Plantilla_SCAN_EQ3_COUNT_2[[#This Row],[ID MATERIAL]]="","",$B$13)</f>
        <v/>
      </c>
      <c r="I202" s="7" t="str">
        <f>IF(Plantilla_SCAN_EQ3_COUNT_2[[#This Row],[ID MATERIAL]]="","","Segundo Conteo")</f>
        <v/>
      </c>
    </row>
    <row r="203" spans="1:9" s="7" customFormat="1" ht="15" x14ac:dyDescent="0.2">
      <c r="A203" s="7" t="str">
        <f>IF(Plantilla_SCAN_EQ3_COUNT_2[[#This Row],[ID MATERIAL]]="","",SIGN(Plantilla_SCAN_EQ3_COUNT_2[[#This Row],[Cantidad]])+A202)</f>
        <v/>
      </c>
      <c r="B203" s="21" t="str">
        <f>IF(Plantilla_SCAN_EQ3_COUNT_2[[#This Row],[ID MATERIAL]]="","",B202)</f>
        <v/>
      </c>
      <c r="C203" s="21"/>
      <c r="D203" s="21"/>
      <c r="E203" s="7" t="str">
        <f>IF(Plantilla_SCAN_EQ3_COUNT_2[[#This Row],[ID MATERIAL]]="","",VLOOKUP(Plantilla_SCAN_EQ3_COUNT_2[[#This Row],[ID MATERIAL]],INVENTARIO!$A:$D,2,FALSE))</f>
        <v/>
      </c>
      <c r="F203" s="7" t="str">
        <f>IF(Plantilla_SCAN_EQ3_COUNT_2[[#This Row],[ID MATERIAL]]="","",IF(Plantilla_SCAN_EQ3_COUNT_2[[#This Row],[No. Empaques]]="",1,Plantilla_SCAN_EQ3_COUNT_2[[#This Row],[No. Empaques]]*1))</f>
        <v/>
      </c>
      <c r="G203" s="7" t="str">
        <f>IF(Plantilla_SCAN_EQ3_COUNT_2[[#This Row],[ID MATERIAL]]="","","PZ")</f>
        <v/>
      </c>
      <c r="H203" s="7" t="str">
        <f>IF(Plantilla_SCAN_EQ3_COUNT_2[[#This Row],[ID MATERIAL]]="","",$B$13)</f>
        <v/>
      </c>
      <c r="I203" s="7" t="str">
        <f>IF(Plantilla_SCAN_EQ3_COUNT_2[[#This Row],[ID MATERIAL]]="","","Segundo Conteo")</f>
        <v/>
      </c>
    </row>
    <row r="204" spans="1:9" s="7" customFormat="1" ht="15" x14ac:dyDescent="0.2">
      <c r="A204" s="7" t="str">
        <f>IF(Plantilla_SCAN_EQ3_COUNT_2[[#This Row],[ID MATERIAL]]="","",SIGN(Plantilla_SCAN_EQ3_COUNT_2[[#This Row],[Cantidad]])+A203)</f>
        <v/>
      </c>
      <c r="B204" s="21" t="str">
        <f>IF(Plantilla_SCAN_EQ3_COUNT_2[[#This Row],[ID MATERIAL]]="","",B203)</f>
        <v/>
      </c>
      <c r="C204" s="21"/>
      <c r="D204" s="21"/>
      <c r="E204" s="7" t="str">
        <f>IF(Plantilla_SCAN_EQ3_COUNT_2[[#This Row],[ID MATERIAL]]="","",VLOOKUP(Plantilla_SCAN_EQ3_COUNT_2[[#This Row],[ID MATERIAL]],INVENTARIO!$A:$D,2,FALSE))</f>
        <v/>
      </c>
      <c r="F204" s="7" t="str">
        <f>IF(Plantilla_SCAN_EQ3_COUNT_2[[#This Row],[ID MATERIAL]]="","",IF(Plantilla_SCAN_EQ3_COUNT_2[[#This Row],[No. Empaques]]="",1,Plantilla_SCAN_EQ3_COUNT_2[[#This Row],[No. Empaques]]*1))</f>
        <v/>
      </c>
      <c r="G204" s="7" t="str">
        <f>IF(Plantilla_SCAN_EQ3_COUNT_2[[#This Row],[ID MATERIAL]]="","","PZ")</f>
        <v/>
      </c>
      <c r="H204" s="7" t="str">
        <f>IF(Plantilla_SCAN_EQ3_COUNT_2[[#This Row],[ID MATERIAL]]="","",$B$13)</f>
        <v/>
      </c>
      <c r="I204" s="7" t="str">
        <f>IF(Plantilla_SCAN_EQ3_COUNT_2[[#This Row],[ID MATERIAL]]="","","Segundo Conteo")</f>
        <v/>
      </c>
    </row>
    <row r="205" spans="1:9" s="7" customFormat="1" ht="15" x14ac:dyDescent="0.2">
      <c r="A205" s="7" t="str">
        <f>IF(Plantilla_SCAN_EQ3_COUNT_2[[#This Row],[ID MATERIAL]]="","",SIGN(Plantilla_SCAN_EQ3_COUNT_2[[#This Row],[Cantidad]])+A204)</f>
        <v/>
      </c>
      <c r="B205" s="21" t="str">
        <f>IF(Plantilla_SCAN_EQ3_COUNT_2[[#This Row],[ID MATERIAL]]="","",B204)</f>
        <v/>
      </c>
      <c r="C205" s="21"/>
      <c r="D205" s="21"/>
      <c r="E205" s="7" t="str">
        <f>IF(Plantilla_SCAN_EQ3_COUNT_2[[#This Row],[ID MATERIAL]]="","",VLOOKUP(Plantilla_SCAN_EQ3_COUNT_2[[#This Row],[ID MATERIAL]],INVENTARIO!$A:$D,2,FALSE))</f>
        <v/>
      </c>
      <c r="F205" s="7" t="str">
        <f>IF(Plantilla_SCAN_EQ3_COUNT_2[[#This Row],[ID MATERIAL]]="","",IF(Plantilla_SCAN_EQ3_COUNT_2[[#This Row],[No. Empaques]]="",1,Plantilla_SCAN_EQ3_COUNT_2[[#This Row],[No. Empaques]]*1))</f>
        <v/>
      </c>
      <c r="G205" s="7" t="str">
        <f>IF(Plantilla_SCAN_EQ3_COUNT_2[[#This Row],[ID MATERIAL]]="","","PZ")</f>
        <v/>
      </c>
      <c r="H205" s="7" t="str">
        <f>IF(Plantilla_SCAN_EQ3_COUNT_2[[#This Row],[ID MATERIAL]]="","",$B$13)</f>
        <v/>
      </c>
      <c r="I205" s="7" t="str">
        <f>IF(Plantilla_SCAN_EQ3_COUNT_2[[#This Row],[ID MATERIAL]]="","","Segundo Conteo")</f>
        <v/>
      </c>
    </row>
    <row r="206" spans="1:9" s="7" customFormat="1" ht="15" x14ac:dyDescent="0.2">
      <c r="A206" s="7" t="str">
        <f>IF(Plantilla_SCAN_EQ3_COUNT_2[[#This Row],[ID MATERIAL]]="","",SIGN(Plantilla_SCAN_EQ3_COUNT_2[[#This Row],[Cantidad]])+A205)</f>
        <v/>
      </c>
      <c r="B206" s="21" t="str">
        <f>IF(Plantilla_SCAN_EQ3_COUNT_2[[#This Row],[ID MATERIAL]]="","",B205)</f>
        <v/>
      </c>
      <c r="C206" s="21"/>
      <c r="D206" s="21"/>
      <c r="E206" s="7" t="str">
        <f>IF(Plantilla_SCAN_EQ3_COUNT_2[[#This Row],[ID MATERIAL]]="","",VLOOKUP(Plantilla_SCAN_EQ3_COUNT_2[[#This Row],[ID MATERIAL]],INVENTARIO!$A:$D,2,FALSE))</f>
        <v/>
      </c>
      <c r="F206" s="7" t="str">
        <f>IF(Plantilla_SCAN_EQ3_COUNT_2[[#This Row],[ID MATERIAL]]="","",IF(Plantilla_SCAN_EQ3_COUNT_2[[#This Row],[No. Empaques]]="",1,Plantilla_SCAN_EQ3_COUNT_2[[#This Row],[No. Empaques]]*1))</f>
        <v/>
      </c>
      <c r="G206" s="7" t="str">
        <f>IF(Plantilla_SCAN_EQ3_COUNT_2[[#This Row],[ID MATERIAL]]="","","PZ")</f>
        <v/>
      </c>
      <c r="H206" s="7" t="str">
        <f>IF(Plantilla_SCAN_EQ3_COUNT_2[[#This Row],[ID MATERIAL]]="","",$B$13)</f>
        <v/>
      </c>
      <c r="I206" s="7" t="str">
        <f>IF(Plantilla_SCAN_EQ3_COUNT_2[[#This Row],[ID MATERIAL]]="","","Segundo Conteo")</f>
        <v/>
      </c>
    </row>
    <row r="207" spans="1:9" s="7" customFormat="1" ht="15" x14ac:dyDescent="0.2">
      <c r="A207" s="7" t="str">
        <f>IF(Plantilla_SCAN_EQ3_COUNT_2[[#This Row],[ID MATERIAL]]="","",SIGN(Plantilla_SCAN_EQ3_COUNT_2[[#This Row],[Cantidad]])+A206)</f>
        <v/>
      </c>
      <c r="B207" s="21" t="str">
        <f>IF(Plantilla_SCAN_EQ3_COUNT_2[[#This Row],[ID MATERIAL]]="","",B206)</f>
        <v/>
      </c>
      <c r="C207" s="21"/>
      <c r="D207" s="21"/>
      <c r="E207" s="7" t="str">
        <f>IF(Plantilla_SCAN_EQ3_COUNT_2[[#This Row],[ID MATERIAL]]="","",VLOOKUP(Plantilla_SCAN_EQ3_COUNT_2[[#This Row],[ID MATERIAL]],INVENTARIO!$A:$D,2,FALSE))</f>
        <v/>
      </c>
      <c r="F207" s="7" t="str">
        <f>IF(Plantilla_SCAN_EQ3_COUNT_2[[#This Row],[ID MATERIAL]]="","",IF(Plantilla_SCAN_EQ3_COUNT_2[[#This Row],[No. Empaques]]="",1,Plantilla_SCAN_EQ3_COUNT_2[[#This Row],[No. Empaques]]*1))</f>
        <v/>
      </c>
      <c r="G207" s="7" t="str">
        <f>IF(Plantilla_SCAN_EQ3_COUNT_2[[#This Row],[ID MATERIAL]]="","","PZ")</f>
        <v/>
      </c>
      <c r="H207" s="7" t="str">
        <f>IF(Plantilla_SCAN_EQ3_COUNT_2[[#This Row],[ID MATERIAL]]="","",$B$13)</f>
        <v/>
      </c>
      <c r="I207" s="7" t="str">
        <f>IF(Plantilla_SCAN_EQ3_COUNT_2[[#This Row],[ID MATERIAL]]="","","Segundo Conteo")</f>
        <v/>
      </c>
    </row>
    <row r="208" spans="1:9" s="7" customFormat="1" ht="15" x14ac:dyDescent="0.2">
      <c r="A208" s="7" t="str">
        <f>IF(Plantilla_SCAN_EQ3_COUNT_2[[#This Row],[ID MATERIAL]]="","",SIGN(Plantilla_SCAN_EQ3_COUNT_2[[#This Row],[Cantidad]])+A207)</f>
        <v/>
      </c>
      <c r="B208" s="21" t="str">
        <f>IF(Plantilla_SCAN_EQ3_COUNT_2[[#This Row],[ID MATERIAL]]="","",B207)</f>
        <v/>
      </c>
      <c r="C208" s="21"/>
      <c r="D208" s="21"/>
      <c r="E208" s="7" t="str">
        <f>IF(Plantilla_SCAN_EQ3_COUNT_2[[#This Row],[ID MATERIAL]]="","",VLOOKUP(Plantilla_SCAN_EQ3_COUNT_2[[#This Row],[ID MATERIAL]],INVENTARIO!$A:$D,2,FALSE))</f>
        <v/>
      </c>
      <c r="F208" s="7" t="str">
        <f>IF(Plantilla_SCAN_EQ3_COUNT_2[[#This Row],[ID MATERIAL]]="","",IF(Plantilla_SCAN_EQ3_COUNT_2[[#This Row],[No. Empaques]]="",1,Plantilla_SCAN_EQ3_COUNT_2[[#This Row],[No. Empaques]]*1))</f>
        <v/>
      </c>
      <c r="G208" s="7" t="str">
        <f>IF(Plantilla_SCAN_EQ3_COUNT_2[[#This Row],[ID MATERIAL]]="","","PZ")</f>
        <v/>
      </c>
      <c r="H208" s="7" t="str">
        <f>IF(Plantilla_SCAN_EQ3_COUNT_2[[#This Row],[ID MATERIAL]]="","",$B$13)</f>
        <v/>
      </c>
      <c r="I208" s="7" t="str">
        <f>IF(Plantilla_SCAN_EQ3_COUNT_2[[#This Row],[ID MATERIAL]]="","","Segundo Conteo")</f>
        <v/>
      </c>
    </row>
    <row r="209" spans="1:9" s="7" customFormat="1" ht="15" x14ac:dyDescent="0.2">
      <c r="A209" s="7" t="str">
        <f>IF(Plantilla_SCAN_EQ3_COUNT_2[[#This Row],[ID MATERIAL]]="","",SIGN(Plantilla_SCAN_EQ3_COUNT_2[[#This Row],[Cantidad]])+A208)</f>
        <v/>
      </c>
      <c r="B209" s="21" t="str">
        <f>IF(Plantilla_SCAN_EQ3_COUNT_2[[#This Row],[ID MATERIAL]]="","",B208)</f>
        <v/>
      </c>
      <c r="C209" s="21"/>
      <c r="D209" s="21"/>
      <c r="E209" s="7" t="str">
        <f>IF(Plantilla_SCAN_EQ3_COUNT_2[[#This Row],[ID MATERIAL]]="","",VLOOKUP(Plantilla_SCAN_EQ3_COUNT_2[[#This Row],[ID MATERIAL]],INVENTARIO!$A:$D,2,FALSE))</f>
        <v/>
      </c>
      <c r="F209" s="7" t="str">
        <f>IF(Plantilla_SCAN_EQ3_COUNT_2[[#This Row],[ID MATERIAL]]="","",IF(Plantilla_SCAN_EQ3_COUNT_2[[#This Row],[No. Empaques]]="",1,Plantilla_SCAN_EQ3_COUNT_2[[#This Row],[No. Empaques]]*1))</f>
        <v/>
      </c>
      <c r="G209" s="7" t="str">
        <f>IF(Plantilla_SCAN_EQ3_COUNT_2[[#This Row],[ID MATERIAL]]="","","PZ")</f>
        <v/>
      </c>
      <c r="H209" s="7" t="str">
        <f>IF(Plantilla_SCAN_EQ3_COUNT_2[[#This Row],[ID MATERIAL]]="","",$B$13)</f>
        <v/>
      </c>
      <c r="I209" s="7" t="str">
        <f>IF(Plantilla_SCAN_EQ3_COUNT_2[[#This Row],[ID MATERIAL]]="","","Segundo Conteo")</f>
        <v/>
      </c>
    </row>
    <row r="210" spans="1:9" s="7" customFormat="1" ht="15" x14ac:dyDescent="0.2">
      <c r="A210" s="7" t="str">
        <f>IF(Plantilla_SCAN_EQ3_COUNT_2[[#This Row],[ID MATERIAL]]="","",SIGN(Plantilla_SCAN_EQ3_COUNT_2[[#This Row],[Cantidad]])+A209)</f>
        <v/>
      </c>
      <c r="B210" s="21" t="str">
        <f>IF(Plantilla_SCAN_EQ3_COUNT_2[[#This Row],[ID MATERIAL]]="","",B209)</f>
        <v/>
      </c>
      <c r="C210" s="21"/>
      <c r="D210" s="21"/>
      <c r="E210" s="7" t="str">
        <f>IF(Plantilla_SCAN_EQ3_COUNT_2[[#This Row],[ID MATERIAL]]="","",VLOOKUP(Plantilla_SCAN_EQ3_COUNT_2[[#This Row],[ID MATERIAL]],INVENTARIO!$A:$D,2,FALSE))</f>
        <v/>
      </c>
      <c r="F210" s="7" t="str">
        <f>IF(Plantilla_SCAN_EQ3_COUNT_2[[#This Row],[ID MATERIAL]]="","",IF(Plantilla_SCAN_EQ3_COUNT_2[[#This Row],[No. Empaques]]="",1,Plantilla_SCAN_EQ3_COUNT_2[[#This Row],[No. Empaques]]*1))</f>
        <v/>
      </c>
      <c r="G210" s="7" t="str">
        <f>IF(Plantilla_SCAN_EQ3_COUNT_2[[#This Row],[ID MATERIAL]]="","","PZ")</f>
        <v/>
      </c>
      <c r="H210" s="7" t="str">
        <f>IF(Plantilla_SCAN_EQ3_COUNT_2[[#This Row],[ID MATERIAL]]="","",$B$13)</f>
        <v/>
      </c>
      <c r="I210" s="7" t="str">
        <f>IF(Plantilla_SCAN_EQ3_COUNT_2[[#This Row],[ID MATERIAL]]="","","Segundo Conteo")</f>
        <v/>
      </c>
    </row>
    <row r="211" spans="1:9" s="7" customFormat="1" ht="15" x14ac:dyDescent="0.2">
      <c r="A211" s="7" t="str">
        <f>IF(Plantilla_SCAN_EQ3_COUNT_2[[#This Row],[ID MATERIAL]]="","",SIGN(Plantilla_SCAN_EQ3_COUNT_2[[#This Row],[Cantidad]])+A210)</f>
        <v/>
      </c>
      <c r="B211" s="21" t="str">
        <f>IF(Plantilla_SCAN_EQ3_COUNT_2[[#This Row],[ID MATERIAL]]="","",B210)</f>
        <v/>
      </c>
      <c r="C211" s="21"/>
      <c r="D211" s="21"/>
      <c r="E211" s="7" t="str">
        <f>IF(Plantilla_SCAN_EQ3_COUNT_2[[#This Row],[ID MATERIAL]]="","",VLOOKUP(Plantilla_SCAN_EQ3_COUNT_2[[#This Row],[ID MATERIAL]],INVENTARIO!$A:$D,2,FALSE))</f>
        <v/>
      </c>
      <c r="F211" s="7" t="str">
        <f>IF(Plantilla_SCAN_EQ3_COUNT_2[[#This Row],[ID MATERIAL]]="","",IF(Plantilla_SCAN_EQ3_COUNT_2[[#This Row],[No. Empaques]]="",1,Plantilla_SCAN_EQ3_COUNT_2[[#This Row],[No. Empaques]]*1))</f>
        <v/>
      </c>
      <c r="G211" s="7" t="str">
        <f>IF(Plantilla_SCAN_EQ3_COUNT_2[[#This Row],[ID MATERIAL]]="","","PZ")</f>
        <v/>
      </c>
      <c r="H211" s="7" t="str">
        <f>IF(Plantilla_SCAN_EQ3_COUNT_2[[#This Row],[ID MATERIAL]]="","",$B$13)</f>
        <v/>
      </c>
      <c r="I211" s="7" t="str">
        <f>IF(Plantilla_SCAN_EQ3_COUNT_2[[#This Row],[ID MATERIAL]]="","","Segundo Conteo")</f>
        <v/>
      </c>
    </row>
    <row r="212" spans="1:9" s="7" customFormat="1" ht="15" x14ac:dyDescent="0.2">
      <c r="A212" s="7" t="str">
        <f>IF(Plantilla_SCAN_EQ3_COUNT_2[[#This Row],[ID MATERIAL]]="","",SIGN(Plantilla_SCAN_EQ3_COUNT_2[[#This Row],[Cantidad]])+A211)</f>
        <v/>
      </c>
      <c r="B212" s="21" t="str">
        <f>IF(Plantilla_SCAN_EQ3_COUNT_2[[#This Row],[ID MATERIAL]]="","",B211)</f>
        <v/>
      </c>
      <c r="C212" s="21"/>
      <c r="D212" s="21"/>
      <c r="E212" s="7" t="str">
        <f>IF(Plantilla_SCAN_EQ3_COUNT_2[[#This Row],[ID MATERIAL]]="","",VLOOKUP(Plantilla_SCAN_EQ3_COUNT_2[[#This Row],[ID MATERIAL]],INVENTARIO!$A:$D,2,FALSE))</f>
        <v/>
      </c>
      <c r="F212" s="7" t="str">
        <f>IF(Plantilla_SCAN_EQ3_COUNT_2[[#This Row],[ID MATERIAL]]="","",IF(Plantilla_SCAN_EQ3_COUNT_2[[#This Row],[No. Empaques]]="",1,Plantilla_SCAN_EQ3_COUNT_2[[#This Row],[No. Empaques]]*1))</f>
        <v/>
      </c>
      <c r="G212" s="7" t="str">
        <f>IF(Plantilla_SCAN_EQ3_COUNT_2[[#This Row],[ID MATERIAL]]="","","PZ")</f>
        <v/>
      </c>
      <c r="H212" s="7" t="str">
        <f>IF(Plantilla_SCAN_EQ3_COUNT_2[[#This Row],[ID MATERIAL]]="","",$B$13)</f>
        <v/>
      </c>
      <c r="I212" s="7" t="str">
        <f>IF(Plantilla_SCAN_EQ3_COUNT_2[[#This Row],[ID MATERIAL]]="","","Segundo Conteo")</f>
        <v/>
      </c>
    </row>
    <row r="213" spans="1:9" s="7" customFormat="1" ht="15" x14ac:dyDescent="0.2">
      <c r="A213" s="7" t="str">
        <f>IF(Plantilla_SCAN_EQ3_COUNT_2[[#This Row],[ID MATERIAL]]="","",SIGN(Plantilla_SCAN_EQ3_COUNT_2[[#This Row],[Cantidad]])+A212)</f>
        <v/>
      </c>
      <c r="B213" s="21" t="str">
        <f>IF(Plantilla_SCAN_EQ3_COUNT_2[[#This Row],[ID MATERIAL]]="","",B212)</f>
        <v/>
      </c>
      <c r="C213" s="21"/>
      <c r="D213" s="21"/>
      <c r="E213" s="7" t="str">
        <f>IF(Plantilla_SCAN_EQ3_COUNT_2[[#This Row],[ID MATERIAL]]="","",VLOOKUP(Plantilla_SCAN_EQ3_COUNT_2[[#This Row],[ID MATERIAL]],INVENTARIO!$A:$D,2,FALSE))</f>
        <v/>
      </c>
      <c r="F213" s="7" t="str">
        <f>IF(Plantilla_SCAN_EQ3_COUNT_2[[#This Row],[ID MATERIAL]]="","",IF(Plantilla_SCAN_EQ3_COUNT_2[[#This Row],[No. Empaques]]="",1,Plantilla_SCAN_EQ3_COUNT_2[[#This Row],[No. Empaques]]*1))</f>
        <v/>
      </c>
      <c r="G213" s="7" t="str">
        <f>IF(Plantilla_SCAN_EQ3_COUNT_2[[#This Row],[ID MATERIAL]]="","","PZ")</f>
        <v/>
      </c>
      <c r="H213" s="7" t="str">
        <f>IF(Plantilla_SCAN_EQ3_COUNT_2[[#This Row],[ID MATERIAL]]="","",$B$13)</f>
        <v/>
      </c>
      <c r="I213" s="7" t="str">
        <f>IF(Plantilla_SCAN_EQ3_COUNT_2[[#This Row],[ID MATERIAL]]="","","Segundo Conteo")</f>
        <v/>
      </c>
    </row>
    <row r="214" spans="1:9" s="7" customFormat="1" ht="15" x14ac:dyDescent="0.2">
      <c r="A214" s="7" t="str">
        <f>IF(Plantilla_SCAN_EQ3_COUNT_2[[#This Row],[ID MATERIAL]]="","",SIGN(Plantilla_SCAN_EQ3_COUNT_2[[#This Row],[Cantidad]])+A213)</f>
        <v/>
      </c>
      <c r="B214" s="21" t="str">
        <f>IF(Plantilla_SCAN_EQ3_COUNT_2[[#This Row],[ID MATERIAL]]="","",B213)</f>
        <v/>
      </c>
      <c r="C214" s="21"/>
      <c r="D214" s="21"/>
      <c r="E214" s="7" t="str">
        <f>IF(Plantilla_SCAN_EQ3_COUNT_2[[#This Row],[ID MATERIAL]]="","",VLOOKUP(Plantilla_SCAN_EQ3_COUNT_2[[#This Row],[ID MATERIAL]],INVENTARIO!$A:$D,2,FALSE))</f>
        <v/>
      </c>
      <c r="F214" s="7" t="str">
        <f>IF(Plantilla_SCAN_EQ3_COUNT_2[[#This Row],[ID MATERIAL]]="","",IF(Plantilla_SCAN_EQ3_COUNT_2[[#This Row],[No. Empaques]]="",1,Plantilla_SCAN_EQ3_COUNT_2[[#This Row],[No. Empaques]]*1))</f>
        <v/>
      </c>
      <c r="G214" s="7" t="str">
        <f>IF(Plantilla_SCAN_EQ3_COUNT_2[[#This Row],[ID MATERIAL]]="","","PZ")</f>
        <v/>
      </c>
      <c r="H214" s="7" t="str">
        <f>IF(Plantilla_SCAN_EQ3_COUNT_2[[#This Row],[ID MATERIAL]]="","",$B$13)</f>
        <v/>
      </c>
      <c r="I214" s="7" t="str">
        <f>IF(Plantilla_SCAN_EQ3_COUNT_2[[#This Row],[ID MATERIAL]]="","","Segundo Conteo")</f>
        <v/>
      </c>
    </row>
    <row r="215" spans="1:9" s="7" customFormat="1" ht="15" x14ac:dyDescent="0.2">
      <c r="A215" s="7" t="str">
        <f>IF(Plantilla_SCAN_EQ3_COUNT_2[[#This Row],[ID MATERIAL]]="","",SIGN(Plantilla_SCAN_EQ3_COUNT_2[[#This Row],[Cantidad]])+A214)</f>
        <v/>
      </c>
      <c r="B215" s="21" t="str">
        <f>IF(Plantilla_SCAN_EQ3_COUNT_2[[#This Row],[ID MATERIAL]]="","",B214)</f>
        <v/>
      </c>
      <c r="C215" s="21"/>
      <c r="D215" s="21"/>
      <c r="E215" s="7" t="str">
        <f>IF(Plantilla_SCAN_EQ3_COUNT_2[[#This Row],[ID MATERIAL]]="","",VLOOKUP(Plantilla_SCAN_EQ3_COUNT_2[[#This Row],[ID MATERIAL]],INVENTARIO!$A:$D,2,FALSE))</f>
        <v/>
      </c>
      <c r="F215" s="7" t="str">
        <f>IF(Plantilla_SCAN_EQ3_COUNT_2[[#This Row],[ID MATERIAL]]="","",IF(Plantilla_SCAN_EQ3_COUNT_2[[#This Row],[No. Empaques]]="",1,Plantilla_SCAN_EQ3_COUNT_2[[#This Row],[No. Empaques]]*1))</f>
        <v/>
      </c>
      <c r="G215" s="7" t="str">
        <f>IF(Plantilla_SCAN_EQ3_COUNT_2[[#This Row],[ID MATERIAL]]="","","PZ")</f>
        <v/>
      </c>
      <c r="H215" s="7" t="str">
        <f>IF(Plantilla_SCAN_EQ3_COUNT_2[[#This Row],[ID MATERIAL]]="","",$B$13)</f>
        <v/>
      </c>
      <c r="I215" s="7" t="str">
        <f>IF(Plantilla_SCAN_EQ3_COUNT_2[[#This Row],[ID MATERIAL]]="","","Segundo Conteo")</f>
        <v/>
      </c>
    </row>
    <row r="216" spans="1:9" s="7" customFormat="1" ht="15" x14ac:dyDescent="0.2">
      <c r="A216" s="7" t="str">
        <f>IF(Plantilla_SCAN_EQ3_COUNT_2[[#This Row],[ID MATERIAL]]="","",SIGN(Plantilla_SCAN_EQ3_COUNT_2[[#This Row],[Cantidad]])+A215)</f>
        <v/>
      </c>
      <c r="B216" s="21" t="str">
        <f>IF(Plantilla_SCAN_EQ3_COUNT_2[[#This Row],[ID MATERIAL]]="","",B215)</f>
        <v/>
      </c>
      <c r="C216" s="21"/>
      <c r="D216" s="21"/>
      <c r="E216" s="7" t="str">
        <f>IF(Plantilla_SCAN_EQ3_COUNT_2[[#This Row],[ID MATERIAL]]="","",VLOOKUP(Plantilla_SCAN_EQ3_COUNT_2[[#This Row],[ID MATERIAL]],INVENTARIO!$A:$D,2,FALSE))</f>
        <v/>
      </c>
      <c r="F216" s="7" t="str">
        <f>IF(Plantilla_SCAN_EQ3_COUNT_2[[#This Row],[ID MATERIAL]]="","",IF(Plantilla_SCAN_EQ3_COUNT_2[[#This Row],[No. Empaques]]="",1,Plantilla_SCAN_EQ3_COUNT_2[[#This Row],[No. Empaques]]*1))</f>
        <v/>
      </c>
      <c r="G216" s="7" t="str">
        <f>IF(Plantilla_SCAN_EQ3_COUNT_2[[#This Row],[ID MATERIAL]]="","","PZ")</f>
        <v/>
      </c>
      <c r="H216" s="7" t="str">
        <f>IF(Plantilla_SCAN_EQ3_COUNT_2[[#This Row],[ID MATERIAL]]="","",$B$13)</f>
        <v/>
      </c>
      <c r="I216" s="7" t="str">
        <f>IF(Plantilla_SCAN_EQ3_COUNT_2[[#This Row],[ID MATERIAL]]="","","Segundo Conteo")</f>
        <v/>
      </c>
    </row>
    <row r="217" spans="1:9" s="7" customFormat="1" ht="15" x14ac:dyDescent="0.2">
      <c r="A217" s="7" t="str">
        <f>IF(Plantilla_SCAN_EQ3_COUNT_2[[#This Row],[ID MATERIAL]]="","",SIGN(Plantilla_SCAN_EQ3_COUNT_2[[#This Row],[Cantidad]])+A216)</f>
        <v/>
      </c>
      <c r="B217" s="21" t="str">
        <f>IF(Plantilla_SCAN_EQ3_COUNT_2[[#This Row],[ID MATERIAL]]="","",B216)</f>
        <v/>
      </c>
      <c r="C217" s="21"/>
      <c r="D217" s="21"/>
      <c r="E217" s="7" t="str">
        <f>IF(Plantilla_SCAN_EQ3_COUNT_2[[#This Row],[ID MATERIAL]]="","",VLOOKUP(Plantilla_SCAN_EQ3_COUNT_2[[#This Row],[ID MATERIAL]],INVENTARIO!$A:$D,2,FALSE))</f>
        <v/>
      </c>
      <c r="F217" s="7" t="str">
        <f>IF(Plantilla_SCAN_EQ3_COUNT_2[[#This Row],[ID MATERIAL]]="","",IF(Plantilla_SCAN_EQ3_COUNT_2[[#This Row],[No. Empaques]]="",1,Plantilla_SCAN_EQ3_COUNT_2[[#This Row],[No. Empaques]]*1))</f>
        <v/>
      </c>
      <c r="G217" s="7" t="str">
        <f>IF(Plantilla_SCAN_EQ3_COUNT_2[[#This Row],[ID MATERIAL]]="","","PZ")</f>
        <v/>
      </c>
      <c r="H217" s="7" t="str">
        <f>IF(Plantilla_SCAN_EQ3_COUNT_2[[#This Row],[ID MATERIAL]]="","",$B$13)</f>
        <v/>
      </c>
      <c r="I217" s="7" t="str">
        <f>IF(Plantilla_SCAN_EQ3_COUNT_2[[#This Row],[ID MATERIAL]]="","","Segundo Conteo")</f>
        <v/>
      </c>
    </row>
    <row r="218" spans="1:9" s="7" customFormat="1" ht="15" x14ac:dyDescent="0.2">
      <c r="A218" s="7" t="str">
        <f>IF(Plantilla_SCAN_EQ3_COUNT_2[[#This Row],[ID MATERIAL]]="","",SIGN(Plantilla_SCAN_EQ3_COUNT_2[[#This Row],[Cantidad]])+A217)</f>
        <v/>
      </c>
      <c r="B218" s="21" t="str">
        <f>IF(Plantilla_SCAN_EQ3_COUNT_2[[#This Row],[ID MATERIAL]]="","",B217)</f>
        <v/>
      </c>
      <c r="C218" s="21"/>
      <c r="D218" s="21"/>
      <c r="E218" s="7" t="str">
        <f>IF(Plantilla_SCAN_EQ3_COUNT_2[[#This Row],[ID MATERIAL]]="","",VLOOKUP(Plantilla_SCAN_EQ3_COUNT_2[[#This Row],[ID MATERIAL]],INVENTARIO!$A:$D,2,FALSE))</f>
        <v/>
      </c>
      <c r="F218" s="7" t="str">
        <f>IF(Plantilla_SCAN_EQ3_COUNT_2[[#This Row],[ID MATERIAL]]="","",IF(Plantilla_SCAN_EQ3_COUNT_2[[#This Row],[No. Empaques]]="",1,Plantilla_SCAN_EQ3_COUNT_2[[#This Row],[No. Empaques]]*1))</f>
        <v/>
      </c>
      <c r="G218" s="7" t="str">
        <f>IF(Plantilla_SCAN_EQ3_COUNT_2[[#This Row],[ID MATERIAL]]="","","PZ")</f>
        <v/>
      </c>
      <c r="H218" s="7" t="str">
        <f>IF(Plantilla_SCAN_EQ3_COUNT_2[[#This Row],[ID MATERIAL]]="","",$B$13)</f>
        <v/>
      </c>
      <c r="I218" s="7" t="str">
        <f>IF(Plantilla_SCAN_EQ3_COUNT_2[[#This Row],[ID MATERIAL]]="","","Segundo Conteo")</f>
        <v/>
      </c>
    </row>
    <row r="219" spans="1:9" s="7" customFormat="1" ht="15" x14ac:dyDescent="0.2">
      <c r="A219" s="7" t="str">
        <f>IF(Plantilla_SCAN_EQ3_COUNT_2[[#This Row],[ID MATERIAL]]="","",SIGN(Plantilla_SCAN_EQ3_COUNT_2[[#This Row],[Cantidad]])+A218)</f>
        <v/>
      </c>
      <c r="B219" s="21" t="str">
        <f>IF(Plantilla_SCAN_EQ3_COUNT_2[[#This Row],[ID MATERIAL]]="","",B218)</f>
        <v/>
      </c>
      <c r="C219" s="21"/>
      <c r="D219" s="21"/>
      <c r="E219" s="7" t="str">
        <f>IF(Plantilla_SCAN_EQ3_COUNT_2[[#This Row],[ID MATERIAL]]="","",VLOOKUP(Plantilla_SCAN_EQ3_COUNT_2[[#This Row],[ID MATERIAL]],INVENTARIO!$A:$D,2,FALSE))</f>
        <v/>
      </c>
      <c r="F219" s="7" t="str">
        <f>IF(Plantilla_SCAN_EQ3_COUNT_2[[#This Row],[ID MATERIAL]]="","",IF(Plantilla_SCAN_EQ3_COUNT_2[[#This Row],[No. Empaques]]="",1,Plantilla_SCAN_EQ3_COUNT_2[[#This Row],[No. Empaques]]*1))</f>
        <v/>
      </c>
      <c r="G219" s="7" t="str">
        <f>IF(Plantilla_SCAN_EQ3_COUNT_2[[#This Row],[ID MATERIAL]]="","","PZ")</f>
        <v/>
      </c>
      <c r="H219" s="7" t="str">
        <f>IF(Plantilla_SCAN_EQ3_COUNT_2[[#This Row],[ID MATERIAL]]="","",$B$13)</f>
        <v/>
      </c>
      <c r="I219" s="7" t="str">
        <f>IF(Plantilla_SCAN_EQ3_COUNT_2[[#This Row],[ID MATERIAL]]="","","Segundo Conteo")</f>
        <v/>
      </c>
    </row>
    <row r="220" spans="1:9" s="7" customFormat="1" ht="15" x14ac:dyDescent="0.2">
      <c r="A220" s="7" t="str">
        <f>IF(Plantilla_SCAN_EQ3_COUNT_2[[#This Row],[ID MATERIAL]]="","",SIGN(Plantilla_SCAN_EQ3_COUNT_2[[#This Row],[Cantidad]])+A219)</f>
        <v/>
      </c>
      <c r="B220" s="21" t="str">
        <f>IF(Plantilla_SCAN_EQ3_COUNT_2[[#This Row],[ID MATERIAL]]="","",B219)</f>
        <v/>
      </c>
      <c r="C220" s="21"/>
      <c r="D220" s="21"/>
      <c r="E220" s="7" t="str">
        <f>IF(Plantilla_SCAN_EQ3_COUNT_2[[#This Row],[ID MATERIAL]]="","",VLOOKUP(Plantilla_SCAN_EQ3_COUNT_2[[#This Row],[ID MATERIAL]],INVENTARIO!$A:$D,2,FALSE))</f>
        <v/>
      </c>
      <c r="F220" s="7" t="str">
        <f>IF(Plantilla_SCAN_EQ3_COUNT_2[[#This Row],[ID MATERIAL]]="","",IF(Plantilla_SCAN_EQ3_COUNT_2[[#This Row],[No. Empaques]]="",1,Plantilla_SCAN_EQ3_COUNT_2[[#This Row],[No. Empaques]]*1))</f>
        <v/>
      </c>
      <c r="G220" s="7" t="str">
        <f>IF(Plantilla_SCAN_EQ3_COUNT_2[[#This Row],[ID MATERIAL]]="","","PZ")</f>
        <v/>
      </c>
      <c r="H220" s="7" t="str">
        <f>IF(Plantilla_SCAN_EQ3_COUNT_2[[#This Row],[ID MATERIAL]]="","",$B$13)</f>
        <v/>
      </c>
      <c r="I220" s="7" t="str">
        <f>IF(Plantilla_SCAN_EQ3_COUNT_2[[#This Row],[ID MATERIAL]]="","","Segundo Conteo")</f>
        <v/>
      </c>
    </row>
    <row r="221" spans="1:9" s="7" customFormat="1" ht="15" x14ac:dyDescent="0.2">
      <c r="A221" s="7" t="str">
        <f>IF(Plantilla_SCAN_EQ3_COUNT_2[[#This Row],[ID MATERIAL]]="","",SIGN(Plantilla_SCAN_EQ3_COUNT_2[[#This Row],[Cantidad]])+A220)</f>
        <v/>
      </c>
      <c r="B221" s="21" t="str">
        <f>IF(Plantilla_SCAN_EQ3_COUNT_2[[#This Row],[ID MATERIAL]]="","",B220)</f>
        <v/>
      </c>
      <c r="C221" s="21"/>
      <c r="D221" s="21"/>
      <c r="E221" s="7" t="str">
        <f>IF(Plantilla_SCAN_EQ3_COUNT_2[[#This Row],[ID MATERIAL]]="","",VLOOKUP(Plantilla_SCAN_EQ3_COUNT_2[[#This Row],[ID MATERIAL]],INVENTARIO!$A:$D,2,FALSE))</f>
        <v/>
      </c>
      <c r="F221" s="7" t="str">
        <f>IF(Plantilla_SCAN_EQ3_COUNT_2[[#This Row],[ID MATERIAL]]="","",IF(Plantilla_SCAN_EQ3_COUNT_2[[#This Row],[No. Empaques]]="",1,Plantilla_SCAN_EQ3_COUNT_2[[#This Row],[No. Empaques]]*1))</f>
        <v/>
      </c>
      <c r="G221" s="7" t="str">
        <f>IF(Plantilla_SCAN_EQ3_COUNT_2[[#This Row],[ID MATERIAL]]="","","PZ")</f>
        <v/>
      </c>
      <c r="H221" s="7" t="str">
        <f>IF(Plantilla_SCAN_EQ3_COUNT_2[[#This Row],[ID MATERIAL]]="","",$B$13)</f>
        <v/>
      </c>
      <c r="I221" s="7" t="str">
        <f>IF(Plantilla_SCAN_EQ3_COUNT_2[[#This Row],[ID MATERIAL]]="","","Segundo Conteo")</f>
        <v/>
      </c>
    </row>
    <row r="222" spans="1:9" s="7" customFormat="1" ht="15" x14ac:dyDescent="0.2">
      <c r="A222" s="7" t="str">
        <f>IF(Plantilla_SCAN_EQ3_COUNT_2[[#This Row],[ID MATERIAL]]="","",SIGN(Plantilla_SCAN_EQ3_COUNT_2[[#This Row],[Cantidad]])+A221)</f>
        <v/>
      </c>
      <c r="B222" s="21" t="str">
        <f>IF(Plantilla_SCAN_EQ3_COUNT_2[[#This Row],[ID MATERIAL]]="","",B221)</f>
        <v/>
      </c>
      <c r="C222" s="21"/>
      <c r="D222" s="21"/>
      <c r="E222" s="7" t="str">
        <f>IF(Plantilla_SCAN_EQ3_COUNT_2[[#This Row],[ID MATERIAL]]="","",VLOOKUP(Plantilla_SCAN_EQ3_COUNT_2[[#This Row],[ID MATERIAL]],INVENTARIO!$A:$D,2,FALSE))</f>
        <v/>
      </c>
      <c r="F222" s="7" t="str">
        <f>IF(Plantilla_SCAN_EQ3_COUNT_2[[#This Row],[ID MATERIAL]]="","",IF(Plantilla_SCAN_EQ3_COUNT_2[[#This Row],[No. Empaques]]="",1,Plantilla_SCAN_EQ3_COUNT_2[[#This Row],[No. Empaques]]*1))</f>
        <v/>
      </c>
      <c r="G222" s="7" t="str">
        <f>IF(Plantilla_SCAN_EQ3_COUNT_2[[#This Row],[ID MATERIAL]]="","","PZ")</f>
        <v/>
      </c>
      <c r="H222" s="7" t="str">
        <f>IF(Plantilla_SCAN_EQ3_COUNT_2[[#This Row],[ID MATERIAL]]="","",$B$13)</f>
        <v/>
      </c>
      <c r="I222" s="7" t="str">
        <f>IF(Plantilla_SCAN_EQ3_COUNT_2[[#This Row],[ID MATERIAL]]="","","Segundo Conteo")</f>
        <v/>
      </c>
    </row>
    <row r="223" spans="1:9" s="7" customFormat="1" ht="15" x14ac:dyDescent="0.2">
      <c r="A223" s="7" t="str">
        <f>IF(Plantilla_SCAN_EQ3_COUNT_2[[#This Row],[ID MATERIAL]]="","",SIGN(Plantilla_SCAN_EQ3_COUNT_2[[#This Row],[Cantidad]])+A222)</f>
        <v/>
      </c>
      <c r="B223" s="21" t="str">
        <f>IF(Plantilla_SCAN_EQ3_COUNT_2[[#This Row],[ID MATERIAL]]="","",B222)</f>
        <v/>
      </c>
      <c r="C223" s="21"/>
      <c r="D223" s="21"/>
      <c r="E223" s="7" t="str">
        <f>IF(Plantilla_SCAN_EQ3_COUNT_2[[#This Row],[ID MATERIAL]]="","",VLOOKUP(Plantilla_SCAN_EQ3_COUNT_2[[#This Row],[ID MATERIAL]],INVENTARIO!$A:$D,2,FALSE))</f>
        <v/>
      </c>
      <c r="F223" s="7" t="str">
        <f>IF(Plantilla_SCAN_EQ3_COUNT_2[[#This Row],[ID MATERIAL]]="","",IF(Plantilla_SCAN_EQ3_COUNT_2[[#This Row],[No. Empaques]]="",1,Plantilla_SCAN_EQ3_COUNT_2[[#This Row],[No. Empaques]]*1))</f>
        <v/>
      </c>
      <c r="G223" s="7" t="str">
        <f>IF(Plantilla_SCAN_EQ3_COUNT_2[[#This Row],[ID MATERIAL]]="","","PZ")</f>
        <v/>
      </c>
      <c r="H223" s="7" t="str">
        <f>IF(Plantilla_SCAN_EQ3_COUNT_2[[#This Row],[ID MATERIAL]]="","",$B$13)</f>
        <v/>
      </c>
      <c r="I223" s="7" t="str">
        <f>IF(Plantilla_SCAN_EQ3_COUNT_2[[#This Row],[ID MATERIAL]]="","","Segundo Conteo")</f>
        <v/>
      </c>
    </row>
    <row r="224" spans="1:9" s="7" customFormat="1" ht="15" x14ac:dyDescent="0.2">
      <c r="A224" s="7" t="str">
        <f>IF(Plantilla_SCAN_EQ3_COUNT_2[[#This Row],[ID MATERIAL]]="","",SIGN(Plantilla_SCAN_EQ3_COUNT_2[[#This Row],[Cantidad]])+A223)</f>
        <v/>
      </c>
      <c r="B224" s="21" t="str">
        <f>IF(Plantilla_SCAN_EQ3_COUNT_2[[#This Row],[ID MATERIAL]]="","",B223)</f>
        <v/>
      </c>
      <c r="C224" s="21"/>
      <c r="D224" s="21"/>
      <c r="E224" s="7" t="str">
        <f>IF(Plantilla_SCAN_EQ3_COUNT_2[[#This Row],[ID MATERIAL]]="","",VLOOKUP(Plantilla_SCAN_EQ3_COUNT_2[[#This Row],[ID MATERIAL]],INVENTARIO!$A:$D,2,FALSE))</f>
        <v/>
      </c>
      <c r="F224" s="7" t="str">
        <f>IF(Plantilla_SCAN_EQ3_COUNT_2[[#This Row],[ID MATERIAL]]="","",IF(Plantilla_SCAN_EQ3_COUNT_2[[#This Row],[No. Empaques]]="",1,Plantilla_SCAN_EQ3_COUNT_2[[#This Row],[No. Empaques]]*1))</f>
        <v/>
      </c>
      <c r="G224" s="7" t="str">
        <f>IF(Plantilla_SCAN_EQ3_COUNT_2[[#This Row],[ID MATERIAL]]="","","PZ")</f>
        <v/>
      </c>
      <c r="H224" s="7" t="str">
        <f>IF(Plantilla_SCAN_EQ3_COUNT_2[[#This Row],[ID MATERIAL]]="","",$B$13)</f>
        <v/>
      </c>
      <c r="I224" s="7" t="str">
        <f>IF(Plantilla_SCAN_EQ3_COUNT_2[[#This Row],[ID MATERIAL]]="","","Segundo Conteo")</f>
        <v/>
      </c>
    </row>
    <row r="225" spans="1:9" s="7" customFormat="1" ht="15" x14ac:dyDescent="0.2">
      <c r="A225" s="7" t="str">
        <f>IF(Plantilla_SCAN_EQ3_COUNT_2[[#This Row],[ID MATERIAL]]="","",SIGN(Plantilla_SCAN_EQ3_COUNT_2[[#This Row],[Cantidad]])+A224)</f>
        <v/>
      </c>
      <c r="B225" s="21" t="str">
        <f>IF(Plantilla_SCAN_EQ3_COUNT_2[[#This Row],[ID MATERIAL]]="","",B224)</f>
        <v/>
      </c>
      <c r="C225" s="21"/>
      <c r="D225" s="21"/>
      <c r="E225" s="7" t="str">
        <f>IF(Plantilla_SCAN_EQ3_COUNT_2[[#This Row],[ID MATERIAL]]="","",VLOOKUP(Plantilla_SCAN_EQ3_COUNT_2[[#This Row],[ID MATERIAL]],INVENTARIO!$A:$D,2,FALSE))</f>
        <v/>
      </c>
      <c r="F225" s="7" t="str">
        <f>IF(Plantilla_SCAN_EQ3_COUNT_2[[#This Row],[ID MATERIAL]]="","",IF(Plantilla_SCAN_EQ3_COUNT_2[[#This Row],[No. Empaques]]="",1,Plantilla_SCAN_EQ3_COUNT_2[[#This Row],[No. Empaques]]*1))</f>
        <v/>
      </c>
      <c r="G225" s="7" t="str">
        <f>IF(Plantilla_SCAN_EQ3_COUNT_2[[#This Row],[ID MATERIAL]]="","","PZ")</f>
        <v/>
      </c>
      <c r="H225" s="7" t="str">
        <f>IF(Plantilla_SCAN_EQ3_COUNT_2[[#This Row],[ID MATERIAL]]="","",$B$13)</f>
        <v/>
      </c>
      <c r="I225" s="7" t="str">
        <f>IF(Plantilla_SCAN_EQ3_COUNT_2[[#This Row],[ID MATERIAL]]="","","Segundo Conteo")</f>
        <v/>
      </c>
    </row>
    <row r="226" spans="1:9" s="7" customFormat="1" ht="15" x14ac:dyDescent="0.2">
      <c r="A226" s="7" t="str">
        <f>IF(Plantilla_SCAN_EQ3_COUNT_2[[#This Row],[ID MATERIAL]]="","",SIGN(Plantilla_SCAN_EQ3_COUNT_2[[#This Row],[Cantidad]])+A225)</f>
        <v/>
      </c>
      <c r="B226" s="21" t="str">
        <f>IF(Plantilla_SCAN_EQ3_COUNT_2[[#This Row],[ID MATERIAL]]="","",B225)</f>
        <v/>
      </c>
      <c r="C226" s="21"/>
      <c r="D226" s="21"/>
      <c r="E226" s="7" t="str">
        <f>IF(Plantilla_SCAN_EQ3_COUNT_2[[#This Row],[ID MATERIAL]]="","",VLOOKUP(Plantilla_SCAN_EQ3_COUNT_2[[#This Row],[ID MATERIAL]],INVENTARIO!$A:$D,2,FALSE))</f>
        <v/>
      </c>
      <c r="F226" s="7" t="str">
        <f>IF(Plantilla_SCAN_EQ3_COUNT_2[[#This Row],[ID MATERIAL]]="","",IF(Plantilla_SCAN_EQ3_COUNT_2[[#This Row],[No. Empaques]]="",1,Plantilla_SCAN_EQ3_COUNT_2[[#This Row],[No. Empaques]]*1))</f>
        <v/>
      </c>
      <c r="G226" s="7" t="str">
        <f>IF(Plantilla_SCAN_EQ3_COUNT_2[[#This Row],[ID MATERIAL]]="","","PZ")</f>
        <v/>
      </c>
      <c r="H226" s="7" t="str">
        <f>IF(Plantilla_SCAN_EQ3_COUNT_2[[#This Row],[ID MATERIAL]]="","",$B$13)</f>
        <v/>
      </c>
      <c r="I226" s="7" t="str">
        <f>IF(Plantilla_SCAN_EQ3_COUNT_2[[#This Row],[ID MATERIAL]]="","","Segundo Conteo")</f>
        <v/>
      </c>
    </row>
    <row r="227" spans="1:9" s="7" customFormat="1" ht="15" x14ac:dyDescent="0.2">
      <c r="A227" s="7" t="str">
        <f>IF(Plantilla_SCAN_EQ3_COUNT_2[[#This Row],[ID MATERIAL]]="","",SIGN(Plantilla_SCAN_EQ3_COUNT_2[[#This Row],[Cantidad]])+A226)</f>
        <v/>
      </c>
      <c r="B227" s="21" t="str">
        <f>IF(Plantilla_SCAN_EQ3_COUNT_2[[#This Row],[ID MATERIAL]]="","",B226)</f>
        <v/>
      </c>
      <c r="C227" s="21"/>
      <c r="D227" s="21"/>
      <c r="E227" s="7" t="str">
        <f>IF(Plantilla_SCAN_EQ3_COUNT_2[[#This Row],[ID MATERIAL]]="","",VLOOKUP(Plantilla_SCAN_EQ3_COUNT_2[[#This Row],[ID MATERIAL]],INVENTARIO!$A:$D,2,FALSE))</f>
        <v/>
      </c>
      <c r="F227" s="7" t="str">
        <f>IF(Plantilla_SCAN_EQ3_COUNT_2[[#This Row],[ID MATERIAL]]="","",IF(Plantilla_SCAN_EQ3_COUNT_2[[#This Row],[No. Empaques]]="",1,Plantilla_SCAN_EQ3_COUNT_2[[#This Row],[No. Empaques]]*1))</f>
        <v/>
      </c>
      <c r="G227" s="7" t="str">
        <f>IF(Plantilla_SCAN_EQ3_COUNT_2[[#This Row],[ID MATERIAL]]="","","PZ")</f>
        <v/>
      </c>
      <c r="H227" s="7" t="str">
        <f>IF(Plantilla_SCAN_EQ3_COUNT_2[[#This Row],[ID MATERIAL]]="","",$B$13)</f>
        <v/>
      </c>
      <c r="I227" s="7" t="str">
        <f>IF(Plantilla_SCAN_EQ3_COUNT_2[[#This Row],[ID MATERIAL]]="","","Segundo Conteo")</f>
        <v/>
      </c>
    </row>
    <row r="228" spans="1:9" s="7" customFormat="1" ht="15" x14ac:dyDescent="0.2">
      <c r="A228" s="7" t="str">
        <f>IF(Plantilla_SCAN_EQ3_COUNT_2[[#This Row],[ID MATERIAL]]="","",SIGN(Plantilla_SCAN_EQ3_COUNT_2[[#This Row],[Cantidad]])+A227)</f>
        <v/>
      </c>
      <c r="B228" s="21" t="str">
        <f>IF(Plantilla_SCAN_EQ3_COUNT_2[[#This Row],[ID MATERIAL]]="","",B227)</f>
        <v/>
      </c>
      <c r="C228" s="21"/>
      <c r="D228" s="21"/>
      <c r="E228" s="7" t="str">
        <f>IF(Plantilla_SCAN_EQ3_COUNT_2[[#This Row],[ID MATERIAL]]="","",VLOOKUP(Plantilla_SCAN_EQ3_COUNT_2[[#This Row],[ID MATERIAL]],INVENTARIO!$A:$D,2,FALSE))</f>
        <v/>
      </c>
      <c r="F228" s="7" t="str">
        <f>IF(Plantilla_SCAN_EQ3_COUNT_2[[#This Row],[ID MATERIAL]]="","",IF(Plantilla_SCAN_EQ3_COUNT_2[[#This Row],[No. Empaques]]="",1,Plantilla_SCAN_EQ3_COUNT_2[[#This Row],[No. Empaques]]*1))</f>
        <v/>
      </c>
      <c r="G228" s="7" t="str">
        <f>IF(Plantilla_SCAN_EQ3_COUNT_2[[#This Row],[ID MATERIAL]]="","","PZ")</f>
        <v/>
      </c>
      <c r="H228" s="7" t="str">
        <f>IF(Plantilla_SCAN_EQ3_COUNT_2[[#This Row],[ID MATERIAL]]="","",$B$13)</f>
        <v/>
      </c>
      <c r="I228" s="7" t="str">
        <f>IF(Plantilla_SCAN_EQ3_COUNT_2[[#This Row],[ID MATERIAL]]="","","Segundo Conteo")</f>
        <v/>
      </c>
    </row>
    <row r="229" spans="1:9" s="7" customFormat="1" ht="15" x14ac:dyDescent="0.2">
      <c r="A229" s="7" t="str">
        <f>IF(Plantilla_SCAN_EQ3_COUNT_2[[#This Row],[ID MATERIAL]]="","",SIGN(Plantilla_SCAN_EQ3_COUNT_2[[#This Row],[Cantidad]])+A228)</f>
        <v/>
      </c>
      <c r="B229" s="21" t="str">
        <f>IF(Plantilla_SCAN_EQ3_COUNT_2[[#This Row],[ID MATERIAL]]="","",B228)</f>
        <v/>
      </c>
      <c r="C229" s="21"/>
      <c r="D229" s="21"/>
      <c r="E229" s="7" t="str">
        <f>IF(Plantilla_SCAN_EQ3_COUNT_2[[#This Row],[ID MATERIAL]]="","",VLOOKUP(Plantilla_SCAN_EQ3_COUNT_2[[#This Row],[ID MATERIAL]],INVENTARIO!$A:$D,2,FALSE))</f>
        <v/>
      </c>
      <c r="F229" s="7" t="str">
        <f>IF(Plantilla_SCAN_EQ3_COUNT_2[[#This Row],[ID MATERIAL]]="","",IF(Plantilla_SCAN_EQ3_COUNT_2[[#This Row],[No. Empaques]]="",1,Plantilla_SCAN_EQ3_COUNT_2[[#This Row],[No. Empaques]]*1))</f>
        <v/>
      </c>
      <c r="G229" s="7" t="str">
        <f>IF(Plantilla_SCAN_EQ3_COUNT_2[[#This Row],[ID MATERIAL]]="","","PZ")</f>
        <v/>
      </c>
      <c r="H229" s="7" t="str">
        <f>IF(Plantilla_SCAN_EQ3_COUNT_2[[#This Row],[ID MATERIAL]]="","",$B$13)</f>
        <v/>
      </c>
      <c r="I229" s="7" t="str">
        <f>IF(Plantilla_SCAN_EQ3_COUNT_2[[#This Row],[ID MATERIAL]]="","","Segundo Conteo")</f>
        <v/>
      </c>
    </row>
    <row r="230" spans="1:9" s="7" customFormat="1" ht="15" x14ac:dyDescent="0.2">
      <c r="A230" s="7" t="str">
        <f>IF(Plantilla_SCAN_EQ3_COUNT_2[[#This Row],[ID MATERIAL]]="","",SIGN(Plantilla_SCAN_EQ3_COUNT_2[[#This Row],[Cantidad]])+A229)</f>
        <v/>
      </c>
      <c r="B230" s="21" t="str">
        <f>IF(Plantilla_SCAN_EQ3_COUNT_2[[#This Row],[ID MATERIAL]]="","",B229)</f>
        <v/>
      </c>
      <c r="C230" s="21"/>
      <c r="D230" s="21"/>
      <c r="E230" s="7" t="str">
        <f>IF(Plantilla_SCAN_EQ3_COUNT_2[[#This Row],[ID MATERIAL]]="","",VLOOKUP(Plantilla_SCAN_EQ3_COUNT_2[[#This Row],[ID MATERIAL]],INVENTARIO!$A:$D,2,FALSE))</f>
        <v/>
      </c>
      <c r="F230" s="7" t="str">
        <f>IF(Plantilla_SCAN_EQ3_COUNT_2[[#This Row],[ID MATERIAL]]="","",IF(Plantilla_SCAN_EQ3_COUNT_2[[#This Row],[No. Empaques]]="",1,Plantilla_SCAN_EQ3_COUNT_2[[#This Row],[No. Empaques]]*1))</f>
        <v/>
      </c>
      <c r="G230" s="7" t="str">
        <f>IF(Plantilla_SCAN_EQ3_COUNT_2[[#This Row],[ID MATERIAL]]="","","PZ")</f>
        <v/>
      </c>
      <c r="H230" s="7" t="str">
        <f>IF(Plantilla_SCAN_EQ3_COUNT_2[[#This Row],[ID MATERIAL]]="","",$B$13)</f>
        <v/>
      </c>
      <c r="I230" s="7" t="str">
        <f>IF(Plantilla_SCAN_EQ3_COUNT_2[[#This Row],[ID MATERIAL]]="","","Segundo Conteo")</f>
        <v/>
      </c>
    </row>
    <row r="231" spans="1:9" s="7" customFormat="1" ht="15" x14ac:dyDescent="0.2">
      <c r="A231" s="7" t="str">
        <f>IF(Plantilla_SCAN_EQ3_COUNT_2[[#This Row],[ID MATERIAL]]="","",SIGN(Plantilla_SCAN_EQ3_COUNT_2[[#This Row],[Cantidad]])+A230)</f>
        <v/>
      </c>
      <c r="B231" s="21" t="str">
        <f>IF(Plantilla_SCAN_EQ3_COUNT_2[[#This Row],[ID MATERIAL]]="","",B230)</f>
        <v/>
      </c>
      <c r="C231" s="21"/>
      <c r="D231" s="21"/>
      <c r="E231" s="7" t="str">
        <f>IF(Plantilla_SCAN_EQ3_COUNT_2[[#This Row],[ID MATERIAL]]="","",VLOOKUP(Plantilla_SCAN_EQ3_COUNT_2[[#This Row],[ID MATERIAL]],INVENTARIO!$A:$D,2,FALSE))</f>
        <v/>
      </c>
      <c r="F231" s="7" t="str">
        <f>IF(Plantilla_SCAN_EQ3_COUNT_2[[#This Row],[ID MATERIAL]]="","",IF(Plantilla_SCAN_EQ3_COUNT_2[[#This Row],[No. Empaques]]="",1,Plantilla_SCAN_EQ3_COUNT_2[[#This Row],[No. Empaques]]*1))</f>
        <v/>
      </c>
      <c r="G231" s="7" t="str">
        <f>IF(Plantilla_SCAN_EQ3_COUNT_2[[#This Row],[ID MATERIAL]]="","","PZ")</f>
        <v/>
      </c>
      <c r="H231" s="7" t="str">
        <f>IF(Plantilla_SCAN_EQ3_COUNT_2[[#This Row],[ID MATERIAL]]="","",$B$13)</f>
        <v/>
      </c>
      <c r="I231" s="7" t="str">
        <f>IF(Plantilla_SCAN_EQ3_COUNT_2[[#This Row],[ID MATERIAL]]="","","Segundo Conteo")</f>
        <v/>
      </c>
    </row>
    <row r="232" spans="1:9" s="7" customFormat="1" ht="15" x14ac:dyDescent="0.2">
      <c r="A232" s="7" t="str">
        <f>IF(Plantilla_SCAN_EQ3_COUNT_2[[#This Row],[ID MATERIAL]]="","",SIGN(Plantilla_SCAN_EQ3_COUNT_2[[#This Row],[Cantidad]])+A231)</f>
        <v/>
      </c>
      <c r="B232" s="21" t="str">
        <f>IF(Plantilla_SCAN_EQ3_COUNT_2[[#This Row],[ID MATERIAL]]="","",B231)</f>
        <v/>
      </c>
      <c r="C232" s="21"/>
      <c r="D232" s="21"/>
      <c r="E232" s="7" t="str">
        <f>IF(Plantilla_SCAN_EQ3_COUNT_2[[#This Row],[ID MATERIAL]]="","",VLOOKUP(Plantilla_SCAN_EQ3_COUNT_2[[#This Row],[ID MATERIAL]],INVENTARIO!$A:$D,2,FALSE))</f>
        <v/>
      </c>
      <c r="F232" s="7" t="str">
        <f>IF(Plantilla_SCAN_EQ3_COUNT_2[[#This Row],[ID MATERIAL]]="","",IF(Plantilla_SCAN_EQ3_COUNT_2[[#This Row],[No. Empaques]]="",1,Plantilla_SCAN_EQ3_COUNT_2[[#This Row],[No. Empaques]]*1))</f>
        <v/>
      </c>
      <c r="G232" s="7" t="str">
        <f>IF(Plantilla_SCAN_EQ3_COUNT_2[[#This Row],[ID MATERIAL]]="","","PZ")</f>
        <v/>
      </c>
      <c r="H232" s="7" t="str">
        <f>IF(Plantilla_SCAN_EQ3_COUNT_2[[#This Row],[ID MATERIAL]]="","",$B$13)</f>
        <v/>
      </c>
      <c r="I232" s="7" t="str">
        <f>IF(Plantilla_SCAN_EQ3_COUNT_2[[#This Row],[ID MATERIAL]]="","","Segundo Conteo")</f>
        <v/>
      </c>
    </row>
    <row r="233" spans="1:9" s="7" customFormat="1" ht="15" x14ac:dyDescent="0.2">
      <c r="A233" s="7" t="str">
        <f>IF(Plantilla_SCAN_EQ3_COUNT_2[[#This Row],[ID MATERIAL]]="","",SIGN(Plantilla_SCAN_EQ3_COUNT_2[[#This Row],[Cantidad]])+A232)</f>
        <v/>
      </c>
      <c r="B233" s="21" t="str">
        <f>IF(Plantilla_SCAN_EQ3_COUNT_2[[#This Row],[ID MATERIAL]]="","",B232)</f>
        <v/>
      </c>
      <c r="C233" s="21"/>
      <c r="D233" s="21"/>
      <c r="E233" s="7" t="str">
        <f>IF(Plantilla_SCAN_EQ3_COUNT_2[[#This Row],[ID MATERIAL]]="","",VLOOKUP(Plantilla_SCAN_EQ3_COUNT_2[[#This Row],[ID MATERIAL]],INVENTARIO!$A:$D,2,FALSE))</f>
        <v/>
      </c>
      <c r="F233" s="7" t="str">
        <f>IF(Plantilla_SCAN_EQ3_COUNT_2[[#This Row],[ID MATERIAL]]="","",IF(Plantilla_SCAN_EQ3_COUNT_2[[#This Row],[No. Empaques]]="",1,Plantilla_SCAN_EQ3_COUNT_2[[#This Row],[No. Empaques]]*1))</f>
        <v/>
      </c>
      <c r="G233" s="7" t="str">
        <f>IF(Plantilla_SCAN_EQ3_COUNT_2[[#This Row],[ID MATERIAL]]="","","PZ")</f>
        <v/>
      </c>
      <c r="H233" s="7" t="str">
        <f>IF(Plantilla_SCAN_EQ3_COUNT_2[[#This Row],[ID MATERIAL]]="","",$B$13)</f>
        <v/>
      </c>
      <c r="I233" s="7" t="str">
        <f>IF(Plantilla_SCAN_EQ3_COUNT_2[[#This Row],[ID MATERIAL]]="","","Segundo Conteo")</f>
        <v/>
      </c>
    </row>
    <row r="234" spans="1:9" s="7" customFormat="1" ht="15" x14ac:dyDescent="0.2">
      <c r="A234" s="7" t="str">
        <f>IF(Plantilla_SCAN_EQ3_COUNT_2[[#This Row],[ID MATERIAL]]="","",SIGN(Plantilla_SCAN_EQ3_COUNT_2[[#This Row],[Cantidad]])+A233)</f>
        <v/>
      </c>
      <c r="B234" s="21" t="str">
        <f>IF(Plantilla_SCAN_EQ3_COUNT_2[[#This Row],[ID MATERIAL]]="","",B233)</f>
        <v/>
      </c>
      <c r="C234" s="21"/>
      <c r="D234" s="21"/>
      <c r="E234" s="7" t="str">
        <f>IF(Plantilla_SCAN_EQ3_COUNT_2[[#This Row],[ID MATERIAL]]="","",VLOOKUP(Plantilla_SCAN_EQ3_COUNT_2[[#This Row],[ID MATERIAL]],INVENTARIO!$A:$D,2,FALSE))</f>
        <v/>
      </c>
      <c r="F234" s="7" t="str">
        <f>IF(Plantilla_SCAN_EQ3_COUNT_2[[#This Row],[ID MATERIAL]]="","",IF(Plantilla_SCAN_EQ3_COUNT_2[[#This Row],[No. Empaques]]="",1,Plantilla_SCAN_EQ3_COUNT_2[[#This Row],[No. Empaques]]*1))</f>
        <v/>
      </c>
      <c r="G234" s="7" t="str">
        <f>IF(Plantilla_SCAN_EQ3_COUNT_2[[#This Row],[ID MATERIAL]]="","","PZ")</f>
        <v/>
      </c>
      <c r="H234" s="7" t="str">
        <f>IF(Plantilla_SCAN_EQ3_COUNT_2[[#This Row],[ID MATERIAL]]="","",$B$13)</f>
        <v/>
      </c>
      <c r="I234" s="7" t="str">
        <f>IF(Plantilla_SCAN_EQ3_COUNT_2[[#This Row],[ID MATERIAL]]="","","Segundo Conteo")</f>
        <v/>
      </c>
    </row>
    <row r="235" spans="1:9" s="7" customFormat="1" ht="15" x14ac:dyDescent="0.2">
      <c r="A235" s="7" t="str">
        <f>IF(Plantilla_SCAN_EQ3_COUNT_2[[#This Row],[ID MATERIAL]]="","",SIGN(Plantilla_SCAN_EQ3_COUNT_2[[#This Row],[Cantidad]])+A234)</f>
        <v/>
      </c>
      <c r="B235" s="21" t="str">
        <f>IF(Plantilla_SCAN_EQ3_COUNT_2[[#This Row],[ID MATERIAL]]="","",B234)</f>
        <v/>
      </c>
      <c r="C235" s="21"/>
      <c r="D235" s="21"/>
      <c r="E235" s="7" t="str">
        <f>IF(Plantilla_SCAN_EQ3_COUNT_2[[#This Row],[ID MATERIAL]]="","",VLOOKUP(Plantilla_SCAN_EQ3_COUNT_2[[#This Row],[ID MATERIAL]],INVENTARIO!$A:$D,2,FALSE))</f>
        <v/>
      </c>
      <c r="F235" s="7" t="str">
        <f>IF(Plantilla_SCAN_EQ3_COUNT_2[[#This Row],[ID MATERIAL]]="","",IF(Plantilla_SCAN_EQ3_COUNT_2[[#This Row],[No. Empaques]]="",1,Plantilla_SCAN_EQ3_COUNT_2[[#This Row],[No. Empaques]]*1))</f>
        <v/>
      </c>
      <c r="G235" s="7" t="str">
        <f>IF(Plantilla_SCAN_EQ3_COUNT_2[[#This Row],[ID MATERIAL]]="","","PZ")</f>
        <v/>
      </c>
      <c r="H235" s="7" t="str">
        <f>IF(Plantilla_SCAN_EQ3_COUNT_2[[#This Row],[ID MATERIAL]]="","",$B$13)</f>
        <v/>
      </c>
      <c r="I235" s="7" t="str">
        <f>IF(Plantilla_SCAN_EQ3_COUNT_2[[#This Row],[ID MATERIAL]]="","","Segundo Conteo")</f>
        <v/>
      </c>
    </row>
    <row r="236" spans="1:9" s="7" customFormat="1" ht="15" x14ac:dyDescent="0.2">
      <c r="A236" s="7" t="str">
        <f>IF(Plantilla_SCAN_EQ3_COUNT_2[[#This Row],[ID MATERIAL]]="","",SIGN(Plantilla_SCAN_EQ3_COUNT_2[[#This Row],[Cantidad]])+A235)</f>
        <v/>
      </c>
      <c r="B236" s="21" t="str">
        <f>IF(Plantilla_SCAN_EQ3_COUNT_2[[#This Row],[ID MATERIAL]]="","",B235)</f>
        <v/>
      </c>
      <c r="C236" s="21"/>
      <c r="D236" s="21"/>
      <c r="E236" s="7" t="str">
        <f>IF(Plantilla_SCAN_EQ3_COUNT_2[[#This Row],[ID MATERIAL]]="","",VLOOKUP(Plantilla_SCAN_EQ3_COUNT_2[[#This Row],[ID MATERIAL]],INVENTARIO!$A:$D,2,FALSE))</f>
        <v/>
      </c>
      <c r="F236" s="7" t="str">
        <f>IF(Plantilla_SCAN_EQ3_COUNT_2[[#This Row],[ID MATERIAL]]="","",IF(Plantilla_SCAN_EQ3_COUNT_2[[#This Row],[No. Empaques]]="",1,Plantilla_SCAN_EQ3_COUNT_2[[#This Row],[No. Empaques]]*1))</f>
        <v/>
      </c>
      <c r="G236" s="7" t="str">
        <f>IF(Plantilla_SCAN_EQ3_COUNT_2[[#This Row],[ID MATERIAL]]="","","PZ")</f>
        <v/>
      </c>
      <c r="H236" s="7" t="str">
        <f>IF(Plantilla_SCAN_EQ3_COUNT_2[[#This Row],[ID MATERIAL]]="","",$B$13)</f>
        <v/>
      </c>
      <c r="I236" s="7" t="str">
        <f>IF(Plantilla_SCAN_EQ3_COUNT_2[[#This Row],[ID MATERIAL]]="","","Segundo Conteo")</f>
        <v/>
      </c>
    </row>
    <row r="237" spans="1:9" s="7" customFormat="1" ht="15" x14ac:dyDescent="0.2">
      <c r="A237" s="7" t="str">
        <f>IF(Plantilla_SCAN_EQ3_COUNT_2[[#This Row],[ID MATERIAL]]="","",SIGN(Plantilla_SCAN_EQ3_COUNT_2[[#This Row],[Cantidad]])+A236)</f>
        <v/>
      </c>
      <c r="B237" s="21" t="str">
        <f>IF(Plantilla_SCAN_EQ3_COUNT_2[[#This Row],[ID MATERIAL]]="","",B236)</f>
        <v/>
      </c>
      <c r="C237" s="21"/>
      <c r="D237" s="21"/>
      <c r="E237" s="7" t="str">
        <f>IF(Plantilla_SCAN_EQ3_COUNT_2[[#This Row],[ID MATERIAL]]="","",VLOOKUP(Plantilla_SCAN_EQ3_COUNT_2[[#This Row],[ID MATERIAL]],INVENTARIO!$A:$D,2,FALSE))</f>
        <v/>
      </c>
      <c r="F237" s="7" t="str">
        <f>IF(Plantilla_SCAN_EQ3_COUNT_2[[#This Row],[ID MATERIAL]]="","",IF(Plantilla_SCAN_EQ3_COUNT_2[[#This Row],[No. Empaques]]="",1,Plantilla_SCAN_EQ3_COUNT_2[[#This Row],[No. Empaques]]*1))</f>
        <v/>
      </c>
      <c r="G237" s="7" t="str">
        <f>IF(Plantilla_SCAN_EQ3_COUNT_2[[#This Row],[ID MATERIAL]]="","","PZ")</f>
        <v/>
      </c>
      <c r="H237" s="7" t="str">
        <f>IF(Plantilla_SCAN_EQ3_COUNT_2[[#This Row],[ID MATERIAL]]="","",$B$13)</f>
        <v/>
      </c>
      <c r="I237" s="7" t="str">
        <f>IF(Plantilla_SCAN_EQ3_COUNT_2[[#This Row],[ID MATERIAL]]="","","Segundo Conteo")</f>
        <v/>
      </c>
    </row>
    <row r="238" spans="1:9" s="7" customFormat="1" ht="15" x14ac:dyDescent="0.2">
      <c r="A238" s="7" t="str">
        <f>IF(Plantilla_SCAN_EQ3_COUNT_2[[#This Row],[ID MATERIAL]]="","",SIGN(Plantilla_SCAN_EQ3_COUNT_2[[#This Row],[Cantidad]])+A237)</f>
        <v/>
      </c>
      <c r="B238" s="21" t="str">
        <f>IF(Plantilla_SCAN_EQ3_COUNT_2[[#This Row],[ID MATERIAL]]="","",B237)</f>
        <v/>
      </c>
      <c r="C238" s="21"/>
      <c r="D238" s="21"/>
      <c r="E238" s="7" t="str">
        <f>IF(Plantilla_SCAN_EQ3_COUNT_2[[#This Row],[ID MATERIAL]]="","",VLOOKUP(Plantilla_SCAN_EQ3_COUNT_2[[#This Row],[ID MATERIAL]],INVENTARIO!$A:$D,2,FALSE))</f>
        <v/>
      </c>
      <c r="F238" s="7" t="str">
        <f>IF(Plantilla_SCAN_EQ3_COUNT_2[[#This Row],[ID MATERIAL]]="","",IF(Plantilla_SCAN_EQ3_COUNT_2[[#This Row],[No. Empaques]]="",1,Plantilla_SCAN_EQ3_COUNT_2[[#This Row],[No. Empaques]]*1))</f>
        <v/>
      </c>
      <c r="G238" s="7" t="str">
        <f>IF(Plantilla_SCAN_EQ3_COUNT_2[[#This Row],[ID MATERIAL]]="","","PZ")</f>
        <v/>
      </c>
      <c r="H238" s="7" t="str">
        <f>IF(Plantilla_SCAN_EQ3_COUNT_2[[#This Row],[ID MATERIAL]]="","",$B$13)</f>
        <v/>
      </c>
      <c r="I238" s="7" t="str">
        <f>IF(Plantilla_SCAN_EQ3_COUNT_2[[#This Row],[ID MATERIAL]]="","","Segundo Conteo")</f>
        <v/>
      </c>
    </row>
    <row r="239" spans="1:9" s="7" customFormat="1" ht="15" x14ac:dyDescent="0.2">
      <c r="A239" s="7" t="str">
        <f>IF(Plantilla_SCAN_EQ3_COUNT_2[[#This Row],[ID MATERIAL]]="","",SIGN(Plantilla_SCAN_EQ3_COUNT_2[[#This Row],[Cantidad]])+A238)</f>
        <v/>
      </c>
      <c r="B239" s="21" t="str">
        <f>IF(Plantilla_SCAN_EQ3_COUNT_2[[#This Row],[ID MATERIAL]]="","",B238)</f>
        <v/>
      </c>
      <c r="C239" s="21"/>
      <c r="D239" s="21"/>
      <c r="E239" s="7" t="str">
        <f>IF(Plantilla_SCAN_EQ3_COUNT_2[[#This Row],[ID MATERIAL]]="","",VLOOKUP(Plantilla_SCAN_EQ3_COUNT_2[[#This Row],[ID MATERIAL]],INVENTARIO!$A:$D,2,FALSE))</f>
        <v/>
      </c>
      <c r="F239" s="7" t="str">
        <f>IF(Plantilla_SCAN_EQ3_COUNT_2[[#This Row],[ID MATERIAL]]="","",IF(Plantilla_SCAN_EQ3_COUNT_2[[#This Row],[No. Empaques]]="",1,Plantilla_SCAN_EQ3_COUNT_2[[#This Row],[No. Empaques]]*1))</f>
        <v/>
      </c>
      <c r="G239" s="7" t="str">
        <f>IF(Plantilla_SCAN_EQ3_COUNT_2[[#This Row],[ID MATERIAL]]="","","PZ")</f>
        <v/>
      </c>
      <c r="H239" s="7" t="str">
        <f>IF(Plantilla_SCAN_EQ3_COUNT_2[[#This Row],[ID MATERIAL]]="","",$B$13)</f>
        <v/>
      </c>
      <c r="I239" s="7" t="str">
        <f>IF(Plantilla_SCAN_EQ3_COUNT_2[[#This Row],[ID MATERIAL]]="","","Segundo Conteo")</f>
        <v/>
      </c>
    </row>
    <row r="240" spans="1:9" s="7" customFormat="1" ht="15" x14ac:dyDescent="0.2">
      <c r="A240" s="7" t="str">
        <f>IF(Plantilla_SCAN_EQ3_COUNT_2[[#This Row],[ID MATERIAL]]="","",SIGN(Plantilla_SCAN_EQ3_COUNT_2[[#This Row],[Cantidad]])+A239)</f>
        <v/>
      </c>
      <c r="B240" s="21" t="str">
        <f>IF(Plantilla_SCAN_EQ3_COUNT_2[[#This Row],[ID MATERIAL]]="","",B239)</f>
        <v/>
      </c>
      <c r="C240" s="21"/>
      <c r="D240" s="21"/>
      <c r="E240" s="7" t="str">
        <f>IF(Plantilla_SCAN_EQ3_COUNT_2[[#This Row],[ID MATERIAL]]="","",VLOOKUP(Plantilla_SCAN_EQ3_COUNT_2[[#This Row],[ID MATERIAL]],INVENTARIO!$A:$D,2,FALSE))</f>
        <v/>
      </c>
      <c r="F240" s="7" t="str">
        <f>IF(Plantilla_SCAN_EQ3_COUNT_2[[#This Row],[ID MATERIAL]]="","",IF(Plantilla_SCAN_EQ3_COUNT_2[[#This Row],[No. Empaques]]="",1,Plantilla_SCAN_EQ3_COUNT_2[[#This Row],[No. Empaques]]*1))</f>
        <v/>
      </c>
      <c r="G240" s="7" t="str">
        <f>IF(Plantilla_SCAN_EQ3_COUNT_2[[#This Row],[ID MATERIAL]]="","","PZ")</f>
        <v/>
      </c>
      <c r="H240" s="7" t="str">
        <f>IF(Plantilla_SCAN_EQ3_COUNT_2[[#This Row],[ID MATERIAL]]="","",$B$13)</f>
        <v/>
      </c>
      <c r="I240" s="7" t="str">
        <f>IF(Plantilla_SCAN_EQ3_COUNT_2[[#This Row],[ID MATERIAL]]="","","Segundo Conteo")</f>
        <v/>
      </c>
    </row>
    <row r="241" spans="1:9" s="7" customFormat="1" ht="15" x14ac:dyDescent="0.2">
      <c r="A241" s="7" t="str">
        <f>IF(Plantilla_SCAN_EQ3_COUNT_2[[#This Row],[ID MATERIAL]]="","",SIGN(Plantilla_SCAN_EQ3_COUNT_2[[#This Row],[Cantidad]])+A240)</f>
        <v/>
      </c>
      <c r="B241" s="21" t="str">
        <f>IF(Plantilla_SCAN_EQ3_COUNT_2[[#This Row],[ID MATERIAL]]="","",B240)</f>
        <v/>
      </c>
      <c r="C241" s="21"/>
      <c r="D241" s="21"/>
      <c r="E241" s="7" t="str">
        <f>IF(Plantilla_SCAN_EQ3_COUNT_2[[#This Row],[ID MATERIAL]]="","",VLOOKUP(Plantilla_SCAN_EQ3_COUNT_2[[#This Row],[ID MATERIAL]],INVENTARIO!$A:$D,2,FALSE))</f>
        <v/>
      </c>
      <c r="F241" s="7" t="str">
        <f>IF(Plantilla_SCAN_EQ3_COUNT_2[[#This Row],[ID MATERIAL]]="","",IF(Plantilla_SCAN_EQ3_COUNT_2[[#This Row],[No. Empaques]]="",1,Plantilla_SCAN_EQ3_COUNT_2[[#This Row],[No. Empaques]]*1))</f>
        <v/>
      </c>
      <c r="G241" s="7" t="str">
        <f>IF(Plantilla_SCAN_EQ3_COUNT_2[[#This Row],[ID MATERIAL]]="","","PZ")</f>
        <v/>
      </c>
      <c r="H241" s="7" t="str">
        <f>IF(Plantilla_SCAN_EQ3_COUNT_2[[#This Row],[ID MATERIAL]]="","",$B$13)</f>
        <v/>
      </c>
      <c r="I241" s="7" t="str">
        <f>IF(Plantilla_SCAN_EQ3_COUNT_2[[#This Row],[ID MATERIAL]]="","","Segundo Conteo")</f>
        <v/>
      </c>
    </row>
    <row r="242" spans="1:9" s="7" customFormat="1" ht="15" x14ac:dyDescent="0.2">
      <c r="A242" s="7" t="str">
        <f>IF(Plantilla_SCAN_EQ3_COUNT_2[[#This Row],[ID MATERIAL]]="","",SIGN(Plantilla_SCAN_EQ3_COUNT_2[[#This Row],[Cantidad]])+A241)</f>
        <v/>
      </c>
      <c r="B242" s="21" t="str">
        <f>IF(Plantilla_SCAN_EQ3_COUNT_2[[#This Row],[ID MATERIAL]]="","",B241)</f>
        <v/>
      </c>
      <c r="C242" s="21"/>
      <c r="D242" s="21"/>
      <c r="E242" s="7" t="str">
        <f>IF(Plantilla_SCAN_EQ3_COUNT_2[[#This Row],[ID MATERIAL]]="","",VLOOKUP(Plantilla_SCAN_EQ3_COUNT_2[[#This Row],[ID MATERIAL]],INVENTARIO!$A:$D,2,FALSE))</f>
        <v/>
      </c>
      <c r="F242" s="7" t="str">
        <f>IF(Plantilla_SCAN_EQ3_COUNT_2[[#This Row],[ID MATERIAL]]="","",IF(Plantilla_SCAN_EQ3_COUNT_2[[#This Row],[No. Empaques]]="",1,Plantilla_SCAN_EQ3_COUNT_2[[#This Row],[No. Empaques]]*1))</f>
        <v/>
      </c>
      <c r="G242" s="7" t="str">
        <f>IF(Plantilla_SCAN_EQ3_COUNT_2[[#This Row],[ID MATERIAL]]="","","PZ")</f>
        <v/>
      </c>
      <c r="H242" s="7" t="str">
        <f>IF(Plantilla_SCAN_EQ3_COUNT_2[[#This Row],[ID MATERIAL]]="","",$B$13)</f>
        <v/>
      </c>
      <c r="I242" s="7" t="str">
        <f>IF(Plantilla_SCAN_EQ3_COUNT_2[[#This Row],[ID MATERIAL]]="","","Segundo Conteo")</f>
        <v/>
      </c>
    </row>
    <row r="243" spans="1:9" s="7" customFormat="1" ht="15" x14ac:dyDescent="0.2">
      <c r="A243" s="7" t="str">
        <f>IF(Plantilla_SCAN_EQ3_COUNT_2[[#This Row],[ID MATERIAL]]="","",SIGN(Plantilla_SCAN_EQ3_COUNT_2[[#This Row],[Cantidad]])+A242)</f>
        <v/>
      </c>
      <c r="B243" s="21" t="str">
        <f>IF(Plantilla_SCAN_EQ3_COUNT_2[[#This Row],[ID MATERIAL]]="","",B242)</f>
        <v/>
      </c>
      <c r="C243" s="21"/>
      <c r="D243" s="21"/>
      <c r="E243" s="7" t="str">
        <f>IF(Plantilla_SCAN_EQ3_COUNT_2[[#This Row],[ID MATERIAL]]="","",VLOOKUP(Plantilla_SCAN_EQ3_COUNT_2[[#This Row],[ID MATERIAL]],INVENTARIO!$A:$D,2,FALSE))</f>
        <v/>
      </c>
      <c r="F243" s="7" t="str">
        <f>IF(Plantilla_SCAN_EQ3_COUNT_2[[#This Row],[ID MATERIAL]]="","",IF(Plantilla_SCAN_EQ3_COUNT_2[[#This Row],[No. Empaques]]="",1,Plantilla_SCAN_EQ3_COUNT_2[[#This Row],[No. Empaques]]*1))</f>
        <v/>
      </c>
      <c r="G243" s="7" t="str">
        <f>IF(Plantilla_SCAN_EQ3_COUNT_2[[#This Row],[ID MATERIAL]]="","","PZ")</f>
        <v/>
      </c>
      <c r="H243" s="7" t="str">
        <f>IF(Plantilla_SCAN_EQ3_COUNT_2[[#This Row],[ID MATERIAL]]="","",$B$13)</f>
        <v/>
      </c>
      <c r="I243" s="7" t="str">
        <f>IF(Plantilla_SCAN_EQ3_COUNT_2[[#This Row],[ID MATERIAL]]="","","Segundo Conteo")</f>
        <v/>
      </c>
    </row>
    <row r="244" spans="1:9" s="7" customFormat="1" ht="15" x14ac:dyDescent="0.2">
      <c r="A244" s="7" t="str">
        <f>IF(Plantilla_SCAN_EQ3_COUNT_2[[#This Row],[ID MATERIAL]]="","",SIGN(Plantilla_SCAN_EQ3_COUNT_2[[#This Row],[Cantidad]])+A243)</f>
        <v/>
      </c>
      <c r="B244" s="21" t="str">
        <f>IF(Plantilla_SCAN_EQ3_COUNT_2[[#This Row],[ID MATERIAL]]="","",B243)</f>
        <v/>
      </c>
      <c r="C244" s="21"/>
      <c r="D244" s="21"/>
      <c r="E244" s="7" t="str">
        <f>IF(Plantilla_SCAN_EQ3_COUNT_2[[#This Row],[ID MATERIAL]]="","",VLOOKUP(Plantilla_SCAN_EQ3_COUNT_2[[#This Row],[ID MATERIAL]],INVENTARIO!$A:$D,2,FALSE))</f>
        <v/>
      </c>
      <c r="F244" s="7" t="str">
        <f>IF(Plantilla_SCAN_EQ3_COUNT_2[[#This Row],[ID MATERIAL]]="","",IF(Plantilla_SCAN_EQ3_COUNT_2[[#This Row],[No. Empaques]]="",1,Plantilla_SCAN_EQ3_COUNT_2[[#This Row],[No. Empaques]]*1))</f>
        <v/>
      </c>
      <c r="G244" s="7" t="str">
        <f>IF(Plantilla_SCAN_EQ3_COUNT_2[[#This Row],[ID MATERIAL]]="","","PZ")</f>
        <v/>
      </c>
      <c r="H244" s="7" t="str">
        <f>IF(Plantilla_SCAN_EQ3_COUNT_2[[#This Row],[ID MATERIAL]]="","",$B$13)</f>
        <v/>
      </c>
      <c r="I244" s="7" t="str">
        <f>IF(Plantilla_SCAN_EQ3_COUNT_2[[#This Row],[ID MATERIAL]]="","","Segundo Conteo")</f>
        <v/>
      </c>
    </row>
    <row r="245" spans="1:9" s="7" customFormat="1" ht="15" x14ac:dyDescent="0.2">
      <c r="A245" s="7" t="str">
        <f>IF(Plantilla_SCAN_EQ3_COUNT_2[[#This Row],[ID MATERIAL]]="","",SIGN(Plantilla_SCAN_EQ3_COUNT_2[[#This Row],[Cantidad]])+A244)</f>
        <v/>
      </c>
      <c r="B245" s="21" t="str">
        <f>IF(Plantilla_SCAN_EQ3_COUNT_2[[#This Row],[ID MATERIAL]]="","",B244)</f>
        <v/>
      </c>
      <c r="C245" s="21"/>
      <c r="D245" s="21"/>
      <c r="E245" s="7" t="str">
        <f>IF(Plantilla_SCAN_EQ3_COUNT_2[[#This Row],[ID MATERIAL]]="","",VLOOKUP(Plantilla_SCAN_EQ3_COUNT_2[[#This Row],[ID MATERIAL]],INVENTARIO!$A:$D,2,FALSE))</f>
        <v/>
      </c>
      <c r="F245" s="7" t="str">
        <f>IF(Plantilla_SCAN_EQ3_COUNT_2[[#This Row],[ID MATERIAL]]="","",IF(Plantilla_SCAN_EQ3_COUNT_2[[#This Row],[No. Empaques]]="",1,Plantilla_SCAN_EQ3_COUNT_2[[#This Row],[No. Empaques]]*1))</f>
        <v/>
      </c>
      <c r="G245" s="7" t="str">
        <f>IF(Plantilla_SCAN_EQ3_COUNT_2[[#This Row],[ID MATERIAL]]="","","PZ")</f>
        <v/>
      </c>
      <c r="H245" s="7" t="str">
        <f>IF(Plantilla_SCAN_EQ3_COUNT_2[[#This Row],[ID MATERIAL]]="","",$B$13)</f>
        <v/>
      </c>
      <c r="I245" s="7" t="str">
        <f>IF(Plantilla_SCAN_EQ3_COUNT_2[[#This Row],[ID MATERIAL]]="","","Segundo Conteo")</f>
        <v/>
      </c>
    </row>
    <row r="246" spans="1:9" s="7" customFormat="1" ht="15" x14ac:dyDescent="0.2">
      <c r="A246" s="7" t="str">
        <f>IF(Plantilla_SCAN_EQ3_COUNT_2[[#This Row],[ID MATERIAL]]="","",SIGN(Plantilla_SCAN_EQ3_COUNT_2[[#This Row],[Cantidad]])+A245)</f>
        <v/>
      </c>
      <c r="B246" s="21" t="str">
        <f>IF(Plantilla_SCAN_EQ3_COUNT_2[[#This Row],[ID MATERIAL]]="","",B245)</f>
        <v/>
      </c>
      <c r="C246" s="21"/>
      <c r="D246" s="21"/>
      <c r="E246" s="7" t="str">
        <f>IF(Plantilla_SCAN_EQ3_COUNT_2[[#This Row],[ID MATERIAL]]="","",VLOOKUP(Plantilla_SCAN_EQ3_COUNT_2[[#This Row],[ID MATERIAL]],INVENTARIO!$A:$D,2,FALSE))</f>
        <v/>
      </c>
      <c r="F246" s="7" t="str">
        <f>IF(Plantilla_SCAN_EQ3_COUNT_2[[#This Row],[ID MATERIAL]]="","",IF(Plantilla_SCAN_EQ3_COUNT_2[[#This Row],[No. Empaques]]="",1,Plantilla_SCAN_EQ3_COUNT_2[[#This Row],[No. Empaques]]*1))</f>
        <v/>
      </c>
      <c r="G246" s="7" t="str">
        <f>IF(Plantilla_SCAN_EQ3_COUNT_2[[#This Row],[ID MATERIAL]]="","","PZ")</f>
        <v/>
      </c>
      <c r="H246" s="7" t="str">
        <f>IF(Plantilla_SCAN_EQ3_COUNT_2[[#This Row],[ID MATERIAL]]="","",$B$13)</f>
        <v/>
      </c>
      <c r="I246" s="7" t="str">
        <f>IF(Plantilla_SCAN_EQ3_COUNT_2[[#This Row],[ID MATERIAL]]="","","Segundo Conteo")</f>
        <v/>
      </c>
    </row>
    <row r="247" spans="1:9" s="7" customFormat="1" ht="15" x14ac:dyDescent="0.2">
      <c r="A247" s="7" t="str">
        <f>IF(Plantilla_SCAN_EQ3_COUNT_2[[#This Row],[ID MATERIAL]]="","",SIGN(Plantilla_SCAN_EQ3_COUNT_2[[#This Row],[Cantidad]])+A246)</f>
        <v/>
      </c>
      <c r="B247" s="21" t="str">
        <f>IF(Plantilla_SCAN_EQ3_COUNT_2[[#This Row],[ID MATERIAL]]="","",B246)</f>
        <v/>
      </c>
      <c r="C247" s="21"/>
      <c r="D247" s="21"/>
      <c r="E247" s="7" t="str">
        <f>IF(Plantilla_SCAN_EQ3_COUNT_2[[#This Row],[ID MATERIAL]]="","",VLOOKUP(Plantilla_SCAN_EQ3_COUNT_2[[#This Row],[ID MATERIAL]],INVENTARIO!$A:$D,2,FALSE))</f>
        <v/>
      </c>
      <c r="F247" s="7" t="str">
        <f>IF(Plantilla_SCAN_EQ3_COUNT_2[[#This Row],[ID MATERIAL]]="","",IF(Plantilla_SCAN_EQ3_COUNT_2[[#This Row],[No. Empaques]]="",1,Plantilla_SCAN_EQ3_COUNT_2[[#This Row],[No. Empaques]]*1))</f>
        <v/>
      </c>
      <c r="G247" s="7" t="str">
        <f>IF(Plantilla_SCAN_EQ3_COUNT_2[[#This Row],[ID MATERIAL]]="","","PZ")</f>
        <v/>
      </c>
      <c r="H247" s="7" t="str">
        <f>IF(Plantilla_SCAN_EQ3_COUNT_2[[#This Row],[ID MATERIAL]]="","",$B$13)</f>
        <v/>
      </c>
      <c r="I247" s="7" t="str">
        <f>IF(Plantilla_SCAN_EQ3_COUNT_2[[#This Row],[ID MATERIAL]]="","","Segundo Conteo")</f>
        <v/>
      </c>
    </row>
    <row r="248" spans="1:9" s="7" customFormat="1" ht="15" x14ac:dyDescent="0.2">
      <c r="A248" s="7" t="str">
        <f>IF(Plantilla_SCAN_EQ3_COUNT_2[[#This Row],[ID MATERIAL]]="","",SIGN(Plantilla_SCAN_EQ3_COUNT_2[[#This Row],[Cantidad]])+A247)</f>
        <v/>
      </c>
      <c r="B248" s="21" t="str">
        <f>IF(Plantilla_SCAN_EQ3_COUNT_2[[#This Row],[ID MATERIAL]]="","",B247)</f>
        <v/>
      </c>
      <c r="C248" s="21"/>
      <c r="D248" s="21"/>
      <c r="E248" s="7" t="str">
        <f>IF(Plantilla_SCAN_EQ3_COUNT_2[[#This Row],[ID MATERIAL]]="","",VLOOKUP(Plantilla_SCAN_EQ3_COUNT_2[[#This Row],[ID MATERIAL]],INVENTARIO!$A:$D,2,FALSE))</f>
        <v/>
      </c>
      <c r="F248" s="7" t="str">
        <f>IF(Plantilla_SCAN_EQ3_COUNT_2[[#This Row],[ID MATERIAL]]="","",IF(Plantilla_SCAN_EQ3_COUNT_2[[#This Row],[No. Empaques]]="",1,Plantilla_SCAN_EQ3_COUNT_2[[#This Row],[No. Empaques]]*1))</f>
        <v/>
      </c>
      <c r="G248" s="7" t="str">
        <f>IF(Plantilla_SCAN_EQ3_COUNT_2[[#This Row],[ID MATERIAL]]="","","PZ")</f>
        <v/>
      </c>
      <c r="H248" s="7" t="str">
        <f>IF(Plantilla_SCAN_EQ3_COUNT_2[[#This Row],[ID MATERIAL]]="","",$B$13)</f>
        <v/>
      </c>
      <c r="I248" s="7" t="str">
        <f>IF(Plantilla_SCAN_EQ3_COUNT_2[[#This Row],[ID MATERIAL]]="","","Segundo Conteo")</f>
        <v/>
      </c>
    </row>
    <row r="249" spans="1:9" s="7" customFormat="1" ht="15" x14ac:dyDescent="0.2">
      <c r="A249" s="7" t="str">
        <f>IF(Plantilla_SCAN_EQ3_COUNT_2[[#This Row],[ID MATERIAL]]="","",SIGN(Plantilla_SCAN_EQ3_COUNT_2[[#This Row],[Cantidad]])+A248)</f>
        <v/>
      </c>
      <c r="B249" s="21" t="str">
        <f>IF(Plantilla_SCAN_EQ3_COUNT_2[[#This Row],[ID MATERIAL]]="","",B248)</f>
        <v/>
      </c>
      <c r="C249" s="21"/>
      <c r="D249" s="21"/>
      <c r="E249" s="7" t="str">
        <f>IF(Plantilla_SCAN_EQ3_COUNT_2[[#This Row],[ID MATERIAL]]="","",VLOOKUP(Plantilla_SCAN_EQ3_COUNT_2[[#This Row],[ID MATERIAL]],INVENTARIO!$A:$D,2,FALSE))</f>
        <v/>
      </c>
      <c r="F249" s="7" t="str">
        <f>IF(Plantilla_SCAN_EQ3_COUNT_2[[#This Row],[ID MATERIAL]]="","",IF(Plantilla_SCAN_EQ3_COUNT_2[[#This Row],[No. Empaques]]="",1,Plantilla_SCAN_EQ3_COUNT_2[[#This Row],[No. Empaques]]*1))</f>
        <v/>
      </c>
      <c r="G249" s="7" t="str">
        <f>IF(Plantilla_SCAN_EQ3_COUNT_2[[#This Row],[ID MATERIAL]]="","","PZ")</f>
        <v/>
      </c>
      <c r="H249" s="7" t="str">
        <f>IF(Plantilla_SCAN_EQ3_COUNT_2[[#This Row],[ID MATERIAL]]="","",$B$13)</f>
        <v/>
      </c>
      <c r="I249" s="7" t="str">
        <f>IF(Plantilla_SCAN_EQ3_COUNT_2[[#This Row],[ID MATERIAL]]="","","Segundo Conteo")</f>
        <v/>
      </c>
    </row>
    <row r="250" spans="1:9" s="7" customFormat="1" ht="15" x14ac:dyDescent="0.2">
      <c r="A250" s="7" t="str">
        <f>IF(Plantilla_SCAN_EQ3_COUNT_2[[#This Row],[ID MATERIAL]]="","",SIGN(Plantilla_SCAN_EQ3_COUNT_2[[#This Row],[Cantidad]])+A249)</f>
        <v/>
      </c>
      <c r="B250" s="21" t="str">
        <f>IF(Plantilla_SCAN_EQ3_COUNT_2[[#This Row],[ID MATERIAL]]="","",B249)</f>
        <v/>
      </c>
      <c r="C250" s="21"/>
      <c r="D250" s="21"/>
      <c r="E250" s="7" t="str">
        <f>IF(Plantilla_SCAN_EQ3_COUNT_2[[#This Row],[ID MATERIAL]]="","",VLOOKUP(Plantilla_SCAN_EQ3_COUNT_2[[#This Row],[ID MATERIAL]],INVENTARIO!$A:$D,2,FALSE))</f>
        <v/>
      </c>
      <c r="F250" s="7" t="str">
        <f>IF(Plantilla_SCAN_EQ3_COUNT_2[[#This Row],[ID MATERIAL]]="","",IF(Plantilla_SCAN_EQ3_COUNT_2[[#This Row],[No. Empaques]]="",1,Plantilla_SCAN_EQ3_COUNT_2[[#This Row],[No. Empaques]]*1))</f>
        <v/>
      </c>
      <c r="G250" s="7" t="str">
        <f>IF(Plantilla_SCAN_EQ3_COUNT_2[[#This Row],[ID MATERIAL]]="","","PZ")</f>
        <v/>
      </c>
      <c r="H250" s="7" t="str">
        <f>IF(Plantilla_SCAN_EQ3_COUNT_2[[#This Row],[ID MATERIAL]]="","",$B$13)</f>
        <v/>
      </c>
      <c r="I250" s="7" t="str">
        <f>IF(Plantilla_SCAN_EQ3_COUNT_2[[#This Row],[ID MATERIAL]]="","","Segundo Conteo")</f>
        <v/>
      </c>
    </row>
    <row r="251" spans="1:9" s="7" customFormat="1" ht="15" x14ac:dyDescent="0.2">
      <c r="A251" s="7" t="str">
        <f>IF(Plantilla_SCAN_EQ3_COUNT_2[[#This Row],[ID MATERIAL]]="","",SIGN(Plantilla_SCAN_EQ3_COUNT_2[[#This Row],[Cantidad]])+A250)</f>
        <v/>
      </c>
      <c r="B251" s="21" t="str">
        <f>IF(Plantilla_SCAN_EQ3_COUNT_2[[#This Row],[ID MATERIAL]]="","",B250)</f>
        <v/>
      </c>
      <c r="C251" s="21"/>
      <c r="D251" s="21"/>
      <c r="E251" s="7" t="str">
        <f>IF(Plantilla_SCAN_EQ3_COUNT_2[[#This Row],[ID MATERIAL]]="","",VLOOKUP(Plantilla_SCAN_EQ3_COUNT_2[[#This Row],[ID MATERIAL]],INVENTARIO!$A:$D,2,FALSE))</f>
        <v/>
      </c>
      <c r="F251" s="7" t="str">
        <f>IF(Plantilla_SCAN_EQ3_COUNT_2[[#This Row],[ID MATERIAL]]="","",IF(Plantilla_SCAN_EQ3_COUNT_2[[#This Row],[No. Empaques]]="",1,Plantilla_SCAN_EQ3_COUNT_2[[#This Row],[No. Empaques]]*1))</f>
        <v/>
      </c>
      <c r="G251" s="7" t="str">
        <f>IF(Plantilla_SCAN_EQ3_COUNT_2[[#This Row],[ID MATERIAL]]="","","PZ")</f>
        <v/>
      </c>
      <c r="H251" s="7" t="str">
        <f>IF(Plantilla_SCAN_EQ3_COUNT_2[[#This Row],[ID MATERIAL]]="","",$B$13)</f>
        <v/>
      </c>
      <c r="I251" s="7" t="str">
        <f>IF(Plantilla_SCAN_EQ3_COUNT_2[[#This Row],[ID MATERIAL]]="","","Segundo Conteo")</f>
        <v/>
      </c>
    </row>
    <row r="252" spans="1:9" s="7" customFormat="1" ht="15" x14ac:dyDescent="0.2">
      <c r="A252" s="7" t="str">
        <f>IF(Plantilla_SCAN_EQ3_COUNT_2[[#This Row],[ID MATERIAL]]="","",SIGN(Plantilla_SCAN_EQ3_COUNT_2[[#This Row],[Cantidad]])+A251)</f>
        <v/>
      </c>
      <c r="B252" s="21" t="str">
        <f>IF(Plantilla_SCAN_EQ3_COUNT_2[[#This Row],[ID MATERIAL]]="","",B251)</f>
        <v/>
      </c>
      <c r="C252" s="21"/>
      <c r="D252" s="21"/>
      <c r="E252" s="7" t="str">
        <f>IF(Plantilla_SCAN_EQ3_COUNT_2[[#This Row],[ID MATERIAL]]="","",VLOOKUP(Plantilla_SCAN_EQ3_COUNT_2[[#This Row],[ID MATERIAL]],INVENTARIO!$A:$D,2,FALSE))</f>
        <v/>
      </c>
      <c r="F252" s="7" t="str">
        <f>IF(Plantilla_SCAN_EQ3_COUNT_2[[#This Row],[ID MATERIAL]]="","",IF(Plantilla_SCAN_EQ3_COUNT_2[[#This Row],[No. Empaques]]="",1,Plantilla_SCAN_EQ3_COUNT_2[[#This Row],[No. Empaques]]*1))</f>
        <v/>
      </c>
      <c r="G252" s="7" t="str">
        <f>IF(Plantilla_SCAN_EQ3_COUNT_2[[#This Row],[ID MATERIAL]]="","","PZ")</f>
        <v/>
      </c>
      <c r="H252" s="7" t="str">
        <f>IF(Plantilla_SCAN_EQ3_COUNT_2[[#This Row],[ID MATERIAL]]="","",$B$13)</f>
        <v/>
      </c>
      <c r="I252" s="7" t="str">
        <f>IF(Plantilla_SCAN_EQ3_COUNT_2[[#This Row],[ID MATERIAL]]="","","Segundo Conteo")</f>
        <v/>
      </c>
    </row>
    <row r="253" spans="1:9" s="7" customFormat="1" ht="15" x14ac:dyDescent="0.2">
      <c r="A253" s="7" t="str">
        <f>IF(Plantilla_SCAN_EQ3_COUNT_2[[#This Row],[ID MATERIAL]]="","",SIGN(Plantilla_SCAN_EQ3_COUNT_2[[#This Row],[Cantidad]])+A252)</f>
        <v/>
      </c>
      <c r="B253" s="21" t="str">
        <f>IF(Plantilla_SCAN_EQ3_COUNT_2[[#This Row],[ID MATERIAL]]="","",B252)</f>
        <v/>
      </c>
      <c r="C253" s="21"/>
      <c r="D253" s="21"/>
      <c r="E253" s="7" t="str">
        <f>IF(Plantilla_SCAN_EQ3_COUNT_2[[#This Row],[ID MATERIAL]]="","",VLOOKUP(Plantilla_SCAN_EQ3_COUNT_2[[#This Row],[ID MATERIAL]],INVENTARIO!$A:$D,2,FALSE))</f>
        <v/>
      </c>
      <c r="F253" s="7" t="str">
        <f>IF(Plantilla_SCAN_EQ3_COUNT_2[[#This Row],[ID MATERIAL]]="","",IF(Plantilla_SCAN_EQ3_COUNT_2[[#This Row],[No. Empaques]]="",1,Plantilla_SCAN_EQ3_COUNT_2[[#This Row],[No. Empaques]]*1))</f>
        <v/>
      </c>
      <c r="G253" s="7" t="str">
        <f>IF(Plantilla_SCAN_EQ3_COUNT_2[[#This Row],[ID MATERIAL]]="","","PZ")</f>
        <v/>
      </c>
      <c r="H253" s="7" t="str">
        <f>IF(Plantilla_SCAN_EQ3_COUNT_2[[#This Row],[ID MATERIAL]]="","",$B$13)</f>
        <v/>
      </c>
      <c r="I253" s="7" t="str">
        <f>IF(Plantilla_SCAN_EQ3_COUNT_2[[#This Row],[ID MATERIAL]]="","","Segundo Conteo")</f>
        <v/>
      </c>
    </row>
    <row r="254" spans="1:9" s="7" customFormat="1" ht="15" x14ac:dyDescent="0.2">
      <c r="A254" s="7" t="str">
        <f>IF(Plantilla_SCAN_EQ3_COUNT_2[[#This Row],[ID MATERIAL]]="","",SIGN(Plantilla_SCAN_EQ3_COUNT_2[[#This Row],[Cantidad]])+A253)</f>
        <v/>
      </c>
      <c r="B254" s="21" t="str">
        <f>IF(Plantilla_SCAN_EQ3_COUNT_2[[#This Row],[ID MATERIAL]]="","",B253)</f>
        <v/>
      </c>
      <c r="C254" s="21"/>
      <c r="D254" s="21"/>
      <c r="E254" s="7" t="str">
        <f>IF(Plantilla_SCAN_EQ3_COUNT_2[[#This Row],[ID MATERIAL]]="","",VLOOKUP(Plantilla_SCAN_EQ3_COUNT_2[[#This Row],[ID MATERIAL]],INVENTARIO!$A:$D,2,FALSE))</f>
        <v/>
      </c>
      <c r="F254" s="7" t="str">
        <f>IF(Plantilla_SCAN_EQ3_COUNT_2[[#This Row],[ID MATERIAL]]="","",IF(Plantilla_SCAN_EQ3_COUNT_2[[#This Row],[No. Empaques]]="",1,Plantilla_SCAN_EQ3_COUNT_2[[#This Row],[No. Empaques]]*1))</f>
        <v/>
      </c>
      <c r="G254" s="7" t="str">
        <f>IF(Plantilla_SCAN_EQ3_COUNT_2[[#This Row],[ID MATERIAL]]="","","PZ")</f>
        <v/>
      </c>
      <c r="H254" s="7" t="str">
        <f>IF(Plantilla_SCAN_EQ3_COUNT_2[[#This Row],[ID MATERIAL]]="","",$B$13)</f>
        <v/>
      </c>
      <c r="I254" s="7" t="str">
        <f>IF(Plantilla_SCAN_EQ3_COUNT_2[[#This Row],[ID MATERIAL]]="","","Segundo Conteo")</f>
        <v/>
      </c>
    </row>
    <row r="255" spans="1:9" s="7" customFormat="1" ht="15" x14ac:dyDescent="0.2">
      <c r="A255" s="7" t="str">
        <f>IF(Plantilla_SCAN_EQ3_COUNT_2[[#This Row],[ID MATERIAL]]="","",SIGN(Plantilla_SCAN_EQ3_COUNT_2[[#This Row],[Cantidad]])+A254)</f>
        <v/>
      </c>
      <c r="B255" s="21" t="str">
        <f>IF(Plantilla_SCAN_EQ3_COUNT_2[[#This Row],[ID MATERIAL]]="","",B254)</f>
        <v/>
      </c>
      <c r="C255" s="21"/>
      <c r="D255" s="21"/>
      <c r="E255" s="7" t="str">
        <f>IF(Plantilla_SCAN_EQ3_COUNT_2[[#This Row],[ID MATERIAL]]="","",VLOOKUP(Plantilla_SCAN_EQ3_COUNT_2[[#This Row],[ID MATERIAL]],INVENTARIO!$A:$D,2,FALSE))</f>
        <v/>
      </c>
      <c r="F255" s="7" t="str">
        <f>IF(Plantilla_SCAN_EQ3_COUNT_2[[#This Row],[ID MATERIAL]]="","",IF(Plantilla_SCAN_EQ3_COUNT_2[[#This Row],[No. Empaques]]="",1,Plantilla_SCAN_EQ3_COUNT_2[[#This Row],[No. Empaques]]*1))</f>
        <v/>
      </c>
      <c r="G255" s="7" t="str">
        <f>IF(Plantilla_SCAN_EQ3_COUNT_2[[#This Row],[ID MATERIAL]]="","","PZ")</f>
        <v/>
      </c>
      <c r="H255" s="7" t="str">
        <f>IF(Plantilla_SCAN_EQ3_COUNT_2[[#This Row],[ID MATERIAL]]="","",$B$13)</f>
        <v/>
      </c>
      <c r="I255" s="7" t="str">
        <f>IF(Plantilla_SCAN_EQ3_COUNT_2[[#This Row],[ID MATERIAL]]="","","Segundo Conteo")</f>
        <v/>
      </c>
    </row>
    <row r="256" spans="1:9" s="7" customFormat="1" ht="15" x14ac:dyDescent="0.2">
      <c r="A256" s="7" t="str">
        <f>IF(Plantilla_SCAN_EQ3_COUNT_2[[#This Row],[ID MATERIAL]]="","",SIGN(Plantilla_SCAN_EQ3_COUNT_2[[#This Row],[Cantidad]])+A255)</f>
        <v/>
      </c>
      <c r="B256" s="21" t="str">
        <f>IF(Plantilla_SCAN_EQ3_COUNT_2[[#This Row],[ID MATERIAL]]="","",B255)</f>
        <v/>
      </c>
      <c r="C256" s="21"/>
      <c r="D256" s="21"/>
      <c r="E256" s="7" t="str">
        <f>IF(Plantilla_SCAN_EQ3_COUNT_2[[#This Row],[ID MATERIAL]]="","",VLOOKUP(Plantilla_SCAN_EQ3_COUNT_2[[#This Row],[ID MATERIAL]],INVENTARIO!$A:$D,2,FALSE))</f>
        <v/>
      </c>
      <c r="F256" s="7" t="str">
        <f>IF(Plantilla_SCAN_EQ3_COUNT_2[[#This Row],[ID MATERIAL]]="","",IF(Plantilla_SCAN_EQ3_COUNT_2[[#This Row],[No. Empaques]]="",1,Plantilla_SCAN_EQ3_COUNT_2[[#This Row],[No. Empaques]]*1))</f>
        <v/>
      </c>
      <c r="G256" s="7" t="str">
        <f>IF(Plantilla_SCAN_EQ3_COUNT_2[[#This Row],[ID MATERIAL]]="","","PZ")</f>
        <v/>
      </c>
      <c r="H256" s="7" t="str">
        <f>IF(Plantilla_SCAN_EQ3_COUNT_2[[#This Row],[ID MATERIAL]]="","",$B$13)</f>
        <v/>
      </c>
      <c r="I256" s="7" t="str">
        <f>IF(Plantilla_SCAN_EQ3_COUNT_2[[#This Row],[ID MATERIAL]]="","","Segundo Conteo")</f>
        <v/>
      </c>
    </row>
    <row r="257" spans="1:9" s="7" customFormat="1" ht="15" x14ac:dyDescent="0.2">
      <c r="A257" s="7" t="str">
        <f>IF(Plantilla_SCAN_EQ3_COUNT_2[[#This Row],[ID MATERIAL]]="","",SIGN(Plantilla_SCAN_EQ3_COUNT_2[[#This Row],[Cantidad]])+A256)</f>
        <v/>
      </c>
      <c r="B257" s="21" t="str">
        <f>IF(Plantilla_SCAN_EQ3_COUNT_2[[#This Row],[ID MATERIAL]]="","",B256)</f>
        <v/>
      </c>
      <c r="C257" s="21"/>
      <c r="D257" s="21"/>
      <c r="E257" s="7" t="str">
        <f>IF(Plantilla_SCAN_EQ3_COUNT_2[[#This Row],[ID MATERIAL]]="","",VLOOKUP(Plantilla_SCAN_EQ3_COUNT_2[[#This Row],[ID MATERIAL]],INVENTARIO!$A:$D,2,FALSE))</f>
        <v/>
      </c>
      <c r="F257" s="7" t="str">
        <f>IF(Plantilla_SCAN_EQ3_COUNT_2[[#This Row],[ID MATERIAL]]="","",IF(Plantilla_SCAN_EQ3_COUNT_2[[#This Row],[No. Empaques]]="",1,Plantilla_SCAN_EQ3_COUNT_2[[#This Row],[No. Empaques]]*1))</f>
        <v/>
      </c>
      <c r="G257" s="7" t="str">
        <f>IF(Plantilla_SCAN_EQ3_COUNT_2[[#This Row],[ID MATERIAL]]="","","PZ")</f>
        <v/>
      </c>
      <c r="H257" s="7" t="str">
        <f>IF(Plantilla_SCAN_EQ3_COUNT_2[[#This Row],[ID MATERIAL]]="","",$B$13)</f>
        <v/>
      </c>
      <c r="I257" s="7" t="str">
        <f>IF(Plantilla_SCAN_EQ3_COUNT_2[[#This Row],[ID MATERIAL]]="","","Segundo Conteo")</f>
        <v/>
      </c>
    </row>
    <row r="258" spans="1:9" s="7" customFormat="1" ht="15" x14ac:dyDescent="0.2">
      <c r="A258" s="7" t="str">
        <f>IF(Plantilla_SCAN_EQ3_COUNT_2[[#This Row],[ID MATERIAL]]="","",SIGN(Plantilla_SCAN_EQ3_COUNT_2[[#This Row],[Cantidad]])+A257)</f>
        <v/>
      </c>
      <c r="B258" s="21" t="str">
        <f>IF(Plantilla_SCAN_EQ3_COUNT_2[[#This Row],[ID MATERIAL]]="","",B257)</f>
        <v/>
      </c>
      <c r="C258" s="21"/>
      <c r="D258" s="21"/>
      <c r="E258" s="7" t="str">
        <f>IF(Plantilla_SCAN_EQ3_COUNT_2[[#This Row],[ID MATERIAL]]="","",VLOOKUP(Plantilla_SCAN_EQ3_COUNT_2[[#This Row],[ID MATERIAL]],INVENTARIO!$A:$D,2,FALSE))</f>
        <v/>
      </c>
      <c r="F258" s="7" t="str">
        <f>IF(Plantilla_SCAN_EQ3_COUNT_2[[#This Row],[ID MATERIAL]]="","",IF(Plantilla_SCAN_EQ3_COUNT_2[[#This Row],[No. Empaques]]="",1,Plantilla_SCAN_EQ3_COUNT_2[[#This Row],[No. Empaques]]*1))</f>
        <v/>
      </c>
      <c r="G258" s="7" t="str">
        <f>IF(Plantilla_SCAN_EQ3_COUNT_2[[#This Row],[ID MATERIAL]]="","","PZ")</f>
        <v/>
      </c>
      <c r="H258" s="7" t="str">
        <f>IF(Plantilla_SCAN_EQ3_COUNT_2[[#This Row],[ID MATERIAL]]="","",$B$13)</f>
        <v/>
      </c>
      <c r="I258" s="7" t="str">
        <f>IF(Plantilla_SCAN_EQ3_COUNT_2[[#This Row],[ID MATERIAL]]="","","Segundo Conteo")</f>
        <v/>
      </c>
    </row>
    <row r="259" spans="1:9" s="7" customFormat="1" ht="15" x14ac:dyDescent="0.2">
      <c r="A259" s="7" t="str">
        <f>IF(Plantilla_SCAN_EQ3_COUNT_2[[#This Row],[ID MATERIAL]]="","",SIGN(Plantilla_SCAN_EQ3_COUNT_2[[#This Row],[Cantidad]])+A258)</f>
        <v/>
      </c>
      <c r="B259" s="21" t="str">
        <f>IF(Plantilla_SCAN_EQ3_COUNT_2[[#This Row],[ID MATERIAL]]="","",B258)</f>
        <v/>
      </c>
      <c r="C259" s="21"/>
      <c r="D259" s="21"/>
      <c r="E259" s="7" t="str">
        <f>IF(Plantilla_SCAN_EQ3_COUNT_2[[#This Row],[ID MATERIAL]]="","",VLOOKUP(Plantilla_SCAN_EQ3_COUNT_2[[#This Row],[ID MATERIAL]],INVENTARIO!$A:$D,2,FALSE))</f>
        <v/>
      </c>
      <c r="F259" s="7" t="str">
        <f>IF(Plantilla_SCAN_EQ3_COUNT_2[[#This Row],[ID MATERIAL]]="","",IF(Plantilla_SCAN_EQ3_COUNT_2[[#This Row],[No. Empaques]]="",1,Plantilla_SCAN_EQ3_COUNT_2[[#This Row],[No. Empaques]]*1))</f>
        <v/>
      </c>
      <c r="G259" s="7" t="str">
        <f>IF(Plantilla_SCAN_EQ3_COUNT_2[[#This Row],[ID MATERIAL]]="","","PZ")</f>
        <v/>
      </c>
      <c r="H259" s="7" t="str">
        <f>IF(Plantilla_SCAN_EQ3_COUNT_2[[#This Row],[ID MATERIAL]]="","",$B$13)</f>
        <v/>
      </c>
      <c r="I259" s="7" t="str">
        <f>IF(Plantilla_SCAN_EQ3_COUNT_2[[#This Row],[ID MATERIAL]]="","","Segundo Conteo")</f>
        <v/>
      </c>
    </row>
    <row r="260" spans="1:9" s="7" customFormat="1" ht="15" x14ac:dyDescent="0.2">
      <c r="A260" s="7" t="str">
        <f>IF(Plantilla_SCAN_EQ3_COUNT_2[[#This Row],[ID MATERIAL]]="","",SIGN(Plantilla_SCAN_EQ3_COUNT_2[[#This Row],[Cantidad]])+A259)</f>
        <v/>
      </c>
      <c r="B260" s="21" t="str">
        <f>IF(Plantilla_SCAN_EQ3_COUNT_2[[#This Row],[ID MATERIAL]]="","",B259)</f>
        <v/>
      </c>
      <c r="C260" s="21"/>
      <c r="D260" s="21"/>
      <c r="E260" s="7" t="str">
        <f>IF(Plantilla_SCAN_EQ3_COUNT_2[[#This Row],[ID MATERIAL]]="","",VLOOKUP(Plantilla_SCAN_EQ3_COUNT_2[[#This Row],[ID MATERIAL]],INVENTARIO!$A:$D,2,FALSE))</f>
        <v/>
      </c>
      <c r="F260" s="7" t="str">
        <f>IF(Plantilla_SCAN_EQ3_COUNT_2[[#This Row],[ID MATERIAL]]="","",IF(Plantilla_SCAN_EQ3_COUNT_2[[#This Row],[No. Empaques]]="",1,Plantilla_SCAN_EQ3_COUNT_2[[#This Row],[No. Empaques]]*1))</f>
        <v/>
      </c>
      <c r="G260" s="7" t="str">
        <f>IF(Plantilla_SCAN_EQ3_COUNT_2[[#This Row],[ID MATERIAL]]="","","PZ")</f>
        <v/>
      </c>
      <c r="H260" s="7" t="str">
        <f>IF(Plantilla_SCAN_EQ3_COUNT_2[[#This Row],[ID MATERIAL]]="","",$B$13)</f>
        <v/>
      </c>
      <c r="I260" s="7" t="str">
        <f>IF(Plantilla_SCAN_EQ3_COUNT_2[[#This Row],[ID MATERIAL]]="","","Segundo Conteo")</f>
        <v/>
      </c>
    </row>
    <row r="261" spans="1:9" s="7" customFormat="1" ht="15" x14ac:dyDescent="0.2">
      <c r="A261" s="7" t="str">
        <f>IF(Plantilla_SCAN_EQ3_COUNT_2[[#This Row],[ID MATERIAL]]="","",SIGN(Plantilla_SCAN_EQ3_COUNT_2[[#This Row],[Cantidad]])+A260)</f>
        <v/>
      </c>
      <c r="B261" s="21" t="str">
        <f>IF(Plantilla_SCAN_EQ3_COUNT_2[[#This Row],[ID MATERIAL]]="","",B260)</f>
        <v/>
      </c>
      <c r="C261" s="21"/>
      <c r="D261" s="21"/>
      <c r="E261" s="7" t="str">
        <f>IF(Plantilla_SCAN_EQ3_COUNT_2[[#This Row],[ID MATERIAL]]="","",VLOOKUP(Plantilla_SCAN_EQ3_COUNT_2[[#This Row],[ID MATERIAL]],INVENTARIO!$A:$D,2,FALSE))</f>
        <v/>
      </c>
      <c r="F261" s="7" t="str">
        <f>IF(Plantilla_SCAN_EQ3_COUNT_2[[#This Row],[ID MATERIAL]]="","",IF(Plantilla_SCAN_EQ3_COUNT_2[[#This Row],[No. Empaques]]="",1,Plantilla_SCAN_EQ3_COUNT_2[[#This Row],[No. Empaques]]*1))</f>
        <v/>
      </c>
      <c r="G261" s="7" t="str">
        <f>IF(Plantilla_SCAN_EQ3_COUNT_2[[#This Row],[ID MATERIAL]]="","","PZ")</f>
        <v/>
      </c>
      <c r="H261" s="7" t="str">
        <f>IF(Plantilla_SCAN_EQ3_COUNT_2[[#This Row],[ID MATERIAL]]="","",$B$13)</f>
        <v/>
      </c>
      <c r="I261" s="7" t="str">
        <f>IF(Plantilla_SCAN_EQ3_COUNT_2[[#This Row],[ID MATERIAL]]="","","Segundo Conteo")</f>
        <v/>
      </c>
    </row>
    <row r="262" spans="1:9" s="7" customFormat="1" ht="15" x14ac:dyDescent="0.2">
      <c r="A262" s="7" t="str">
        <f>IF(Plantilla_SCAN_EQ3_COUNT_2[[#This Row],[ID MATERIAL]]="","",SIGN(Plantilla_SCAN_EQ3_COUNT_2[[#This Row],[Cantidad]])+A261)</f>
        <v/>
      </c>
      <c r="B262" s="21" t="str">
        <f>IF(Plantilla_SCAN_EQ3_COUNT_2[[#This Row],[ID MATERIAL]]="","",B261)</f>
        <v/>
      </c>
      <c r="C262" s="21"/>
      <c r="D262" s="21"/>
      <c r="E262" s="7" t="str">
        <f>IF(Plantilla_SCAN_EQ3_COUNT_2[[#This Row],[ID MATERIAL]]="","",VLOOKUP(Plantilla_SCAN_EQ3_COUNT_2[[#This Row],[ID MATERIAL]],INVENTARIO!$A:$D,2,FALSE))</f>
        <v/>
      </c>
      <c r="F262" s="7" t="str">
        <f>IF(Plantilla_SCAN_EQ3_COUNT_2[[#This Row],[ID MATERIAL]]="","",IF(Plantilla_SCAN_EQ3_COUNT_2[[#This Row],[No. Empaques]]="",1,Plantilla_SCAN_EQ3_COUNT_2[[#This Row],[No. Empaques]]*1))</f>
        <v/>
      </c>
      <c r="G262" s="7" t="str">
        <f>IF(Plantilla_SCAN_EQ3_COUNT_2[[#This Row],[ID MATERIAL]]="","","PZ")</f>
        <v/>
      </c>
      <c r="H262" s="7" t="str">
        <f>IF(Plantilla_SCAN_EQ3_COUNT_2[[#This Row],[ID MATERIAL]]="","",$B$13)</f>
        <v/>
      </c>
      <c r="I262" s="7" t="str">
        <f>IF(Plantilla_SCAN_EQ3_COUNT_2[[#This Row],[ID MATERIAL]]="","","Segundo Conteo")</f>
        <v/>
      </c>
    </row>
    <row r="263" spans="1:9" s="7" customFormat="1" ht="15" x14ac:dyDescent="0.2">
      <c r="A263" s="7" t="str">
        <f>IF(Plantilla_SCAN_EQ3_COUNT_2[[#This Row],[ID MATERIAL]]="","",SIGN(Plantilla_SCAN_EQ3_COUNT_2[[#This Row],[Cantidad]])+A262)</f>
        <v/>
      </c>
      <c r="B263" s="21" t="str">
        <f>IF(Plantilla_SCAN_EQ3_COUNT_2[[#This Row],[ID MATERIAL]]="","",B262)</f>
        <v/>
      </c>
      <c r="C263" s="21"/>
      <c r="D263" s="21"/>
      <c r="E263" s="7" t="str">
        <f>IF(Plantilla_SCAN_EQ3_COUNT_2[[#This Row],[ID MATERIAL]]="","",VLOOKUP(Plantilla_SCAN_EQ3_COUNT_2[[#This Row],[ID MATERIAL]],INVENTARIO!$A:$D,2,FALSE))</f>
        <v/>
      </c>
      <c r="F263" s="7" t="str">
        <f>IF(Plantilla_SCAN_EQ3_COUNT_2[[#This Row],[ID MATERIAL]]="","",IF(Plantilla_SCAN_EQ3_COUNT_2[[#This Row],[No. Empaques]]="",1,Plantilla_SCAN_EQ3_COUNT_2[[#This Row],[No. Empaques]]*1))</f>
        <v/>
      </c>
      <c r="G263" s="7" t="str">
        <f>IF(Plantilla_SCAN_EQ3_COUNT_2[[#This Row],[ID MATERIAL]]="","","PZ")</f>
        <v/>
      </c>
      <c r="H263" s="7" t="str">
        <f>IF(Plantilla_SCAN_EQ3_COUNT_2[[#This Row],[ID MATERIAL]]="","",$B$13)</f>
        <v/>
      </c>
      <c r="I263" s="7" t="str">
        <f>IF(Plantilla_SCAN_EQ3_COUNT_2[[#This Row],[ID MATERIAL]]="","","Segundo Conteo")</f>
        <v/>
      </c>
    </row>
    <row r="264" spans="1:9" s="7" customFormat="1" ht="15" x14ac:dyDescent="0.2">
      <c r="A264" s="7" t="str">
        <f>IF(Plantilla_SCAN_EQ3_COUNT_2[[#This Row],[ID MATERIAL]]="","",SIGN(Plantilla_SCAN_EQ3_COUNT_2[[#This Row],[Cantidad]])+A263)</f>
        <v/>
      </c>
      <c r="B264" s="21" t="str">
        <f>IF(Plantilla_SCAN_EQ3_COUNT_2[[#This Row],[ID MATERIAL]]="","",B263)</f>
        <v/>
      </c>
      <c r="C264" s="21"/>
      <c r="D264" s="21"/>
      <c r="E264" s="7" t="str">
        <f>IF(Plantilla_SCAN_EQ3_COUNT_2[[#This Row],[ID MATERIAL]]="","",VLOOKUP(Plantilla_SCAN_EQ3_COUNT_2[[#This Row],[ID MATERIAL]],INVENTARIO!$A:$D,2,FALSE))</f>
        <v/>
      </c>
      <c r="F264" s="7" t="str">
        <f>IF(Plantilla_SCAN_EQ3_COUNT_2[[#This Row],[ID MATERIAL]]="","",IF(Plantilla_SCAN_EQ3_COUNT_2[[#This Row],[No. Empaques]]="",1,Plantilla_SCAN_EQ3_COUNT_2[[#This Row],[No. Empaques]]*1))</f>
        <v/>
      </c>
      <c r="G264" s="7" t="str">
        <f>IF(Plantilla_SCAN_EQ3_COUNT_2[[#This Row],[ID MATERIAL]]="","","PZ")</f>
        <v/>
      </c>
      <c r="H264" s="7" t="str">
        <f>IF(Plantilla_SCAN_EQ3_COUNT_2[[#This Row],[ID MATERIAL]]="","",$B$13)</f>
        <v/>
      </c>
      <c r="I264" s="7" t="str">
        <f>IF(Plantilla_SCAN_EQ3_COUNT_2[[#This Row],[ID MATERIAL]]="","","Segundo Conteo")</f>
        <v/>
      </c>
    </row>
    <row r="265" spans="1:9" s="7" customFormat="1" ht="15" x14ac:dyDescent="0.2">
      <c r="A265" s="7" t="str">
        <f>IF(Plantilla_SCAN_EQ3_COUNT_2[[#This Row],[ID MATERIAL]]="","",SIGN(Plantilla_SCAN_EQ3_COUNT_2[[#This Row],[Cantidad]])+A264)</f>
        <v/>
      </c>
      <c r="B265" s="21" t="str">
        <f>IF(Plantilla_SCAN_EQ3_COUNT_2[[#This Row],[ID MATERIAL]]="","",B264)</f>
        <v/>
      </c>
      <c r="C265" s="21"/>
      <c r="D265" s="21"/>
      <c r="E265" s="7" t="str">
        <f>IF(Plantilla_SCAN_EQ3_COUNT_2[[#This Row],[ID MATERIAL]]="","",VLOOKUP(Plantilla_SCAN_EQ3_COUNT_2[[#This Row],[ID MATERIAL]],INVENTARIO!$A:$D,2,FALSE))</f>
        <v/>
      </c>
      <c r="F265" s="7" t="str">
        <f>IF(Plantilla_SCAN_EQ3_COUNT_2[[#This Row],[ID MATERIAL]]="","",IF(Plantilla_SCAN_EQ3_COUNT_2[[#This Row],[No. Empaques]]="",1,Plantilla_SCAN_EQ3_COUNT_2[[#This Row],[No. Empaques]]*1))</f>
        <v/>
      </c>
      <c r="G265" s="7" t="str">
        <f>IF(Plantilla_SCAN_EQ3_COUNT_2[[#This Row],[ID MATERIAL]]="","","PZ")</f>
        <v/>
      </c>
      <c r="H265" s="7" t="str">
        <f>IF(Plantilla_SCAN_EQ3_COUNT_2[[#This Row],[ID MATERIAL]]="","",$B$13)</f>
        <v/>
      </c>
      <c r="I265" s="7" t="str">
        <f>IF(Plantilla_SCAN_EQ3_COUNT_2[[#This Row],[ID MATERIAL]]="","","Segundo Conteo")</f>
        <v/>
      </c>
    </row>
    <row r="266" spans="1:9" s="7" customFormat="1" ht="15" x14ac:dyDescent="0.2">
      <c r="A266" s="7" t="str">
        <f>IF(Plantilla_SCAN_EQ3_COUNT_2[[#This Row],[ID MATERIAL]]="","",SIGN(Plantilla_SCAN_EQ3_COUNT_2[[#This Row],[Cantidad]])+A265)</f>
        <v/>
      </c>
      <c r="B266" s="21" t="str">
        <f>IF(Plantilla_SCAN_EQ3_COUNT_2[[#This Row],[ID MATERIAL]]="","",B265)</f>
        <v/>
      </c>
      <c r="C266" s="21"/>
      <c r="D266" s="21"/>
      <c r="E266" s="7" t="str">
        <f>IF(Plantilla_SCAN_EQ3_COUNT_2[[#This Row],[ID MATERIAL]]="","",VLOOKUP(Plantilla_SCAN_EQ3_COUNT_2[[#This Row],[ID MATERIAL]],INVENTARIO!$A:$D,2,FALSE))</f>
        <v/>
      </c>
      <c r="F266" s="7" t="str">
        <f>IF(Plantilla_SCAN_EQ3_COUNT_2[[#This Row],[ID MATERIAL]]="","",IF(Plantilla_SCAN_EQ3_COUNT_2[[#This Row],[No. Empaques]]="",1,Plantilla_SCAN_EQ3_COUNT_2[[#This Row],[No. Empaques]]*1))</f>
        <v/>
      </c>
      <c r="G266" s="7" t="str">
        <f>IF(Plantilla_SCAN_EQ3_COUNT_2[[#This Row],[ID MATERIAL]]="","","PZ")</f>
        <v/>
      </c>
      <c r="H266" s="7" t="str">
        <f>IF(Plantilla_SCAN_EQ3_COUNT_2[[#This Row],[ID MATERIAL]]="","",$B$13)</f>
        <v/>
      </c>
      <c r="I266" s="7" t="str">
        <f>IF(Plantilla_SCAN_EQ3_COUNT_2[[#This Row],[ID MATERIAL]]="","","Segundo Conteo")</f>
        <v/>
      </c>
    </row>
    <row r="267" spans="1:9" s="7" customFormat="1" ht="15" x14ac:dyDescent="0.2">
      <c r="A267" s="7" t="str">
        <f>IF(Plantilla_SCAN_EQ3_COUNT_2[[#This Row],[ID MATERIAL]]="","",SIGN(Plantilla_SCAN_EQ3_COUNT_2[[#This Row],[Cantidad]])+A266)</f>
        <v/>
      </c>
      <c r="B267" s="21" t="str">
        <f>IF(Plantilla_SCAN_EQ3_COUNT_2[[#This Row],[ID MATERIAL]]="","",B266)</f>
        <v/>
      </c>
      <c r="C267" s="21"/>
      <c r="D267" s="21"/>
      <c r="E267" s="7" t="str">
        <f>IF(Plantilla_SCAN_EQ3_COUNT_2[[#This Row],[ID MATERIAL]]="","",VLOOKUP(Plantilla_SCAN_EQ3_COUNT_2[[#This Row],[ID MATERIAL]],INVENTARIO!$A:$D,2,FALSE))</f>
        <v/>
      </c>
      <c r="F267" s="7" t="str">
        <f>IF(Plantilla_SCAN_EQ3_COUNT_2[[#This Row],[ID MATERIAL]]="","",IF(Plantilla_SCAN_EQ3_COUNT_2[[#This Row],[No. Empaques]]="",1,Plantilla_SCAN_EQ3_COUNT_2[[#This Row],[No. Empaques]]*1))</f>
        <v/>
      </c>
      <c r="G267" s="7" t="str">
        <f>IF(Plantilla_SCAN_EQ3_COUNT_2[[#This Row],[ID MATERIAL]]="","","PZ")</f>
        <v/>
      </c>
      <c r="H267" s="7" t="str">
        <f>IF(Plantilla_SCAN_EQ3_COUNT_2[[#This Row],[ID MATERIAL]]="","",$B$13)</f>
        <v/>
      </c>
      <c r="I267" s="7" t="str">
        <f>IF(Plantilla_SCAN_EQ3_COUNT_2[[#This Row],[ID MATERIAL]]="","","Segundo Conteo")</f>
        <v/>
      </c>
    </row>
    <row r="268" spans="1:9" s="7" customFormat="1" ht="15" x14ac:dyDescent="0.2">
      <c r="A268" s="7" t="str">
        <f>IF(Plantilla_SCAN_EQ3_COUNT_2[[#This Row],[ID MATERIAL]]="","",SIGN(Plantilla_SCAN_EQ3_COUNT_2[[#This Row],[Cantidad]])+A267)</f>
        <v/>
      </c>
      <c r="B268" s="21" t="str">
        <f>IF(Plantilla_SCAN_EQ3_COUNT_2[[#This Row],[ID MATERIAL]]="","",B267)</f>
        <v/>
      </c>
      <c r="C268" s="21"/>
      <c r="D268" s="21"/>
      <c r="E268" s="7" t="str">
        <f>IF(Plantilla_SCAN_EQ3_COUNT_2[[#This Row],[ID MATERIAL]]="","",VLOOKUP(Plantilla_SCAN_EQ3_COUNT_2[[#This Row],[ID MATERIAL]],INVENTARIO!$A:$D,2,FALSE))</f>
        <v/>
      </c>
      <c r="F268" s="7" t="str">
        <f>IF(Plantilla_SCAN_EQ3_COUNT_2[[#This Row],[ID MATERIAL]]="","",IF(Plantilla_SCAN_EQ3_COUNT_2[[#This Row],[No. Empaques]]="",1,Plantilla_SCAN_EQ3_COUNT_2[[#This Row],[No. Empaques]]*1))</f>
        <v/>
      </c>
      <c r="G268" s="7" t="str">
        <f>IF(Plantilla_SCAN_EQ3_COUNT_2[[#This Row],[ID MATERIAL]]="","","PZ")</f>
        <v/>
      </c>
      <c r="H268" s="7" t="str">
        <f>IF(Plantilla_SCAN_EQ3_COUNT_2[[#This Row],[ID MATERIAL]]="","",$B$13)</f>
        <v/>
      </c>
      <c r="I268" s="7" t="str">
        <f>IF(Plantilla_SCAN_EQ3_COUNT_2[[#This Row],[ID MATERIAL]]="","","Segundo Conteo")</f>
        <v/>
      </c>
    </row>
    <row r="269" spans="1:9" s="7" customFormat="1" ht="15" x14ac:dyDescent="0.2">
      <c r="A269" s="7" t="str">
        <f>IF(Plantilla_SCAN_EQ3_COUNT_2[[#This Row],[ID MATERIAL]]="","",SIGN(Plantilla_SCAN_EQ3_COUNT_2[[#This Row],[Cantidad]])+A268)</f>
        <v/>
      </c>
      <c r="B269" s="21" t="str">
        <f>IF(Plantilla_SCAN_EQ3_COUNT_2[[#This Row],[ID MATERIAL]]="","",B268)</f>
        <v/>
      </c>
      <c r="C269" s="21"/>
      <c r="D269" s="21"/>
      <c r="E269" s="7" t="str">
        <f>IF(Plantilla_SCAN_EQ3_COUNT_2[[#This Row],[ID MATERIAL]]="","",VLOOKUP(Plantilla_SCAN_EQ3_COUNT_2[[#This Row],[ID MATERIAL]],INVENTARIO!$A:$D,2,FALSE))</f>
        <v/>
      </c>
      <c r="F269" s="7" t="str">
        <f>IF(Plantilla_SCAN_EQ3_COUNT_2[[#This Row],[ID MATERIAL]]="","",IF(Plantilla_SCAN_EQ3_COUNT_2[[#This Row],[No. Empaques]]="",1,Plantilla_SCAN_EQ3_COUNT_2[[#This Row],[No. Empaques]]*1))</f>
        <v/>
      </c>
      <c r="G269" s="7" t="str">
        <f>IF(Plantilla_SCAN_EQ3_COUNT_2[[#This Row],[ID MATERIAL]]="","","PZ")</f>
        <v/>
      </c>
      <c r="H269" s="7" t="str">
        <f>IF(Plantilla_SCAN_EQ3_COUNT_2[[#This Row],[ID MATERIAL]]="","",$B$13)</f>
        <v/>
      </c>
      <c r="I269" s="7" t="str">
        <f>IF(Plantilla_SCAN_EQ3_COUNT_2[[#This Row],[ID MATERIAL]]="","","Segundo Conteo")</f>
        <v/>
      </c>
    </row>
    <row r="270" spans="1:9" s="7" customFormat="1" ht="15" x14ac:dyDescent="0.2">
      <c r="A270" s="7" t="str">
        <f>IF(Plantilla_SCAN_EQ3_COUNT_2[[#This Row],[ID MATERIAL]]="","",SIGN(Plantilla_SCAN_EQ3_COUNT_2[[#This Row],[Cantidad]])+A269)</f>
        <v/>
      </c>
      <c r="B270" s="21" t="str">
        <f>IF(Plantilla_SCAN_EQ3_COUNT_2[[#This Row],[ID MATERIAL]]="","",B269)</f>
        <v/>
      </c>
      <c r="C270" s="21"/>
      <c r="D270" s="21"/>
      <c r="E270" s="7" t="str">
        <f>IF(Plantilla_SCAN_EQ3_COUNT_2[[#This Row],[ID MATERIAL]]="","",VLOOKUP(Plantilla_SCAN_EQ3_COUNT_2[[#This Row],[ID MATERIAL]],INVENTARIO!$A:$D,2,FALSE))</f>
        <v/>
      </c>
      <c r="F270" s="7" t="str">
        <f>IF(Plantilla_SCAN_EQ3_COUNT_2[[#This Row],[ID MATERIAL]]="","",IF(Plantilla_SCAN_EQ3_COUNT_2[[#This Row],[No. Empaques]]="",1,Plantilla_SCAN_EQ3_COUNT_2[[#This Row],[No. Empaques]]*1))</f>
        <v/>
      </c>
      <c r="G270" s="7" t="str">
        <f>IF(Plantilla_SCAN_EQ3_COUNT_2[[#This Row],[ID MATERIAL]]="","","PZ")</f>
        <v/>
      </c>
      <c r="H270" s="7" t="str">
        <f>IF(Plantilla_SCAN_EQ3_COUNT_2[[#This Row],[ID MATERIAL]]="","",$B$13)</f>
        <v/>
      </c>
      <c r="I270" s="7" t="str">
        <f>IF(Plantilla_SCAN_EQ3_COUNT_2[[#This Row],[ID MATERIAL]]="","","Segundo Conteo")</f>
        <v/>
      </c>
    </row>
    <row r="271" spans="1:9" s="7" customFormat="1" ht="15" x14ac:dyDescent="0.2">
      <c r="A271" s="7" t="str">
        <f>IF(Plantilla_SCAN_EQ3_COUNT_2[[#This Row],[ID MATERIAL]]="","",SIGN(Plantilla_SCAN_EQ3_COUNT_2[[#This Row],[Cantidad]])+A270)</f>
        <v/>
      </c>
      <c r="B271" s="21" t="str">
        <f>IF(Plantilla_SCAN_EQ3_COUNT_2[[#This Row],[ID MATERIAL]]="","",B270)</f>
        <v/>
      </c>
      <c r="C271" s="21"/>
      <c r="D271" s="21"/>
      <c r="E271" s="7" t="str">
        <f>IF(Plantilla_SCAN_EQ3_COUNT_2[[#This Row],[ID MATERIAL]]="","",VLOOKUP(Plantilla_SCAN_EQ3_COUNT_2[[#This Row],[ID MATERIAL]],INVENTARIO!$A:$D,2,FALSE))</f>
        <v/>
      </c>
      <c r="F271" s="7" t="str">
        <f>IF(Plantilla_SCAN_EQ3_COUNT_2[[#This Row],[ID MATERIAL]]="","",IF(Plantilla_SCAN_EQ3_COUNT_2[[#This Row],[No. Empaques]]="",1,Plantilla_SCAN_EQ3_COUNT_2[[#This Row],[No. Empaques]]*1))</f>
        <v/>
      </c>
      <c r="G271" s="7" t="str">
        <f>IF(Plantilla_SCAN_EQ3_COUNT_2[[#This Row],[ID MATERIAL]]="","","PZ")</f>
        <v/>
      </c>
      <c r="H271" s="7" t="str">
        <f>IF(Plantilla_SCAN_EQ3_COUNT_2[[#This Row],[ID MATERIAL]]="","",$B$13)</f>
        <v/>
      </c>
      <c r="I271" s="7" t="str">
        <f>IF(Plantilla_SCAN_EQ3_COUNT_2[[#This Row],[ID MATERIAL]]="","","Segundo Conteo")</f>
        <v/>
      </c>
    </row>
    <row r="272" spans="1:9" s="7" customFormat="1" ht="15" x14ac:dyDescent="0.2">
      <c r="A272" s="7" t="str">
        <f>IF(Plantilla_SCAN_EQ3_COUNT_2[[#This Row],[ID MATERIAL]]="","",SIGN(Plantilla_SCAN_EQ3_COUNT_2[[#This Row],[Cantidad]])+A271)</f>
        <v/>
      </c>
      <c r="B272" s="21" t="str">
        <f>IF(Plantilla_SCAN_EQ3_COUNT_2[[#This Row],[ID MATERIAL]]="","",B271)</f>
        <v/>
      </c>
      <c r="C272" s="21"/>
      <c r="D272" s="21"/>
      <c r="E272" s="7" t="str">
        <f>IF(Plantilla_SCAN_EQ3_COUNT_2[[#This Row],[ID MATERIAL]]="","",VLOOKUP(Plantilla_SCAN_EQ3_COUNT_2[[#This Row],[ID MATERIAL]],INVENTARIO!$A:$D,2,FALSE))</f>
        <v/>
      </c>
      <c r="F272" s="7" t="str">
        <f>IF(Plantilla_SCAN_EQ3_COUNT_2[[#This Row],[ID MATERIAL]]="","",IF(Plantilla_SCAN_EQ3_COUNT_2[[#This Row],[No. Empaques]]="",1,Plantilla_SCAN_EQ3_COUNT_2[[#This Row],[No. Empaques]]*1))</f>
        <v/>
      </c>
      <c r="G272" s="7" t="str">
        <f>IF(Plantilla_SCAN_EQ3_COUNT_2[[#This Row],[ID MATERIAL]]="","","PZ")</f>
        <v/>
      </c>
      <c r="H272" s="7" t="str">
        <f>IF(Plantilla_SCAN_EQ3_COUNT_2[[#This Row],[ID MATERIAL]]="","",$B$13)</f>
        <v/>
      </c>
      <c r="I272" s="7" t="str">
        <f>IF(Plantilla_SCAN_EQ3_COUNT_2[[#This Row],[ID MATERIAL]]="","","Segundo Conteo")</f>
        <v/>
      </c>
    </row>
    <row r="273" spans="1:9" s="7" customFormat="1" ht="15" x14ac:dyDescent="0.2">
      <c r="A273" s="7" t="str">
        <f>IF(Plantilla_SCAN_EQ3_COUNT_2[[#This Row],[ID MATERIAL]]="","",SIGN(Plantilla_SCAN_EQ3_COUNT_2[[#This Row],[Cantidad]])+A272)</f>
        <v/>
      </c>
      <c r="B273" s="21" t="str">
        <f>IF(Plantilla_SCAN_EQ3_COUNT_2[[#This Row],[ID MATERIAL]]="","",B272)</f>
        <v/>
      </c>
      <c r="C273" s="21"/>
      <c r="D273" s="21"/>
      <c r="E273" s="7" t="str">
        <f>IF(Plantilla_SCAN_EQ3_COUNT_2[[#This Row],[ID MATERIAL]]="","",VLOOKUP(Plantilla_SCAN_EQ3_COUNT_2[[#This Row],[ID MATERIAL]],INVENTARIO!$A:$D,2,FALSE))</f>
        <v/>
      </c>
      <c r="F273" s="7" t="str">
        <f>IF(Plantilla_SCAN_EQ3_COUNT_2[[#This Row],[ID MATERIAL]]="","",IF(Plantilla_SCAN_EQ3_COUNT_2[[#This Row],[No. Empaques]]="",1,Plantilla_SCAN_EQ3_COUNT_2[[#This Row],[No. Empaques]]*1))</f>
        <v/>
      </c>
      <c r="G273" s="7" t="str">
        <f>IF(Plantilla_SCAN_EQ3_COUNT_2[[#This Row],[ID MATERIAL]]="","","PZ")</f>
        <v/>
      </c>
      <c r="H273" s="7" t="str">
        <f>IF(Plantilla_SCAN_EQ3_COUNT_2[[#This Row],[ID MATERIAL]]="","",$B$13)</f>
        <v/>
      </c>
      <c r="I273" s="7" t="str">
        <f>IF(Plantilla_SCAN_EQ3_COUNT_2[[#This Row],[ID MATERIAL]]="","","Segundo Conteo")</f>
        <v/>
      </c>
    </row>
    <row r="274" spans="1:9" s="7" customFormat="1" ht="15" x14ac:dyDescent="0.2">
      <c r="A274" s="7" t="str">
        <f>IF(Plantilla_SCAN_EQ3_COUNT_2[[#This Row],[ID MATERIAL]]="","",SIGN(Plantilla_SCAN_EQ3_COUNT_2[[#This Row],[Cantidad]])+A273)</f>
        <v/>
      </c>
      <c r="B274" s="21" t="str">
        <f>IF(Plantilla_SCAN_EQ3_COUNT_2[[#This Row],[ID MATERIAL]]="","",B273)</f>
        <v/>
      </c>
      <c r="C274" s="21"/>
      <c r="D274" s="21"/>
      <c r="E274" s="7" t="str">
        <f>IF(Plantilla_SCAN_EQ3_COUNT_2[[#This Row],[ID MATERIAL]]="","",VLOOKUP(Plantilla_SCAN_EQ3_COUNT_2[[#This Row],[ID MATERIAL]],INVENTARIO!$A:$D,2,FALSE))</f>
        <v/>
      </c>
      <c r="F274" s="7" t="str">
        <f>IF(Plantilla_SCAN_EQ3_COUNT_2[[#This Row],[ID MATERIAL]]="","",IF(Plantilla_SCAN_EQ3_COUNT_2[[#This Row],[No. Empaques]]="",1,Plantilla_SCAN_EQ3_COUNT_2[[#This Row],[No. Empaques]]*1))</f>
        <v/>
      </c>
      <c r="G274" s="7" t="str">
        <f>IF(Plantilla_SCAN_EQ3_COUNT_2[[#This Row],[ID MATERIAL]]="","","PZ")</f>
        <v/>
      </c>
      <c r="H274" s="7" t="str">
        <f>IF(Plantilla_SCAN_EQ3_COUNT_2[[#This Row],[ID MATERIAL]]="","",$B$13)</f>
        <v/>
      </c>
      <c r="I274" s="7" t="str">
        <f>IF(Plantilla_SCAN_EQ3_COUNT_2[[#This Row],[ID MATERIAL]]="","","Segundo Conteo")</f>
        <v/>
      </c>
    </row>
    <row r="275" spans="1:9" s="7" customFormat="1" ht="15" x14ac:dyDescent="0.2">
      <c r="A275" s="7" t="str">
        <f>IF(Plantilla_SCAN_EQ3_COUNT_2[[#This Row],[ID MATERIAL]]="","",SIGN(Plantilla_SCAN_EQ3_COUNT_2[[#This Row],[Cantidad]])+A274)</f>
        <v/>
      </c>
      <c r="B275" s="21" t="str">
        <f>IF(Plantilla_SCAN_EQ3_COUNT_2[[#This Row],[ID MATERIAL]]="","",B274)</f>
        <v/>
      </c>
      <c r="C275" s="21"/>
      <c r="D275" s="21"/>
      <c r="E275" s="7" t="str">
        <f>IF(Plantilla_SCAN_EQ3_COUNT_2[[#This Row],[ID MATERIAL]]="","",VLOOKUP(Plantilla_SCAN_EQ3_COUNT_2[[#This Row],[ID MATERIAL]],INVENTARIO!$A:$D,2,FALSE))</f>
        <v/>
      </c>
      <c r="F275" s="7" t="str">
        <f>IF(Plantilla_SCAN_EQ3_COUNT_2[[#This Row],[ID MATERIAL]]="","",IF(Plantilla_SCAN_EQ3_COUNT_2[[#This Row],[No. Empaques]]="",1,Plantilla_SCAN_EQ3_COUNT_2[[#This Row],[No. Empaques]]*1))</f>
        <v/>
      </c>
      <c r="G275" s="7" t="str">
        <f>IF(Plantilla_SCAN_EQ3_COUNT_2[[#This Row],[ID MATERIAL]]="","","PZ")</f>
        <v/>
      </c>
      <c r="H275" s="7" t="str">
        <f>IF(Plantilla_SCAN_EQ3_COUNT_2[[#This Row],[ID MATERIAL]]="","",$B$13)</f>
        <v/>
      </c>
      <c r="I275" s="7" t="str">
        <f>IF(Plantilla_SCAN_EQ3_COUNT_2[[#This Row],[ID MATERIAL]]="","","Segundo Conteo")</f>
        <v/>
      </c>
    </row>
    <row r="276" spans="1:9" s="7" customFormat="1" ht="15" x14ac:dyDescent="0.2">
      <c r="A276" s="7" t="str">
        <f>IF(Plantilla_SCAN_EQ3_COUNT_2[[#This Row],[ID MATERIAL]]="","",SIGN(Plantilla_SCAN_EQ3_COUNT_2[[#This Row],[Cantidad]])+A275)</f>
        <v/>
      </c>
      <c r="B276" s="21" t="str">
        <f>IF(Plantilla_SCAN_EQ3_COUNT_2[[#This Row],[ID MATERIAL]]="","",B275)</f>
        <v/>
      </c>
      <c r="C276" s="21"/>
      <c r="D276" s="21"/>
      <c r="E276" s="7" t="str">
        <f>IF(Plantilla_SCAN_EQ3_COUNT_2[[#This Row],[ID MATERIAL]]="","",VLOOKUP(Plantilla_SCAN_EQ3_COUNT_2[[#This Row],[ID MATERIAL]],INVENTARIO!$A:$D,2,FALSE))</f>
        <v/>
      </c>
      <c r="F276" s="7" t="str">
        <f>IF(Plantilla_SCAN_EQ3_COUNT_2[[#This Row],[ID MATERIAL]]="","",IF(Plantilla_SCAN_EQ3_COUNT_2[[#This Row],[No. Empaques]]="",1,Plantilla_SCAN_EQ3_COUNT_2[[#This Row],[No. Empaques]]*1))</f>
        <v/>
      </c>
      <c r="G276" s="7" t="str">
        <f>IF(Plantilla_SCAN_EQ3_COUNT_2[[#This Row],[ID MATERIAL]]="","","PZ")</f>
        <v/>
      </c>
      <c r="H276" s="7" t="str">
        <f>IF(Plantilla_SCAN_EQ3_COUNT_2[[#This Row],[ID MATERIAL]]="","",$B$13)</f>
        <v/>
      </c>
      <c r="I276" s="7" t="str">
        <f>IF(Plantilla_SCAN_EQ3_COUNT_2[[#This Row],[ID MATERIAL]]="","","Segundo Conteo")</f>
        <v/>
      </c>
    </row>
    <row r="277" spans="1:9" s="7" customFormat="1" ht="15" x14ac:dyDescent="0.2">
      <c r="A277" s="7" t="str">
        <f>IF(Plantilla_SCAN_EQ3_COUNT_2[[#This Row],[ID MATERIAL]]="","",SIGN(Plantilla_SCAN_EQ3_COUNT_2[[#This Row],[Cantidad]])+A276)</f>
        <v/>
      </c>
      <c r="B277" s="21" t="str">
        <f>IF(Plantilla_SCAN_EQ3_COUNT_2[[#This Row],[ID MATERIAL]]="","",B276)</f>
        <v/>
      </c>
      <c r="C277" s="21"/>
      <c r="D277" s="21"/>
      <c r="E277" s="7" t="str">
        <f>IF(Plantilla_SCAN_EQ3_COUNT_2[[#This Row],[ID MATERIAL]]="","",VLOOKUP(Plantilla_SCAN_EQ3_COUNT_2[[#This Row],[ID MATERIAL]],INVENTARIO!$A:$D,2,FALSE))</f>
        <v/>
      </c>
      <c r="F277" s="7" t="str">
        <f>IF(Plantilla_SCAN_EQ3_COUNT_2[[#This Row],[ID MATERIAL]]="","",IF(Plantilla_SCAN_EQ3_COUNT_2[[#This Row],[No. Empaques]]="",1,Plantilla_SCAN_EQ3_COUNT_2[[#This Row],[No. Empaques]]*1))</f>
        <v/>
      </c>
      <c r="G277" s="7" t="str">
        <f>IF(Plantilla_SCAN_EQ3_COUNT_2[[#This Row],[ID MATERIAL]]="","","PZ")</f>
        <v/>
      </c>
      <c r="H277" s="7" t="str">
        <f>IF(Plantilla_SCAN_EQ3_COUNT_2[[#This Row],[ID MATERIAL]]="","",$B$13)</f>
        <v/>
      </c>
      <c r="I277" s="7" t="str">
        <f>IF(Plantilla_SCAN_EQ3_COUNT_2[[#This Row],[ID MATERIAL]]="","","Segundo Conteo")</f>
        <v/>
      </c>
    </row>
    <row r="278" spans="1:9" s="7" customFormat="1" ht="15" x14ac:dyDescent="0.2">
      <c r="A278" s="7" t="str">
        <f>IF(Plantilla_SCAN_EQ3_COUNT_2[[#This Row],[ID MATERIAL]]="","",SIGN(Plantilla_SCAN_EQ3_COUNT_2[[#This Row],[Cantidad]])+A277)</f>
        <v/>
      </c>
      <c r="B278" s="21" t="str">
        <f>IF(Plantilla_SCAN_EQ3_COUNT_2[[#This Row],[ID MATERIAL]]="","",B277)</f>
        <v/>
      </c>
      <c r="C278" s="21"/>
      <c r="D278" s="21"/>
      <c r="E278" s="7" t="str">
        <f>IF(Plantilla_SCAN_EQ3_COUNT_2[[#This Row],[ID MATERIAL]]="","",VLOOKUP(Plantilla_SCAN_EQ3_COUNT_2[[#This Row],[ID MATERIAL]],INVENTARIO!$A:$D,2,FALSE))</f>
        <v/>
      </c>
      <c r="F278" s="7" t="str">
        <f>IF(Plantilla_SCAN_EQ3_COUNT_2[[#This Row],[ID MATERIAL]]="","",IF(Plantilla_SCAN_EQ3_COUNT_2[[#This Row],[No. Empaques]]="",1,Plantilla_SCAN_EQ3_COUNT_2[[#This Row],[No. Empaques]]*1))</f>
        <v/>
      </c>
      <c r="G278" s="7" t="str">
        <f>IF(Plantilla_SCAN_EQ3_COUNT_2[[#This Row],[ID MATERIAL]]="","","PZ")</f>
        <v/>
      </c>
      <c r="H278" s="7" t="str">
        <f>IF(Plantilla_SCAN_EQ3_COUNT_2[[#This Row],[ID MATERIAL]]="","",$B$13)</f>
        <v/>
      </c>
      <c r="I278" s="7" t="str">
        <f>IF(Plantilla_SCAN_EQ3_COUNT_2[[#This Row],[ID MATERIAL]]="","","Segundo Conteo")</f>
        <v/>
      </c>
    </row>
    <row r="279" spans="1:9" s="7" customFormat="1" ht="15" x14ac:dyDescent="0.2">
      <c r="A279" s="7" t="str">
        <f>IF(Plantilla_SCAN_EQ3_COUNT_2[[#This Row],[ID MATERIAL]]="","",SIGN(Plantilla_SCAN_EQ3_COUNT_2[[#This Row],[Cantidad]])+A278)</f>
        <v/>
      </c>
      <c r="B279" s="21" t="str">
        <f>IF(Plantilla_SCAN_EQ3_COUNT_2[[#This Row],[ID MATERIAL]]="","",B278)</f>
        <v/>
      </c>
      <c r="C279" s="21"/>
      <c r="D279" s="21"/>
      <c r="E279" s="7" t="str">
        <f>IF(Plantilla_SCAN_EQ3_COUNT_2[[#This Row],[ID MATERIAL]]="","",VLOOKUP(Plantilla_SCAN_EQ3_COUNT_2[[#This Row],[ID MATERIAL]],INVENTARIO!$A:$D,2,FALSE))</f>
        <v/>
      </c>
      <c r="F279" s="7" t="str">
        <f>IF(Plantilla_SCAN_EQ3_COUNT_2[[#This Row],[ID MATERIAL]]="","",IF(Plantilla_SCAN_EQ3_COUNT_2[[#This Row],[No. Empaques]]="",1,Plantilla_SCAN_EQ3_COUNT_2[[#This Row],[No. Empaques]]*1))</f>
        <v/>
      </c>
      <c r="G279" s="7" t="str">
        <f>IF(Plantilla_SCAN_EQ3_COUNT_2[[#This Row],[ID MATERIAL]]="","","PZ")</f>
        <v/>
      </c>
      <c r="H279" s="7" t="str">
        <f>IF(Plantilla_SCAN_EQ3_COUNT_2[[#This Row],[ID MATERIAL]]="","",$B$13)</f>
        <v/>
      </c>
      <c r="I279" s="7" t="str">
        <f>IF(Plantilla_SCAN_EQ3_COUNT_2[[#This Row],[ID MATERIAL]]="","","Segundo Conteo")</f>
        <v/>
      </c>
    </row>
    <row r="280" spans="1:9" s="7" customFormat="1" ht="15" x14ac:dyDescent="0.2">
      <c r="A280" s="7" t="str">
        <f>IF(Plantilla_SCAN_EQ3_COUNT_2[[#This Row],[ID MATERIAL]]="","",SIGN(Plantilla_SCAN_EQ3_COUNT_2[[#This Row],[Cantidad]])+A279)</f>
        <v/>
      </c>
      <c r="B280" s="21" t="str">
        <f>IF(Plantilla_SCAN_EQ3_COUNT_2[[#This Row],[ID MATERIAL]]="","",B279)</f>
        <v/>
      </c>
      <c r="C280" s="21"/>
      <c r="D280" s="21"/>
      <c r="E280" s="7" t="str">
        <f>IF(Plantilla_SCAN_EQ3_COUNT_2[[#This Row],[ID MATERIAL]]="","",VLOOKUP(Plantilla_SCAN_EQ3_COUNT_2[[#This Row],[ID MATERIAL]],INVENTARIO!$A:$D,2,FALSE))</f>
        <v/>
      </c>
      <c r="F280" s="7" t="str">
        <f>IF(Plantilla_SCAN_EQ3_COUNT_2[[#This Row],[ID MATERIAL]]="","",IF(Plantilla_SCAN_EQ3_COUNT_2[[#This Row],[No. Empaques]]="",1,Plantilla_SCAN_EQ3_COUNT_2[[#This Row],[No. Empaques]]*1))</f>
        <v/>
      </c>
      <c r="G280" s="7" t="str">
        <f>IF(Plantilla_SCAN_EQ3_COUNT_2[[#This Row],[ID MATERIAL]]="","","PZ")</f>
        <v/>
      </c>
      <c r="H280" s="7" t="str">
        <f>IF(Plantilla_SCAN_EQ3_COUNT_2[[#This Row],[ID MATERIAL]]="","",$B$13)</f>
        <v/>
      </c>
      <c r="I280" s="7" t="str">
        <f>IF(Plantilla_SCAN_EQ3_COUNT_2[[#This Row],[ID MATERIAL]]="","","Segundo Conteo")</f>
        <v/>
      </c>
    </row>
    <row r="281" spans="1:9" s="7" customFormat="1" ht="15" x14ac:dyDescent="0.2">
      <c r="A281" s="7" t="str">
        <f>IF(Plantilla_SCAN_EQ3_COUNT_2[[#This Row],[ID MATERIAL]]="","",SIGN(Plantilla_SCAN_EQ3_COUNT_2[[#This Row],[Cantidad]])+A280)</f>
        <v/>
      </c>
      <c r="B281" s="21" t="str">
        <f>IF(Plantilla_SCAN_EQ3_COUNT_2[[#This Row],[ID MATERIAL]]="","",B280)</f>
        <v/>
      </c>
      <c r="C281" s="21"/>
      <c r="D281" s="21"/>
      <c r="E281" s="7" t="str">
        <f>IF(Plantilla_SCAN_EQ3_COUNT_2[[#This Row],[ID MATERIAL]]="","",VLOOKUP(Plantilla_SCAN_EQ3_COUNT_2[[#This Row],[ID MATERIAL]],INVENTARIO!$A:$D,2,FALSE))</f>
        <v/>
      </c>
      <c r="F281" s="7" t="str">
        <f>IF(Plantilla_SCAN_EQ3_COUNT_2[[#This Row],[ID MATERIAL]]="","",IF(Plantilla_SCAN_EQ3_COUNT_2[[#This Row],[No. Empaques]]="",1,Plantilla_SCAN_EQ3_COUNT_2[[#This Row],[No. Empaques]]*1))</f>
        <v/>
      </c>
      <c r="G281" s="7" t="str">
        <f>IF(Plantilla_SCAN_EQ3_COUNT_2[[#This Row],[ID MATERIAL]]="","","PZ")</f>
        <v/>
      </c>
      <c r="H281" s="7" t="str">
        <f>IF(Plantilla_SCAN_EQ3_COUNT_2[[#This Row],[ID MATERIAL]]="","",$B$13)</f>
        <v/>
      </c>
      <c r="I281" s="7" t="str">
        <f>IF(Plantilla_SCAN_EQ3_COUNT_2[[#This Row],[ID MATERIAL]]="","","Segundo Conteo")</f>
        <v/>
      </c>
    </row>
    <row r="282" spans="1:9" s="7" customFormat="1" ht="15" x14ac:dyDescent="0.2">
      <c r="A282" s="7" t="str">
        <f>IF(Plantilla_SCAN_EQ3_COUNT_2[[#This Row],[ID MATERIAL]]="","",SIGN(Plantilla_SCAN_EQ3_COUNT_2[[#This Row],[Cantidad]])+A281)</f>
        <v/>
      </c>
      <c r="B282" s="21" t="str">
        <f>IF(Plantilla_SCAN_EQ3_COUNT_2[[#This Row],[ID MATERIAL]]="","",B281)</f>
        <v/>
      </c>
      <c r="C282" s="21"/>
      <c r="D282" s="21"/>
      <c r="E282" s="7" t="str">
        <f>IF(Plantilla_SCAN_EQ3_COUNT_2[[#This Row],[ID MATERIAL]]="","",VLOOKUP(Plantilla_SCAN_EQ3_COUNT_2[[#This Row],[ID MATERIAL]],INVENTARIO!$A:$D,2,FALSE))</f>
        <v/>
      </c>
      <c r="F282" s="7" t="str">
        <f>IF(Plantilla_SCAN_EQ3_COUNT_2[[#This Row],[ID MATERIAL]]="","",IF(Plantilla_SCAN_EQ3_COUNT_2[[#This Row],[No. Empaques]]="",1,Plantilla_SCAN_EQ3_COUNT_2[[#This Row],[No. Empaques]]*1))</f>
        <v/>
      </c>
      <c r="G282" s="7" t="str">
        <f>IF(Plantilla_SCAN_EQ3_COUNT_2[[#This Row],[ID MATERIAL]]="","","PZ")</f>
        <v/>
      </c>
      <c r="H282" s="7" t="str">
        <f>IF(Plantilla_SCAN_EQ3_COUNT_2[[#This Row],[ID MATERIAL]]="","",$B$13)</f>
        <v/>
      </c>
      <c r="I282" s="7" t="str">
        <f>IF(Plantilla_SCAN_EQ3_COUNT_2[[#This Row],[ID MATERIAL]]="","","Segundo Conteo")</f>
        <v/>
      </c>
    </row>
    <row r="283" spans="1:9" s="7" customFormat="1" ht="15" x14ac:dyDescent="0.2">
      <c r="A283" s="7" t="str">
        <f>IF(Plantilla_SCAN_EQ3_COUNT_2[[#This Row],[ID MATERIAL]]="","",SIGN(Plantilla_SCAN_EQ3_COUNT_2[[#This Row],[Cantidad]])+A282)</f>
        <v/>
      </c>
      <c r="B283" s="21" t="str">
        <f>IF(Plantilla_SCAN_EQ3_COUNT_2[[#This Row],[ID MATERIAL]]="","",B282)</f>
        <v/>
      </c>
      <c r="C283" s="21"/>
      <c r="D283" s="21"/>
      <c r="E283" s="7" t="str">
        <f>IF(Plantilla_SCAN_EQ3_COUNT_2[[#This Row],[ID MATERIAL]]="","",VLOOKUP(Plantilla_SCAN_EQ3_COUNT_2[[#This Row],[ID MATERIAL]],INVENTARIO!$A:$D,2,FALSE))</f>
        <v/>
      </c>
      <c r="F283" s="7" t="str">
        <f>IF(Plantilla_SCAN_EQ3_COUNT_2[[#This Row],[ID MATERIAL]]="","",IF(Plantilla_SCAN_EQ3_COUNT_2[[#This Row],[No. Empaques]]="",1,Plantilla_SCAN_EQ3_COUNT_2[[#This Row],[No. Empaques]]*1))</f>
        <v/>
      </c>
      <c r="G283" s="7" t="str">
        <f>IF(Plantilla_SCAN_EQ3_COUNT_2[[#This Row],[ID MATERIAL]]="","","PZ")</f>
        <v/>
      </c>
      <c r="H283" s="7" t="str">
        <f>IF(Plantilla_SCAN_EQ3_COUNT_2[[#This Row],[ID MATERIAL]]="","",$B$13)</f>
        <v/>
      </c>
      <c r="I283" s="7" t="str">
        <f>IF(Plantilla_SCAN_EQ3_COUNT_2[[#This Row],[ID MATERIAL]]="","","Segundo Conteo")</f>
        <v/>
      </c>
    </row>
    <row r="284" spans="1:9" s="7" customFormat="1" ht="15" x14ac:dyDescent="0.2">
      <c r="A284" s="7" t="str">
        <f>IF(Plantilla_SCAN_EQ3_COUNT_2[[#This Row],[ID MATERIAL]]="","",SIGN(Plantilla_SCAN_EQ3_COUNT_2[[#This Row],[Cantidad]])+A283)</f>
        <v/>
      </c>
      <c r="B284" s="21" t="str">
        <f>IF(Plantilla_SCAN_EQ3_COUNT_2[[#This Row],[ID MATERIAL]]="","",B283)</f>
        <v/>
      </c>
      <c r="C284" s="21"/>
      <c r="D284" s="21"/>
      <c r="E284" s="7" t="str">
        <f>IF(Plantilla_SCAN_EQ3_COUNT_2[[#This Row],[ID MATERIAL]]="","",VLOOKUP(Plantilla_SCAN_EQ3_COUNT_2[[#This Row],[ID MATERIAL]],INVENTARIO!$A:$D,2,FALSE))</f>
        <v/>
      </c>
      <c r="F284" s="7" t="str">
        <f>IF(Plantilla_SCAN_EQ3_COUNT_2[[#This Row],[ID MATERIAL]]="","",IF(Plantilla_SCAN_EQ3_COUNT_2[[#This Row],[No. Empaques]]="",1,Plantilla_SCAN_EQ3_COUNT_2[[#This Row],[No. Empaques]]*1))</f>
        <v/>
      </c>
      <c r="G284" s="7" t="str">
        <f>IF(Plantilla_SCAN_EQ3_COUNT_2[[#This Row],[ID MATERIAL]]="","","PZ")</f>
        <v/>
      </c>
      <c r="H284" s="7" t="str">
        <f>IF(Plantilla_SCAN_EQ3_COUNT_2[[#This Row],[ID MATERIAL]]="","",$B$13)</f>
        <v/>
      </c>
      <c r="I284" s="7" t="str">
        <f>IF(Plantilla_SCAN_EQ3_COUNT_2[[#This Row],[ID MATERIAL]]="","","Segundo Conteo")</f>
        <v/>
      </c>
    </row>
    <row r="285" spans="1:9" s="7" customFormat="1" ht="15" x14ac:dyDescent="0.2">
      <c r="A285" s="7" t="str">
        <f>IF(Plantilla_SCAN_EQ3_COUNT_2[[#This Row],[ID MATERIAL]]="","",SIGN(Plantilla_SCAN_EQ3_COUNT_2[[#This Row],[Cantidad]])+A284)</f>
        <v/>
      </c>
      <c r="B285" s="21" t="str">
        <f>IF(Plantilla_SCAN_EQ3_COUNT_2[[#This Row],[ID MATERIAL]]="","",B284)</f>
        <v/>
      </c>
      <c r="C285" s="21"/>
      <c r="D285" s="21"/>
      <c r="E285" s="7" t="str">
        <f>IF(Plantilla_SCAN_EQ3_COUNT_2[[#This Row],[ID MATERIAL]]="","",VLOOKUP(Plantilla_SCAN_EQ3_COUNT_2[[#This Row],[ID MATERIAL]],INVENTARIO!$A:$D,2,FALSE))</f>
        <v/>
      </c>
      <c r="F285" s="7" t="str">
        <f>IF(Plantilla_SCAN_EQ3_COUNT_2[[#This Row],[ID MATERIAL]]="","",IF(Plantilla_SCAN_EQ3_COUNT_2[[#This Row],[No. Empaques]]="",1,Plantilla_SCAN_EQ3_COUNT_2[[#This Row],[No. Empaques]]*1))</f>
        <v/>
      </c>
      <c r="G285" s="7" t="str">
        <f>IF(Plantilla_SCAN_EQ3_COUNT_2[[#This Row],[ID MATERIAL]]="","","PZ")</f>
        <v/>
      </c>
      <c r="H285" s="7" t="str">
        <f>IF(Plantilla_SCAN_EQ3_COUNT_2[[#This Row],[ID MATERIAL]]="","",$B$13)</f>
        <v/>
      </c>
      <c r="I285" s="7" t="str">
        <f>IF(Plantilla_SCAN_EQ3_COUNT_2[[#This Row],[ID MATERIAL]]="","","Segundo Conteo")</f>
        <v/>
      </c>
    </row>
    <row r="286" spans="1:9" s="7" customFormat="1" ht="15" x14ac:dyDescent="0.2">
      <c r="A286" s="7" t="str">
        <f>IF(Plantilla_SCAN_EQ3_COUNT_2[[#This Row],[ID MATERIAL]]="","",SIGN(Plantilla_SCAN_EQ3_COUNT_2[[#This Row],[Cantidad]])+A285)</f>
        <v/>
      </c>
      <c r="B286" s="21" t="str">
        <f>IF(Plantilla_SCAN_EQ3_COUNT_2[[#This Row],[ID MATERIAL]]="","",B285)</f>
        <v/>
      </c>
      <c r="C286" s="21"/>
      <c r="D286" s="21"/>
      <c r="E286" s="7" t="str">
        <f>IF(Plantilla_SCAN_EQ3_COUNT_2[[#This Row],[ID MATERIAL]]="","",VLOOKUP(Plantilla_SCAN_EQ3_COUNT_2[[#This Row],[ID MATERIAL]],INVENTARIO!$A:$D,2,FALSE))</f>
        <v/>
      </c>
      <c r="F286" s="7" t="str">
        <f>IF(Plantilla_SCAN_EQ3_COUNT_2[[#This Row],[ID MATERIAL]]="","",IF(Plantilla_SCAN_EQ3_COUNT_2[[#This Row],[No. Empaques]]="",1,Plantilla_SCAN_EQ3_COUNT_2[[#This Row],[No. Empaques]]*1))</f>
        <v/>
      </c>
      <c r="G286" s="7" t="str">
        <f>IF(Plantilla_SCAN_EQ3_COUNT_2[[#This Row],[ID MATERIAL]]="","","PZ")</f>
        <v/>
      </c>
      <c r="H286" s="7" t="str">
        <f>IF(Plantilla_SCAN_EQ3_COUNT_2[[#This Row],[ID MATERIAL]]="","",$B$13)</f>
        <v/>
      </c>
      <c r="I286" s="7" t="str">
        <f>IF(Plantilla_SCAN_EQ3_COUNT_2[[#This Row],[ID MATERIAL]]="","","Segundo Conteo")</f>
        <v/>
      </c>
    </row>
    <row r="287" spans="1:9" s="7" customFormat="1" ht="15" x14ac:dyDescent="0.2">
      <c r="A287" s="7" t="str">
        <f>IF(Plantilla_SCAN_EQ3_COUNT_2[[#This Row],[ID MATERIAL]]="","",SIGN(Plantilla_SCAN_EQ3_COUNT_2[[#This Row],[Cantidad]])+A286)</f>
        <v/>
      </c>
      <c r="B287" s="21" t="str">
        <f>IF(Plantilla_SCAN_EQ3_COUNT_2[[#This Row],[ID MATERIAL]]="","",B286)</f>
        <v/>
      </c>
      <c r="C287" s="21"/>
      <c r="D287" s="21"/>
      <c r="E287" s="7" t="str">
        <f>IF(Plantilla_SCAN_EQ3_COUNT_2[[#This Row],[ID MATERIAL]]="","",VLOOKUP(Plantilla_SCAN_EQ3_COUNT_2[[#This Row],[ID MATERIAL]],INVENTARIO!$A:$D,2,FALSE))</f>
        <v/>
      </c>
      <c r="F287" s="7" t="str">
        <f>IF(Plantilla_SCAN_EQ3_COUNT_2[[#This Row],[ID MATERIAL]]="","",IF(Plantilla_SCAN_EQ3_COUNT_2[[#This Row],[No. Empaques]]="",1,Plantilla_SCAN_EQ3_COUNT_2[[#This Row],[No. Empaques]]*1))</f>
        <v/>
      </c>
      <c r="G287" s="7" t="str">
        <f>IF(Plantilla_SCAN_EQ3_COUNT_2[[#This Row],[ID MATERIAL]]="","","PZ")</f>
        <v/>
      </c>
      <c r="H287" s="7" t="str">
        <f>IF(Plantilla_SCAN_EQ3_COUNT_2[[#This Row],[ID MATERIAL]]="","",$B$13)</f>
        <v/>
      </c>
      <c r="I287" s="7" t="str">
        <f>IF(Plantilla_SCAN_EQ3_COUNT_2[[#This Row],[ID MATERIAL]]="","","Segundo Conteo")</f>
        <v/>
      </c>
    </row>
    <row r="288" spans="1:9" s="7" customFormat="1" ht="15" x14ac:dyDescent="0.2">
      <c r="A288" s="7" t="str">
        <f>IF(Plantilla_SCAN_EQ3_COUNT_2[[#This Row],[ID MATERIAL]]="","",SIGN(Plantilla_SCAN_EQ3_COUNT_2[[#This Row],[Cantidad]])+A287)</f>
        <v/>
      </c>
      <c r="B288" s="21" t="str">
        <f>IF(Plantilla_SCAN_EQ3_COUNT_2[[#This Row],[ID MATERIAL]]="","",B287)</f>
        <v/>
      </c>
      <c r="C288" s="21"/>
      <c r="D288" s="21"/>
      <c r="E288" s="7" t="str">
        <f>IF(Plantilla_SCAN_EQ3_COUNT_2[[#This Row],[ID MATERIAL]]="","",VLOOKUP(Plantilla_SCAN_EQ3_COUNT_2[[#This Row],[ID MATERIAL]],INVENTARIO!$A:$D,2,FALSE))</f>
        <v/>
      </c>
      <c r="F288" s="7" t="str">
        <f>IF(Plantilla_SCAN_EQ3_COUNT_2[[#This Row],[ID MATERIAL]]="","",IF(Plantilla_SCAN_EQ3_COUNT_2[[#This Row],[No. Empaques]]="",1,Plantilla_SCAN_EQ3_COUNT_2[[#This Row],[No. Empaques]]*1))</f>
        <v/>
      </c>
      <c r="G288" s="7" t="str">
        <f>IF(Plantilla_SCAN_EQ3_COUNT_2[[#This Row],[ID MATERIAL]]="","","PZ")</f>
        <v/>
      </c>
      <c r="H288" s="7" t="str">
        <f>IF(Plantilla_SCAN_EQ3_COUNT_2[[#This Row],[ID MATERIAL]]="","",$B$13)</f>
        <v/>
      </c>
      <c r="I288" s="7" t="str">
        <f>IF(Plantilla_SCAN_EQ3_COUNT_2[[#This Row],[ID MATERIAL]]="","","Segundo Conteo")</f>
        <v/>
      </c>
    </row>
    <row r="289" spans="1:9" s="7" customFormat="1" ht="15" x14ac:dyDescent="0.2">
      <c r="A289" s="7" t="str">
        <f>IF(Plantilla_SCAN_EQ3_COUNT_2[[#This Row],[ID MATERIAL]]="","",SIGN(Plantilla_SCAN_EQ3_COUNT_2[[#This Row],[Cantidad]])+A288)</f>
        <v/>
      </c>
      <c r="B289" s="21" t="str">
        <f>IF(Plantilla_SCAN_EQ3_COUNT_2[[#This Row],[ID MATERIAL]]="","",B288)</f>
        <v/>
      </c>
      <c r="C289" s="21"/>
      <c r="D289" s="21"/>
      <c r="E289" s="7" t="str">
        <f>IF(Plantilla_SCAN_EQ3_COUNT_2[[#This Row],[ID MATERIAL]]="","",VLOOKUP(Plantilla_SCAN_EQ3_COUNT_2[[#This Row],[ID MATERIAL]],INVENTARIO!$A:$D,2,FALSE))</f>
        <v/>
      </c>
      <c r="F289" s="7" t="str">
        <f>IF(Plantilla_SCAN_EQ3_COUNT_2[[#This Row],[ID MATERIAL]]="","",IF(Plantilla_SCAN_EQ3_COUNT_2[[#This Row],[No. Empaques]]="",1,Plantilla_SCAN_EQ3_COUNT_2[[#This Row],[No. Empaques]]*1))</f>
        <v/>
      </c>
      <c r="G289" s="7" t="str">
        <f>IF(Plantilla_SCAN_EQ3_COUNT_2[[#This Row],[ID MATERIAL]]="","","PZ")</f>
        <v/>
      </c>
      <c r="H289" s="7" t="str">
        <f>IF(Plantilla_SCAN_EQ3_COUNT_2[[#This Row],[ID MATERIAL]]="","",$B$13)</f>
        <v/>
      </c>
      <c r="I289" s="7" t="str">
        <f>IF(Plantilla_SCAN_EQ3_COUNT_2[[#This Row],[ID MATERIAL]]="","","Segundo Conteo")</f>
        <v/>
      </c>
    </row>
    <row r="290" spans="1:9" s="7" customFormat="1" ht="15" x14ac:dyDescent="0.2">
      <c r="A290" s="7" t="str">
        <f>IF(Plantilla_SCAN_EQ3_COUNT_2[[#This Row],[ID MATERIAL]]="","",SIGN(Plantilla_SCAN_EQ3_COUNT_2[[#This Row],[Cantidad]])+A289)</f>
        <v/>
      </c>
      <c r="B290" s="21" t="str">
        <f>IF(Plantilla_SCAN_EQ3_COUNT_2[[#This Row],[ID MATERIAL]]="","",B289)</f>
        <v/>
      </c>
      <c r="C290" s="21"/>
      <c r="D290" s="21"/>
      <c r="E290" s="7" t="str">
        <f>IF(Plantilla_SCAN_EQ3_COUNT_2[[#This Row],[ID MATERIAL]]="","",VLOOKUP(Plantilla_SCAN_EQ3_COUNT_2[[#This Row],[ID MATERIAL]],INVENTARIO!$A:$D,2,FALSE))</f>
        <v/>
      </c>
      <c r="F290" s="7" t="str">
        <f>IF(Plantilla_SCAN_EQ3_COUNT_2[[#This Row],[ID MATERIAL]]="","",IF(Plantilla_SCAN_EQ3_COUNT_2[[#This Row],[No. Empaques]]="",1,Plantilla_SCAN_EQ3_COUNT_2[[#This Row],[No. Empaques]]*1))</f>
        <v/>
      </c>
      <c r="G290" s="7" t="str">
        <f>IF(Plantilla_SCAN_EQ3_COUNT_2[[#This Row],[ID MATERIAL]]="","","PZ")</f>
        <v/>
      </c>
      <c r="H290" s="7" t="str">
        <f>IF(Plantilla_SCAN_EQ3_COUNT_2[[#This Row],[ID MATERIAL]]="","",$B$13)</f>
        <v/>
      </c>
      <c r="I290" s="7" t="str">
        <f>IF(Plantilla_SCAN_EQ3_COUNT_2[[#This Row],[ID MATERIAL]]="","","Segundo Conteo")</f>
        <v/>
      </c>
    </row>
    <row r="291" spans="1:9" s="7" customFormat="1" ht="15" x14ac:dyDescent="0.2">
      <c r="A291" s="7" t="str">
        <f>IF(Plantilla_SCAN_EQ3_COUNT_2[[#This Row],[ID MATERIAL]]="","",SIGN(Plantilla_SCAN_EQ3_COUNT_2[[#This Row],[Cantidad]])+A290)</f>
        <v/>
      </c>
      <c r="B291" s="21" t="str">
        <f>IF(Plantilla_SCAN_EQ3_COUNT_2[[#This Row],[ID MATERIAL]]="","",B290)</f>
        <v/>
      </c>
      <c r="C291" s="21"/>
      <c r="D291" s="21"/>
      <c r="E291" s="7" t="str">
        <f>IF(Plantilla_SCAN_EQ3_COUNT_2[[#This Row],[ID MATERIAL]]="","",VLOOKUP(Plantilla_SCAN_EQ3_COUNT_2[[#This Row],[ID MATERIAL]],INVENTARIO!$A:$D,2,FALSE))</f>
        <v/>
      </c>
      <c r="F291" s="7" t="str">
        <f>IF(Plantilla_SCAN_EQ3_COUNT_2[[#This Row],[ID MATERIAL]]="","",IF(Plantilla_SCAN_EQ3_COUNT_2[[#This Row],[No. Empaques]]="",1,Plantilla_SCAN_EQ3_COUNT_2[[#This Row],[No. Empaques]]*1))</f>
        <v/>
      </c>
      <c r="G291" s="7" t="str">
        <f>IF(Plantilla_SCAN_EQ3_COUNT_2[[#This Row],[ID MATERIAL]]="","","PZ")</f>
        <v/>
      </c>
      <c r="H291" s="7" t="str">
        <f>IF(Plantilla_SCAN_EQ3_COUNT_2[[#This Row],[ID MATERIAL]]="","",$B$13)</f>
        <v/>
      </c>
      <c r="I291" s="7" t="str">
        <f>IF(Plantilla_SCAN_EQ3_COUNT_2[[#This Row],[ID MATERIAL]]="","","Segundo Conteo")</f>
        <v/>
      </c>
    </row>
    <row r="292" spans="1:9" s="7" customFormat="1" ht="15" x14ac:dyDescent="0.2">
      <c r="A292" s="7" t="str">
        <f>IF(Plantilla_SCAN_EQ3_COUNT_2[[#This Row],[ID MATERIAL]]="","",SIGN(Plantilla_SCAN_EQ3_COUNT_2[[#This Row],[Cantidad]])+A291)</f>
        <v/>
      </c>
      <c r="B292" s="21" t="str">
        <f>IF(Plantilla_SCAN_EQ3_COUNT_2[[#This Row],[ID MATERIAL]]="","",B291)</f>
        <v/>
      </c>
      <c r="C292" s="21"/>
      <c r="D292" s="21"/>
      <c r="E292" s="7" t="str">
        <f>IF(Plantilla_SCAN_EQ3_COUNT_2[[#This Row],[ID MATERIAL]]="","",VLOOKUP(Plantilla_SCAN_EQ3_COUNT_2[[#This Row],[ID MATERIAL]],INVENTARIO!$A:$D,2,FALSE))</f>
        <v/>
      </c>
      <c r="F292" s="7" t="str">
        <f>IF(Plantilla_SCAN_EQ3_COUNT_2[[#This Row],[ID MATERIAL]]="","",IF(Plantilla_SCAN_EQ3_COUNT_2[[#This Row],[No. Empaques]]="",1,Plantilla_SCAN_EQ3_COUNT_2[[#This Row],[No. Empaques]]*1))</f>
        <v/>
      </c>
      <c r="G292" s="7" t="str">
        <f>IF(Plantilla_SCAN_EQ3_COUNT_2[[#This Row],[ID MATERIAL]]="","","PZ")</f>
        <v/>
      </c>
      <c r="H292" s="7" t="str">
        <f>IF(Plantilla_SCAN_EQ3_COUNT_2[[#This Row],[ID MATERIAL]]="","",$B$13)</f>
        <v/>
      </c>
      <c r="I292" s="7" t="str">
        <f>IF(Plantilla_SCAN_EQ3_COUNT_2[[#This Row],[ID MATERIAL]]="","","Segundo Conteo")</f>
        <v/>
      </c>
    </row>
    <row r="293" spans="1:9" s="7" customFormat="1" ht="15" x14ac:dyDescent="0.2">
      <c r="A293" s="7" t="str">
        <f>IF(Plantilla_SCAN_EQ3_COUNT_2[[#This Row],[ID MATERIAL]]="","",SIGN(Plantilla_SCAN_EQ3_COUNT_2[[#This Row],[Cantidad]])+A292)</f>
        <v/>
      </c>
      <c r="B293" s="21" t="str">
        <f>IF(Plantilla_SCAN_EQ3_COUNT_2[[#This Row],[ID MATERIAL]]="","",B292)</f>
        <v/>
      </c>
      <c r="C293" s="21"/>
      <c r="D293" s="21"/>
      <c r="E293" s="7" t="str">
        <f>IF(Plantilla_SCAN_EQ3_COUNT_2[[#This Row],[ID MATERIAL]]="","",VLOOKUP(Plantilla_SCAN_EQ3_COUNT_2[[#This Row],[ID MATERIAL]],INVENTARIO!$A:$D,2,FALSE))</f>
        <v/>
      </c>
      <c r="F293" s="7" t="str">
        <f>IF(Plantilla_SCAN_EQ3_COUNT_2[[#This Row],[ID MATERIAL]]="","",IF(Plantilla_SCAN_EQ3_COUNT_2[[#This Row],[No. Empaques]]="",1,Plantilla_SCAN_EQ3_COUNT_2[[#This Row],[No. Empaques]]*1))</f>
        <v/>
      </c>
      <c r="G293" s="7" t="str">
        <f>IF(Plantilla_SCAN_EQ3_COUNT_2[[#This Row],[ID MATERIAL]]="","","PZ")</f>
        <v/>
      </c>
      <c r="H293" s="7" t="str">
        <f>IF(Plantilla_SCAN_EQ3_COUNT_2[[#This Row],[ID MATERIAL]]="","",$B$13)</f>
        <v/>
      </c>
      <c r="I293" s="7" t="str">
        <f>IF(Plantilla_SCAN_EQ3_COUNT_2[[#This Row],[ID MATERIAL]]="","","Segundo Conteo")</f>
        <v/>
      </c>
    </row>
    <row r="294" spans="1:9" s="7" customFormat="1" ht="15" x14ac:dyDescent="0.2">
      <c r="A294" s="7" t="str">
        <f>IF(Plantilla_SCAN_EQ3_COUNT_2[[#This Row],[ID MATERIAL]]="","",SIGN(Plantilla_SCAN_EQ3_COUNT_2[[#This Row],[Cantidad]])+A293)</f>
        <v/>
      </c>
      <c r="B294" s="21" t="str">
        <f>IF(Plantilla_SCAN_EQ3_COUNT_2[[#This Row],[ID MATERIAL]]="","",B293)</f>
        <v/>
      </c>
      <c r="C294" s="21"/>
      <c r="D294" s="21"/>
      <c r="E294" s="7" t="str">
        <f>IF(Plantilla_SCAN_EQ3_COUNT_2[[#This Row],[ID MATERIAL]]="","",VLOOKUP(Plantilla_SCAN_EQ3_COUNT_2[[#This Row],[ID MATERIAL]],INVENTARIO!$A:$D,2,FALSE))</f>
        <v/>
      </c>
      <c r="F294" s="7" t="str">
        <f>IF(Plantilla_SCAN_EQ3_COUNT_2[[#This Row],[ID MATERIAL]]="","",IF(Plantilla_SCAN_EQ3_COUNT_2[[#This Row],[No. Empaques]]="",1,Plantilla_SCAN_EQ3_COUNT_2[[#This Row],[No. Empaques]]*1))</f>
        <v/>
      </c>
      <c r="G294" s="7" t="str">
        <f>IF(Plantilla_SCAN_EQ3_COUNT_2[[#This Row],[ID MATERIAL]]="","","PZ")</f>
        <v/>
      </c>
      <c r="H294" s="7" t="str">
        <f>IF(Plantilla_SCAN_EQ3_COUNT_2[[#This Row],[ID MATERIAL]]="","",$B$13)</f>
        <v/>
      </c>
      <c r="I294" s="7" t="str">
        <f>IF(Plantilla_SCAN_EQ3_COUNT_2[[#This Row],[ID MATERIAL]]="","","Segundo Conteo")</f>
        <v/>
      </c>
    </row>
    <row r="295" spans="1:9" s="7" customFormat="1" ht="15" x14ac:dyDescent="0.2">
      <c r="A295" s="7" t="str">
        <f>IF(Plantilla_SCAN_EQ3_COUNT_2[[#This Row],[ID MATERIAL]]="","",SIGN(Plantilla_SCAN_EQ3_COUNT_2[[#This Row],[Cantidad]])+A294)</f>
        <v/>
      </c>
      <c r="B295" s="21" t="str">
        <f>IF(Plantilla_SCAN_EQ3_COUNT_2[[#This Row],[ID MATERIAL]]="","",B294)</f>
        <v/>
      </c>
      <c r="C295" s="21"/>
      <c r="D295" s="21"/>
      <c r="E295" s="7" t="str">
        <f>IF(Plantilla_SCAN_EQ3_COUNT_2[[#This Row],[ID MATERIAL]]="","",VLOOKUP(Plantilla_SCAN_EQ3_COUNT_2[[#This Row],[ID MATERIAL]],INVENTARIO!$A:$D,2,FALSE))</f>
        <v/>
      </c>
      <c r="F295" s="7" t="str">
        <f>IF(Plantilla_SCAN_EQ3_COUNT_2[[#This Row],[ID MATERIAL]]="","",IF(Plantilla_SCAN_EQ3_COUNT_2[[#This Row],[No. Empaques]]="",1,Plantilla_SCAN_EQ3_COUNT_2[[#This Row],[No. Empaques]]*1))</f>
        <v/>
      </c>
      <c r="G295" s="7" t="str">
        <f>IF(Plantilla_SCAN_EQ3_COUNT_2[[#This Row],[ID MATERIAL]]="","","PZ")</f>
        <v/>
      </c>
      <c r="H295" s="7" t="str">
        <f>IF(Plantilla_SCAN_EQ3_COUNT_2[[#This Row],[ID MATERIAL]]="","",$B$13)</f>
        <v/>
      </c>
      <c r="I295" s="7" t="str">
        <f>IF(Plantilla_SCAN_EQ3_COUNT_2[[#This Row],[ID MATERIAL]]="","","Segundo Conteo")</f>
        <v/>
      </c>
    </row>
    <row r="296" spans="1:9" s="7" customFormat="1" ht="15" x14ac:dyDescent="0.2">
      <c r="A296" s="7" t="str">
        <f>IF(Plantilla_SCAN_EQ3_COUNT_2[[#This Row],[ID MATERIAL]]="","",SIGN(Plantilla_SCAN_EQ3_COUNT_2[[#This Row],[Cantidad]])+A295)</f>
        <v/>
      </c>
      <c r="B296" s="21" t="str">
        <f>IF(Plantilla_SCAN_EQ3_COUNT_2[[#This Row],[ID MATERIAL]]="","",B295)</f>
        <v/>
      </c>
      <c r="C296" s="21"/>
      <c r="D296" s="21"/>
      <c r="E296" s="7" t="str">
        <f>IF(Plantilla_SCAN_EQ3_COUNT_2[[#This Row],[ID MATERIAL]]="","",VLOOKUP(Plantilla_SCAN_EQ3_COUNT_2[[#This Row],[ID MATERIAL]],INVENTARIO!$A:$D,2,FALSE))</f>
        <v/>
      </c>
      <c r="F296" s="7" t="str">
        <f>IF(Plantilla_SCAN_EQ3_COUNT_2[[#This Row],[ID MATERIAL]]="","",IF(Plantilla_SCAN_EQ3_COUNT_2[[#This Row],[No. Empaques]]="",1,Plantilla_SCAN_EQ3_COUNT_2[[#This Row],[No. Empaques]]*1))</f>
        <v/>
      </c>
      <c r="G296" s="7" t="str">
        <f>IF(Plantilla_SCAN_EQ3_COUNT_2[[#This Row],[ID MATERIAL]]="","","PZ")</f>
        <v/>
      </c>
      <c r="H296" s="7" t="str">
        <f>IF(Plantilla_SCAN_EQ3_COUNT_2[[#This Row],[ID MATERIAL]]="","",$B$13)</f>
        <v/>
      </c>
      <c r="I296" s="7" t="str">
        <f>IF(Plantilla_SCAN_EQ3_COUNT_2[[#This Row],[ID MATERIAL]]="","","Segundo Conteo")</f>
        <v/>
      </c>
    </row>
    <row r="297" spans="1:9" s="7" customFormat="1" ht="15" x14ac:dyDescent="0.2">
      <c r="A297" s="7" t="str">
        <f>IF(Plantilla_SCAN_EQ3_COUNT_2[[#This Row],[ID MATERIAL]]="","",SIGN(Plantilla_SCAN_EQ3_COUNT_2[[#This Row],[Cantidad]])+A296)</f>
        <v/>
      </c>
      <c r="B297" s="21" t="str">
        <f>IF(Plantilla_SCAN_EQ3_COUNT_2[[#This Row],[ID MATERIAL]]="","",B296)</f>
        <v/>
      </c>
      <c r="C297" s="21"/>
      <c r="D297" s="21"/>
      <c r="E297" s="7" t="str">
        <f>IF(Plantilla_SCAN_EQ3_COUNT_2[[#This Row],[ID MATERIAL]]="","",VLOOKUP(Plantilla_SCAN_EQ3_COUNT_2[[#This Row],[ID MATERIAL]],INVENTARIO!$A:$D,2,FALSE))</f>
        <v/>
      </c>
      <c r="F297" s="7" t="str">
        <f>IF(Plantilla_SCAN_EQ3_COUNT_2[[#This Row],[ID MATERIAL]]="","",IF(Plantilla_SCAN_EQ3_COUNT_2[[#This Row],[No. Empaques]]="",1,Plantilla_SCAN_EQ3_COUNT_2[[#This Row],[No. Empaques]]*1))</f>
        <v/>
      </c>
      <c r="G297" s="7" t="str">
        <f>IF(Plantilla_SCAN_EQ3_COUNT_2[[#This Row],[ID MATERIAL]]="","","PZ")</f>
        <v/>
      </c>
      <c r="H297" s="7" t="str">
        <f>IF(Plantilla_SCAN_EQ3_COUNT_2[[#This Row],[ID MATERIAL]]="","",$B$13)</f>
        <v/>
      </c>
      <c r="I297" s="7" t="str">
        <f>IF(Plantilla_SCAN_EQ3_COUNT_2[[#This Row],[ID MATERIAL]]="","","Segundo Conteo")</f>
        <v/>
      </c>
    </row>
    <row r="298" spans="1:9" s="7" customFormat="1" ht="15" x14ac:dyDescent="0.2">
      <c r="A298" s="7" t="str">
        <f>IF(Plantilla_SCAN_EQ3_COUNT_2[[#This Row],[ID MATERIAL]]="","",SIGN(Plantilla_SCAN_EQ3_COUNT_2[[#This Row],[Cantidad]])+A297)</f>
        <v/>
      </c>
      <c r="B298" s="21" t="str">
        <f>IF(Plantilla_SCAN_EQ3_COUNT_2[[#This Row],[ID MATERIAL]]="","",B297)</f>
        <v/>
      </c>
      <c r="C298" s="21"/>
      <c r="D298" s="21"/>
      <c r="E298" s="7" t="str">
        <f>IF(Plantilla_SCAN_EQ3_COUNT_2[[#This Row],[ID MATERIAL]]="","",VLOOKUP(Plantilla_SCAN_EQ3_COUNT_2[[#This Row],[ID MATERIAL]],INVENTARIO!$A:$D,2,FALSE))</f>
        <v/>
      </c>
      <c r="F298" s="7" t="str">
        <f>IF(Plantilla_SCAN_EQ3_COUNT_2[[#This Row],[ID MATERIAL]]="","",IF(Plantilla_SCAN_EQ3_COUNT_2[[#This Row],[No. Empaques]]="",1,Plantilla_SCAN_EQ3_COUNT_2[[#This Row],[No. Empaques]]*1))</f>
        <v/>
      </c>
      <c r="G298" s="7" t="str">
        <f>IF(Plantilla_SCAN_EQ3_COUNT_2[[#This Row],[ID MATERIAL]]="","","PZ")</f>
        <v/>
      </c>
      <c r="H298" s="7" t="str">
        <f>IF(Plantilla_SCAN_EQ3_COUNT_2[[#This Row],[ID MATERIAL]]="","",$B$13)</f>
        <v/>
      </c>
      <c r="I298" s="7" t="str">
        <f>IF(Plantilla_SCAN_EQ3_COUNT_2[[#This Row],[ID MATERIAL]]="","","Segundo Conteo")</f>
        <v/>
      </c>
    </row>
    <row r="299" spans="1:9" s="7" customFormat="1" ht="15" x14ac:dyDescent="0.2">
      <c r="A299" s="7" t="str">
        <f>IF(Plantilla_SCAN_EQ3_COUNT_2[[#This Row],[ID MATERIAL]]="","",SIGN(Plantilla_SCAN_EQ3_COUNT_2[[#This Row],[Cantidad]])+A298)</f>
        <v/>
      </c>
      <c r="B299" s="21" t="str">
        <f>IF(Plantilla_SCAN_EQ3_COUNT_2[[#This Row],[ID MATERIAL]]="","",B298)</f>
        <v/>
      </c>
      <c r="C299" s="21"/>
      <c r="D299" s="21"/>
      <c r="E299" s="7" t="str">
        <f>IF(Plantilla_SCAN_EQ3_COUNT_2[[#This Row],[ID MATERIAL]]="","",VLOOKUP(Plantilla_SCAN_EQ3_COUNT_2[[#This Row],[ID MATERIAL]],INVENTARIO!$A:$D,2,FALSE))</f>
        <v/>
      </c>
      <c r="F299" s="7" t="str">
        <f>IF(Plantilla_SCAN_EQ3_COUNT_2[[#This Row],[ID MATERIAL]]="","",IF(Plantilla_SCAN_EQ3_COUNT_2[[#This Row],[No. Empaques]]="",1,Plantilla_SCAN_EQ3_COUNT_2[[#This Row],[No. Empaques]]*1))</f>
        <v/>
      </c>
      <c r="G299" s="7" t="str">
        <f>IF(Plantilla_SCAN_EQ3_COUNT_2[[#This Row],[ID MATERIAL]]="","","PZ")</f>
        <v/>
      </c>
      <c r="H299" s="7" t="str">
        <f>IF(Plantilla_SCAN_EQ3_COUNT_2[[#This Row],[ID MATERIAL]]="","",$B$13)</f>
        <v/>
      </c>
      <c r="I299" s="7" t="str">
        <f>IF(Plantilla_SCAN_EQ3_COUNT_2[[#This Row],[ID MATERIAL]]="","","Segundo Conteo")</f>
        <v/>
      </c>
    </row>
    <row r="300" spans="1:9" s="7" customFormat="1" ht="15" x14ac:dyDescent="0.2">
      <c r="A300" s="7" t="str">
        <f>IF(Plantilla_SCAN_EQ3_COUNT_2[[#This Row],[ID MATERIAL]]="","",SIGN(Plantilla_SCAN_EQ3_COUNT_2[[#This Row],[Cantidad]])+A299)</f>
        <v/>
      </c>
      <c r="B300" s="21" t="str">
        <f>IF(Plantilla_SCAN_EQ3_COUNT_2[[#This Row],[ID MATERIAL]]="","",B299)</f>
        <v/>
      </c>
      <c r="C300" s="21"/>
      <c r="D300" s="21"/>
      <c r="E300" s="7" t="str">
        <f>IF(Plantilla_SCAN_EQ3_COUNT_2[[#This Row],[ID MATERIAL]]="","",VLOOKUP(Plantilla_SCAN_EQ3_COUNT_2[[#This Row],[ID MATERIAL]],INVENTARIO!$A:$D,2,FALSE))</f>
        <v/>
      </c>
      <c r="F300" s="7" t="str">
        <f>IF(Plantilla_SCAN_EQ3_COUNT_2[[#This Row],[ID MATERIAL]]="","",IF(Plantilla_SCAN_EQ3_COUNT_2[[#This Row],[No. Empaques]]="",1,Plantilla_SCAN_EQ3_COUNT_2[[#This Row],[No. Empaques]]*1))</f>
        <v/>
      </c>
      <c r="G300" s="7" t="str">
        <f>IF(Plantilla_SCAN_EQ3_COUNT_2[[#This Row],[ID MATERIAL]]="","","PZ")</f>
        <v/>
      </c>
      <c r="H300" s="7" t="str">
        <f>IF(Plantilla_SCAN_EQ3_COUNT_2[[#This Row],[ID MATERIAL]]="","",$B$13)</f>
        <v/>
      </c>
      <c r="I300" s="7" t="str">
        <f>IF(Plantilla_SCAN_EQ3_COUNT_2[[#This Row],[ID MATERIAL]]="","","Segundo Conteo")</f>
        <v/>
      </c>
    </row>
    <row r="301" spans="1:9" s="7" customFormat="1" ht="15" x14ac:dyDescent="0.2">
      <c r="A301" s="7" t="str">
        <f>IF(Plantilla_SCAN_EQ3_COUNT_2[[#This Row],[ID MATERIAL]]="","",SIGN(Plantilla_SCAN_EQ3_COUNT_2[[#This Row],[Cantidad]])+A300)</f>
        <v/>
      </c>
      <c r="B301" s="21" t="str">
        <f>IF(Plantilla_SCAN_EQ3_COUNT_2[[#This Row],[ID MATERIAL]]="","",B300)</f>
        <v/>
      </c>
      <c r="C301" s="21"/>
      <c r="D301" s="21"/>
      <c r="E301" s="7" t="str">
        <f>IF(Plantilla_SCAN_EQ3_COUNT_2[[#This Row],[ID MATERIAL]]="","",VLOOKUP(Plantilla_SCAN_EQ3_COUNT_2[[#This Row],[ID MATERIAL]],INVENTARIO!$A:$D,2,FALSE))</f>
        <v/>
      </c>
      <c r="F301" s="7" t="str">
        <f>IF(Plantilla_SCAN_EQ3_COUNT_2[[#This Row],[ID MATERIAL]]="","",IF(Plantilla_SCAN_EQ3_COUNT_2[[#This Row],[No. Empaques]]="",1,Plantilla_SCAN_EQ3_COUNT_2[[#This Row],[No. Empaques]]*1))</f>
        <v/>
      </c>
      <c r="G301" s="7" t="str">
        <f>IF(Plantilla_SCAN_EQ3_COUNT_2[[#This Row],[ID MATERIAL]]="","","PZ")</f>
        <v/>
      </c>
      <c r="H301" s="7" t="str">
        <f>IF(Plantilla_SCAN_EQ3_COUNT_2[[#This Row],[ID MATERIAL]]="","",$B$13)</f>
        <v/>
      </c>
      <c r="I301" s="7" t="str">
        <f>IF(Plantilla_SCAN_EQ3_COUNT_2[[#This Row],[ID MATERIAL]]="","","Segundo Conteo")</f>
        <v/>
      </c>
    </row>
    <row r="302" spans="1:9" s="7" customFormat="1" ht="15" x14ac:dyDescent="0.2">
      <c r="A302" s="7" t="str">
        <f>IF(Plantilla_SCAN_EQ3_COUNT_2[[#This Row],[ID MATERIAL]]="","",SIGN(Plantilla_SCAN_EQ3_COUNT_2[[#This Row],[Cantidad]])+A301)</f>
        <v/>
      </c>
      <c r="B302" s="21" t="str">
        <f>IF(Plantilla_SCAN_EQ3_COUNT_2[[#This Row],[ID MATERIAL]]="","",B301)</f>
        <v/>
      </c>
      <c r="C302" s="21"/>
      <c r="D302" s="21"/>
      <c r="E302" s="7" t="str">
        <f>IF(Plantilla_SCAN_EQ3_COUNT_2[[#This Row],[ID MATERIAL]]="","",VLOOKUP(Plantilla_SCAN_EQ3_COUNT_2[[#This Row],[ID MATERIAL]],INVENTARIO!$A:$D,2,FALSE))</f>
        <v/>
      </c>
      <c r="F302" s="7" t="str">
        <f>IF(Plantilla_SCAN_EQ3_COUNT_2[[#This Row],[ID MATERIAL]]="","",IF(Plantilla_SCAN_EQ3_COUNT_2[[#This Row],[No. Empaques]]="",1,Plantilla_SCAN_EQ3_COUNT_2[[#This Row],[No. Empaques]]*1))</f>
        <v/>
      </c>
      <c r="G302" s="7" t="str">
        <f>IF(Plantilla_SCAN_EQ3_COUNT_2[[#This Row],[ID MATERIAL]]="","","PZ")</f>
        <v/>
      </c>
      <c r="H302" s="7" t="str">
        <f>IF(Plantilla_SCAN_EQ3_COUNT_2[[#This Row],[ID MATERIAL]]="","",$B$13)</f>
        <v/>
      </c>
      <c r="I302" s="7" t="str">
        <f>IF(Plantilla_SCAN_EQ3_COUNT_2[[#This Row],[ID MATERIAL]]="","","Segundo Conteo")</f>
        <v/>
      </c>
    </row>
    <row r="303" spans="1:9" s="7" customFormat="1" ht="15" x14ac:dyDescent="0.2">
      <c r="A303" s="7" t="str">
        <f>IF(Plantilla_SCAN_EQ3_COUNT_2[[#This Row],[ID MATERIAL]]="","",SIGN(Plantilla_SCAN_EQ3_COUNT_2[[#This Row],[Cantidad]])+A302)</f>
        <v/>
      </c>
      <c r="B303" s="21" t="str">
        <f>IF(Plantilla_SCAN_EQ3_COUNT_2[[#This Row],[ID MATERIAL]]="","",B302)</f>
        <v/>
      </c>
      <c r="C303" s="21"/>
      <c r="D303" s="21"/>
      <c r="E303" s="7" t="str">
        <f>IF(Plantilla_SCAN_EQ3_COUNT_2[[#This Row],[ID MATERIAL]]="","",VLOOKUP(Plantilla_SCAN_EQ3_COUNT_2[[#This Row],[ID MATERIAL]],INVENTARIO!$A:$D,2,FALSE))</f>
        <v/>
      </c>
      <c r="F303" s="7" t="str">
        <f>IF(Plantilla_SCAN_EQ3_COUNT_2[[#This Row],[ID MATERIAL]]="","",IF(Plantilla_SCAN_EQ3_COUNT_2[[#This Row],[No. Empaques]]="",1,Plantilla_SCAN_EQ3_COUNT_2[[#This Row],[No. Empaques]]*1))</f>
        <v/>
      </c>
      <c r="G303" s="7" t="str">
        <f>IF(Plantilla_SCAN_EQ3_COUNT_2[[#This Row],[ID MATERIAL]]="","","PZ")</f>
        <v/>
      </c>
      <c r="H303" s="7" t="str">
        <f>IF(Plantilla_SCAN_EQ3_COUNT_2[[#This Row],[ID MATERIAL]]="","",$B$13)</f>
        <v/>
      </c>
      <c r="I303" s="7" t="str">
        <f>IF(Plantilla_SCAN_EQ3_COUNT_2[[#This Row],[ID MATERIAL]]="","","Segundo Conteo")</f>
        <v/>
      </c>
    </row>
    <row r="304" spans="1:9" s="7" customFormat="1" ht="15" x14ac:dyDescent="0.2">
      <c r="A304" s="7" t="str">
        <f>IF(Plantilla_SCAN_EQ3_COUNT_2[[#This Row],[ID MATERIAL]]="","",SIGN(Plantilla_SCAN_EQ3_COUNT_2[[#This Row],[Cantidad]])+A303)</f>
        <v/>
      </c>
      <c r="B304" s="21" t="str">
        <f>IF(Plantilla_SCAN_EQ3_COUNT_2[[#This Row],[ID MATERIAL]]="","",B303)</f>
        <v/>
      </c>
      <c r="C304" s="21"/>
      <c r="D304" s="21"/>
      <c r="E304" s="7" t="str">
        <f>IF(Plantilla_SCAN_EQ3_COUNT_2[[#This Row],[ID MATERIAL]]="","",VLOOKUP(Plantilla_SCAN_EQ3_COUNT_2[[#This Row],[ID MATERIAL]],INVENTARIO!$A:$D,2,FALSE))</f>
        <v/>
      </c>
      <c r="F304" s="7" t="str">
        <f>IF(Plantilla_SCAN_EQ3_COUNT_2[[#This Row],[ID MATERIAL]]="","",IF(Plantilla_SCAN_EQ3_COUNT_2[[#This Row],[No. Empaques]]="",1,Plantilla_SCAN_EQ3_COUNT_2[[#This Row],[No. Empaques]]*1))</f>
        <v/>
      </c>
      <c r="G304" s="7" t="str">
        <f>IF(Plantilla_SCAN_EQ3_COUNT_2[[#This Row],[ID MATERIAL]]="","","PZ")</f>
        <v/>
      </c>
      <c r="H304" s="7" t="str">
        <f>IF(Plantilla_SCAN_EQ3_COUNT_2[[#This Row],[ID MATERIAL]]="","",$B$13)</f>
        <v/>
      </c>
      <c r="I304" s="7" t="str">
        <f>IF(Plantilla_SCAN_EQ3_COUNT_2[[#This Row],[ID MATERIAL]]="","","Segundo Conteo")</f>
        <v/>
      </c>
    </row>
    <row r="305" spans="1:9" s="7" customFormat="1" ht="15" x14ac:dyDescent="0.2">
      <c r="A305" s="7" t="str">
        <f>IF(Plantilla_SCAN_EQ3_COUNT_2[[#This Row],[ID MATERIAL]]="","",SIGN(Plantilla_SCAN_EQ3_COUNT_2[[#This Row],[Cantidad]])+A304)</f>
        <v/>
      </c>
      <c r="B305" s="21" t="str">
        <f>IF(Plantilla_SCAN_EQ3_COUNT_2[[#This Row],[ID MATERIAL]]="","",B304)</f>
        <v/>
      </c>
      <c r="C305" s="21"/>
      <c r="D305" s="21"/>
      <c r="E305" s="7" t="str">
        <f>IF(Plantilla_SCAN_EQ3_COUNT_2[[#This Row],[ID MATERIAL]]="","",VLOOKUP(Plantilla_SCAN_EQ3_COUNT_2[[#This Row],[ID MATERIAL]],INVENTARIO!$A:$D,2,FALSE))</f>
        <v/>
      </c>
      <c r="F305" s="7" t="str">
        <f>IF(Plantilla_SCAN_EQ3_COUNT_2[[#This Row],[ID MATERIAL]]="","",IF(Plantilla_SCAN_EQ3_COUNT_2[[#This Row],[No. Empaques]]="",1,Plantilla_SCAN_EQ3_COUNT_2[[#This Row],[No. Empaques]]*1))</f>
        <v/>
      </c>
      <c r="G305" s="7" t="str">
        <f>IF(Plantilla_SCAN_EQ3_COUNT_2[[#This Row],[ID MATERIAL]]="","","PZ")</f>
        <v/>
      </c>
      <c r="H305" s="7" t="str">
        <f>IF(Plantilla_SCAN_EQ3_COUNT_2[[#This Row],[ID MATERIAL]]="","",$B$13)</f>
        <v/>
      </c>
      <c r="I305" s="7" t="str">
        <f>IF(Plantilla_SCAN_EQ3_COUNT_2[[#This Row],[ID MATERIAL]]="","","Segundo Conteo")</f>
        <v/>
      </c>
    </row>
    <row r="306" spans="1:9" s="7" customFormat="1" ht="15" x14ac:dyDescent="0.2">
      <c r="A306" s="7" t="str">
        <f>IF(Plantilla_SCAN_EQ3_COUNT_2[[#This Row],[ID MATERIAL]]="","",SIGN(Plantilla_SCAN_EQ3_COUNT_2[[#This Row],[Cantidad]])+A305)</f>
        <v/>
      </c>
      <c r="B306" s="21" t="str">
        <f>IF(Plantilla_SCAN_EQ3_COUNT_2[[#This Row],[ID MATERIAL]]="","",B305)</f>
        <v/>
      </c>
      <c r="C306" s="21"/>
      <c r="D306" s="21"/>
      <c r="E306" s="7" t="str">
        <f>IF(Plantilla_SCAN_EQ3_COUNT_2[[#This Row],[ID MATERIAL]]="","",VLOOKUP(Plantilla_SCAN_EQ3_COUNT_2[[#This Row],[ID MATERIAL]],INVENTARIO!$A:$D,2,FALSE))</f>
        <v/>
      </c>
      <c r="F306" s="7" t="str">
        <f>IF(Plantilla_SCAN_EQ3_COUNT_2[[#This Row],[ID MATERIAL]]="","",IF(Plantilla_SCAN_EQ3_COUNT_2[[#This Row],[No. Empaques]]="",1,Plantilla_SCAN_EQ3_COUNT_2[[#This Row],[No. Empaques]]*1))</f>
        <v/>
      </c>
      <c r="G306" s="7" t="str">
        <f>IF(Plantilla_SCAN_EQ3_COUNT_2[[#This Row],[ID MATERIAL]]="","","PZ")</f>
        <v/>
      </c>
      <c r="H306" s="7" t="str">
        <f>IF(Plantilla_SCAN_EQ3_COUNT_2[[#This Row],[ID MATERIAL]]="","",$B$13)</f>
        <v/>
      </c>
      <c r="I306" s="7" t="str">
        <f>IF(Plantilla_SCAN_EQ3_COUNT_2[[#This Row],[ID MATERIAL]]="","","Segundo Conteo")</f>
        <v/>
      </c>
    </row>
    <row r="307" spans="1:9" s="7" customFormat="1" ht="15" x14ac:dyDescent="0.2">
      <c r="A307" s="7" t="str">
        <f>IF(Plantilla_SCAN_EQ3_COUNT_2[[#This Row],[ID MATERIAL]]="","",SIGN(Plantilla_SCAN_EQ3_COUNT_2[[#This Row],[Cantidad]])+A306)</f>
        <v/>
      </c>
      <c r="B307" s="21" t="str">
        <f>IF(Plantilla_SCAN_EQ3_COUNT_2[[#This Row],[ID MATERIAL]]="","",B306)</f>
        <v/>
      </c>
      <c r="C307" s="21"/>
      <c r="D307" s="21"/>
      <c r="E307" s="7" t="str">
        <f>IF(Plantilla_SCAN_EQ3_COUNT_2[[#This Row],[ID MATERIAL]]="","",VLOOKUP(Plantilla_SCAN_EQ3_COUNT_2[[#This Row],[ID MATERIAL]],INVENTARIO!$A:$D,2,FALSE))</f>
        <v/>
      </c>
      <c r="F307" s="7" t="str">
        <f>IF(Plantilla_SCAN_EQ3_COUNT_2[[#This Row],[ID MATERIAL]]="","",IF(Plantilla_SCAN_EQ3_COUNT_2[[#This Row],[No. Empaques]]="",1,Plantilla_SCAN_EQ3_COUNT_2[[#This Row],[No. Empaques]]*1))</f>
        <v/>
      </c>
      <c r="G307" s="7" t="str">
        <f>IF(Plantilla_SCAN_EQ3_COUNT_2[[#This Row],[ID MATERIAL]]="","","PZ")</f>
        <v/>
      </c>
      <c r="H307" s="7" t="str">
        <f>IF(Plantilla_SCAN_EQ3_COUNT_2[[#This Row],[ID MATERIAL]]="","",$B$13)</f>
        <v/>
      </c>
      <c r="I307" s="7" t="str">
        <f>IF(Plantilla_SCAN_EQ3_COUNT_2[[#This Row],[ID MATERIAL]]="","","Segundo Conteo")</f>
        <v/>
      </c>
    </row>
    <row r="308" spans="1:9" s="7" customFormat="1" ht="15" x14ac:dyDescent="0.2">
      <c r="A308" s="7" t="str">
        <f>IF(Plantilla_SCAN_EQ3_COUNT_2[[#This Row],[ID MATERIAL]]="","",SIGN(Plantilla_SCAN_EQ3_COUNT_2[[#This Row],[Cantidad]])+A307)</f>
        <v/>
      </c>
      <c r="B308" s="21" t="str">
        <f>IF(Plantilla_SCAN_EQ3_COUNT_2[[#This Row],[ID MATERIAL]]="","",B307)</f>
        <v/>
      </c>
      <c r="C308" s="21"/>
      <c r="D308" s="21"/>
      <c r="E308" s="7" t="str">
        <f>IF(Plantilla_SCAN_EQ3_COUNT_2[[#This Row],[ID MATERIAL]]="","",VLOOKUP(Plantilla_SCAN_EQ3_COUNT_2[[#This Row],[ID MATERIAL]],INVENTARIO!$A:$D,2,FALSE))</f>
        <v/>
      </c>
      <c r="F308" s="7" t="str">
        <f>IF(Plantilla_SCAN_EQ3_COUNT_2[[#This Row],[ID MATERIAL]]="","",IF(Plantilla_SCAN_EQ3_COUNT_2[[#This Row],[No. Empaques]]="",1,Plantilla_SCAN_EQ3_COUNT_2[[#This Row],[No. Empaques]]*1))</f>
        <v/>
      </c>
      <c r="G308" s="7" t="str">
        <f>IF(Plantilla_SCAN_EQ3_COUNT_2[[#This Row],[ID MATERIAL]]="","","PZ")</f>
        <v/>
      </c>
      <c r="H308" s="7" t="str">
        <f>IF(Plantilla_SCAN_EQ3_COUNT_2[[#This Row],[ID MATERIAL]]="","",$B$13)</f>
        <v/>
      </c>
      <c r="I308" s="7" t="str">
        <f>IF(Plantilla_SCAN_EQ3_COUNT_2[[#This Row],[ID MATERIAL]]="","","Segundo Conteo")</f>
        <v/>
      </c>
    </row>
    <row r="309" spans="1:9" s="7" customFormat="1" ht="15" x14ac:dyDescent="0.2">
      <c r="A309" s="7" t="str">
        <f>IF(Plantilla_SCAN_EQ3_COUNT_2[[#This Row],[ID MATERIAL]]="","",SIGN(Plantilla_SCAN_EQ3_COUNT_2[[#This Row],[Cantidad]])+A308)</f>
        <v/>
      </c>
      <c r="B309" s="21" t="str">
        <f>IF(Plantilla_SCAN_EQ3_COUNT_2[[#This Row],[ID MATERIAL]]="","",B308)</f>
        <v/>
      </c>
      <c r="C309" s="21"/>
      <c r="D309" s="21"/>
      <c r="E309" s="7" t="str">
        <f>IF(Plantilla_SCAN_EQ3_COUNT_2[[#This Row],[ID MATERIAL]]="","",VLOOKUP(Plantilla_SCAN_EQ3_COUNT_2[[#This Row],[ID MATERIAL]],INVENTARIO!$A:$D,2,FALSE))</f>
        <v/>
      </c>
      <c r="F309" s="7" t="str">
        <f>IF(Plantilla_SCAN_EQ3_COUNT_2[[#This Row],[ID MATERIAL]]="","",IF(Plantilla_SCAN_EQ3_COUNT_2[[#This Row],[No. Empaques]]="",1,Plantilla_SCAN_EQ3_COUNT_2[[#This Row],[No. Empaques]]*1))</f>
        <v/>
      </c>
      <c r="G309" s="7" t="str">
        <f>IF(Plantilla_SCAN_EQ3_COUNT_2[[#This Row],[ID MATERIAL]]="","","PZ")</f>
        <v/>
      </c>
      <c r="H309" s="7" t="str">
        <f>IF(Plantilla_SCAN_EQ3_COUNT_2[[#This Row],[ID MATERIAL]]="","",$B$13)</f>
        <v/>
      </c>
      <c r="I309" s="7" t="str">
        <f>IF(Plantilla_SCAN_EQ3_COUNT_2[[#This Row],[ID MATERIAL]]="","","Segundo Conteo")</f>
        <v/>
      </c>
    </row>
    <row r="310" spans="1:9" s="7" customFormat="1" ht="15" x14ac:dyDescent="0.2">
      <c r="A310" s="7" t="str">
        <f>IF(Plantilla_SCAN_EQ3_COUNT_2[[#This Row],[ID MATERIAL]]="","",SIGN(Plantilla_SCAN_EQ3_COUNT_2[[#This Row],[Cantidad]])+A309)</f>
        <v/>
      </c>
      <c r="B310" s="21" t="str">
        <f>IF(Plantilla_SCAN_EQ3_COUNT_2[[#This Row],[ID MATERIAL]]="","",B309)</f>
        <v/>
      </c>
      <c r="C310" s="21"/>
      <c r="D310" s="21"/>
      <c r="E310" s="7" t="str">
        <f>IF(Plantilla_SCAN_EQ3_COUNT_2[[#This Row],[ID MATERIAL]]="","",VLOOKUP(Plantilla_SCAN_EQ3_COUNT_2[[#This Row],[ID MATERIAL]],INVENTARIO!$A:$D,2,FALSE))</f>
        <v/>
      </c>
      <c r="F310" s="7" t="str">
        <f>IF(Plantilla_SCAN_EQ3_COUNT_2[[#This Row],[ID MATERIAL]]="","",IF(Plantilla_SCAN_EQ3_COUNT_2[[#This Row],[No. Empaques]]="",1,Plantilla_SCAN_EQ3_COUNT_2[[#This Row],[No. Empaques]]*1))</f>
        <v/>
      </c>
      <c r="G310" s="7" t="str">
        <f>IF(Plantilla_SCAN_EQ3_COUNT_2[[#This Row],[ID MATERIAL]]="","","PZ")</f>
        <v/>
      </c>
      <c r="H310" s="7" t="str">
        <f>IF(Plantilla_SCAN_EQ3_COUNT_2[[#This Row],[ID MATERIAL]]="","",$B$13)</f>
        <v/>
      </c>
      <c r="I310" s="7" t="str">
        <f>IF(Plantilla_SCAN_EQ3_COUNT_2[[#This Row],[ID MATERIAL]]="","","Segundo Conteo")</f>
        <v/>
      </c>
    </row>
    <row r="311" spans="1:9" s="7" customFormat="1" ht="15" x14ac:dyDescent="0.2">
      <c r="A311" s="7" t="str">
        <f>IF(Plantilla_SCAN_EQ3_COUNT_2[[#This Row],[ID MATERIAL]]="","",SIGN(Plantilla_SCAN_EQ3_COUNT_2[[#This Row],[Cantidad]])+A310)</f>
        <v/>
      </c>
      <c r="B311" s="21" t="str">
        <f>IF(Plantilla_SCAN_EQ3_COUNT_2[[#This Row],[ID MATERIAL]]="","",B310)</f>
        <v/>
      </c>
      <c r="C311" s="21"/>
      <c r="D311" s="21"/>
      <c r="E311" s="7" t="str">
        <f>IF(Plantilla_SCAN_EQ3_COUNT_2[[#This Row],[ID MATERIAL]]="","",VLOOKUP(Plantilla_SCAN_EQ3_COUNT_2[[#This Row],[ID MATERIAL]],INVENTARIO!$A:$D,2,FALSE))</f>
        <v/>
      </c>
      <c r="F311" s="7" t="str">
        <f>IF(Plantilla_SCAN_EQ3_COUNT_2[[#This Row],[ID MATERIAL]]="","",IF(Plantilla_SCAN_EQ3_COUNT_2[[#This Row],[No. Empaques]]="",1,Plantilla_SCAN_EQ3_COUNT_2[[#This Row],[No. Empaques]]*1))</f>
        <v/>
      </c>
      <c r="G311" s="7" t="str">
        <f>IF(Plantilla_SCAN_EQ3_COUNT_2[[#This Row],[ID MATERIAL]]="","","PZ")</f>
        <v/>
      </c>
      <c r="H311" s="7" t="str">
        <f>IF(Plantilla_SCAN_EQ3_COUNT_2[[#This Row],[ID MATERIAL]]="","",$B$13)</f>
        <v/>
      </c>
      <c r="I311" s="7" t="str">
        <f>IF(Plantilla_SCAN_EQ3_COUNT_2[[#This Row],[ID MATERIAL]]="","","Segundo Conteo")</f>
        <v/>
      </c>
    </row>
    <row r="312" spans="1:9" s="7" customFormat="1" ht="15" x14ac:dyDescent="0.2">
      <c r="A312" s="7" t="str">
        <f>IF(Plantilla_SCAN_EQ3_COUNT_2[[#This Row],[ID MATERIAL]]="","",SIGN(Plantilla_SCAN_EQ3_COUNT_2[[#This Row],[Cantidad]])+A311)</f>
        <v/>
      </c>
      <c r="B312" s="21" t="str">
        <f>IF(Plantilla_SCAN_EQ3_COUNT_2[[#This Row],[ID MATERIAL]]="","",B311)</f>
        <v/>
      </c>
      <c r="C312" s="21"/>
      <c r="D312" s="21"/>
      <c r="E312" s="7" t="str">
        <f>IF(Plantilla_SCAN_EQ3_COUNT_2[[#This Row],[ID MATERIAL]]="","",VLOOKUP(Plantilla_SCAN_EQ3_COUNT_2[[#This Row],[ID MATERIAL]],INVENTARIO!$A:$D,2,FALSE))</f>
        <v/>
      </c>
      <c r="F312" s="7" t="str">
        <f>IF(Plantilla_SCAN_EQ3_COUNT_2[[#This Row],[ID MATERIAL]]="","",IF(Plantilla_SCAN_EQ3_COUNT_2[[#This Row],[No. Empaques]]="",1,Plantilla_SCAN_EQ3_COUNT_2[[#This Row],[No. Empaques]]*1))</f>
        <v/>
      </c>
      <c r="G312" s="7" t="str">
        <f>IF(Plantilla_SCAN_EQ3_COUNT_2[[#This Row],[ID MATERIAL]]="","","PZ")</f>
        <v/>
      </c>
      <c r="H312" s="7" t="str">
        <f>IF(Plantilla_SCAN_EQ3_COUNT_2[[#This Row],[ID MATERIAL]]="","",$B$13)</f>
        <v/>
      </c>
      <c r="I312" s="7" t="str">
        <f>IF(Plantilla_SCAN_EQ3_COUNT_2[[#This Row],[ID MATERIAL]]="","","Segundo Conteo")</f>
        <v/>
      </c>
    </row>
    <row r="313" spans="1:9" s="7" customFormat="1" ht="15" x14ac:dyDescent="0.2">
      <c r="A313" s="7" t="str">
        <f>IF(Plantilla_SCAN_EQ3_COUNT_2[[#This Row],[ID MATERIAL]]="","",SIGN(Plantilla_SCAN_EQ3_COUNT_2[[#This Row],[Cantidad]])+A312)</f>
        <v/>
      </c>
      <c r="B313" s="21" t="str">
        <f>IF(Plantilla_SCAN_EQ3_COUNT_2[[#This Row],[ID MATERIAL]]="","",B312)</f>
        <v/>
      </c>
      <c r="C313" s="21"/>
      <c r="D313" s="21"/>
      <c r="E313" s="7" t="str">
        <f>IF(Plantilla_SCAN_EQ3_COUNT_2[[#This Row],[ID MATERIAL]]="","",VLOOKUP(Plantilla_SCAN_EQ3_COUNT_2[[#This Row],[ID MATERIAL]],INVENTARIO!$A:$D,2,FALSE))</f>
        <v/>
      </c>
      <c r="F313" s="7" t="str">
        <f>IF(Plantilla_SCAN_EQ3_COUNT_2[[#This Row],[ID MATERIAL]]="","",IF(Plantilla_SCAN_EQ3_COUNT_2[[#This Row],[No. Empaques]]="",1,Plantilla_SCAN_EQ3_COUNT_2[[#This Row],[No. Empaques]]*1))</f>
        <v/>
      </c>
      <c r="G313" s="7" t="str">
        <f>IF(Plantilla_SCAN_EQ3_COUNT_2[[#This Row],[ID MATERIAL]]="","","PZ")</f>
        <v/>
      </c>
      <c r="H313" s="7" t="str">
        <f>IF(Plantilla_SCAN_EQ3_COUNT_2[[#This Row],[ID MATERIAL]]="","",$B$13)</f>
        <v/>
      </c>
      <c r="I313" s="7" t="str">
        <f>IF(Plantilla_SCAN_EQ3_COUNT_2[[#This Row],[ID MATERIAL]]="","","Segundo Conteo")</f>
        <v/>
      </c>
    </row>
    <row r="314" spans="1:9" s="7" customFormat="1" ht="15" x14ac:dyDescent="0.2">
      <c r="A314" s="7" t="str">
        <f>IF(Plantilla_SCAN_EQ3_COUNT_2[[#This Row],[ID MATERIAL]]="","",SIGN(Plantilla_SCAN_EQ3_COUNT_2[[#This Row],[Cantidad]])+A313)</f>
        <v/>
      </c>
      <c r="B314" s="21" t="str">
        <f>IF(Plantilla_SCAN_EQ3_COUNT_2[[#This Row],[ID MATERIAL]]="","",B313)</f>
        <v/>
      </c>
      <c r="C314" s="21"/>
      <c r="D314" s="21"/>
      <c r="E314" s="7" t="str">
        <f>IF(Plantilla_SCAN_EQ3_COUNT_2[[#This Row],[ID MATERIAL]]="","",VLOOKUP(Plantilla_SCAN_EQ3_COUNT_2[[#This Row],[ID MATERIAL]],INVENTARIO!$A:$D,2,FALSE))</f>
        <v/>
      </c>
      <c r="F314" s="7" t="str">
        <f>IF(Plantilla_SCAN_EQ3_COUNT_2[[#This Row],[ID MATERIAL]]="","",IF(Plantilla_SCAN_EQ3_COUNT_2[[#This Row],[No. Empaques]]="",1,Plantilla_SCAN_EQ3_COUNT_2[[#This Row],[No. Empaques]]*1))</f>
        <v/>
      </c>
      <c r="G314" s="7" t="str">
        <f>IF(Plantilla_SCAN_EQ3_COUNT_2[[#This Row],[ID MATERIAL]]="","","PZ")</f>
        <v/>
      </c>
      <c r="H314" s="7" t="str">
        <f>IF(Plantilla_SCAN_EQ3_COUNT_2[[#This Row],[ID MATERIAL]]="","",$B$13)</f>
        <v/>
      </c>
      <c r="I314" s="7" t="str">
        <f>IF(Plantilla_SCAN_EQ3_COUNT_2[[#This Row],[ID MATERIAL]]="","","Segundo Conteo")</f>
        <v/>
      </c>
    </row>
    <row r="315" spans="1:9" s="7" customFormat="1" ht="15" x14ac:dyDescent="0.2">
      <c r="A315" s="7" t="str">
        <f>IF(Plantilla_SCAN_EQ3_COUNT_2[[#This Row],[ID MATERIAL]]="","",SIGN(Plantilla_SCAN_EQ3_COUNT_2[[#This Row],[Cantidad]])+A314)</f>
        <v/>
      </c>
      <c r="B315" s="21" t="str">
        <f>IF(Plantilla_SCAN_EQ3_COUNT_2[[#This Row],[ID MATERIAL]]="","",B314)</f>
        <v/>
      </c>
      <c r="C315" s="21"/>
      <c r="D315" s="21"/>
      <c r="E315" s="7" t="str">
        <f>IF(Plantilla_SCAN_EQ3_COUNT_2[[#This Row],[ID MATERIAL]]="","",VLOOKUP(Plantilla_SCAN_EQ3_COUNT_2[[#This Row],[ID MATERIAL]],INVENTARIO!$A:$D,2,FALSE))</f>
        <v/>
      </c>
      <c r="F315" s="7" t="str">
        <f>IF(Plantilla_SCAN_EQ3_COUNT_2[[#This Row],[ID MATERIAL]]="","",IF(Plantilla_SCAN_EQ3_COUNT_2[[#This Row],[No. Empaques]]="",1,Plantilla_SCAN_EQ3_COUNT_2[[#This Row],[No. Empaques]]*1))</f>
        <v/>
      </c>
      <c r="G315" s="7" t="str">
        <f>IF(Plantilla_SCAN_EQ3_COUNT_2[[#This Row],[ID MATERIAL]]="","","PZ")</f>
        <v/>
      </c>
      <c r="H315" s="7" t="str">
        <f>IF(Plantilla_SCAN_EQ3_COUNT_2[[#This Row],[ID MATERIAL]]="","",$B$13)</f>
        <v/>
      </c>
      <c r="I315" s="7" t="str">
        <f>IF(Plantilla_SCAN_EQ3_COUNT_2[[#This Row],[ID MATERIAL]]="","","Segundo Conteo")</f>
        <v/>
      </c>
    </row>
    <row r="316" spans="1:9" s="7" customFormat="1" ht="15" x14ac:dyDescent="0.2">
      <c r="A316" s="7" t="str">
        <f>IF(Plantilla_SCAN_EQ3_COUNT_2[[#This Row],[ID MATERIAL]]="","",SIGN(Plantilla_SCAN_EQ3_COUNT_2[[#This Row],[Cantidad]])+A315)</f>
        <v/>
      </c>
      <c r="B316" s="21" t="str">
        <f>IF(Plantilla_SCAN_EQ3_COUNT_2[[#This Row],[ID MATERIAL]]="","",B315)</f>
        <v/>
      </c>
      <c r="C316" s="21"/>
      <c r="D316" s="21"/>
      <c r="E316" s="7" t="str">
        <f>IF(Plantilla_SCAN_EQ3_COUNT_2[[#This Row],[ID MATERIAL]]="","",VLOOKUP(Plantilla_SCAN_EQ3_COUNT_2[[#This Row],[ID MATERIAL]],INVENTARIO!$A:$D,2,FALSE))</f>
        <v/>
      </c>
      <c r="F316" s="7" t="str">
        <f>IF(Plantilla_SCAN_EQ3_COUNT_2[[#This Row],[ID MATERIAL]]="","",IF(Plantilla_SCAN_EQ3_COUNT_2[[#This Row],[No. Empaques]]="",1,Plantilla_SCAN_EQ3_COUNT_2[[#This Row],[No. Empaques]]*1))</f>
        <v/>
      </c>
      <c r="G316" s="7" t="str">
        <f>IF(Plantilla_SCAN_EQ3_COUNT_2[[#This Row],[ID MATERIAL]]="","","PZ")</f>
        <v/>
      </c>
      <c r="H316" s="7" t="str">
        <f>IF(Plantilla_SCAN_EQ3_COUNT_2[[#This Row],[ID MATERIAL]]="","",$B$13)</f>
        <v/>
      </c>
      <c r="I316" s="7" t="str">
        <f>IF(Plantilla_SCAN_EQ3_COUNT_2[[#This Row],[ID MATERIAL]]="","","Segundo Conteo")</f>
        <v/>
      </c>
    </row>
    <row r="317" spans="1:9" s="7" customFormat="1" ht="15" x14ac:dyDescent="0.2">
      <c r="A317" s="7" t="str">
        <f>IF(Plantilla_SCAN_EQ3_COUNT_2[[#This Row],[ID MATERIAL]]="","",SIGN(Plantilla_SCAN_EQ3_COUNT_2[[#This Row],[Cantidad]])+A316)</f>
        <v/>
      </c>
      <c r="B317" s="21" t="str">
        <f>IF(Plantilla_SCAN_EQ3_COUNT_2[[#This Row],[ID MATERIAL]]="","",B316)</f>
        <v/>
      </c>
      <c r="C317" s="21"/>
      <c r="D317" s="21"/>
      <c r="E317" s="7" t="str">
        <f>IF(Plantilla_SCAN_EQ3_COUNT_2[[#This Row],[ID MATERIAL]]="","",VLOOKUP(Plantilla_SCAN_EQ3_COUNT_2[[#This Row],[ID MATERIAL]],INVENTARIO!$A:$D,2,FALSE))</f>
        <v/>
      </c>
      <c r="F317" s="7" t="str">
        <f>IF(Plantilla_SCAN_EQ3_COUNT_2[[#This Row],[ID MATERIAL]]="","",IF(Plantilla_SCAN_EQ3_COUNT_2[[#This Row],[No. Empaques]]="",1,Plantilla_SCAN_EQ3_COUNT_2[[#This Row],[No. Empaques]]*1))</f>
        <v/>
      </c>
      <c r="G317" s="7" t="str">
        <f>IF(Plantilla_SCAN_EQ3_COUNT_2[[#This Row],[ID MATERIAL]]="","","PZ")</f>
        <v/>
      </c>
      <c r="H317" s="7" t="str">
        <f>IF(Plantilla_SCAN_EQ3_COUNT_2[[#This Row],[ID MATERIAL]]="","",$B$13)</f>
        <v/>
      </c>
      <c r="I317" s="7" t="str">
        <f>IF(Plantilla_SCAN_EQ3_COUNT_2[[#This Row],[ID MATERIAL]]="","","Segundo Conteo")</f>
        <v/>
      </c>
    </row>
    <row r="318" spans="1:9" s="7" customFormat="1" ht="15" x14ac:dyDescent="0.2">
      <c r="A318" s="7" t="str">
        <f>IF(Plantilla_SCAN_EQ3_COUNT_2[[#This Row],[ID MATERIAL]]="","",SIGN(Plantilla_SCAN_EQ3_COUNT_2[[#This Row],[Cantidad]])+A317)</f>
        <v/>
      </c>
      <c r="B318" s="21" t="str">
        <f>IF(Plantilla_SCAN_EQ3_COUNT_2[[#This Row],[ID MATERIAL]]="","",B317)</f>
        <v/>
      </c>
      <c r="C318" s="21"/>
      <c r="D318" s="21"/>
      <c r="E318" s="7" t="str">
        <f>IF(Plantilla_SCAN_EQ3_COUNT_2[[#This Row],[ID MATERIAL]]="","",VLOOKUP(Plantilla_SCAN_EQ3_COUNT_2[[#This Row],[ID MATERIAL]],INVENTARIO!$A:$D,2,FALSE))</f>
        <v/>
      </c>
      <c r="F318" s="7" t="str">
        <f>IF(Plantilla_SCAN_EQ3_COUNT_2[[#This Row],[ID MATERIAL]]="","",IF(Plantilla_SCAN_EQ3_COUNT_2[[#This Row],[No. Empaques]]="",1,Plantilla_SCAN_EQ3_COUNT_2[[#This Row],[No. Empaques]]*1))</f>
        <v/>
      </c>
      <c r="G318" s="7" t="str">
        <f>IF(Plantilla_SCAN_EQ3_COUNT_2[[#This Row],[ID MATERIAL]]="","","PZ")</f>
        <v/>
      </c>
      <c r="H318" s="7" t="str">
        <f>IF(Plantilla_SCAN_EQ3_COUNT_2[[#This Row],[ID MATERIAL]]="","",$B$13)</f>
        <v/>
      </c>
      <c r="I318" s="7" t="str">
        <f>IF(Plantilla_SCAN_EQ3_COUNT_2[[#This Row],[ID MATERIAL]]="","","Segundo Conteo")</f>
        <v/>
      </c>
    </row>
    <row r="319" spans="1:9" s="7" customFormat="1" ht="15" x14ac:dyDescent="0.2">
      <c r="A319" s="7" t="str">
        <f>IF(Plantilla_SCAN_EQ3_COUNT_2[[#This Row],[ID MATERIAL]]="","",SIGN(Plantilla_SCAN_EQ3_COUNT_2[[#This Row],[Cantidad]])+A318)</f>
        <v/>
      </c>
      <c r="B319" s="21" t="str">
        <f>IF(Plantilla_SCAN_EQ3_COUNT_2[[#This Row],[ID MATERIAL]]="","",B318)</f>
        <v/>
      </c>
      <c r="C319" s="21"/>
      <c r="D319" s="21"/>
      <c r="E319" s="7" t="str">
        <f>IF(Plantilla_SCAN_EQ3_COUNT_2[[#This Row],[ID MATERIAL]]="","",VLOOKUP(Plantilla_SCAN_EQ3_COUNT_2[[#This Row],[ID MATERIAL]],INVENTARIO!$A:$D,2,FALSE))</f>
        <v/>
      </c>
      <c r="F319" s="7" t="str">
        <f>IF(Plantilla_SCAN_EQ3_COUNT_2[[#This Row],[ID MATERIAL]]="","",IF(Plantilla_SCAN_EQ3_COUNT_2[[#This Row],[No. Empaques]]="",1,Plantilla_SCAN_EQ3_COUNT_2[[#This Row],[No. Empaques]]*1))</f>
        <v/>
      </c>
      <c r="G319" s="7" t="str">
        <f>IF(Plantilla_SCAN_EQ3_COUNT_2[[#This Row],[ID MATERIAL]]="","","PZ")</f>
        <v/>
      </c>
      <c r="H319" s="7" t="str">
        <f>IF(Plantilla_SCAN_EQ3_COUNT_2[[#This Row],[ID MATERIAL]]="","",$B$13)</f>
        <v/>
      </c>
      <c r="I319" s="7" t="str">
        <f>IF(Plantilla_SCAN_EQ3_COUNT_2[[#This Row],[ID MATERIAL]]="","","Segundo Conteo")</f>
        <v/>
      </c>
    </row>
    <row r="320" spans="1:9" s="7" customFormat="1" ht="15" x14ac:dyDescent="0.2">
      <c r="A320" s="7" t="str">
        <f>IF(Plantilla_SCAN_EQ3_COUNT_2[[#This Row],[ID MATERIAL]]="","",SIGN(Plantilla_SCAN_EQ3_COUNT_2[[#This Row],[Cantidad]])+A319)</f>
        <v/>
      </c>
      <c r="B320" s="21" t="str">
        <f>IF(Plantilla_SCAN_EQ3_COUNT_2[[#This Row],[ID MATERIAL]]="","",B319)</f>
        <v/>
      </c>
      <c r="C320" s="21"/>
      <c r="D320" s="21"/>
      <c r="E320" s="7" t="str">
        <f>IF(Plantilla_SCAN_EQ3_COUNT_2[[#This Row],[ID MATERIAL]]="","",VLOOKUP(Plantilla_SCAN_EQ3_COUNT_2[[#This Row],[ID MATERIAL]],INVENTARIO!$A:$D,2,FALSE))</f>
        <v/>
      </c>
      <c r="F320" s="7" t="str">
        <f>IF(Plantilla_SCAN_EQ3_COUNT_2[[#This Row],[ID MATERIAL]]="","",IF(Plantilla_SCAN_EQ3_COUNT_2[[#This Row],[No. Empaques]]="",1,Plantilla_SCAN_EQ3_COUNT_2[[#This Row],[No. Empaques]]*1))</f>
        <v/>
      </c>
      <c r="G320" s="7" t="str">
        <f>IF(Plantilla_SCAN_EQ3_COUNT_2[[#This Row],[ID MATERIAL]]="","","PZ")</f>
        <v/>
      </c>
      <c r="H320" s="7" t="str">
        <f>IF(Plantilla_SCAN_EQ3_COUNT_2[[#This Row],[ID MATERIAL]]="","",$B$13)</f>
        <v/>
      </c>
      <c r="I320" s="7" t="str">
        <f>IF(Plantilla_SCAN_EQ3_COUNT_2[[#This Row],[ID MATERIAL]]="","","Segundo Conteo")</f>
        <v/>
      </c>
    </row>
    <row r="321" spans="1:9" s="7" customFormat="1" ht="15" x14ac:dyDescent="0.2">
      <c r="A321" s="7" t="str">
        <f>IF(Plantilla_SCAN_EQ3_COUNT_2[[#This Row],[ID MATERIAL]]="","",SIGN(Plantilla_SCAN_EQ3_COUNT_2[[#This Row],[Cantidad]])+A320)</f>
        <v/>
      </c>
      <c r="B321" s="21" t="str">
        <f>IF(Plantilla_SCAN_EQ3_COUNT_2[[#This Row],[ID MATERIAL]]="","",B320)</f>
        <v/>
      </c>
      <c r="C321" s="21"/>
      <c r="D321" s="21"/>
      <c r="E321" s="7" t="str">
        <f>IF(Plantilla_SCAN_EQ3_COUNT_2[[#This Row],[ID MATERIAL]]="","",VLOOKUP(Plantilla_SCAN_EQ3_COUNT_2[[#This Row],[ID MATERIAL]],INVENTARIO!$A:$D,2,FALSE))</f>
        <v/>
      </c>
      <c r="F321" s="7" t="str">
        <f>IF(Plantilla_SCAN_EQ3_COUNT_2[[#This Row],[ID MATERIAL]]="","",IF(Plantilla_SCAN_EQ3_COUNT_2[[#This Row],[No. Empaques]]="",1,Plantilla_SCAN_EQ3_COUNT_2[[#This Row],[No. Empaques]]*1))</f>
        <v/>
      </c>
      <c r="G321" s="7" t="str">
        <f>IF(Plantilla_SCAN_EQ3_COUNT_2[[#This Row],[ID MATERIAL]]="","","PZ")</f>
        <v/>
      </c>
      <c r="H321" s="7" t="str">
        <f>IF(Plantilla_SCAN_EQ3_COUNT_2[[#This Row],[ID MATERIAL]]="","",$B$13)</f>
        <v/>
      </c>
      <c r="I321" s="7" t="str">
        <f>IF(Plantilla_SCAN_EQ3_COUNT_2[[#This Row],[ID MATERIAL]]="","","Segundo Conteo")</f>
        <v/>
      </c>
    </row>
    <row r="322" spans="1:9" s="7" customFormat="1" ht="15" x14ac:dyDescent="0.2">
      <c r="A322" s="7" t="str">
        <f>IF(Plantilla_SCAN_EQ3_COUNT_2[[#This Row],[ID MATERIAL]]="","",SIGN(Plantilla_SCAN_EQ3_COUNT_2[[#This Row],[Cantidad]])+A321)</f>
        <v/>
      </c>
      <c r="B322" s="21" t="str">
        <f>IF(Plantilla_SCAN_EQ3_COUNT_2[[#This Row],[ID MATERIAL]]="","",B321)</f>
        <v/>
      </c>
      <c r="C322" s="21"/>
      <c r="D322" s="21"/>
      <c r="E322" s="7" t="str">
        <f>IF(Plantilla_SCAN_EQ3_COUNT_2[[#This Row],[ID MATERIAL]]="","",VLOOKUP(Plantilla_SCAN_EQ3_COUNT_2[[#This Row],[ID MATERIAL]],INVENTARIO!$A:$D,2,FALSE))</f>
        <v/>
      </c>
      <c r="F322" s="7" t="str">
        <f>IF(Plantilla_SCAN_EQ3_COUNT_2[[#This Row],[ID MATERIAL]]="","",IF(Plantilla_SCAN_EQ3_COUNT_2[[#This Row],[No. Empaques]]="",1,Plantilla_SCAN_EQ3_COUNT_2[[#This Row],[No. Empaques]]*1))</f>
        <v/>
      </c>
      <c r="G322" s="7" t="str">
        <f>IF(Plantilla_SCAN_EQ3_COUNT_2[[#This Row],[ID MATERIAL]]="","","PZ")</f>
        <v/>
      </c>
      <c r="H322" s="7" t="str">
        <f>IF(Plantilla_SCAN_EQ3_COUNT_2[[#This Row],[ID MATERIAL]]="","",$B$13)</f>
        <v/>
      </c>
      <c r="I322" s="7" t="str">
        <f>IF(Plantilla_SCAN_EQ3_COUNT_2[[#This Row],[ID MATERIAL]]="","","Segundo Conteo")</f>
        <v/>
      </c>
    </row>
    <row r="323" spans="1:9" s="7" customFormat="1" ht="15" x14ac:dyDescent="0.2">
      <c r="A323" s="7" t="str">
        <f>IF(Plantilla_SCAN_EQ3_COUNT_2[[#This Row],[ID MATERIAL]]="","",SIGN(Plantilla_SCAN_EQ3_COUNT_2[[#This Row],[Cantidad]])+A322)</f>
        <v/>
      </c>
      <c r="B323" s="21" t="str">
        <f>IF(Plantilla_SCAN_EQ3_COUNT_2[[#This Row],[ID MATERIAL]]="","",B322)</f>
        <v/>
      </c>
      <c r="C323" s="21"/>
      <c r="D323" s="21"/>
      <c r="E323" s="7" t="str">
        <f>IF(Plantilla_SCAN_EQ3_COUNT_2[[#This Row],[ID MATERIAL]]="","",VLOOKUP(Plantilla_SCAN_EQ3_COUNT_2[[#This Row],[ID MATERIAL]],INVENTARIO!$A:$D,2,FALSE))</f>
        <v/>
      </c>
      <c r="F323" s="7" t="str">
        <f>IF(Plantilla_SCAN_EQ3_COUNT_2[[#This Row],[ID MATERIAL]]="","",IF(Plantilla_SCAN_EQ3_COUNT_2[[#This Row],[No. Empaques]]="",1,Plantilla_SCAN_EQ3_COUNT_2[[#This Row],[No. Empaques]]*1))</f>
        <v/>
      </c>
      <c r="G323" s="7" t="str">
        <f>IF(Plantilla_SCAN_EQ3_COUNT_2[[#This Row],[ID MATERIAL]]="","","PZ")</f>
        <v/>
      </c>
      <c r="H323" s="7" t="str">
        <f>IF(Plantilla_SCAN_EQ3_COUNT_2[[#This Row],[ID MATERIAL]]="","",$B$13)</f>
        <v/>
      </c>
      <c r="I323" s="7" t="str">
        <f>IF(Plantilla_SCAN_EQ3_COUNT_2[[#This Row],[ID MATERIAL]]="","","Segundo Conteo")</f>
        <v/>
      </c>
    </row>
    <row r="324" spans="1:9" s="7" customFormat="1" ht="15" x14ac:dyDescent="0.2">
      <c r="A324" s="7" t="str">
        <f>IF(Plantilla_SCAN_EQ3_COUNT_2[[#This Row],[ID MATERIAL]]="","",SIGN(Plantilla_SCAN_EQ3_COUNT_2[[#This Row],[Cantidad]])+A323)</f>
        <v/>
      </c>
      <c r="B324" s="21" t="str">
        <f>IF(Plantilla_SCAN_EQ3_COUNT_2[[#This Row],[ID MATERIAL]]="","",B323)</f>
        <v/>
      </c>
      <c r="C324" s="21"/>
      <c r="D324" s="21"/>
      <c r="E324" s="7" t="str">
        <f>IF(Plantilla_SCAN_EQ3_COUNT_2[[#This Row],[ID MATERIAL]]="","",VLOOKUP(Plantilla_SCAN_EQ3_COUNT_2[[#This Row],[ID MATERIAL]],INVENTARIO!$A:$D,2,FALSE))</f>
        <v/>
      </c>
      <c r="F324" s="7" t="str">
        <f>IF(Plantilla_SCAN_EQ3_COUNT_2[[#This Row],[ID MATERIAL]]="","",IF(Plantilla_SCAN_EQ3_COUNT_2[[#This Row],[No. Empaques]]="",1,Plantilla_SCAN_EQ3_COUNT_2[[#This Row],[No. Empaques]]*1))</f>
        <v/>
      </c>
      <c r="G324" s="7" t="str">
        <f>IF(Plantilla_SCAN_EQ3_COUNT_2[[#This Row],[ID MATERIAL]]="","","PZ")</f>
        <v/>
      </c>
      <c r="H324" s="7" t="str">
        <f>IF(Plantilla_SCAN_EQ3_COUNT_2[[#This Row],[ID MATERIAL]]="","",$B$13)</f>
        <v/>
      </c>
      <c r="I324" s="7" t="str">
        <f>IF(Plantilla_SCAN_EQ3_COUNT_2[[#This Row],[ID MATERIAL]]="","","Segundo Conteo")</f>
        <v/>
      </c>
    </row>
    <row r="325" spans="1:9" s="7" customFormat="1" ht="15" x14ac:dyDescent="0.2">
      <c r="A325" s="7" t="str">
        <f>IF(Plantilla_SCAN_EQ3_COUNT_2[[#This Row],[ID MATERIAL]]="","",SIGN(Plantilla_SCAN_EQ3_COUNT_2[[#This Row],[Cantidad]])+A324)</f>
        <v/>
      </c>
      <c r="B325" s="21" t="str">
        <f>IF(Plantilla_SCAN_EQ3_COUNT_2[[#This Row],[ID MATERIAL]]="","",B324)</f>
        <v/>
      </c>
      <c r="C325" s="21"/>
      <c r="D325" s="21"/>
      <c r="E325" s="7" t="str">
        <f>IF(Plantilla_SCAN_EQ3_COUNT_2[[#This Row],[ID MATERIAL]]="","",VLOOKUP(Plantilla_SCAN_EQ3_COUNT_2[[#This Row],[ID MATERIAL]],INVENTARIO!$A:$D,2,FALSE))</f>
        <v/>
      </c>
      <c r="F325" s="7" t="str">
        <f>IF(Plantilla_SCAN_EQ3_COUNT_2[[#This Row],[ID MATERIAL]]="","",IF(Plantilla_SCAN_EQ3_COUNT_2[[#This Row],[No. Empaques]]="",1,Plantilla_SCAN_EQ3_COUNT_2[[#This Row],[No. Empaques]]*1))</f>
        <v/>
      </c>
      <c r="G325" s="7" t="str">
        <f>IF(Plantilla_SCAN_EQ3_COUNT_2[[#This Row],[ID MATERIAL]]="","","PZ")</f>
        <v/>
      </c>
      <c r="H325" s="7" t="str">
        <f>IF(Plantilla_SCAN_EQ3_COUNT_2[[#This Row],[ID MATERIAL]]="","",$B$13)</f>
        <v/>
      </c>
      <c r="I325" s="7" t="str">
        <f>IF(Plantilla_SCAN_EQ3_COUNT_2[[#This Row],[ID MATERIAL]]="","","Segundo Conteo")</f>
        <v/>
      </c>
    </row>
    <row r="326" spans="1:9" s="7" customFormat="1" ht="15" x14ac:dyDescent="0.2">
      <c r="A326" s="7" t="str">
        <f>IF(Plantilla_SCAN_EQ3_COUNT_2[[#This Row],[ID MATERIAL]]="","",SIGN(Plantilla_SCAN_EQ3_COUNT_2[[#This Row],[Cantidad]])+A325)</f>
        <v/>
      </c>
      <c r="B326" s="21" t="str">
        <f>IF(Plantilla_SCAN_EQ3_COUNT_2[[#This Row],[ID MATERIAL]]="","",B325)</f>
        <v/>
      </c>
      <c r="C326" s="21"/>
      <c r="D326" s="21"/>
      <c r="E326" s="7" t="str">
        <f>IF(Plantilla_SCAN_EQ3_COUNT_2[[#This Row],[ID MATERIAL]]="","",VLOOKUP(Plantilla_SCAN_EQ3_COUNT_2[[#This Row],[ID MATERIAL]],INVENTARIO!$A:$D,2,FALSE))</f>
        <v/>
      </c>
      <c r="F326" s="7" t="str">
        <f>IF(Plantilla_SCAN_EQ3_COUNT_2[[#This Row],[ID MATERIAL]]="","",IF(Plantilla_SCAN_EQ3_COUNT_2[[#This Row],[No. Empaques]]="",1,Plantilla_SCAN_EQ3_COUNT_2[[#This Row],[No. Empaques]]*1))</f>
        <v/>
      </c>
      <c r="G326" s="7" t="str">
        <f>IF(Plantilla_SCAN_EQ3_COUNT_2[[#This Row],[ID MATERIAL]]="","","PZ")</f>
        <v/>
      </c>
      <c r="H326" s="7" t="str">
        <f>IF(Plantilla_SCAN_EQ3_COUNT_2[[#This Row],[ID MATERIAL]]="","",$B$13)</f>
        <v/>
      </c>
      <c r="I326" s="7" t="str">
        <f>IF(Plantilla_SCAN_EQ3_COUNT_2[[#This Row],[ID MATERIAL]]="","","Segundo Conteo")</f>
        <v/>
      </c>
    </row>
    <row r="327" spans="1:9" s="7" customFormat="1" ht="15" x14ac:dyDescent="0.2">
      <c r="A327" s="7" t="str">
        <f>IF(Plantilla_SCAN_EQ3_COUNT_2[[#This Row],[ID MATERIAL]]="","",SIGN(Plantilla_SCAN_EQ3_COUNT_2[[#This Row],[Cantidad]])+A326)</f>
        <v/>
      </c>
      <c r="B327" s="21" t="str">
        <f>IF(Plantilla_SCAN_EQ3_COUNT_2[[#This Row],[ID MATERIAL]]="","",B326)</f>
        <v/>
      </c>
      <c r="C327" s="21"/>
      <c r="D327" s="21"/>
      <c r="E327" s="7" t="str">
        <f>IF(Plantilla_SCAN_EQ3_COUNT_2[[#This Row],[ID MATERIAL]]="","",VLOOKUP(Plantilla_SCAN_EQ3_COUNT_2[[#This Row],[ID MATERIAL]],INVENTARIO!$A:$D,2,FALSE))</f>
        <v/>
      </c>
      <c r="F327" s="7" t="str">
        <f>IF(Plantilla_SCAN_EQ3_COUNT_2[[#This Row],[ID MATERIAL]]="","",IF(Plantilla_SCAN_EQ3_COUNT_2[[#This Row],[No. Empaques]]="",1,Plantilla_SCAN_EQ3_COUNT_2[[#This Row],[No. Empaques]]*1))</f>
        <v/>
      </c>
      <c r="G327" s="7" t="str">
        <f>IF(Plantilla_SCAN_EQ3_COUNT_2[[#This Row],[ID MATERIAL]]="","","PZ")</f>
        <v/>
      </c>
      <c r="H327" s="7" t="str">
        <f>IF(Plantilla_SCAN_EQ3_COUNT_2[[#This Row],[ID MATERIAL]]="","",$B$13)</f>
        <v/>
      </c>
      <c r="I327" s="7" t="str">
        <f>IF(Plantilla_SCAN_EQ3_COUNT_2[[#This Row],[ID MATERIAL]]="","","Segundo Conteo")</f>
        <v/>
      </c>
    </row>
    <row r="328" spans="1:9" s="7" customFormat="1" ht="15" x14ac:dyDescent="0.2">
      <c r="A328" s="7" t="str">
        <f>IF(Plantilla_SCAN_EQ3_COUNT_2[[#This Row],[ID MATERIAL]]="","",SIGN(Plantilla_SCAN_EQ3_COUNT_2[[#This Row],[Cantidad]])+A327)</f>
        <v/>
      </c>
      <c r="B328" s="21" t="str">
        <f>IF(Plantilla_SCAN_EQ3_COUNT_2[[#This Row],[ID MATERIAL]]="","",B327)</f>
        <v/>
      </c>
      <c r="C328" s="21"/>
      <c r="D328" s="21"/>
      <c r="E328" s="7" t="str">
        <f>IF(Plantilla_SCAN_EQ3_COUNT_2[[#This Row],[ID MATERIAL]]="","",VLOOKUP(Plantilla_SCAN_EQ3_COUNT_2[[#This Row],[ID MATERIAL]],INVENTARIO!$A:$D,2,FALSE))</f>
        <v/>
      </c>
      <c r="F328" s="7" t="str">
        <f>IF(Plantilla_SCAN_EQ3_COUNT_2[[#This Row],[ID MATERIAL]]="","",IF(Plantilla_SCAN_EQ3_COUNT_2[[#This Row],[No. Empaques]]="",1,Plantilla_SCAN_EQ3_COUNT_2[[#This Row],[No. Empaques]]*1))</f>
        <v/>
      </c>
      <c r="G328" s="7" t="str">
        <f>IF(Plantilla_SCAN_EQ3_COUNT_2[[#This Row],[ID MATERIAL]]="","","PZ")</f>
        <v/>
      </c>
      <c r="H328" s="7" t="str">
        <f>IF(Plantilla_SCAN_EQ3_COUNT_2[[#This Row],[ID MATERIAL]]="","",$B$13)</f>
        <v/>
      </c>
      <c r="I328" s="7" t="str">
        <f>IF(Plantilla_SCAN_EQ3_COUNT_2[[#This Row],[ID MATERIAL]]="","","Segundo Conteo")</f>
        <v/>
      </c>
    </row>
    <row r="329" spans="1:9" s="7" customFormat="1" ht="15" x14ac:dyDescent="0.2">
      <c r="A329" s="7" t="str">
        <f>IF(Plantilla_SCAN_EQ3_COUNT_2[[#This Row],[ID MATERIAL]]="","",SIGN(Plantilla_SCAN_EQ3_COUNT_2[[#This Row],[Cantidad]])+A328)</f>
        <v/>
      </c>
      <c r="B329" s="21" t="str">
        <f>IF(Plantilla_SCAN_EQ3_COUNT_2[[#This Row],[ID MATERIAL]]="","",B328)</f>
        <v/>
      </c>
      <c r="C329" s="21"/>
      <c r="D329" s="21"/>
      <c r="E329" s="7" t="str">
        <f>IF(Plantilla_SCAN_EQ3_COUNT_2[[#This Row],[ID MATERIAL]]="","",VLOOKUP(Plantilla_SCAN_EQ3_COUNT_2[[#This Row],[ID MATERIAL]],INVENTARIO!$A:$D,2,FALSE))</f>
        <v/>
      </c>
      <c r="F329" s="7" t="str">
        <f>IF(Plantilla_SCAN_EQ3_COUNT_2[[#This Row],[ID MATERIAL]]="","",IF(Plantilla_SCAN_EQ3_COUNT_2[[#This Row],[No. Empaques]]="",1,Plantilla_SCAN_EQ3_COUNT_2[[#This Row],[No. Empaques]]*1))</f>
        <v/>
      </c>
      <c r="G329" s="7" t="str">
        <f>IF(Plantilla_SCAN_EQ3_COUNT_2[[#This Row],[ID MATERIAL]]="","","PZ")</f>
        <v/>
      </c>
      <c r="H329" s="7" t="str">
        <f>IF(Plantilla_SCAN_EQ3_COUNT_2[[#This Row],[ID MATERIAL]]="","",$B$13)</f>
        <v/>
      </c>
      <c r="I329" s="7" t="str">
        <f>IF(Plantilla_SCAN_EQ3_COUNT_2[[#This Row],[ID MATERIAL]]="","","Segundo Conteo")</f>
        <v/>
      </c>
    </row>
    <row r="330" spans="1:9" s="7" customFormat="1" ht="15" x14ac:dyDescent="0.2">
      <c r="A330" s="7" t="str">
        <f>IF(Plantilla_SCAN_EQ3_COUNT_2[[#This Row],[ID MATERIAL]]="","",SIGN(Plantilla_SCAN_EQ3_COUNT_2[[#This Row],[Cantidad]])+A329)</f>
        <v/>
      </c>
      <c r="B330" s="21" t="str">
        <f>IF(Plantilla_SCAN_EQ3_COUNT_2[[#This Row],[ID MATERIAL]]="","",B329)</f>
        <v/>
      </c>
      <c r="C330" s="21"/>
      <c r="D330" s="21"/>
      <c r="E330" s="7" t="str">
        <f>IF(Plantilla_SCAN_EQ3_COUNT_2[[#This Row],[ID MATERIAL]]="","",VLOOKUP(Plantilla_SCAN_EQ3_COUNT_2[[#This Row],[ID MATERIAL]],INVENTARIO!$A:$D,2,FALSE))</f>
        <v/>
      </c>
      <c r="F330" s="7" t="str">
        <f>IF(Plantilla_SCAN_EQ3_COUNT_2[[#This Row],[ID MATERIAL]]="","",IF(Plantilla_SCAN_EQ3_COUNT_2[[#This Row],[No. Empaques]]="",1,Plantilla_SCAN_EQ3_COUNT_2[[#This Row],[No. Empaques]]*1))</f>
        <v/>
      </c>
      <c r="G330" s="7" t="str">
        <f>IF(Plantilla_SCAN_EQ3_COUNT_2[[#This Row],[ID MATERIAL]]="","","PZ")</f>
        <v/>
      </c>
      <c r="H330" s="7" t="str">
        <f>IF(Plantilla_SCAN_EQ3_COUNT_2[[#This Row],[ID MATERIAL]]="","",$B$13)</f>
        <v/>
      </c>
      <c r="I330" s="7" t="str">
        <f>IF(Plantilla_SCAN_EQ3_COUNT_2[[#This Row],[ID MATERIAL]]="","","Segundo Conteo")</f>
        <v/>
      </c>
    </row>
    <row r="331" spans="1:9" s="7" customFormat="1" ht="15" x14ac:dyDescent="0.2">
      <c r="A331" s="7" t="str">
        <f>IF(Plantilla_SCAN_EQ3_COUNT_2[[#This Row],[ID MATERIAL]]="","",SIGN(Plantilla_SCAN_EQ3_COUNT_2[[#This Row],[Cantidad]])+A330)</f>
        <v/>
      </c>
      <c r="B331" s="21" t="str">
        <f>IF(Plantilla_SCAN_EQ3_COUNT_2[[#This Row],[ID MATERIAL]]="","",B330)</f>
        <v/>
      </c>
      <c r="C331" s="21"/>
      <c r="D331" s="21"/>
      <c r="E331" s="7" t="str">
        <f>IF(Plantilla_SCAN_EQ3_COUNT_2[[#This Row],[ID MATERIAL]]="","",VLOOKUP(Plantilla_SCAN_EQ3_COUNT_2[[#This Row],[ID MATERIAL]],INVENTARIO!$A:$D,2,FALSE))</f>
        <v/>
      </c>
      <c r="F331" s="7" t="str">
        <f>IF(Plantilla_SCAN_EQ3_COUNT_2[[#This Row],[ID MATERIAL]]="","",IF(Plantilla_SCAN_EQ3_COUNT_2[[#This Row],[No. Empaques]]="",1,Plantilla_SCAN_EQ3_COUNT_2[[#This Row],[No. Empaques]]*1))</f>
        <v/>
      </c>
      <c r="G331" s="7" t="str">
        <f>IF(Plantilla_SCAN_EQ3_COUNT_2[[#This Row],[ID MATERIAL]]="","","PZ")</f>
        <v/>
      </c>
      <c r="H331" s="7" t="str">
        <f>IF(Plantilla_SCAN_EQ3_COUNT_2[[#This Row],[ID MATERIAL]]="","",$B$13)</f>
        <v/>
      </c>
      <c r="I331" s="7" t="str">
        <f>IF(Plantilla_SCAN_EQ3_COUNT_2[[#This Row],[ID MATERIAL]]="","","Segundo Conteo")</f>
        <v/>
      </c>
    </row>
    <row r="332" spans="1:9" s="7" customFormat="1" ht="15" x14ac:dyDescent="0.2">
      <c r="A332" s="7" t="str">
        <f>IF(Plantilla_SCAN_EQ3_COUNT_2[[#This Row],[ID MATERIAL]]="","",SIGN(Plantilla_SCAN_EQ3_COUNT_2[[#This Row],[Cantidad]])+A331)</f>
        <v/>
      </c>
      <c r="B332" s="21" t="str">
        <f>IF(Plantilla_SCAN_EQ3_COUNT_2[[#This Row],[ID MATERIAL]]="","",B331)</f>
        <v/>
      </c>
      <c r="C332" s="21"/>
      <c r="D332" s="21"/>
      <c r="E332" s="7" t="str">
        <f>IF(Plantilla_SCAN_EQ3_COUNT_2[[#This Row],[ID MATERIAL]]="","",VLOOKUP(Plantilla_SCAN_EQ3_COUNT_2[[#This Row],[ID MATERIAL]],INVENTARIO!$A:$D,2,FALSE))</f>
        <v/>
      </c>
      <c r="F332" s="7" t="str">
        <f>IF(Plantilla_SCAN_EQ3_COUNT_2[[#This Row],[ID MATERIAL]]="","",IF(Plantilla_SCAN_EQ3_COUNT_2[[#This Row],[No. Empaques]]="",1,Plantilla_SCAN_EQ3_COUNT_2[[#This Row],[No. Empaques]]*1))</f>
        <v/>
      </c>
      <c r="G332" s="7" t="str">
        <f>IF(Plantilla_SCAN_EQ3_COUNT_2[[#This Row],[ID MATERIAL]]="","","PZ")</f>
        <v/>
      </c>
      <c r="H332" s="7" t="str">
        <f>IF(Plantilla_SCAN_EQ3_COUNT_2[[#This Row],[ID MATERIAL]]="","",$B$13)</f>
        <v/>
      </c>
      <c r="I332" s="7" t="str">
        <f>IF(Plantilla_SCAN_EQ3_COUNT_2[[#This Row],[ID MATERIAL]]="","","Segundo Conteo")</f>
        <v/>
      </c>
    </row>
    <row r="333" spans="1:9" s="7" customFormat="1" ht="15" x14ac:dyDescent="0.2">
      <c r="A333" s="7" t="str">
        <f>IF(Plantilla_SCAN_EQ3_COUNT_2[[#This Row],[ID MATERIAL]]="","",SIGN(Plantilla_SCAN_EQ3_COUNT_2[[#This Row],[Cantidad]])+A332)</f>
        <v/>
      </c>
      <c r="B333" s="21" t="str">
        <f>IF(Plantilla_SCAN_EQ3_COUNT_2[[#This Row],[ID MATERIAL]]="","",B332)</f>
        <v/>
      </c>
      <c r="C333" s="21"/>
      <c r="D333" s="21"/>
      <c r="E333" s="7" t="str">
        <f>IF(Plantilla_SCAN_EQ3_COUNT_2[[#This Row],[ID MATERIAL]]="","",VLOOKUP(Plantilla_SCAN_EQ3_COUNT_2[[#This Row],[ID MATERIAL]],INVENTARIO!$A:$D,2,FALSE))</f>
        <v/>
      </c>
      <c r="F333" s="7" t="str">
        <f>IF(Plantilla_SCAN_EQ3_COUNT_2[[#This Row],[ID MATERIAL]]="","",IF(Plantilla_SCAN_EQ3_COUNT_2[[#This Row],[No. Empaques]]="",1,Plantilla_SCAN_EQ3_COUNT_2[[#This Row],[No. Empaques]]*1))</f>
        <v/>
      </c>
      <c r="G333" s="7" t="str">
        <f>IF(Plantilla_SCAN_EQ3_COUNT_2[[#This Row],[ID MATERIAL]]="","","PZ")</f>
        <v/>
      </c>
      <c r="H333" s="7" t="str">
        <f>IF(Plantilla_SCAN_EQ3_COUNT_2[[#This Row],[ID MATERIAL]]="","",$B$13)</f>
        <v/>
      </c>
      <c r="I333" s="7" t="str">
        <f>IF(Plantilla_SCAN_EQ3_COUNT_2[[#This Row],[ID MATERIAL]]="","","Segundo Conteo")</f>
        <v/>
      </c>
    </row>
    <row r="334" spans="1:9" s="7" customFormat="1" ht="15" x14ac:dyDescent="0.2">
      <c r="A334" s="7" t="str">
        <f>IF(Plantilla_SCAN_EQ3_COUNT_2[[#This Row],[ID MATERIAL]]="","",SIGN(Plantilla_SCAN_EQ3_COUNT_2[[#This Row],[Cantidad]])+A333)</f>
        <v/>
      </c>
      <c r="B334" s="21" t="str">
        <f>IF(Plantilla_SCAN_EQ3_COUNT_2[[#This Row],[ID MATERIAL]]="","",B333)</f>
        <v/>
      </c>
      <c r="C334" s="21"/>
      <c r="D334" s="21"/>
      <c r="E334" s="7" t="str">
        <f>IF(Plantilla_SCAN_EQ3_COUNT_2[[#This Row],[ID MATERIAL]]="","",VLOOKUP(Plantilla_SCAN_EQ3_COUNT_2[[#This Row],[ID MATERIAL]],INVENTARIO!$A:$D,2,FALSE))</f>
        <v/>
      </c>
      <c r="F334" s="7" t="str">
        <f>IF(Plantilla_SCAN_EQ3_COUNT_2[[#This Row],[ID MATERIAL]]="","",IF(Plantilla_SCAN_EQ3_COUNT_2[[#This Row],[No. Empaques]]="",1,Plantilla_SCAN_EQ3_COUNT_2[[#This Row],[No. Empaques]]*1))</f>
        <v/>
      </c>
      <c r="G334" s="7" t="str">
        <f>IF(Plantilla_SCAN_EQ3_COUNT_2[[#This Row],[ID MATERIAL]]="","","PZ")</f>
        <v/>
      </c>
      <c r="H334" s="7" t="str">
        <f>IF(Plantilla_SCAN_EQ3_COUNT_2[[#This Row],[ID MATERIAL]]="","",$B$13)</f>
        <v/>
      </c>
      <c r="I334" s="7" t="str">
        <f>IF(Plantilla_SCAN_EQ3_COUNT_2[[#This Row],[ID MATERIAL]]="","","Segundo Conteo")</f>
        <v/>
      </c>
    </row>
    <row r="335" spans="1:9" s="7" customFormat="1" ht="15" x14ac:dyDescent="0.2">
      <c r="A335" s="7" t="str">
        <f>IF(Plantilla_SCAN_EQ3_COUNT_2[[#This Row],[ID MATERIAL]]="","",SIGN(Plantilla_SCAN_EQ3_COUNT_2[[#This Row],[Cantidad]])+A334)</f>
        <v/>
      </c>
      <c r="B335" s="21" t="str">
        <f>IF(Plantilla_SCAN_EQ3_COUNT_2[[#This Row],[ID MATERIAL]]="","",B334)</f>
        <v/>
      </c>
      <c r="C335" s="21"/>
      <c r="D335" s="21"/>
      <c r="E335" s="7" t="str">
        <f>IF(Plantilla_SCAN_EQ3_COUNT_2[[#This Row],[ID MATERIAL]]="","",VLOOKUP(Plantilla_SCAN_EQ3_COUNT_2[[#This Row],[ID MATERIAL]],INVENTARIO!$A:$D,2,FALSE))</f>
        <v/>
      </c>
      <c r="F335" s="7" t="str">
        <f>IF(Plantilla_SCAN_EQ3_COUNT_2[[#This Row],[ID MATERIAL]]="","",IF(Plantilla_SCAN_EQ3_COUNT_2[[#This Row],[No. Empaques]]="",1,Plantilla_SCAN_EQ3_COUNT_2[[#This Row],[No. Empaques]]*1))</f>
        <v/>
      </c>
      <c r="G335" s="7" t="str">
        <f>IF(Plantilla_SCAN_EQ3_COUNT_2[[#This Row],[ID MATERIAL]]="","","PZ")</f>
        <v/>
      </c>
      <c r="H335" s="7" t="str">
        <f>IF(Plantilla_SCAN_EQ3_COUNT_2[[#This Row],[ID MATERIAL]]="","",$B$13)</f>
        <v/>
      </c>
      <c r="I335" s="7" t="str">
        <f>IF(Plantilla_SCAN_EQ3_COUNT_2[[#This Row],[ID MATERIAL]]="","","Segundo Conteo")</f>
        <v/>
      </c>
    </row>
    <row r="336" spans="1:9" s="7" customFormat="1" ht="15" x14ac:dyDescent="0.2">
      <c r="A336" s="7" t="str">
        <f>IF(Plantilla_SCAN_EQ3_COUNT_2[[#This Row],[ID MATERIAL]]="","",SIGN(Plantilla_SCAN_EQ3_COUNT_2[[#This Row],[Cantidad]])+A335)</f>
        <v/>
      </c>
      <c r="B336" s="21" t="str">
        <f>IF(Plantilla_SCAN_EQ3_COUNT_2[[#This Row],[ID MATERIAL]]="","",B335)</f>
        <v/>
      </c>
      <c r="C336" s="21"/>
      <c r="D336" s="21"/>
      <c r="E336" s="7" t="str">
        <f>IF(Plantilla_SCAN_EQ3_COUNT_2[[#This Row],[ID MATERIAL]]="","",VLOOKUP(Plantilla_SCAN_EQ3_COUNT_2[[#This Row],[ID MATERIAL]],INVENTARIO!$A:$D,2,FALSE))</f>
        <v/>
      </c>
      <c r="F336" s="7" t="str">
        <f>IF(Plantilla_SCAN_EQ3_COUNT_2[[#This Row],[ID MATERIAL]]="","",IF(Plantilla_SCAN_EQ3_COUNT_2[[#This Row],[No. Empaques]]="",1,Plantilla_SCAN_EQ3_COUNT_2[[#This Row],[No. Empaques]]*1))</f>
        <v/>
      </c>
      <c r="G336" s="7" t="str">
        <f>IF(Plantilla_SCAN_EQ3_COUNT_2[[#This Row],[ID MATERIAL]]="","","PZ")</f>
        <v/>
      </c>
      <c r="H336" s="7" t="str">
        <f>IF(Plantilla_SCAN_EQ3_COUNT_2[[#This Row],[ID MATERIAL]]="","",$B$13)</f>
        <v/>
      </c>
      <c r="I336" s="7" t="str">
        <f>IF(Plantilla_SCAN_EQ3_COUNT_2[[#This Row],[ID MATERIAL]]="","","Segundo Conteo")</f>
        <v/>
      </c>
    </row>
    <row r="337" spans="1:9" s="7" customFormat="1" ht="15" x14ac:dyDescent="0.2">
      <c r="A337" s="7" t="str">
        <f>IF(Plantilla_SCAN_EQ3_COUNT_2[[#This Row],[ID MATERIAL]]="","",SIGN(Plantilla_SCAN_EQ3_COUNT_2[[#This Row],[Cantidad]])+A336)</f>
        <v/>
      </c>
      <c r="B337" s="21" t="str">
        <f>IF(Plantilla_SCAN_EQ3_COUNT_2[[#This Row],[ID MATERIAL]]="","",B336)</f>
        <v/>
      </c>
      <c r="C337" s="21"/>
      <c r="D337" s="21"/>
      <c r="E337" s="7" t="str">
        <f>IF(Plantilla_SCAN_EQ3_COUNT_2[[#This Row],[ID MATERIAL]]="","",VLOOKUP(Plantilla_SCAN_EQ3_COUNT_2[[#This Row],[ID MATERIAL]],INVENTARIO!$A:$D,2,FALSE))</f>
        <v/>
      </c>
      <c r="F337" s="7" t="str">
        <f>IF(Plantilla_SCAN_EQ3_COUNT_2[[#This Row],[ID MATERIAL]]="","",IF(Plantilla_SCAN_EQ3_COUNT_2[[#This Row],[No. Empaques]]="",1,Plantilla_SCAN_EQ3_COUNT_2[[#This Row],[No. Empaques]]*1))</f>
        <v/>
      </c>
      <c r="G337" s="7" t="str">
        <f>IF(Plantilla_SCAN_EQ3_COUNT_2[[#This Row],[ID MATERIAL]]="","","PZ")</f>
        <v/>
      </c>
      <c r="H337" s="7" t="str">
        <f>IF(Plantilla_SCAN_EQ3_COUNT_2[[#This Row],[ID MATERIAL]]="","",$B$13)</f>
        <v/>
      </c>
      <c r="I337" s="7" t="str">
        <f>IF(Plantilla_SCAN_EQ3_COUNT_2[[#This Row],[ID MATERIAL]]="","","Segundo Conteo")</f>
        <v/>
      </c>
    </row>
    <row r="338" spans="1:9" s="7" customFormat="1" ht="15" x14ac:dyDescent="0.2">
      <c r="A338" s="7" t="str">
        <f>IF(Plantilla_SCAN_EQ3_COUNT_2[[#This Row],[ID MATERIAL]]="","",SIGN(Plantilla_SCAN_EQ3_COUNT_2[[#This Row],[Cantidad]])+A337)</f>
        <v/>
      </c>
      <c r="B338" s="21" t="str">
        <f>IF(Plantilla_SCAN_EQ3_COUNT_2[[#This Row],[ID MATERIAL]]="","",B337)</f>
        <v/>
      </c>
      <c r="C338" s="21"/>
      <c r="D338" s="21"/>
      <c r="E338" s="7" t="str">
        <f>IF(Plantilla_SCAN_EQ3_COUNT_2[[#This Row],[ID MATERIAL]]="","",VLOOKUP(Plantilla_SCAN_EQ3_COUNT_2[[#This Row],[ID MATERIAL]],INVENTARIO!$A:$D,2,FALSE))</f>
        <v/>
      </c>
      <c r="F338" s="7" t="str">
        <f>IF(Plantilla_SCAN_EQ3_COUNT_2[[#This Row],[ID MATERIAL]]="","",IF(Plantilla_SCAN_EQ3_COUNT_2[[#This Row],[No. Empaques]]="",1,Plantilla_SCAN_EQ3_COUNT_2[[#This Row],[No. Empaques]]*1))</f>
        <v/>
      </c>
      <c r="G338" s="7" t="str">
        <f>IF(Plantilla_SCAN_EQ3_COUNT_2[[#This Row],[ID MATERIAL]]="","","PZ")</f>
        <v/>
      </c>
      <c r="H338" s="7" t="str">
        <f>IF(Plantilla_SCAN_EQ3_COUNT_2[[#This Row],[ID MATERIAL]]="","",$B$13)</f>
        <v/>
      </c>
      <c r="I338" s="7" t="str">
        <f>IF(Plantilla_SCAN_EQ3_COUNT_2[[#This Row],[ID MATERIAL]]="","","Segundo Conteo")</f>
        <v/>
      </c>
    </row>
    <row r="339" spans="1:9" s="7" customFormat="1" ht="15" x14ac:dyDescent="0.2">
      <c r="A339" s="7" t="str">
        <f>IF(Plantilla_SCAN_EQ3_COUNT_2[[#This Row],[ID MATERIAL]]="","",SIGN(Plantilla_SCAN_EQ3_COUNT_2[[#This Row],[Cantidad]])+A338)</f>
        <v/>
      </c>
      <c r="B339" s="21" t="str">
        <f>IF(Plantilla_SCAN_EQ3_COUNT_2[[#This Row],[ID MATERIAL]]="","",B338)</f>
        <v/>
      </c>
      <c r="C339" s="21"/>
      <c r="D339" s="21"/>
      <c r="E339" s="7" t="str">
        <f>IF(Plantilla_SCAN_EQ3_COUNT_2[[#This Row],[ID MATERIAL]]="","",VLOOKUP(Plantilla_SCAN_EQ3_COUNT_2[[#This Row],[ID MATERIAL]],INVENTARIO!$A:$D,2,FALSE))</f>
        <v/>
      </c>
      <c r="F339" s="7" t="str">
        <f>IF(Plantilla_SCAN_EQ3_COUNT_2[[#This Row],[ID MATERIAL]]="","",IF(Plantilla_SCAN_EQ3_COUNT_2[[#This Row],[No. Empaques]]="",1,Plantilla_SCAN_EQ3_COUNT_2[[#This Row],[No. Empaques]]*1))</f>
        <v/>
      </c>
      <c r="G339" s="7" t="str">
        <f>IF(Plantilla_SCAN_EQ3_COUNT_2[[#This Row],[ID MATERIAL]]="","","PZ")</f>
        <v/>
      </c>
      <c r="H339" s="7" t="str">
        <f>IF(Plantilla_SCAN_EQ3_COUNT_2[[#This Row],[ID MATERIAL]]="","",$B$13)</f>
        <v/>
      </c>
      <c r="I339" s="7" t="str">
        <f>IF(Plantilla_SCAN_EQ3_COUNT_2[[#This Row],[ID MATERIAL]]="","","Segundo Conteo")</f>
        <v/>
      </c>
    </row>
    <row r="340" spans="1:9" s="7" customFormat="1" ht="15" x14ac:dyDescent="0.2">
      <c r="A340" s="7" t="str">
        <f>IF(Plantilla_SCAN_EQ3_COUNT_2[[#This Row],[ID MATERIAL]]="","",SIGN(Plantilla_SCAN_EQ3_COUNT_2[[#This Row],[Cantidad]])+A339)</f>
        <v/>
      </c>
      <c r="B340" s="21" t="str">
        <f>IF(Plantilla_SCAN_EQ3_COUNT_2[[#This Row],[ID MATERIAL]]="","",B339)</f>
        <v/>
      </c>
      <c r="C340" s="21"/>
      <c r="D340" s="21"/>
      <c r="E340" s="7" t="str">
        <f>IF(Plantilla_SCAN_EQ3_COUNT_2[[#This Row],[ID MATERIAL]]="","",VLOOKUP(Plantilla_SCAN_EQ3_COUNT_2[[#This Row],[ID MATERIAL]],INVENTARIO!$A:$D,2,FALSE))</f>
        <v/>
      </c>
      <c r="F340" s="7" t="str">
        <f>IF(Plantilla_SCAN_EQ3_COUNT_2[[#This Row],[ID MATERIAL]]="","",IF(Plantilla_SCAN_EQ3_COUNT_2[[#This Row],[No. Empaques]]="",1,Plantilla_SCAN_EQ3_COUNT_2[[#This Row],[No. Empaques]]*1))</f>
        <v/>
      </c>
      <c r="G340" s="7" t="str">
        <f>IF(Plantilla_SCAN_EQ3_COUNT_2[[#This Row],[ID MATERIAL]]="","","PZ")</f>
        <v/>
      </c>
      <c r="H340" s="7" t="str">
        <f>IF(Plantilla_SCAN_EQ3_COUNT_2[[#This Row],[ID MATERIAL]]="","",$B$13)</f>
        <v/>
      </c>
      <c r="I340" s="7" t="str">
        <f>IF(Plantilla_SCAN_EQ3_COUNT_2[[#This Row],[ID MATERIAL]]="","","Segundo Conteo")</f>
        <v/>
      </c>
    </row>
    <row r="341" spans="1:9" s="7" customFormat="1" ht="15" x14ac:dyDescent="0.2">
      <c r="A341" s="7" t="str">
        <f>IF(Plantilla_SCAN_EQ3_COUNT_2[[#This Row],[ID MATERIAL]]="","",SIGN(Plantilla_SCAN_EQ3_COUNT_2[[#This Row],[Cantidad]])+A340)</f>
        <v/>
      </c>
      <c r="B341" s="21" t="str">
        <f>IF(Plantilla_SCAN_EQ3_COUNT_2[[#This Row],[ID MATERIAL]]="","",B340)</f>
        <v/>
      </c>
      <c r="C341" s="21"/>
      <c r="D341" s="21"/>
      <c r="E341" s="7" t="str">
        <f>IF(Plantilla_SCAN_EQ3_COUNT_2[[#This Row],[ID MATERIAL]]="","",VLOOKUP(Plantilla_SCAN_EQ3_COUNT_2[[#This Row],[ID MATERIAL]],INVENTARIO!$A:$D,2,FALSE))</f>
        <v/>
      </c>
      <c r="F341" s="7" t="str">
        <f>IF(Plantilla_SCAN_EQ3_COUNT_2[[#This Row],[ID MATERIAL]]="","",IF(Plantilla_SCAN_EQ3_COUNT_2[[#This Row],[No. Empaques]]="",1,Plantilla_SCAN_EQ3_COUNT_2[[#This Row],[No. Empaques]]*1))</f>
        <v/>
      </c>
      <c r="G341" s="7" t="str">
        <f>IF(Plantilla_SCAN_EQ3_COUNT_2[[#This Row],[ID MATERIAL]]="","","PZ")</f>
        <v/>
      </c>
      <c r="H341" s="7" t="str">
        <f>IF(Plantilla_SCAN_EQ3_COUNT_2[[#This Row],[ID MATERIAL]]="","",$B$13)</f>
        <v/>
      </c>
      <c r="I341" s="7" t="str">
        <f>IF(Plantilla_SCAN_EQ3_COUNT_2[[#This Row],[ID MATERIAL]]="","","Segundo Conteo")</f>
        <v/>
      </c>
    </row>
    <row r="342" spans="1:9" s="7" customFormat="1" ht="15" x14ac:dyDescent="0.2">
      <c r="A342" s="7" t="str">
        <f>IF(Plantilla_SCAN_EQ3_COUNT_2[[#This Row],[ID MATERIAL]]="","",SIGN(Plantilla_SCAN_EQ3_COUNT_2[[#This Row],[Cantidad]])+A341)</f>
        <v/>
      </c>
      <c r="B342" s="21" t="str">
        <f>IF(Plantilla_SCAN_EQ3_COUNT_2[[#This Row],[ID MATERIAL]]="","",B341)</f>
        <v/>
      </c>
      <c r="C342" s="21"/>
      <c r="D342" s="21"/>
      <c r="E342" s="7" t="str">
        <f>IF(Plantilla_SCAN_EQ3_COUNT_2[[#This Row],[ID MATERIAL]]="","",VLOOKUP(Plantilla_SCAN_EQ3_COUNT_2[[#This Row],[ID MATERIAL]],INVENTARIO!$A:$D,2,FALSE))</f>
        <v/>
      </c>
      <c r="F342" s="7" t="str">
        <f>IF(Plantilla_SCAN_EQ3_COUNT_2[[#This Row],[ID MATERIAL]]="","",IF(Plantilla_SCAN_EQ3_COUNT_2[[#This Row],[No. Empaques]]="",1,Plantilla_SCAN_EQ3_COUNT_2[[#This Row],[No. Empaques]]*1))</f>
        <v/>
      </c>
      <c r="G342" s="7" t="str">
        <f>IF(Plantilla_SCAN_EQ3_COUNT_2[[#This Row],[ID MATERIAL]]="","","PZ")</f>
        <v/>
      </c>
      <c r="H342" s="7" t="str">
        <f>IF(Plantilla_SCAN_EQ3_COUNT_2[[#This Row],[ID MATERIAL]]="","",$B$13)</f>
        <v/>
      </c>
      <c r="I342" s="7" t="str">
        <f>IF(Plantilla_SCAN_EQ3_COUNT_2[[#This Row],[ID MATERIAL]]="","","Segundo Conteo")</f>
        <v/>
      </c>
    </row>
    <row r="343" spans="1:9" s="7" customFormat="1" ht="15" x14ac:dyDescent="0.2">
      <c r="A343" s="7" t="str">
        <f>IF(Plantilla_SCAN_EQ3_COUNT_2[[#This Row],[ID MATERIAL]]="","",SIGN(Plantilla_SCAN_EQ3_COUNT_2[[#This Row],[Cantidad]])+A342)</f>
        <v/>
      </c>
      <c r="B343" s="21" t="str">
        <f>IF(Plantilla_SCAN_EQ3_COUNT_2[[#This Row],[ID MATERIAL]]="","",B342)</f>
        <v/>
      </c>
      <c r="C343" s="21"/>
      <c r="D343" s="21"/>
      <c r="E343" s="7" t="str">
        <f>IF(Plantilla_SCAN_EQ3_COUNT_2[[#This Row],[ID MATERIAL]]="","",VLOOKUP(Plantilla_SCAN_EQ3_COUNT_2[[#This Row],[ID MATERIAL]],INVENTARIO!$A:$D,2,FALSE))</f>
        <v/>
      </c>
      <c r="F343" s="7" t="str">
        <f>IF(Plantilla_SCAN_EQ3_COUNT_2[[#This Row],[ID MATERIAL]]="","",IF(Plantilla_SCAN_EQ3_COUNT_2[[#This Row],[No. Empaques]]="",1,Plantilla_SCAN_EQ3_COUNT_2[[#This Row],[No. Empaques]]*1))</f>
        <v/>
      </c>
      <c r="G343" s="7" t="str">
        <f>IF(Plantilla_SCAN_EQ3_COUNT_2[[#This Row],[ID MATERIAL]]="","","PZ")</f>
        <v/>
      </c>
      <c r="H343" s="7" t="str">
        <f>IF(Plantilla_SCAN_EQ3_COUNT_2[[#This Row],[ID MATERIAL]]="","",$B$13)</f>
        <v/>
      </c>
      <c r="I343" s="7" t="str">
        <f>IF(Plantilla_SCAN_EQ3_COUNT_2[[#This Row],[ID MATERIAL]]="","","Segundo Conteo")</f>
        <v/>
      </c>
    </row>
    <row r="344" spans="1:9" s="7" customFormat="1" ht="15" x14ac:dyDescent="0.2">
      <c r="A344" s="7" t="str">
        <f>IF(Plantilla_SCAN_EQ3_COUNT_2[[#This Row],[ID MATERIAL]]="","",SIGN(Plantilla_SCAN_EQ3_COUNT_2[[#This Row],[Cantidad]])+A343)</f>
        <v/>
      </c>
      <c r="B344" s="21" t="str">
        <f>IF(Plantilla_SCAN_EQ3_COUNT_2[[#This Row],[ID MATERIAL]]="","",B343)</f>
        <v/>
      </c>
      <c r="C344" s="21"/>
      <c r="D344" s="21"/>
      <c r="E344" s="7" t="str">
        <f>IF(Plantilla_SCAN_EQ3_COUNT_2[[#This Row],[ID MATERIAL]]="","",VLOOKUP(Plantilla_SCAN_EQ3_COUNT_2[[#This Row],[ID MATERIAL]],INVENTARIO!$A:$D,2,FALSE))</f>
        <v/>
      </c>
      <c r="F344" s="7" t="str">
        <f>IF(Plantilla_SCAN_EQ3_COUNT_2[[#This Row],[ID MATERIAL]]="","",IF(Plantilla_SCAN_EQ3_COUNT_2[[#This Row],[No. Empaques]]="",1,Plantilla_SCAN_EQ3_COUNT_2[[#This Row],[No. Empaques]]*1))</f>
        <v/>
      </c>
      <c r="G344" s="7" t="str">
        <f>IF(Plantilla_SCAN_EQ3_COUNT_2[[#This Row],[ID MATERIAL]]="","","PZ")</f>
        <v/>
      </c>
      <c r="H344" s="7" t="str">
        <f>IF(Plantilla_SCAN_EQ3_COUNT_2[[#This Row],[ID MATERIAL]]="","",$B$13)</f>
        <v/>
      </c>
      <c r="I344" s="7" t="str">
        <f>IF(Plantilla_SCAN_EQ3_COUNT_2[[#This Row],[ID MATERIAL]]="","","Segundo Conteo")</f>
        <v/>
      </c>
    </row>
    <row r="345" spans="1:9" s="7" customFormat="1" ht="15" x14ac:dyDescent="0.2">
      <c r="A345" s="7" t="str">
        <f>IF(Plantilla_SCAN_EQ3_COUNT_2[[#This Row],[ID MATERIAL]]="","",SIGN(Plantilla_SCAN_EQ3_COUNT_2[[#This Row],[Cantidad]])+A344)</f>
        <v/>
      </c>
      <c r="B345" s="21" t="str">
        <f>IF(Plantilla_SCAN_EQ3_COUNT_2[[#This Row],[ID MATERIAL]]="","",B344)</f>
        <v/>
      </c>
      <c r="C345" s="21"/>
      <c r="D345" s="21"/>
      <c r="E345" s="7" t="str">
        <f>IF(Plantilla_SCAN_EQ3_COUNT_2[[#This Row],[ID MATERIAL]]="","",VLOOKUP(Plantilla_SCAN_EQ3_COUNT_2[[#This Row],[ID MATERIAL]],INVENTARIO!$A:$D,2,FALSE))</f>
        <v/>
      </c>
      <c r="F345" s="7" t="str">
        <f>IF(Plantilla_SCAN_EQ3_COUNT_2[[#This Row],[ID MATERIAL]]="","",IF(Plantilla_SCAN_EQ3_COUNT_2[[#This Row],[No. Empaques]]="",1,Plantilla_SCAN_EQ3_COUNT_2[[#This Row],[No. Empaques]]*1))</f>
        <v/>
      </c>
      <c r="G345" s="7" t="str">
        <f>IF(Plantilla_SCAN_EQ3_COUNT_2[[#This Row],[ID MATERIAL]]="","","PZ")</f>
        <v/>
      </c>
      <c r="H345" s="7" t="str">
        <f>IF(Plantilla_SCAN_EQ3_COUNT_2[[#This Row],[ID MATERIAL]]="","",$B$13)</f>
        <v/>
      </c>
      <c r="I345" s="7" t="str">
        <f>IF(Plantilla_SCAN_EQ3_COUNT_2[[#This Row],[ID MATERIAL]]="","","Segundo Conteo")</f>
        <v/>
      </c>
    </row>
    <row r="346" spans="1:9" s="7" customFormat="1" ht="15" x14ac:dyDescent="0.2">
      <c r="A346" s="7" t="str">
        <f>IF(Plantilla_SCAN_EQ3_COUNT_2[[#This Row],[ID MATERIAL]]="","",SIGN(Plantilla_SCAN_EQ3_COUNT_2[[#This Row],[Cantidad]])+A345)</f>
        <v/>
      </c>
      <c r="B346" s="21" t="str">
        <f>IF(Plantilla_SCAN_EQ3_COUNT_2[[#This Row],[ID MATERIAL]]="","",B345)</f>
        <v/>
      </c>
      <c r="C346" s="21"/>
      <c r="D346" s="21"/>
      <c r="E346" s="7" t="str">
        <f>IF(Plantilla_SCAN_EQ3_COUNT_2[[#This Row],[ID MATERIAL]]="","",VLOOKUP(Plantilla_SCAN_EQ3_COUNT_2[[#This Row],[ID MATERIAL]],INVENTARIO!$A:$D,2,FALSE))</f>
        <v/>
      </c>
      <c r="F346" s="7" t="str">
        <f>IF(Plantilla_SCAN_EQ3_COUNT_2[[#This Row],[ID MATERIAL]]="","",IF(Plantilla_SCAN_EQ3_COUNT_2[[#This Row],[No. Empaques]]="",1,Plantilla_SCAN_EQ3_COUNT_2[[#This Row],[No. Empaques]]*1))</f>
        <v/>
      </c>
      <c r="G346" s="7" t="str">
        <f>IF(Plantilla_SCAN_EQ3_COUNT_2[[#This Row],[ID MATERIAL]]="","","PZ")</f>
        <v/>
      </c>
      <c r="H346" s="7" t="str">
        <f>IF(Plantilla_SCAN_EQ3_COUNT_2[[#This Row],[ID MATERIAL]]="","",$B$13)</f>
        <v/>
      </c>
      <c r="I346" s="7" t="str">
        <f>IF(Plantilla_SCAN_EQ3_COUNT_2[[#This Row],[ID MATERIAL]]="","","Segundo Conteo")</f>
        <v/>
      </c>
    </row>
    <row r="347" spans="1:9" s="7" customFormat="1" ht="15" x14ac:dyDescent="0.2">
      <c r="A347" s="7" t="str">
        <f>IF(Plantilla_SCAN_EQ3_COUNT_2[[#This Row],[ID MATERIAL]]="","",SIGN(Plantilla_SCAN_EQ3_COUNT_2[[#This Row],[Cantidad]])+A346)</f>
        <v/>
      </c>
      <c r="B347" s="21" t="str">
        <f>IF(Plantilla_SCAN_EQ3_COUNT_2[[#This Row],[ID MATERIAL]]="","",B346)</f>
        <v/>
      </c>
      <c r="C347" s="21"/>
      <c r="D347" s="21"/>
      <c r="E347" s="7" t="str">
        <f>IF(Plantilla_SCAN_EQ3_COUNT_2[[#This Row],[ID MATERIAL]]="","",VLOOKUP(Plantilla_SCAN_EQ3_COUNT_2[[#This Row],[ID MATERIAL]],INVENTARIO!$A:$D,2,FALSE))</f>
        <v/>
      </c>
      <c r="F347" s="7" t="str">
        <f>IF(Plantilla_SCAN_EQ3_COUNT_2[[#This Row],[ID MATERIAL]]="","",IF(Plantilla_SCAN_EQ3_COUNT_2[[#This Row],[No. Empaques]]="",1,Plantilla_SCAN_EQ3_COUNT_2[[#This Row],[No. Empaques]]*1))</f>
        <v/>
      </c>
      <c r="G347" s="7" t="str">
        <f>IF(Plantilla_SCAN_EQ3_COUNT_2[[#This Row],[ID MATERIAL]]="","","PZ")</f>
        <v/>
      </c>
      <c r="H347" s="7" t="str">
        <f>IF(Plantilla_SCAN_EQ3_COUNT_2[[#This Row],[ID MATERIAL]]="","",$B$13)</f>
        <v/>
      </c>
      <c r="I347" s="7" t="str">
        <f>IF(Plantilla_SCAN_EQ3_COUNT_2[[#This Row],[ID MATERIAL]]="","","Segundo Conteo")</f>
        <v/>
      </c>
    </row>
    <row r="348" spans="1:9" s="7" customFormat="1" ht="15" x14ac:dyDescent="0.2">
      <c r="A348" s="7" t="str">
        <f>IF(Plantilla_SCAN_EQ3_COUNT_2[[#This Row],[ID MATERIAL]]="","",SIGN(Plantilla_SCAN_EQ3_COUNT_2[[#This Row],[Cantidad]])+A347)</f>
        <v/>
      </c>
      <c r="B348" s="21" t="str">
        <f>IF(Plantilla_SCAN_EQ3_COUNT_2[[#This Row],[ID MATERIAL]]="","",B347)</f>
        <v/>
      </c>
      <c r="C348" s="21"/>
      <c r="D348" s="21"/>
      <c r="E348" s="7" t="str">
        <f>IF(Plantilla_SCAN_EQ3_COUNT_2[[#This Row],[ID MATERIAL]]="","",VLOOKUP(Plantilla_SCAN_EQ3_COUNT_2[[#This Row],[ID MATERIAL]],INVENTARIO!$A:$D,2,FALSE))</f>
        <v/>
      </c>
      <c r="F348" s="7" t="str">
        <f>IF(Plantilla_SCAN_EQ3_COUNT_2[[#This Row],[ID MATERIAL]]="","",IF(Plantilla_SCAN_EQ3_COUNT_2[[#This Row],[No. Empaques]]="",1,Plantilla_SCAN_EQ3_COUNT_2[[#This Row],[No. Empaques]]*1))</f>
        <v/>
      </c>
      <c r="G348" s="7" t="str">
        <f>IF(Plantilla_SCAN_EQ3_COUNT_2[[#This Row],[ID MATERIAL]]="","","PZ")</f>
        <v/>
      </c>
      <c r="H348" s="7" t="str">
        <f>IF(Plantilla_SCAN_EQ3_COUNT_2[[#This Row],[ID MATERIAL]]="","",$B$13)</f>
        <v/>
      </c>
      <c r="I348" s="7" t="str">
        <f>IF(Plantilla_SCAN_EQ3_COUNT_2[[#This Row],[ID MATERIAL]]="","","Segundo Conteo")</f>
        <v/>
      </c>
    </row>
    <row r="349" spans="1:9" s="7" customFormat="1" ht="15" x14ac:dyDescent="0.2">
      <c r="A349" s="7" t="str">
        <f>IF(Plantilla_SCAN_EQ3_COUNT_2[[#This Row],[ID MATERIAL]]="","",SIGN(Plantilla_SCAN_EQ3_COUNT_2[[#This Row],[Cantidad]])+A348)</f>
        <v/>
      </c>
      <c r="B349" s="21" t="str">
        <f>IF(Plantilla_SCAN_EQ3_COUNT_2[[#This Row],[ID MATERIAL]]="","",B348)</f>
        <v/>
      </c>
      <c r="C349" s="21"/>
      <c r="D349" s="21"/>
      <c r="E349" s="7" t="str">
        <f>IF(Plantilla_SCAN_EQ3_COUNT_2[[#This Row],[ID MATERIAL]]="","",VLOOKUP(Plantilla_SCAN_EQ3_COUNT_2[[#This Row],[ID MATERIAL]],INVENTARIO!$A:$D,2,FALSE))</f>
        <v/>
      </c>
      <c r="F349" s="7" t="str">
        <f>IF(Plantilla_SCAN_EQ3_COUNT_2[[#This Row],[ID MATERIAL]]="","",IF(Plantilla_SCAN_EQ3_COUNT_2[[#This Row],[No. Empaques]]="",1,Plantilla_SCAN_EQ3_COUNT_2[[#This Row],[No. Empaques]]*1))</f>
        <v/>
      </c>
      <c r="G349" s="7" t="str">
        <f>IF(Plantilla_SCAN_EQ3_COUNT_2[[#This Row],[ID MATERIAL]]="","","PZ")</f>
        <v/>
      </c>
      <c r="H349" s="7" t="str">
        <f>IF(Plantilla_SCAN_EQ3_COUNT_2[[#This Row],[ID MATERIAL]]="","",$B$13)</f>
        <v/>
      </c>
      <c r="I349" s="7" t="str">
        <f>IF(Plantilla_SCAN_EQ3_COUNT_2[[#This Row],[ID MATERIAL]]="","","Segundo Conteo")</f>
        <v/>
      </c>
    </row>
    <row r="350" spans="1:9" s="7" customFormat="1" ht="15" x14ac:dyDescent="0.2">
      <c r="A350" s="7" t="str">
        <f>IF(Plantilla_SCAN_EQ3_COUNT_2[[#This Row],[ID MATERIAL]]="","",SIGN(Plantilla_SCAN_EQ3_COUNT_2[[#This Row],[Cantidad]])+A349)</f>
        <v/>
      </c>
      <c r="B350" s="21" t="str">
        <f>IF(Plantilla_SCAN_EQ3_COUNT_2[[#This Row],[ID MATERIAL]]="","",B349)</f>
        <v/>
      </c>
      <c r="C350" s="21"/>
      <c r="D350" s="21"/>
      <c r="E350" s="7" t="str">
        <f>IF(Plantilla_SCAN_EQ3_COUNT_2[[#This Row],[ID MATERIAL]]="","",VLOOKUP(Plantilla_SCAN_EQ3_COUNT_2[[#This Row],[ID MATERIAL]],INVENTARIO!$A:$D,2,FALSE))</f>
        <v/>
      </c>
      <c r="F350" s="7" t="str">
        <f>IF(Plantilla_SCAN_EQ3_COUNT_2[[#This Row],[ID MATERIAL]]="","",IF(Plantilla_SCAN_EQ3_COUNT_2[[#This Row],[No. Empaques]]="",1,Plantilla_SCAN_EQ3_COUNT_2[[#This Row],[No. Empaques]]*1))</f>
        <v/>
      </c>
      <c r="G350" s="7" t="str">
        <f>IF(Plantilla_SCAN_EQ3_COUNT_2[[#This Row],[ID MATERIAL]]="","","PZ")</f>
        <v/>
      </c>
      <c r="H350" s="7" t="str">
        <f>IF(Plantilla_SCAN_EQ3_COUNT_2[[#This Row],[ID MATERIAL]]="","",$B$13)</f>
        <v/>
      </c>
      <c r="I350" s="7" t="str">
        <f>IF(Plantilla_SCAN_EQ3_COUNT_2[[#This Row],[ID MATERIAL]]="","","Segundo Conteo")</f>
        <v/>
      </c>
    </row>
    <row r="351" spans="1:9" s="7" customFormat="1" ht="15" x14ac:dyDescent="0.2">
      <c r="A351" s="7" t="str">
        <f>IF(Plantilla_SCAN_EQ3_COUNT_2[[#This Row],[ID MATERIAL]]="","",SIGN(Plantilla_SCAN_EQ3_COUNT_2[[#This Row],[Cantidad]])+A350)</f>
        <v/>
      </c>
      <c r="B351" s="21" t="str">
        <f>IF(Plantilla_SCAN_EQ3_COUNT_2[[#This Row],[ID MATERIAL]]="","",B350)</f>
        <v/>
      </c>
      <c r="C351" s="21"/>
      <c r="D351" s="21"/>
      <c r="E351" s="7" t="str">
        <f>IF(Plantilla_SCAN_EQ3_COUNT_2[[#This Row],[ID MATERIAL]]="","",VLOOKUP(Plantilla_SCAN_EQ3_COUNT_2[[#This Row],[ID MATERIAL]],INVENTARIO!$A:$D,2,FALSE))</f>
        <v/>
      </c>
      <c r="F351" s="7" t="str">
        <f>IF(Plantilla_SCAN_EQ3_COUNT_2[[#This Row],[ID MATERIAL]]="","",IF(Plantilla_SCAN_EQ3_COUNT_2[[#This Row],[No. Empaques]]="",1,Plantilla_SCAN_EQ3_COUNT_2[[#This Row],[No. Empaques]]*1))</f>
        <v/>
      </c>
      <c r="G351" s="7" t="str">
        <f>IF(Plantilla_SCAN_EQ3_COUNT_2[[#This Row],[ID MATERIAL]]="","","PZ")</f>
        <v/>
      </c>
      <c r="H351" s="7" t="str">
        <f>IF(Plantilla_SCAN_EQ3_COUNT_2[[#This Row],[ID MATERIAL]]="","",$B$13)</f>
        <v/>
      </c>
      <c r="I351" s="7" t="str">
        <f>IF(Plantilla_SCAN_EQ3_COUNT_2[[#This Row],[ID MATERIAL]]="","","Segundo Conteo")</f>
        <v/>
      </c>
    </row>
    <row r="352" spans="1:9" s="7" customFormat="1" ht="15" x14ac:dyDescent="0.2">
      <c r="A352" s="7" t="str">
        <f>IF(Plantilla_SCAN_EQ3_COUNT_2[[#This Row],[ID MATERIAL]]="","",SIGN(Plantilla_SCAN_EQ3_COUNT_2[[#This Row],[Cantidad]])+A351)</f>
        <v/>
      </c>
      <c r="B352" s="21" t="str">
        <f>IF(Plantilla_SCAN_EQ3_COUNT_2[[#This Row],[ID MATERIAL]]="","",B351)</f>
        <v/>
      </c>
      <c r="C352" s="21"/>
      <c r="D352" s="21"/>
      <c r="E352" s="7" t="str">
        <f>IF(Plantilla_SCAN_EQ3_COUNT_2[[#This Row],[ID MATERIAL]]="","",VLOOKUP(Plantilla_SCAN_EQ3_COUNT_2[[#This Row],[ID MATERIAL]],INVENTARIO!$A:$D,2,FALSE))</f>
        <v/>
      </c>
      <c r="F352" s="7" t="str">
        <f>IF(Plantilla_SCAN_EQ3_COUNT_2[[#This Row],[ID MATERIAL]]="","",IF(Plantilla_SCAN_EQ3_COUNT_2[[#This Row],[No. Empaques]]="",1,Plantilla_SCAN_EQ3_COUNT_2[[#This Row],[No. Empaques]]*1))</f>
        <v/>
      </c>
      <c r="G352" s="7" t="str">
        <f>IF(Plantilla_SCAN_EQ3_COUNT_2[[#This Row],[ID MATERIAL]]="","","PZ")</f>
        <v/>
      </c>
      <c r="H352" s="7" t="str">
        <f>IF(Plantilla_SCAN_EQ3_COUNT_2[[#This Row],[ID MATERIAL]]="","",$B$13)</f>
        <v/>
      </c>
      <c r="I352" s="7" t="str">
        <f>IF(Plantilla_SCAN_EQ3_COUNT_2[[#This Row],[ID MATERIAL]]="","","Segundo Conteo")</f>
        <v/>
      </c>
    </row>
    <row r="353" spans="1:9" s="7" customFormat="1" ht="15" x14ac:dyDescent="0.2">
      <c r="A353" s="7" t="str">
        <f>IF(Plantilla_SCAN_EQ3_COUNT_2[[#This Row],[ID MATERIAL]]="","",SIGN(Plantilla_SCAN_EQ3_COUNT_2[[#This Row],[Cantidad]])+A352)</f>
        <v/>
      </c>
      <c r="B353" s="21" t="str">
        <f>IF(Plantilla_SCAN_EQ3_COUNT_2[[#This Row],[ID MATERIAL]]="","",B352)</f>
        <v/>
      </c>
      <c r="C353" s="21"/>
      <c r="D353" s="21"/>
      <c r="E353" s="7" t="str">
        <f>IF(Plantilla_SCAN_EQ3_COUNT_2[[#This Row],[ID MATERIAL]]="","",VLOOKUP(Plantilla_SCAN_EQ3_COUNT_2[[#This Row],[ID MATERIAL]],INVENTARIO!$A:$D,2,FALSE))</f>
        <v/>
      </c>
      <c r="F353" s="7" t="str">
        <f>IF(Plantilla_SCAN_EQ3_COUNT_2[[#This Row],[ID MATERIAL]]="","",IF(Plantilla_SCAN_EQ3_COUNT_2[[#This Row],[No. Empaques]]="",1,Plantilla_SCAN_EQ3_COUNT_2[[#This Row],[No. Empaques]]*1))</f>
        <v/>
      </c>
      <c r="G353" s="7" t="str">
        <f>IF(Plantilla_SCAN_EQ3_COUNT_2[[#This Row],[ID MATERIAL]]="","","PZ")</f>
        <v/>
      </c>
      <c r="H353" s="7" t="str">
        <f>IF(Plantilla_SCAN_EQ3_COUNT_2[[#This Row],[ID MATERIAL]]="","",$B$13)</f>
        <v/>
      </c>
      <c r="I353" s="7" t="str">
        <f>IF(Plantilla_SCAN_EQ3_COUNT_2[[#This Row],[ID MATERIAL]]="","","Segundo Conteo")</f>
        <v/>
      </c>
    </row>
    <row r="354" spans="1:9" s="7" customFormat="1" ht="15" x14ac:dyDescent="0.2">
      <c r="A354" s="7" t="str">
        <f>IF(Plantilla_SCAN_EQ3_COUNT_2[[#This Row],[ID MATERIAL]]="","",SIGN(Plantilla_SCAN_EQ3_COUNT_2[[#This Row],[Cantidad]])+A353)</f>
        <v/>
      </c>
      <c r="B354" s="21" t="str">
        <f>IF(Plantilla_SCAN_EQ3_COUNT_2[[#This Row],[ID MATERIAL]]="","",B353)</f>
        <v/>
      </c>
      <c r="C354" s="21"/>
      <c r="D354" s="21"/>
      <c r="E354" s="7" t="str">
        <f>IF(Plantilla_SCAN_EQ3_COUNT_2[[#This Row],[ID MATERIAL]]="","",VLOOKUP(Plantilla_SCAN_EQ3_COUNT_2[[#This Row],[ID MATERIAL]],INVENTARIO!$A:$D,2,FALSE))</f>
        <v/>
      </c>
      <c r="F354" s="7" t="str">
        <f>IF(Plantilla_SCAN_EQ3_COUNT_2[[#This Row],[ID MATERIAL]]="","",IF(Plantilla_SCAN_EQ3_COUNT_2[[#This Row],[No. Empaques]]="",1,Plantilla_SCAN_EQ3_COUNT_2[[#This Row],[No. Empaques]]*1))</f>
        <v/>
      </c>
      <c r="G354" s="7" t="str">
        <f>IF(Plantilla_SCAN_EQ3_COUNT_2[[#This Row],[ID MATERIAL]]="","","PZ")</f>
        <v/>
      </c>
      <c r="H354" s="7" t="str">
        <f>IF(Plantilla_SCAN_EQ3_COUNT_2[[#This Row],[ID MATERIAL]]="","",$B$13)</f>
        <v/>
      </c>
      <c r="I354" s="7" t="str">
        <f>IF(Plantilla_SCAN_EQ3_COUNT_2[[#This Row],[ID MATERIAL]]="","","Segundo Conteo")</f>
        <v/>
      </c>
    </row>
    <row r="355" spans="1:9" s="7" customFormat="1" ht="15" x14ac:dyDescent="0.2">
      <c r="A355" s="7" t="str">
        <f>IF(Plantilla_SCAN_EQ3_COUNT_2[[#This Row],[ID MATERIAL]]="","",SIGN(Plantilla_SCAN_EQ3_COUNT_2[[#This Row],[Cantidad]])+A354)</f>
        <v/>
      </c>
      <c r="B355" s="21" t="str">
        <f>IF(Plantilla_SCAN_EQ3_COUNT_2[[#This Row],[ID MATERIAL]]="","",B354)</f>
        <v/>
      </c>
      <c r="C355" s="21"/>
      <c r="D355" s="21"/>
      <c r="E355" s="7" t="str">
        <f>IF(Plantilla_SCAN_EQ3_COUNT_2[[#This Row],[ID MATERIAL]]="","",VLOOKUP(Plantilla_SCAN_EQ3_COUNT_2[[#This Row],[ID MATERIAL]],INVENTARIO!$A:$D,2,FALSE))</f>
        <v/>
      </c>
      <c r="F355" s="7" t="str">
        <f>IF(Plantilla_SCAN_EQ3_COUNT_2[[#This Row],[ID MATERIAL]]="","",IF(Plantilla_SCAN_EQ3_COUNT_2[[#This Row],[No. Empaques]]="",1,Plantilla_SCAN_EQ3_COUNT_2[[#This Row],[No. Empaques]]*1))</f>
        <v/>
      </c>
      <c r="G355" s="7" t="str">
        <f>IF(Plantilla_SCAN_EQ3_COUNT_2[[#This Row],[ID MATERIAL]]="","","PZ")</f>
        <v/>
      </c>
      <c r="H355" s="7" t="str">
        <f>IF(Plantilla_SCAN_EQ3_COUNT_2[[#This Row],[ID MATERIAL]]="","",$B$13)</f>
        <v/>
      </c>
      <c r="I355" s="7" t="str">
        <f>IF(Plantilla_SCAN_EQ3_COUNT_2[[#This Row],[ID MATERIAL]]="","","Segundo Conteo")</f>
        <v/>
      </c>
    </row>
    <row r="356" spans="1:9" s="7" customFormat="1" ht="15" x14ac:dyDescent="0.2">
      <c r="A356" s="7" t="str">
        <f>IF(Plantilla_SCAN_EQ3_COUNT_2[[#This Row],[ID MATERIAL]]="","",SIGN(Plantilla_SCAN_EQ3_COUNT_2[[#This Row],[Cantidad]])+A355)</f>
        <v/>
      </c>
      <c r="B356" s="21" t="str">
        <f>IF(Plantilla_SCAN_EQ3_COUNT_2[[#This Row],[ID MATERIAL]]="","",B355)</f>
        <v/>
      </c>
      <c r="C356" s="21"/>
      <c r="D356" s="21"/>
      <c r="E356" s="7" t="str">
        <f>IF(Plantilla_SCAN_EQ3_COUNT_2[[#This Row],[ID MATERIAL]]="","",VLOOKUP(Plantilla_SCAN_EQ3_COUNT_2[[#This Row],[ID MATERIAL]],INVENTARIO!$A:$D,2,FALSE))</f>
        <v/>
      </c>
      <c r="F356" s="7" t="str">
        <f>IF(Plantilla_SCAN_EQ3_COUNT_2[[#This Row],[ID MATERIAL]]="","",IF(Plantilla_SCAN_EQ3_COUNT_2[[#This Row],[No. Empaques]]="",1,Plantilla_SCAN_EQ3_COUNT_2[[#This Row],[No. Empaques]]*1))</f>
        <v/>
      </c>
      <c r="G356" s="7" t="str">
        <f>IF(Plantilla_SCAN_EQ3_COUNT_2[[#This Row],[ID MATERIAL]]="","","PZ")</f>
        <v/>
      </c>
      <c r="H356" s="7" t="str">
        <f>IF(Plantilla_SCAN_EQ3_COUNT_2[[#This Row],[ID MATERIAL]]="","",$B$13)</f>
        <v/>
      </c>
      <c r="I356" s="7" t="str">
        <f>IF(Plantilla_SCAN_EQ3_COUNT_2[[#This Row],[ID MATERIAL]]="","","Segundo Conteo")</f>
        <v/>
      </c>
    </row>
    <row r="357" spans="1:9" s="7" customFormat="1" ht="15" x14ac:dyDescent="0.2">
      <c r="A357" s="7" t="str">
        <f>IF(Plantilla_SCAN_EQ3_COUNT_2[[#This Row],[ID MATERIAL]]="","",SIGN(Plantilla_SCAN_EQ3_COUNT_2[[#This Row],[Cantidad]])+A356)</f>
        <v/>
      </c>
      <c r="B357" s="21" t="str">
        <f>IF(Plantilla_SCAN_EQ3_COUNT_2[[#This Row],[ID MATERIAL]]="","",B356)</f>
        <v/>
      </c>
      <c r="C357" s="21"/>
      <c r="D357" s="21"/>
      <c r="E357" s="7" t="str">
        <f>IF(Plantilla_SCAN_EQ3_COUNT_2[[#This Row],[ID MATERIAL]]="","",VLOOKUP(Plantilla_SCAN_EQ3_COUNT_2[[#This Row],[ID MATERIAL]],INVENTARIO!$A:$D,2,FALSE))</f>
        <v/>
      </c>
      <c r="F357" s="7" t="str">
        <f>IF(Plantilla_SCAN_EQ3_COUNT_2[[#This Row],[ID MATERIAL]]="","",IF(Plantilla_SCAN_EQ3_COUNT_2[[#This Row],[No. Empaques]]="",1,Plantilla_SCAN_EQ3_COUNT_2[[#This Row],[No. Empaques]]*1))</f>
        <v/>
      </c>
      <c r="G357" s="7" t="str">
        <f>IF(Plantilla_SCAN_EQ3_COUNT_2[[#This Row],[ID MATERIAL]]="","","PZ")</f>
        <v/>
      </c>
      <c r="H357" s="7" t="str">
        <f>IF(Plantilla_SCAN_EQ3_COUNT_2[[#This Row],[ID MATERIAL]]="","",$B$13)</f>
        <v/>
      </c>
      <c r="I357" s="7" t="str">
        <f>IF(Plantilla_SCAN_EQ3_COUNT_2[[#This Row],[ID MATERIAL]]="","","Segundo Conteo")</f>
        <v/>
      </c>
    </row>
    <row r="358" spans="1:9" s="7" customFormat="1" ht="15" x14ac:dyDescent="0.2">
      <c r="A358" s="7" t="str">
        <f>IF(Plantilla_SCAN_EQ3_COUNT_2[[#This Row],[ID MATERIAL]]="","",SIGN(Plantilla_SCAN_EQ3_COUNT_2[[#This Row],[Cantidad]])+A357)</f>
        <v/>
      </c>
      <c r="B358" s="21" t="str">
        <f>IF(Plantilla_SCAN_EQ3_COUNT_2[[#This Row],[ID MATERIAL]]="","",B357)</f>
        <v/>
      </c>
      <c r="C358" s="21"/>
      <c r="D358" s="21"/>
      <c r="E358" s="7" t="str">
        <f>IF(Plantilla_SCAN_EQ3_COUNT_2[[#This Row],[ID MATERIAL]]="","",VLOOKUP(Plantilla_SCAN_EQ3_COUNT_2[[#This Row],[ID MATERIAL]],INVENTARIO!$A:$D,2,FALSE))</f>
        <v/>
      </c>
      <c r="F358" s="7" t="str">
        <f>IF(Plantilla_SCAN_EQ3_COUNT_2[[#This Row],[ID MATERIAL]]="","",IF(Plantilla_SCAN_EQ3_COUNT_2[[#This Row],[No. Empaques]]="",1,Plantilla_SCAN_EQ3_COUNT_2[[#This Row],[No. Empaques]]*1))</f>
        <v/>
      </c>
      <c r="G358" s="7" t="str">
        <f>IF(Plantilla_SCAN_EQ3_COUNT_2[[#This Row],[ID MATERIAL]]="","","PZ")</f>
        <v/>
      </c>
      <c r="H358" s="7" t="str">
        <f>IF(Plantilla_SCAN_EQ3_COUNT_2[[#This Row],[ID MATERIAL]]="","",$B$13)</f>
        <v/>
      </c>
      <c r="I358" s="7" t="str">
        <f>IF(Plantilla_SCAN_EQ3_COUNT_2[[#This Row],[ID MATERIAL]]="","","Segundo Conteo")</f>
        <v/>
      </c>
    </row>
    <row r="359" spans="1:9" s="7" customFormat="1" ht="15" x14ac:dyDescent="0.2">
      <c r="A359" s="7" t="str">
        <f>IF(Plantilla_SCAN_EQ3_COUNT_2[[#This Row],[ID MATERIAL]]="","",SIGN(Plantilla_SCAN_EQ3_COUNT_2[[#This Row],[Cantidad]])+A358)</f>
        <v/>
      </c>
      <c r="B359" s="21" t="str">
        <f>IF(Plantilla_SCAN_EQ3_COUNT_2[[#This Row],[ID MATERIAL]]="","",B358)</f>
        <v/>
      </c>
      <c r="C359" s="21"/>
      <c r="D359" s="21"/>
      <c r="E359" s="7" t="str">
        <f>IF(Plantilla_SCAN_EQ3_COUNT_2[[#This Row],[ID MATERIAL]]="","",VLOOKUP(Plantilla_SCAN_EQ3_COUNT_2[[#This Row],[ID MATERIAL]],INVENTARIO!$A:$D,2,FALSE))</f>
        <v/>
      </c>
      <c r="F359" s="7" t="str">
        <f>IF(Plantilla_SCAN_EQ3_COUNT_2[[#This Row],[ID MATERIAL]]="","",IF(Plantilla_SCAN_EQ3_COUNT_2[[#This Row],[No. Empaques]]="",1,Plantilla_SCAN_EQ3_COUNT_2[[#This Row],[No. Empaques]]*1))</f>
        <v/>
      </c>
      <c r="G359" s="7" t="str">
        <f>IF(Plantilla_SCAN_EQ3_COUNT_2[[#This Row],[ID MATERIAL]]="","","PZ")</f>
        <v/>
      </c>
      <c r="H359" s="7" t="str">
        <f>IF(Plantilla_SCAN_EQ3_COUNT_2[[#This Row],[ID MATERIAL]]="","",$B$13)</f>
        <v/>
      </c>
      <c r="I359" s="7" t="str">
        <f>IF(Plantilla_SCAN_EQ3_COUNT_2[[#This Row],[ID MATERIAL]]="","","Segundo Conteo")</f>
        <v/>
      </c>
    </row>
    <row r="360" spans="1:9" s="7" customFormat="1" ht="15" x14ac:dyDescent="0.2">
      <c r="A360" s="7" t="str">
        <f>IF(Plantilla_SCAN_EQ3_COUNT_2[[#This Row],[ID MATERIAL]]="","",SIGN(Plantilla_SCAN_EQ3_COUNT_2[[#This Row],[Cantidad]])+A359)</f>
        <v/>
      </c>
      <c r="B360" s="21" t="str">
        <f>IF(Plantilla_SCAN_EQ3_COUNT_2[[#This Row],[ID MATERIAL]]="","",B359)</f>
        <v/>
      </c>
      <c r="C360" s="21"/>
      <c r="D360" s="21"/>
      <c r="E360" s="7" t="str">
        <f>IF(Plantilla_SCAN_EQ3_COUNT_2[[#This Row],[ID MATERIAL]]="","",VLOOKUP(Plantilla_SCAN_EQ3_COUNT_2[[#This Row],[ID MATERIAL]],INVENTARIO!$A:$D,2,FALSE))</f>
        <v/>
      </c>
      <c r="F360" s="7" t="str">
        <f>IF(Plantilla_SCAN_EQ3_COUNT_2[[#This Row],[ID MATERIAL]]="","",IF(Plantilla_SCAN_EQ3_COUNT_2[[#This Row],[No. Empaques]]="",1,Plantilla_SCAN_EQ3_COUNT_2[[#This Row],[No. Empaques]]*1))</f>
        <v/>
      </c>
      <c r="G360" s="7" t="str">
        <f>IF(Plantilla_SCAN_EQ3_COUNT_2[[#This Row],[ID MATERIAL]]="","","PZ")</f>
        <v/>
      </c>
      <c r="H360" s="7" t="str">
        <f>IF(Plantilla_SCAN_EQ3_COUNT_2[[#This Row],[ID MATERIAL]]="","",$B$13)</f>
        <v/>
      </c>
      <c r="I360" s="7" t="str">
        <f>IF(Plantilla_SCAN_EQ3_COUNT_2[[#This Row],[ID MATERIAL]]="","","Segundo Conteo")</f>
        <v/>
      </c>
    </row>
    <row r="361" spans="1:9" s="7" customFormat="1" ht="15" x14ac:dyDescent="0.2">
      <c r="A361" s="7" t="str">
        <f>IF(Plantilla_SCAN_EQ3_COUNT_2[[#This Row],[ID MATERIAL]]="","",SIGN(Plantilla_SCAN_EQ3_COUNT_2[[#This Row],[Cantidad]])+A360)</f>
        <v/>
      </c>
      <c r="B361" s="21" t="str">
        <f>IF(Plantilla_SCAN_EQ3_COUNT_2[[#This Row],[ID MATERIAL]]="","",B360)</f>
        <v/>
      </c>
      <c r="C361" s="21"/>
      <c r="D361" s="21"/>
      <c r="E361" s="7" t="str">
        <f>IF(Plantilla_SCAN_EQ3_COUNT_2[[#This Row],[ID MATERIAL]]="","",VLOOKUP(Plantilla_SCAN_EQ3_COUNT_2[[#This Row],[ID MATERIAL]],INVENTARIO!$A:$D,2,FALSE))</f>
        <v/>
      </c>
      <c r="F361" s="7" t="str">
        <f>IF(Plantilla_SCAN_EQ3_COUNT_2[[#This Row],[ID MATERIAL]]="","",IF(Plantilla_SCAN_EQ3_COUNT_2[[#This Row],[No. Empaques]]="",1,Plantilla_SCAN_EQ3_COUNT_2[[#This Row],[No. Empaques]]*1))</f>
        <v/>
      </c>
      <c r="G361" s="7" t="str">
        <f>IF(Plantilla_SCAN_EQ3_COUNT_2[[#This Row],[ID MATERIAL]]="","","PZ")</f>
        <v/>
      </c>
      <c r="H361" s="7" t="str">
        <f>IF(Plantilla_SCAN_EQ3_COUNT_2[[#This Row],[ID MATERIAL]]="","",$B$13)</f>
        <v/>
      </c>
      <c r="I361" s="7" t="str">
        <f>IF(Plantilla_SCAN_EQ3_COUNT_2[[#This Row],[ID MATERIAL]]="","","Segundo Conteo")</f>
        <v/>
      </c>
    </row>
    <row r="362" spans="1:9" s="7" customFormat="1" ht="15" x14ac:dyDescent="0.2">
      <c r="A362" s="7" t="str">
        <f>IF(Plantilla_SCAN_EQ3_COUNT_2[[#This Row],[ID MATERIAL]]="","",SIGN(Plantilla_SCAN_EQ3_COUNT_2[[#This Row],[Cantidad]])+A361)</f>
        <v/>
      </c>
      <c r="B362" s="21" t="str">
        <f>IF(Plantilla_SCAN_EQ3_COUNT_2[[#This Row],[ID MATERIAL]]="","",B361)</f>
        <v/>
      </c>
      <c r="C362" s="21"/>
      <c r="D362" s="21"/>
      <c r="E362" s="7" t="str">
        <f>IF(Plantilla_SCAN_EQ3_COUNT_2[[#This Row],[ID MATERIAL]]="","",VLOOKUP(Plantilla_SCAN_EQ3_COUNT_2[[#This Row],[ID MATERIAL]],INVENTARIO!$A:$D,2,FALSE))</f>
        <v/>
      </c>
      <c r="F362" s="7" t="str">
        <f>IF(Plantilla_SCAN_EQ3_COUNT_2[[#This Row],[ID MATERIAL]]="","",IF(Plantilla_SCAN_EQ3_COUNT_2[[#This Row],[No. Empaques]]="",1,Plantilla_SCAN_EQ3_COUNT_2[[#This Row],[No. Empaques]]*1))</f>
        <v/>
      </c>
      <c r="G362" s="7" t="str">
        <f>IF(Plantilla_SCAN_EQ3_COUNT_2[[#This Row],[ID MATERIAL]]="","","PZ")</f>
        <v/>
      </c>
      <c r="H362" s="7" t="str">
        <f>IF(Plantilla_SCAN_EQ3_COUNT_2[[#This Row],[ID MATERIAL]]="","",$B$13)</f>
        <v/>
      </c>
      <c r="I362" s="7" t="str">
        <f>IF(Plantilla_SCAN_EQ3_COUNT_2[[#This Row],[ID MATERIAL]]="","","Segundo Conteo")</f>
        <v/>
      </c>
    </row>
    <row r="363" spans="1:9" s="7" customFormat="1" ht="15" x14ac:dyDescent="0.2">
      <c r="A363" s="7" t="str">
        <f>IF(Plantilla_SCAN_EQ3_COUNT_2[[#This Row],[ID MATERIAL]]="","",SIGN(Plantilla_SCAN_EQ3_COUNT_2[[#This Row],[Cantidad]])+A362)</f>
        <v/>
      </c>
      <c r="B363" s="21" t="str">
        <f>IF(Plantilla_SCAN_EQ3_COUNT_2[[#This Row],[ID MATERIAL]]="","",B362)</f>
        <v/>
      </c>
      <c r="C363" s="21"/>
      <c r="D363" s="21"/>
      <c r="E363" s="7" t="str">
        <f>IF(Plantilla_SCAN_EQ3_COUNT_2[[#This Row],[ID MATERIAL]]="","",VLOOKUP(Plantilla_SCAN_EQ3_COUNT_2[[#This Row],[ID MATERIAL]],INVENTARIO!$A:$D,2,FALSE))</f>
        <v/>
      </c>
      <c r="F363" s="7" t="str">
        <f>IF(Plantilla_SCAN_EQ3_COUNT_2[[#This Row],[ID MATERIAL]]="","",IF(Plantilla_SCAN_EQ3_COUNT_2[[#This Row],[No. Empaques]]="",1,Plantilla_SCAN_EQ3_COUNT_2[[#This Row],[No. Empaques]]*1))</f>
        <v/>
      </c>
      <c r="G363" s="7" t="str">
        <f>IF(Plantilla_SCAN_EQ3_COUNT_2[[#This Row],[ID MATERIAL]]="","","PZ")</f>
        <v/>
      </c>
      <c r="H363" s="7" t="str">
        <f>IF(Plantilla_SCAN_EQ3_COUNT_2[[#This Row],[ID MATERIAL]]="","",$B$13)</f>
        <v/>
      </c>
      <c r="I363" s="7" t="str">
        <f>IF(Plantilla_SCAN_EQ3_COUNT_2[[#This Row],[ID MATERIAL]]="","","Segundo Conteo")</f>
        <v/>
      </c>
    </row>
    <row r="364" spans="1:9" s="7" customFormat="1" ht="15" x14ac:dyDescent="0.2">
      <c r="A364" s="7" t="str">
        <f>IF(Plantilla_SCAN_EQ3_COUNT_2[[#This Row],[ID MATERIAL]]="","",SIGN(Plantilla_SCAN_EQ3_COUNT_2[[#This Row],[Cantidad]])+A363)</f>
        <v/>
      </c>
      <c r="B364" s="21" t="str">
        <f>IF(Plantilla_SCAN_EQ3_COUNT_2[[#This Row],[ID MATERIAL]]="","",B363)</f>
        <v/>
      </c>
      <c r="C364" s="21"/>
      <c r="D364" s="21"/>
      <c r="E364" s="7" t="str">
        <f>IF(Plantilla_SCAN_EQ3_COUNT_2[[#This Row],[ID MATERIAL]]="","",VLOOKUP(Plantilla_SCAN_EQ3_COUNT_2[[#This Row],[ID MATERIAL]],INVENTARIO!$A:$D,2,FALSE))</f>
        <v/>
      </c>
      <c r="F364" s="7" t="str">
        <f>IF(Plantilla_SCAN_EQ3_COUNT_2[[#This Row],[ID MATERIAL]]="","",IF(Plantilla_SCAN_EQ3_COUNT_2[[#This Row],[No. Empaques]]="",1,Plantilla_SCAN_EQ3_COUNT_2[[#This Row],[No. Empaques]]*1))</f>
        <v/>
      </c>
      <c r="G364" s="7" t="str">
        <f>IF(Plantilla_SCAN_EQ3_COUNT_2[[#This Row],[ID MATERIAL]]="","","PZ")</f>
        <v/>
      </c>
      <c r="H364" s="7" t="str">
        <f>IF(Plantilla_SCAN_EQ3_COUNT_2[[#This Row],[ID MATERIAL]]="","",$B$13)</f>
        <v/>
      </c>
      <c r="I364" s="7" t="str">
        <f>IF(Plantilla_SCAN_EQ3_COUNT_2[[#This Row],[ID MATERIAL]]="","","Segundo Conteo")</f>
        <v/>
      </c>
    </row>
    <row r="365" spans="1:9" s="7" customFormat="1" ht="15" x14ac:dyDescent="0.2">
      <c r="A365" s="7" t="str">
        <f>IF(Plantilla_SCAN_EQ3_COUNT_2[[#This Row],[ID MATERIAL]]="","",SIGN(Plantilla_SCAN_EQ3_COUNT_2[[#This Row],[Cantidad]])+A364)</f>
        <v/>
      </c>
      <c r="B365" s="21" t="str">
        <f>IF(Plantilla_SCAN_EQ3_COUNT_2[[#This Row],[ID MATERIAL]]="","",B364)</f>
        <v/>
      </c>
      <c r="C365" s="21"/>
      <c r="D365" s="21"/>
      <c r="E365" s="7" t="str">
        <f>IF(Plantilla_SCAN_EQ3_COUNT_2[[#This Row],[ID MATERIAL]]="","",VLOOKUP(Plantilla_SCAN_EQ3_COUNT_2[[#This Row],[ID MATERIAL]],INVENTARIO!$A:$D,2,FALSE))</f>
        <v/>
      </c>
      <c r="F365" s="7" t="str">
        <f>IF(Plantilla_SCAN_EQ3_COUNT_2[[#This Row],[ID MATERIAL]]="","",IF(Plantilla_SCAN_EQ3_COUNT_2[[#This Row],[No. Empaques]]="",1,Plantilla_SCAN_EQ3_COUNT_2[[#This Row],[No. Empaques]]*1))</f>
        <v/>
      </c>
      <c r="G365" s="7" t="str">
        <f>IF(Plantilla_SCAN_EQ3_COUNT_2[[#This Row],[ID MATERIAL]]="","","PZ")</f>
        <v/>
      </c>
      <c r="H365" s="7" t="str">
        <f>IF(Plantilla_SCAN_EQ3_COUNT_2[[#This Row],[ID MATERIAL]]="","",$B$13)</f>
        <v/>
      </c>
      <c r="I365" s="7" t="str">
        <f>IF(Plantilla_SCAN_EQ3_COUNT_2[[#This Row],[ID MATERIAL]]="","","Segundo Conteo")</f>
        <v/>
      </c>
    </row>
    <row r="366" spans="1:9" s="7" customFormat="1" ht="15" x14ac:dyDescent="0.2">
      <c r="A366" s="7" t="str">
        <f>IF(Plantilla_SCAN_EQ3_COUNT_2[[#This Row],[ID MATERIAL]]="","",SIGN(Plantilla_SCAN_EQ3_COUNT_2[[#This Row],[Cantidad]])+A365)</f>
        <v/>
      </c>
      <c r="B366" s="21" t="str">
        <f>IF(Plantilla_SCAN_EQ3_COUNT_2[[#This Row],[ID MATERIAL]]="","",B365)</f>
        <v/>
      </c>
      <c r="C366" s="21"/>
      <c r="D366" s="21"/>
      <c r="E366" s="7" t="str">
        <f>IF(Plantilla_SCAN_EQ3_COUNT_2[[#This Row],[ID MATERIAL]]="","",VLOOKUP(Plantilla_SCAN_EQ3_COUNT_2[[#This Row],[ID MATERIAL]],INVENTARIO!$A:$D,2,FALSE))</f>
        <v/>
      </c>
      <c r="F366" s="7" t="str">
        <f>IF(Plantilla_SCAN_EQ3_COUNT_2[[#This Row],[ID MATERIAL]]="","",IF(Plantilla_SCAN_EQ3_COUNT_2[[#This Row],[No. Empaques]]="",1,Plantilla_SCAN_EQ3_COUNT_2[[#This Row],[No. Empaques]]*1))</f>
        <v/>
      </c>
      <c r="G366" s="7" t="str">
        <f>IF(Plantilla_SCAN_EQ3_COUNT_2[[#This Row],[ID MATERIAL]]="","","PZ")</f>
        <v/>
      </c>
      <c r="H366" s="7" t="str">
        <f>IF(Plantilla_SCAN_EQ3_COUNT_2[[#This Row],[ID MATERIAL]]="","",$B$13)</f>
        <v/>
      </c>
      <c r="I366" s="7" t="str">
        <f>IF(Plantilla_SCAN_EQ3_COUNT_2[[#This Row],[ID MATERIAL]]="","","Segundo Conteo")</f>
        <v/>
      </c>
    </row>
    <row r="367" spans="1:9" s="7" customFormat="1" ht="15" x14ac:dyDescent="0.2">
      <c r="A367" s="7" t="str">
        <f>IF(Plantilla_SCAN_EQ3_COUNT_2[[#This Row],[ID MATERIAL]]="","",SIGN(Plantilla_SCAN_EQ3_COUNT_2[[#This Row],[Cantidad]])+A366)</f>
        <v/>
      </c>
      <c r="B367" s="21" t="str">
        <f>IF(Plantilla_SCAN_EQ3_COUNT_2[[#This Row],[ID MATERIAL]]="","",B366)</f>
        <v/>
      </c>
      <c r="C367" s="21"/>
      <c r="D367" s="21"/>
      <c r="E367" s="7" t="str">
        <f>IF(Plantilla_SCAN_EQ3_COUNT_2[[#This Row],[ID MATERIAL]]="","",VLOOKUP(Plantilla_SCAN_EQ3_COUNT_2[[#This Row],[ID MATERIAL]],INVENTARIO!$A:$D,2,FALSE))</f>
        <v/>
      </c>
      <c r="F367" s="7" t="str">
        <f>IF(Plantilla_SCAN_EQ3_COUNT_2[[#This Row],[ID MATERIAL]]="","",IF(Plantilla_SCAN_EQ3_COUNT_2[[#This Row],[No. Empaques]]="",1,Plantilla_SCAN_EQ3_COUNT_2[[#This Row],[No. Empaques]]*1))</f>
        <v/>
      </c>
      <c r="G367" s="7" t="str">
        <f>IF(Plantilla_SCAN_EQ3_COUNT_2[[#This Row],[ID MATERIAL]]="","","PZ")</f>
        <v/>
      </c>
      <c r="H367" s="7" t="str">
        <f>IF(Plantilla_SCAN_EQ3_COUNT_2[[#This Row],[ID MATERIAL]]="","",$B$13)</f>
        <v/>
      </c>
      <c r="I367" s="7" t="str">
        <f>IF(Plantilla_SCAN_EQ3_COUNT_2[[#This Row],[ID MATERIAL]]="","","Segundo Conteo")</f>
        <v/>
      </c>
    </row>
    <row r="368" spans="1:9" s="7" customFormat="1" ht="15" x14ac:dyDescent="0.2">
      <c r="A368" s="7" t="str">
        <f>IF(Plantilla_SCAN_EQ3_COUNT_2[[#This Row],[ID MATERIAL]]="","",SIGN(Plantilla_SCAN_EQ3_COUNT_2[[#This Row],[Cantidad]])+A367)</f>
        <v/>
      </c>
      <c r="B368" s="21" t="str">
        <f>IF(Plantilla_SCAN_EQ3_COUNT_2[[#This Row],[ID MATERIAL]]="","",B367)</f>
        <v/>
      </c>
      <c r="C368" s="21"/>
      <c r="D368" s="21"/>
      <c r="E368" s="7" t="str">
        <f>IF(Plantilla_SCAN_EQ3_COUNT_2[[#This Row],[ID MATERIAL]]="","",VLOOKUP(Plantilla_SCAN_EQ3_COUNT_2[[#This Row],[ID MATERIAL]],INVENTARIO!$A:$D,2,FALSE))</f>
        <v/>
      </c>
      <c r="F368" s="7" t="str">
        <f>IF(Plantilla_SCAN_EQ3_COUNT_2[[#This Row],[ID MATERIAL]]="","",IF(Plantilla_SCAN_EQ3_COUNT_2[[#This Row],[No. Empaques]]="",1,Plantilla_SCAN_EQ3_COUNT_2[[#This Row],[No. Empaques]]*1))</f>
        <v/>
      </c>
      <c r="G368" s="7" t="str">
        <f>IF(Plantilla_SCAN_EQ3_COUNT_2[[#This Row],[ID MATERIAL]]="","","PZ")</f>
        <v/>
      </c>
      <c r="H368" s="7" t="str">
        <f>IF(Plantilla_SCAN_EQ3_COUNT_2[[#This Row],[ID MATERIAL]]="","",$B$13)</f>
        <v/>
      </c>
      <c r="I368" s="7" t="str">
        <f>IF(Plantilla_SCAN_EQ3_COUNT_2[[#This Row],[ID MATERIAL]]="","","Segundo Conteo")</f>
        <v/>
      </c>
    </row>
    <row r="369" spans="1:9" s="7" customFormat="1" ht="15" x14ac:dyDescent="0.2">
      <c r="A369" s="7" t="str">
        <f>IF(Plantilla_SCAN_EQ3_COUNT_2[[#This Row],[ID MATERIAL]]="","",SIGN(Plantilla_SCAN_EQ3_COUNT_2[[#This Row],[Cantidad]])+A368)</f>
        <v/>
      </c>
      <c r="B369" s="21" t="str">
        <f>IF(Plantilla_SCAN_EQ3_COUNT_2[[#This Row],[ID MATERIAL]]="","",B368)</f>
        <v/>
      </c>
      <c r="C369" s="21"/>
      <c r="D369" s="21"/>
      <c r="E369" s="7" t="str">
        <f>IF(Plantilla_SCAN_EQ3_COUNT_2[[#This Row],[ID MATERIAL]]="","",VLOOKUP(Plantilla_SCAN_EQ3_COUNT_2[[#This Row],[ID MATERIAL]],INVENTARIO!$A:$D,2,FALSE))</f>
        <v/>
      </c>
      <c r="F369" s="7" t="str">
        <f>IF(Plantilla_SCAN_EQ3_COUNT_2[[#This Row],[ID MATERIAL]]="","",IF(Plantilla_SCAN_EQ3_COUNT_2[[#This Row],[No. Empaques]]="",1,Plantilla_SCAN_EQ3_COUNT_2[[#This Row],[No. Empaques]]*1))</f>
        <v/>
      </c>
      <c r="G369" s="7" t="str">
        <f>IF(Plantilla_SCAN_EQ3_COUNT_2[[#This Row],[ID MATERIAL]]="","","PZ")</f>
        <v/>
      </c>
      <c r="H369" s="7" t="str">
        <f>IF(Plantilla_SCAN_EQ3_COUNT_2[[#This Row],[ID MATERIAL]]="","",$B$13)</f>
        <v/>
      </c>
      <c r="I369" s="7" t="str">
        <f>IF(Plantilla_SCAN_EQ3_COUNT_2[[#This Row],[ID MATERIAL]]="","","Segundo Conteo")</f>
        <v/>
      </c>
    </row>
    <row r="370" spans="1:9" s="7" customFormat="1" ht="15" x14ac:dyDescent="0.2">
      <c r="A370" s="7" t="str">
        <f>IF(Plantilla_SCAN_EQ3_COUNT_2[[#This Row],[ID MATERIAL]]="","",SIGN(Plantilla_SCAN_EQ3_COUNT_2[[#This Row],[Cantidad]])+A369)</f>
        <v/>
      </c>
      <c r="B370" s="21" t="str">
        <f>IF(Plantilla_SCAN_EQ3_COUNT_2[[#This Row],[ID MATERIAL]]="","",B369)</f>
        <v/>
      </c>
      <c r="C370" s="21"/>
      <c r="D370" s="21"/>
      <c r="E370" s="7" t="str">
        <f>IF(Plantilla_SCAN_EQ3_COUNT_2[[#This Row],[ID MATERIAL]]="","",VLOOKUP(Plantilla_SCAN_EQ3_COUNT_2[[#This Row],[ID MATERIAL]],INVENTARIO!$A:$D,2,FALSE))</f>
        <v/>
      </c>
      <c r="F370" s="7" t="str">
        <f>IF(Plantilla_SCAN_EQ3_COUNT_2[[#This Row],[ID MATERIAL]]="","",IF(Plantilla_SCAN_EQ3_COUNT_2[[#This Row],[No. Empaques]]="",1,Plantilla_SCAN_EQ3_COUNT_2[[#This Row],[No. Empaques]]*1))</f>
        <v/>
      </c>
      <c r="G370" s="7" t="str">
        <f>IF(Plantilla_SCAN_EQ3_COUNT_2[[#This Row],[ID MATERIAL]]="","","PZ")</f>
        <v/>
      </c>
      <c r="H370" s="7" t="str">
        <f>IF(Plantilla_SCAN_EQ3_COUNT_2[[#This Row],[ID MATERIAL]]="","",$B$13)</f>
        <v/>
      </c>
      <c r="I370" s="7" t="str">
        <f>IF(Plantilla_SCAN_EQ3_COUNT_2[[#This Row],[ID MATERIAL]]="","","Segundo Conteo")</f>
        <v/>
      </c>
    </row>
    <row r="371" spans="1:9" s="7" customFormat="1" ht="15" x14ac:dyDescent="0.2">
      <c r="A371" s="7" t="str">
        <f>IF(Plantilla_SCAN_EQ3_COUNT_2[[#This Row],[ID MATERIAL]]="","",SIGN(Plantilla_SCAN_EQ3_COUNT_2[[#This Row],[Cantidad]])+A370)</f>
        <v/>
      </c>
      <c r="B371" s="21" t="str">
        <f>IF(Plantilla_SCAN_EQ3_COUNT_2[[#This Row],[ID MATERIAL]]="","",B370)</f>
        <v/>
      </c>
      <c r="C371" s="21"/>
      <c r="D371" s="21"/>
      <c r="E371" s="7" t="str">
        <f>IF(Plantilla_SCAN_EQ3_COUNT_2[[#This Row],[ID MATERIAL]]="","",VLOOKUP(Plantilla_SCAN_EQ3_COUNT_2[[#This Row],[ID MATERIAL]],INVENTARIO!$A:$D,2,FALSE))</f>
        <v/>
      </c>
      <c r="F371" s="7" t="str">
        <f>IF(Plantilla_SCAN_EQ3_COUNT_2[[#This Row],[ID MATERIAL]]="","",IF(Plantilla_SCAN_EQ3_COUNT_2[[#This Row],[No. Empaques]]="",1,Plantilla_SCAN_EQ3_COUNT_2[[#This Row],[No. Empaques]]*1))</f>
        <v/>
      </c>
      <c r="G371" s="7" t="str">
        <f>IF(Plantilla_SCAN_EQ3_COUNT_2[[#This Row],[ID MATERIAL]]="","","PZ")</f>
        <v/>
      </c>
      <c r="H371" s="7" t="str">
        <f>IF(Plantilla_SCAN_EQ3_COUNT_2[[#This Row],[ID MATERIAL]]="","",$B$13)</f>
        <v/>
      </c>
      <c r="I371" s="7" t="str">
        <f>IF(Plantilla_SCAN_EQ3_COUNT_2[[#This Row],[ID MATERIAL]]="","","Segundo Conteo")</f>
        <v/>
      </c>
    </row>
    <row r="372" spans="1:9" s="7" customFormat="1" ht="15" x14ac:dyDescent="0.2">
      <c r="A372" s="7" t="str">
        <f>IF(Plantilla_SCAN_EQ3_COUNT_2[[#This Row],[ID MATERIAL]]="","",SIGN(Plantilla_SCAN_EQ3_COUNT_2[[#This Row],[Cantidad]])+A371)</f>
        <v/>
      </c>
      <c r="B372" s="21" t="str">
        <f>IF(Plantilla_SCAN_EQ3_COUNT_2[[#This Row],[ID MATERIAL]]="","",B371)</f>
        <v/>
      </c>
      <c r="C372" s="21"/>
      <c r="D372" s="21"/>
      <c r="E372" s="7" t="str">
        <f>IF(Plantilla_SCAN_EQ3_COUNT_2[[#This Row],[ID MATERIAL]]="","",VLOOKUP(Plantilla_SCAN_EQ3_COUNT_2[[#This Row],[ID MATERIAL]],INVENTARIO!$A:$D,2,FALSE))</f>
        <v/>
      </c>
      <c r="F372" s="7" t="str">
        <f>IF(Plantilla_SCAN_EQ3_COUNT_2[[#This Row],[ID MATERIAL]]="","",IF(Plantilla_SCAN_EQ3_COUNT_2[[#This Row],[No. Empaques]]="",1,Plantilla_SCAN_EQ3_COUNT_2[[#This Row],[No. Empaques]]*1))</f>
        <v/>
      </c>
      <c r="G372" s="7" t="str">
        <f>IF(Plantilla_SCAN_EQ3_COUNT_2[[#This Row],[ID MATERIAL]]="","","PZ")</f>
        <v/>
      </c>
      <c r="H372" s="7" t="str">
        <f>IF(Plantilla_SCAN_EQ3_COUNT_2[[#This Row],[ID MATERIAL]]="","",$B$13)</f>
        <v/>
      </c>
      <c r="I372" s="7" t="str">
        <f>IF(Plantilla_SCAN_EQ3_COUNT_2[[#This Row],[ID MATERIAL]]="","","Segundo Conteo")</f>
        <v/>
      </c>
    </row>
    <row r="373" spans="1:9" s="7" customFormat="1" ht="15" x14ac:dyDescent="0.2">
      <c r="A373" s="7" t="str">
        <f>IF(Plantilla_SCAN_EQ3_COUNT_2[[#This Row],[ID MATERIAL]]="","",SIGN(Plantilla_SCAN_EQ3_COUNT_2[[#This Row],[Cantidad]])+A372)</f>
        <v/>
      </c>
      <c r="B373" s="21" t="str">
        <f>IF(Plantilla_SCAN_EQ3_COUNT_2[[#This Row],[ID MATERIAL]]="","",B372)</f>
        <v/>
      </c>
      <c r="C373" s="21"/>
      <c r="D373" s="21"/>
      <c r="E373" s="7" t="str">
        <f>IF(Plantilla_SCAN_EQ3_COUNT_2[[#This Row],[ID MATERIAL]]="","",VLOOKUP(Plantilla_SCAN_EQ3_COUNT_2[[#This Row],[ID MATERIAL]],INVENTARIO!$A:$D,2,FALSE))</f>
        <v/>
      </c>
      <c r="F373" s="7" t="str">
        <f>IF(Plantilla_SCAN_EQ3_COUNT_2[[#This Row],[ID MATERIAL]]="","",IF(Plantilla_SCAN_EQ3_COUNT_2[[#This Row],[No. Empaques]]="",1,Plantilla_SCAN_EQ3_COUNT_2[[#This Row],[No. Empaques]]*1))</f>
        <v/>
      </c>
      <c r="G373" s="7" t="str">
        <f>IF(Plantilla_SCAN_EQ3_COUNT_2[[#This Row],[ID MATERIAL]]="","","PZ")</f>
        <v/>
      </c>
      <c r="H373" s="7" t="str">
        <f>IF(Plantilla_SCAN_EQ3_COUNT_2[[#This Row],[ID MATERIAL]]="","",$B$13)</f>
        <v/>
      </c>
      <c r="I373" s="7" t="str">
        <f>IF(Plantilla_SCAN_EQ3_COUNT_2[[#This Row],[ID MATERIAL]]="","","Segundo Conteo")</f>
        <v/>
      </c>
    </row>
    <row r="374" spans="1:9" s="7" customFormat="1" ht="15" x14ac:dyDescent="0.2">
      <c r="A374" s="7" t="str">
        <f>IF(Plantilla_SCAN_EQ3_COUNT_2[[#This Row],[ID MATERIAL]]="","",SIGN(Plantilla_SCAN_EQ3_COUNT_2[[#This Row],[Cantidad]])+A373)</f>
        <v/>
      </c>
      <c r="B374" s="21" t="str">
        <f>IF(Plantilla_SCAN_EQ3_COUNT_2[[#This Row],[ID MATERIAL]]="","",B373)</f>
        <v/>
      </c>
      <c r="C374" s="21"/>
      <c r="D374" s="21"/>
      <c r="E374" s="7" t="str">
        <f>IF(Plantilla_SCAN_EQ3_COUNT_2[[#This Row],[ID MATERIAL]]="","",VLOOKUP(Plantilla_SCAN_EQ3_COUNT_2[[#This Row],[ID MATERIAL]],INVENTARIO!$A:$D,2,FALSE))</f>
        <v/>
      </c>
      <c r="F374" s="7" t="str">
        <f>IF(Plantilla_SCAN_EQ3_COUNT_2[[#This Row],[ID MATERIAL]]="","",IF(Plantilla_SCAN_EQ3_COUNT_2[[#This Row],[No. Empaques]]="",1,Plantilla_SCAN_EQ3_COUNT_2[[#This Row],[No. Empaques]]*1))</f>
        <v/>
      </c>
      <c r="G374" s="7" t="str">
        <f>IF(Plantilla_SCAN_EQ3_COUNT_2[[#This Row],[ID MATERIAL]]="","","PZ")</f>
        <v/>
      </c>
      <c r="H374" s="7" t="str">
        <f>IF(Plantilla_SCAN_EQ3_COUNT_2[[#This Row],[ID MATERIAL]]="","",$B$13)</f>
        <v/>
      </c>
      <c r="I374" s="7" t="str">
        <f>IF(Plantilla_SCAN_EQ3_COUNT_2[[#This Row],[ID MATERIAL]]="","","Segundo Conteo")</f>
        <v/>
      </c>
    </row>
    <row r="375" spans="1:9" s="7" customFormat="1" ht="15" x14ac:dyDescent="0.2">
      <c r="A375" s="7" t="str">
        <f>IF(Plantilla_SCAN_EQ3_COUNT_2[[#This Row],[ID MATERIAL]]="","",SIGN(Plantilla_SCAN_EQ3_COUNT_2[[#This Row],[Cantidad]])+A374)</f>
        <v/>
      </c>
      <c r="B375" s="21" t="str">
        <f>IF(Plantilla_SCAN_EQ3_COUNT_2[[#This Row],[ID MATERIAL]]="","",B374)</f>
        <v/>
      </c>
      <c r="C375" s="21"/>
      <c r="D375" s="21"/>
      <c r="E375" s="7" t="str">
        <f>IF(Plantilla_SCAN_EQ3_COUNT_2[[#This Row],[ID MATERIAL]]="","",VLOOKUP(Plantilla_SCAN_EQ3_COUNT_2[[#This Row],[ID MATERIAL]],INVENTARIO!$A:$D,2,FALSE))</f>
        <v/>
      </c>
      <c r="F375" s="7" t="str">
        <f>IF(Plantilla_SCAN_EQ3_COUNT_2[[#This Row],[ID MATERIAL]]="","",IF(Plantilla_SCAN_EQ3_COUNT_2[[#This Row],[No. Empaques]]="",1,Plantilla_SCAN_EQ3_COUNT_2[[#This Row],[No. Empaques]]*1))</f>
        <v/>
      </c>
      <c r="G375" s="7" t="str">
        <f>IF(Plantilla_SCAN_EQ3_COUNT_2[[#This Row],[ID MATERIAL]]="","","PZ")</f>
        <v/>
      </c>
      <c r="H375" s="7" t="str">
        <f>IF(Plantilla_SCAN_EQ3_COUNT_2[[#This Row],[ID MATERIAL]]="","",$B$13)</f>
        <v/>
      </c>
      <c r="I375" s="7" t="str">
        <f>IF(Plantilla_SCAN_EQ3_COUNT_2[[#This Row],[ID MATERIAL]]="","","Segundo Conteo")</f>
        <v/>
      </c>
    </row>
    <row r="376" spans="1:9" s="7" customFormat="1" ht="15" x14ac:dyDescent="0.2">
      <c r="A376" s="7" t="str">
        <f>IF(Plantilla_SCAN_EQ3_COUNT_2[[#This Row],[ID MATERIAL]]="","",SIGN(Plantilla_SCAN_EQ3_COUNT_2[[#This Row],[Cantidad]])+A375)</f>
        <v/>
      </c>
      <c r="B376" s="21" t="str">
        <f>IF(Plantilla_SCAN_EQ3_COUNT_2[[#This Row],[ID MATERIAL]]="","",B375)</f>
        <v/>
      </c>
      <c r="C376" s="21"/>
      <c r="D376" s="21"/>
      <c r="E376" s="7" t="str">
        <f>IF(Plantilla_SCAN_EQ3_COUNT_2[[#This Row],[ID MATERIAL]]="","",VLOOKUP(Plantilla_SCAN_EQ3_COUNT_2[[#This Row],[ID MATERIAL]],INVENTARIO!$A:$D,2,FALSE))</f>
        <v/>
      </c>
      <c r="F376" s="7" t="str">
        <f>IF(Plantilla_SCAN_EQ3_COUNT_2[[#This Row],[ID MATERIAL]]="","",IF(Plantilla_SCAN_EQ3_COUNT_2[[#This Row],[No. Empaques]]="",1,Plantilla_SCAN_EQ3_COUNT_2[[#This Row],[No. Empaques]]*1))</f>
        <v/>
      </c>
      <c r="G376" s="7" t="str">
        <f>IF(Plantilla_SCAN_EQ3_COUNT_2[[#This Row],[ID MATERIAL]]="","","PZ")</f>
        <v/>
      </c>
      <c r="H376" s="7" t="str">
        <f>IF(Plantilla_SCAN_EQ3_COUNT_2[[#This Row],[ID MATERIAL]]="","",$B$13)</f>
        <v/>
      </c>
      <c r="I376" s="7" t="str">
        <f>IF(Plantilla_SCAN_EQ3_COUNT_2[[#This Row],[ID MATERIAL]]="","","Segundo Conteo")</f>
        <v/>
      </c>
    </row>
    <row r="377" spans="1:9" s="7" customFormat="1" ht="15" x14ac:dyDescent="0.2">
      <c r="A377" s="7" t="str">
        <f>IF(Plantilla_SCAN_EQ3_COUNT_2[[#This Row],[ID MATERIAL]]="","",SIGN(Plantilla_SCAN_EQ3_COUNT_2[[#This Row],[Cantidad]])+A376)</f>
        <v/>
      </c>
      <c r="B377" s="21" t="str">
        <f>IF(Plantilla_SCAN_EQ3_COUNT_2[[#This Row],[ID MATERIAL]]="","",B376)</f>
        <v/>
      </c>
      <c r="C377" s="21"/>
      <c r="D377" s="21"/>
      <c r="E377" s="7" t="str">
        <f>IF(Plantilla_SCAN_EQ3_COUNT_2[[#This Row],[ID MATERIAL]]="","",VLOOKUP(Plantilla_SCAN_EQ3_COUNT_2[[#This Row],[ID MATERIAL]],INVENTARIO!$A:$D,2,FALSE))</f>
        <v/>
      </c>
      <c r="F377" s="7" t="str">
        <f>IF(Plantilla_SCAN_EQ3_COUNT_2[[#This Row],[ID MATERIAL]]="","",IF(Plantilla_SCAN_EQ3_COUNT_2[[#This Row],[No. Empaques]]="",1,Plantilla_SCAN_EQ3_COUNT_2[[#This Row],[No. Empaques]]*1))</f>
        <v/>
      </c>
      <c r="G377" s="7" t="str">
        <f>IF(Plantilla_SCAN_EQ3_COUNT_2[[#This Row],[ID MATERIAL]]="","","PZ")</f>
        <v/>
      </c>
      <c r="H377" s="7" t="str">
        <f>IF(Plantilla_SCAN_EQ3_COUNT_2[[#This Row],[ID MATERIAL]]="","",$B$13)</f>
        <v/>
      </c>
      <c r="I377" s="7" t="str">
        <f>IF(Plantilla_SCAN_EQ3_COUNT_2[[#This Row],[ID MATERIAL]]="","","Segundo Conteo")</f>
        <v/>
      </c>
    </row>
    <row r="378" spans="1:9" s="7" customFormat="1" ht="15" x14ac:dyDescent="0.2">
      <c r="A378" s="7" t="str">
        <f>IF(Plantilla_SCAN_EQ3_COUNT_2[[#This Row],[ID MATERIAL]]="","",SIGN(Plantilla_SCAN_EQ3_COUNT_2[[#This Row],[Cantidad]])+A377)</f>
        <v/>
      </c>
      <c r="B378" s="21" t="str">
        <f>IF(Plantilla_SCAN_EQ3_COUNT_2[[#This Row],[ID MATERIAL]]="","",B377)</f>
        <v/>
      </c>
      <c r="C378" s="21"/>
      <c r="D378" s="21"/>
      <c r="E378" s="7" t="str">
        <f>IF(Plantilla_SCAN_EQ3_COUNT_2[[#This Row],[ID MATERIAL]]="","",VLOOKUP(Plantilla_SCAN_EQ3_COUNT_2[[#This Row],[ID MATERIAL]],INVENTARIO!$A:$D,2,FALSE))</f>
        <v/>
      </c>
      <c r="F378" s="7" t="str">
        <f>IF(Plantilla_SCAN_EQ3_COUNT_2[[#This Row],[ID MATERIAL]]="","",IF(Plantilla_SCAN_EQ3_COUNT_2[[#This Row],[No. Empaques]]="",1,Plantilla_SCAN_EQ3_COUNT_2[[#This Row],[No. Empaques]]*1))</f>
        <v/>
      </c>
      <c r="G378" s="7" t="str">
        <f>IF(Plantilla_SCAN_EQ3_COUNT_2[[#This Row],[ID MATERIAL]]="","","PZ")</f>
        <v/>
      </c>
      <c r="H378" s="7" t="str">
        <f>IF(Plantilla_SCAN_EQ3_COUNT_2[[#This Row],[ID MATERIAL]]="","",$B$13)</f>
        <v/>
      </c>
      <c r="I378" s="7" t="str">
        <f>IF(Plantilla_SCAN_EQ3_COUNT_2[[#This Row],[ID MATERIAL]]="","","Segundo Conteo")</f>
        <v/>
      </c>
    </row>
    <row r="379" spans="1:9" s="7" customFormat="1" ht="15" x14ac:dyDescent="0.2">
      <c r="A379" s="7" t="str">
        <f>IF(Plantilla_SCAN_EQ3_COUNT_2[[#This Row],[ID MATERIAL]]="","",SIGN(Plantilla_SCAN_EQ3_COUNT_2[[#This Row],[Cantidad]])+A378)</f>
        <v/>
      </c>
      <c r="B379" s="21" t="str">
        <f>IF(Plantilla_SCAN_EQ3_COUNT_2[[#This Row],[ID MATERIAL]]="","",B378)</f>
        <v/>
      </c>
      <c r="C379" s="21"/>
      <c r="D379" s="21"/>
      <c r="E379" s="7" t="str">
        <f>IF(Plantilla_SCAN_EQ3_COUNT_2[[#This Row],[ID MATERIAL]]="","",VLOOKUP(Plantilla_SCAN_EQ3_COUNT_2[[#This Row],[ID MATERIAL]],INVENTARIO!$A:$D,2,FALSE))</f>
        <v/>
      </c>
      <c r="F379" s="7" t="str">
        <f>IF(Plantilla_SCAN_EQ3_COUNT_2[[#This Row],[ID MATERIAL]]="","",IF(Plantilla_SCAN_EQ3_COUNT_2[[#This Row],[No. Empaques]]="",1,Plantilla_SCAN_EQ3_COUNT_2[[#This Row],[No. Empaques]]*1))</f>
        <v/>
      </c>
      <c r="G379" s="7" t="str">
        <f>IF(Plantilla_SCAN_EQ3_COUNT_2[[#This Row],[ID MATERIAL]]="","","PZ")</f>
        <v/>
      </c>
      <c r="H379" s="7" t="str">
        <f>IF(Plantilla_SCAN_EQ3_COUNT_2[[#This Row],[ID MATERIAL]]="","",$B$13)</f>
        <v/>
      </c>
      <c r="I379" s="7" t="str">
        <f>IF(Plantilla_SCAN_EQ3_COUNT_2[[#This Row],[ID MATERIAL]]="","","Segundo Conteo")</f>
        <v/>
      </c>
    </row>
    <row r="380" spans="1:9" s="7" customFormat="1" ht="15" x14ac:dyDescent="0.2">
      <c r="A380" s="7" t="str">
        <f>IF(Plantilla_SCAN_EQ3_COUNT_2[[#This Row],[ID MATERIAL]]="","",SIGN(Plantilla_SCAN_EQ3_COUNT_2[[#This Row],[Cantidad]])+A379)</f>
        <v/>
      </c>
      <c r="B380" s="21" t="str">
        <f>IF(Plantilla_SCAN_EQ3_COUNT_2[[#This Row],[ID MATERIAL]]="","",B379)</f>
        <v/>
      </c>
      <c r="C380" s="21"/>
      <c r="D380" s="21"/>
      <c r="E380" s="7" t="str">
        <f>IF(Plantilla_SCAN_EQ3_COUNT_2[[#This Row],[ID MATERIAL]]="","",VLOOKUP(Plantilla_SCAN_EQ3_COUNT_2[[#This Row],[ID MATERIAL]],INVENTARIO!$A:$D,2,FALSE))</f>
        <v/>
      </c>
      <c r="F380" s="7" t="str">
        <f>IF(Plantilla_SCAN_EQ3_COUNT_2[[#This Row],[ID MATERIAL]]="","",IF(Plantilla_SCAN_EQ3_COUNT_2[[#This Row],[No. Empaques]]="",1,Plantilla_SCAN_EQ3_COUNT_2[[#This Row],[No. Empaques]]*1))</f>
        <v/>
      </c>
      <c r="G380" s="7" t="str">
        <f>IF(Plantilla_SCAN_EQ3_COUNT_2[[#This Row],[ID MATERIAL]]="","","PZ")</f>
        <v/>
      </c>
      <c r="H380" s="7" t="str">
        <f>IF(Plantilla_SCAN_EQ3_COUNT_2[[#This Row],[ID MATERIAL]]="","",$B$13)</f>
        <v/>
      </c>
      <c r="I380" s="7" t="str">
        <f>IF(Plantilla_SCAN_EQ3_COUNT_2[[#This Row],[ID MATERIAL]]="","","Segundo Conteo")</f>
        <v/>
      </c>
    </row>
    <row r="381" spans="1:9" s="7" customFormat="1" ht="15" x14ac:dyDescent="0.2">
      <c r="A381" s="7" t="str">
        <f>IF(Plantilla_SCAN_EQ3_COUNT_2[[#This Row],[ID MATERIAL]]="","",SIGN(Plantilla_SCAN_EQ3_COUNT_2[[#This Row],[Cantidad]])+A380)</f>
        <v/>
      </c>
      <c r="B381" s="21" t="str">
        <f>IF(Plantilla_SCAN_EQ3_COUNT_2[[#This Row],[ID MATERIAL]]="","",B380)</f>
        <v/>
      </c>
      <c r="C381" s="21"/>
      <c r="D381" s="21"/>
      <c r="E381" s="7" t="str">
        <f>IF(Plantilla_SCAN_EQ3_COUNT_2[[#This Row],[ID MATERIAL]]="","",VLOOKUP(Plantilla_SCAN_EQ3_COUNT_2[[#This Row],[ID MATERIAL]],INVENTARIO!$A:$D,2,FALSE))</f>
        <v/>
      </c>
      <c r="F381" s="7" t="str">
        <f>IF(Plantilla_SCAN_EQ3_COUNT_2[[#This Row],[ID MATERIAL]]="","",IF(Plantilla_SCAN_EQ3_COUNT_2[[#This Row],[No. Empaques]]="",1,Plantilla_SCAN_EQ3_COUNT_2[[#This Row],[No. Empaques]]*1))</f>
        <v/>
      </c>
      <c r="G381" s="7" t="str">
        <f>IF(Plantilla_SCAN_EQ3_COUNT_2[[#This Row],[ID MATERIAL]]="","","PZ")</f>
        <v/>
      </c>
      <c r="H381" s="7" t="str">
        <f>IF(Plantilla_SCAN_EQ3_COUNT_2[[#This Row],[ID MATERIAL]]="","",$B$13)</f>
        <v/>
      </c>
      <c r="I381" s="7" t="str">
        <f>IF(Plantilla_SCAN_EQ3_COUNT_2[[#This Row],[ID MATERIAL]]="","","Segundo Conteo")</f>
        <v/>
      </c>
    </row>
    <row r="382" spans="1:9" s="7" customFormat="1" ht="15" x14ac:dyDescent="0.2">
      <c r="A382" s="7" t="str">
        <f>IF(Plantilla_SCAN_EQ3_COUNT_2[[#This Row],[ID MATERIAL]]="","",SIGN(Plantilla_SCAN_EQ3_COUNT_2[[#This Row],[Cantidad]])+A381)</f>
        <v/>
      </c>
      <c r="B382" s="21" t="str">
        <f>IF(Plantilla_SCAN_EQ3_COUNT_2[[#This Row],[ID MATERIAL]]="","",B381)</f>
        <v/>
      </c>
      <c r="C382" s="21"/>
      <c r="D382" s="21"/>
      <c r="E382" s="7" t="str">
        <f>IF(Plantilla_SCAN_EQ3_COUNT_2[[#This Row],[ID MATERIAL]]="","",VLOOKUP(Plantilla_SCAN_EQ3_COUNT_2[[#This Row],[ID MATERIAL]],INVENTARIO!$A:$D,2,FALSE))</f>
        <v/>
      </c>
      <c r="F382" s="7" t="str">
        <f>IF(Plantilla_SCAN_EQ3_COUNT_2[[#This Row],[ID MATERIAL]]="","",IF(Plantilla_SCAN_EQ3_COUNT_2[[#This Row],[No. Empaques]]="",1,Plantilla_SCAN_EQ3_COUNT_2[[#This Row],[No. Empaques]]*1))</f>
        <v/>
      </c>
      <c r="G382" s="7" t="str">
        <f>IF(Plantilla_SCAN_EQ3_COUNT_2[[#This Row],[ID MATERIAL]]="","","PZ")</f>
        <v/>
      </c>
      <c r="H382" s="7" t="str">
        <f>IF(Plantilla_SCAN_EQ3_COUNT_2[[#This Row],[ID MATERIAL]]="","",$B$13)</f>
        <v/>
      </c>
      <c r="I382" s="7" t="str">
        <f>IF(Plantilla_SCAN_EQ3_COUNT_2[[#This Row],[ID MATERIAL]]="","","Segundo Conteo")</f>
        <v/>
      </c>
    </row>
    <row r="383" spans="1:9" s="7" customFormat="1" ht="15" x14ac:dyDescent="0.2">
      <c r="A383" s="7" t="str">
        <f>IF(Plantilla_SCAN_EQ3_COUNT_2[[#This Row],[ID MATERIAL]]="","",SIGN(Plantilla_SCAN_EQ3_COUNT_2[[#This Row],[Cantidad]])+A382)</f>
        <v/>
      </c>
      <c r="B383" s="21" t="str">
        <f>IF(Plantilla_SCAN_EQ3_COUNT_2[[#This Row],[ID MATERIAL]]="","",B382)</f>
        <v/>
      </c>
      <c r="C383" s="21"/>
      <c r="D383" s="21"/>
      <c r="E383" s="7" t="str">
        <f>IF(Plantilla_SCAN_EQ3_COUNT_2[[#This Row],[ID MATERIAL]]="","",VLOOKUP(Plantilla_SCAN_EQ3_COUNT_2[[#This Row],[ID MATERIAL]],INVENTARIO!$A:$D,2,FALSE))</f>
        <v/>
      </c>
      <c r="F383" s="7" t="str">
        <f>IF(Plantilla_SCAN_EQ3_COUNT_2[[#This Row],[ID MATERIAL]]="","",IF(Plantilla_SCAN_EQ3_COUNT_2[[#This Row],[No. Empaques]]="",1,Plantilla_SCAN_EQ3_COUNT_2[[#This Row],[No. Empaques]]*1))</f>
        <v/>
      </c>
      <c r="G383" s="7" t="str">
        <f>IF(Plantilla_SCAN_EQ3_COUNT_2[[#This Row],[ID MATERIAL]]="","","PZ")</f>
        <v/>
      </c>
      <c r="H383" s="7" t="str">
        <f>IF(Plantilla_SCAN_EQ3_COUNT_2[[#This Row],[ID MATERIAL]]="","",$B$13)</f>
        <v/>
      </c>
      <c r="I383" s="7" t="str">
        <f>IF(Plantilla_SCAN_EQ3_COUNT_2[[#This Row],[ID MATERIAL]]="","","Segundo Conteo")</f>
        <v/>
      </c>
    </row>
    <row r="384" spans="1:9" s="7" customFormat="1" ht="15" x14ac:dyDescent="0.2">
      <c r="A384" s="7" t="str">
        <f>IF(Plantilla_SCAN_EQ3_COUNT_2[[#This Row],[ID MATERIAL]]="","",SIGN(Plantilla_SCAN_EQ3_COUNT_2[[#This Row],[Cantidad]])+A383)</f>
        <v/>
      </c>
      <c r="B384" s="21" t="str">
        <f>IF(Plantilla_SCAN_EQ3_COUNT_2[[#This Row],[ID MATERIAL]]="","",B383)</f>
        <v/>
      </c>
      <c r="C384" s="21"/>
      <c r="D384" s="21"/>
      <c r="E384" s="7" t="str">
        <f>IF(Plantilla_SCAN_EQ3_COUNT_2[[#This Row],[ID MATERIAL]]="","",VLOOKUP(Plantilla_SCAN_EQ3_COUNT_2[[#This Row],[ID MATERIAL]],INVENTARIO!$A:$D,2,FALSE))</f>
        <v/>
      </c>
      <c r="F384" s="7" t="str">
        <f>IF(Plantilla_SCAN_EQ3_COUNT_2[[#This Row],[ID MATERIAL]]="","",IF(Plantilla_SCAN_EQ3_COUNT_2[[#This Row],[No. Empaques]]="",1,Plantilla_SCAN_EQ3_COUNT_2[[#This Row],[No. Empaques]]*1))</f>
        <v/>
      </c>
      <c r="G384" s="7" t="str">
        <f>IF(Plantilla_SCAN_EQ3_COUNT_2[[#This Row],[ID MATERIAL]]="","","PZ")</f>
        <v/>
      </c>
      <c r="H384" s="7" t="str">
        <f>IF(Plantilla_SCAN_EQ3_COUNT_2[[#This Row],[ID MATERIAL]]="","",$B$13)</f>
        <v/>
      </c>
      <c r="I384" s="7" t="str">
        <f>IF(Plantilla_SCAN_EQ3_COUNT_2[[#This Row],[ID MATERIAL]]="","","Segundo Conteo")</f>
        <v/>
      </c>
    </row>
    <row r="385" spans="1:9" s="7" customFormat="1" ht="15" x14ac:dyDescent="0.2">
      <c r="A385" s="7" t="str">
        <f>IF(Plantilla_SCAN_EQ3_COUNT_2[[#This Row],[ID MATERIAL]]="","",SIGN(Plantilla_SCAN_EQ3_COUNT_2[[#This Row],[Cantidad]])+A384)</f>
        <v/>
      </c>
      <c r="B385" s="21" t="str">
        <f>IF(Plantilla_SCAN_EQ3_COUNT_2[[#This Row],[ID MATERIAL]]="","",B384)</f>
        <v/>
      </c>
      <c r="C385" s="21"/>
      <c r="D385" s="21"/>
      <c r="E385" s="7" t="str">
        <f>IF(Plantilla_SCAN_EQ3_COUNT_2[[#This Row],[ID MATERIAL]]="","",VLOOKUP(Plantilla_SCAN_EQ3_COUNT_2[[#This Row],[ID MATERIAL]],INVENTARIO!$A:$D,2,FALSE))</f>
        <v/>
      </c>
      <c r="F385" s="7" t="str">
        <f>IF(Plantilla_SCAN_EQ3_COUNT_2[[#This Row],[ID MATERIAL]]="","",IF(Plantilla_SCAN_EQ3_COUNT_2[[#This Row],[No. Empaques]]="",1,Plantilla_SCAN_EQ3_COUNT_2[[#This Row],[No. Empaques]]*1))</f>
        <v/>
      </c>
      <c r="G385" s="7" t="str">
        <f>IF(Plantilla_SCAN_EQ3_COUNT_2[[#This Row],[ID MATERIAL]]="","","PZ")</f>
        <v/>
      </c>
      <c r="H385" s="7" t="str">
        <f>IF(Plantilla_SCAN_EQ3_COUNT_2[[#This Row],[ID MATERIAL]]="","",$B$13)</f>
        <v/>
      </c>
      <c r="I385" s="7" t="str">
        <f>IF(Plantilla_SCAN_EQ3_COUNT_2[[#This Row],[ID MATERIAL]]="","","Segundo Conteo")</f>
        <v/>
      </c>
    </row>
    <row r="386" spans="1:9" s="7" customFormat="1" ht="15" x14ac:dyDescent="0.2">
      <c r="A386" s="7" t="str">
        <f>IF(Plantilla_SCAN_EQ3_COUNT_2[[#This Row],[ID MATERIAL]]="","",SIGN(Plantilla_SCAN_EQ3_COUNT_2[[#This Row],[Cantidad]])+A385)</f>
        <v/>
      </c>
      <c r="B386" s="21" t="str">
        <f>IF(Plantilla_SCAN_EQ3_COUNT_2[[#This Row],[ID MATERIAL]]="","",B385)</f>
        <v/>
      </c>
      <c r="C386" s="21"/>
      <c r="D386" s="21"/>
      <c r="E386" s="7" t="str">
        <f>IF(Plantilla_SCAN_EQ3_COUNT_2[[#This Row],[ID MATERIAL]]="","",VLOOKUP(Plantilla_SCAN_EQ3_COUNT_2[[#This Row],[ID MATERIAL]],INVENTARIO!$A:$D,2,FALSE))</f>
        <v/>
      </c>
      <c r="F386" s="7" t="str">
        <f>IF(Plantilla_SCAN_EQ3_COUNT_2[[#This Row],[ID MATERIAL]]="","",IF(Plantilla_SCAN_EQ3_COUNT_2[[#This Row],[No. Empaques]]="",1,Plantilla_SCAN_EQ3_COUNT_2[[#This Row],[No. Empaques]]*1))</f>
        <v/>
      </c>
      <c r="G386" s="7" t="str">
        <f>IF(Plantilla_SCAN_EQ3_COUNT_2[[#This Row],[ID MATERIAL]]="","","PZ")</f>
        <v/>
      </c>
      <c r="H386" s="7" t="str">
        <f>IF(Plantilla_SCAN_EQ3_COUNT_2[[#This Row],[ID MATERIAL]]="","",$B$13)</f>
        <v/>
      </c>
      <c r="I386" s="7" t="str">
        <f>IF(Plantilla_SCAN_EQ3_COUNT_2[[#This Row],[ID MATERIAL]]="","","Segundo Conteo")</f>
        <v/>
      </c>
    </row>
    <row r="387" spans="1:9" s="7" customFormat="1" ht="15" x14ac:dyDescent="0.2">
      <c r="A387" s="7" t="str">
        <f>IF(Plantilla_SCAN_EQ3_COUNT_2[[#This Row],[ID MATERIAL]]="","",SIGN(Plantilla_SCAN_EQ3_COUNT_2[[#This Row],[Cantidad]])+A386)</f>
        <v/>
      </c>
      <c r="B387" s="21" t="str">
        <f>IF(Plantilla_SCAN_EQ3_COUNT_2[[#This Row],[ID MATERIAL]]="","",B386)</f>
        <v/>
      </c>
      <c r="C387" s="21"/>
      <c r="D387" s="21"/>
      <c r="E387" s="7" t="str">
        <f>IF(Plantilla_SCAN_EQ3_COUNT_2[[#This Row],[ID MATERIAL]]="","",VLOOKUP(Plantilla_SCAN_EQ3_COUNT_2[[#This Row],[ID MATERIAL]],INVENTARIO!$A:$D,2,FALSE))</f>
        <v/>
      </c>
      <c r="F387" s="7" t="str">
        <f>IF(Plantilla_SCAN_EQ3_COUNT_2[[#This Row],[ID MATERIAL]]="","",IF(Plantilla_SCAN_EQ3_COUNT_2[[#This Row],[No. Empaques]]="",1,Plantilla_SCAN_EQ3_COUNT_2[[#This Row],[No. Empaques]]*1))</f>
        <v/>
      </c>
      <c r="G387" s="7" t="str">
        <f>IF(Plantilla_SCAN_EQ3_COUNT_2[[#This Row],[ID MATERIAL]]="","","PZ")</f>
        <v/>
      </c>
      <c r="H387" s="7" t="str">
        <f>IF(Plantilla_SCAN_EQ3_COUNT_2[[#This Row],[ID MATERIAL]]="","",$B$13)</f>
        <v/>
      </c>
      <c r="I387" s="7" t="str">
        <f>IF(Plantilla_SCAN_EQ3_COUNT_2[[#This Row],[ID MATERIAL]]="","","Segundo Conteo")</f>
        <v/>
      </c>
    </row>
    <row r="388" spans="1:9" s="7" customFormat="1" ht="15" x14ac:dyDescent="0.2">
      <c r="A388" s="7" t="str">
        <f>IF(Plantilla_SCAN_EQ3_COUNT_2[[#This Row],[ID MATERIAL]]="","",SIGN(Plantilla_SCAN_EQ3_COUNT_2[[#This Row],[Cantidad]])+A387)</f>
        <v/>
      </c>
      <c r="B388" s="21" t="str">
        <f>IF(Plantilla_SCAN_EQ3_COUNT_2[[#This Row],[ID MATERIAL]]="","",B387)</f>
        <v/>
      </c>
      <c r="C388" s="21"/>
      <c r="D388" s="21"/>
      <c r="E388" s="7" t="str">
        <f>IF(Plantilla_SCAN_EQ3_COUNT_2[[#This Row],[ID MATERIAL]]="","",VLOOKUP(Plantilla_SCAN_EQ3_COUNT_2[[#This Row],[ID MATERIAL]],INVENTARIO!$A:$D,2,FALSE))</f>
        <v/>
      </c>
      <c r="F388" s="7" t="str">
        <f>IF(Plantilla_SCAN_EQ3_COUNT_2[[#This Row],[ID MATERIAL]]="","",IF(Plantilla_SCAN_EQ3_COUNT_2[[#This Row],[No. Empaques]]="",1,Plantilla_SCAN_EQ3_COUNT_2[[#This Row],[No. Empaques]]*1))</f>
        <v/>
      </c>
      <c r="G388" s="7" t="str">
        <f>IF(Plantilla_SCAN_EQ3_COUNT_2[[#This Row],[ID MATERIAL]]="","","PZ")</f>
        <v/>
      </c>
      <c r="H388" s="7" t="str">
        <f>IF(Plantilla_SCAN_EQ3_COUNT_2[[#This Row],[ID MATERIAL]]="","",$B$13)</f>
        <v/>
      </c>
      <c r="I388" s="7" t="str">
        <f>IF(Plantilla_SCAN_EQ3_COUNT_2[[#This Row],[ID MATERIAL]]="","","Segundo Conteo")</f>
        <v/>
      </c>
    </row>
    <row r="389" spans="1:9" s="7" customFormat="1" ht="15" x14ac:dyDescent="0.2">
      <c r="A389" s="7" t="str">
        <f>IF(Plantilla_SCAN_EQ3_COUNT_2[[#This Row],[ID MATERIAL]]="","",SIGN(Plantilla_SCAN_EQ3_COUNT_2[[#This Row],[Cantidad]])+A388)</f>
        <v/>
      </c>
      <c r="B389" s="21" t="str">
        <f>IF(Plantilla_SCAN_EQ3_COUNT_2[[#This Row],[ID MATERIAL]]="","",B388)</f>
        <v/>
      </c>
      <c r="C389" s="21"/>
      <c r="D389" s="21"/>
      <c r="E389" s="7" t="str">
        <f>IF(Plantilla_SCAN_EQ3_COUNT_2[[#This Row],[ID MATERIAL]]="","",VLOOKUP(Plantilla_SCAN_EQ3_COUNT_2[[#This Row],[ID MATERIAL]],INVENTARIO!$A:$D,2,FALSE))</f>
        <v/>
      </c>
      <c r="F389" s="7" t="str">
        <f>IF(Plantilla_SCAN_EQ3_COUNT_2[[#This Row],[ID MATERIAL]]="","",IF(Plantilla_SCAN_EQ3_COUNT_2[[#This Row],[No. Empaques]]="",1,Plantilla_SCAN_EQ3_COUNT_2[[#This Row],[No. Empaques]]*1))</f>
        <v/>
      </c>
      <c r="G389" s="7" t="str">
        <f>IF(Plantilla_SCAN_EQ3_COUNT_2[[#This Row],[ID MATERIAL]]="","","PZ")</f>
        <v/>
      </c>
      <c r="H389" s="7" t="str">
        <f>IF(Plantilla_SCAN_EQ3_COUNT_2[[#This Row],[ID MATERIAL]]="","",$B$13)</f>
        <v/>
      </c>
      <c r="I389" s="7" t="str">
        <f>IF(Plantilla_SCAN_EQ3_COUNT_2[[#This Row],[ID MATERIAL]]="","","Segundo Conteo")</f>
        <v/>
      </c>
    </row>
    <row r="390" spans="1:9" s="7" customFormat="1" ht="15" x14ac:dyDescent="0.2">
      <c r="A390" s="7" t="str">
        <f>IF(Plantilla_SCAN_EQ3_COUNT_2[[#This Row],[ID MATERIAL]]="","",SIGN(Plantilla_SCAN_EQ3_COUNT_2[[#This Row],[Cantidad]])+A389)</f>
        <v/>
      </c>
      <c r="B390" s="21" t="str">
        <f>IF(Plantilla_SCAN_EQ3_COUNT_2[[#This Row],[ID MATERIAL]]="","",B389)</f>
        <v/>
      </c>
      <c r="C390" s="21"/>
      <c r="D390" s="21"/>
      <c r="E390" s="7" t="str">
        <f>IF(Plantilla_SCAN_EQ3_COUNT_2[[#This Row],[ID MATERIAL]]="","",VLOOKUP(Plantilla_SCAN_EQ3_COUNT_2[[#This Row],[ID MATERIAL]],INVENTARIO!$A:$D,2,FALSE))</f>
        <v/>
      </c>
      <c r="F390" s="7" t="str">
        <f>IF(Plantilla_SCAN_EQ3_COUNT_2[[#This Row],[ID MATERIAL]]="","",IF(Plantilla_SCAN_EQ3_COUNT_2[[#This Row],[No. Empaques]]="",1,Plantilla_SCAN_EQ3_COUNT_2[[#This Row],[No. Empaques]]*1))</f>
        <v/>
      </c>
      <c r="G390" s="7" t="str">
        <f>IF(Plantilla_SCAN_EQ3_COUNT_2[[#This Row],[ID MATERIAL]]="","","PZ")</f>
        <v/>
      </c>
      <c r="H390" s="7" t="str">
        <f>IF(Plantilla_SCAN_EQ3_COUNT_2[[#This Row],[ID MATERIAL]]="","",$B$13)</f>
        <v/>
      </c>
      <c r="I390" s="7" t="str">
        <f>IF(Plantilla_SCAN_EQ3_COUNT_2[[#This Row],[ID MATERIAL]]="","","Segundo Conteo")</f>
        <v/>
      </c>
    </row>
    <row r="391" spans="1:9" s="7" customFormat="1" ht="15" x14ac:dyDescent="0.2">
      <c r="A391" s="7" t="str">
        <f>IF(Plantilla_SCAN_EQ3_COUNT_2[[#This Row],[ID MATERIAL]]="","",SIGN(Plantilla_SCAN_EQ3_COUNT_2[[#This Row],[Cantidad]])+A390)</f>
        <v/>
      </c>
      <c r="B391" s="21" t="str">
        <f>IF(Plantilla_SCAN_EQ3_COUNT_2[[#This Row],[ID MATERIAL]]="","",B390)</f>
        <v/>
      </c>
      <c r="C391" s="21"/>
      <c r="D391" s="21"/>
      <c r="E391" s="7" t="str">
        <f>IF(Plantilla_SCAN_EQ3_COUNT_2[[#This Row],[ID MATERIAL]]="","",VLOOKUP(Plantilla_SCAN_EQ3_COUNT_2[[#This Row],[ID MATERIAL]],INVENTARIO!$A:$D,2,FALSE))</f>
        <v/>
      </c>
      <c r="F391" s="7" t="str">
        <f>IF(Plantilla_SCAN_EQ3_COUNT_2[[#This Row],[ID MATERIAL]]="","",IF(Plantilla_SCAN_EQ3_COUNT_2[[#This Row],[No. Empaques]]="",1,Plantilla_SCAN_EQ3_COUNT_2[[#This Row],[No. Empaques]]*1))</f>
        <v/>
      </c>
      <c r="G391" s="7" t="str">
        <f>IF(Plantilla_SCAN_EQ3_COUNT_2[[#This Row],[ID MATERIAL]]="","","PZ")</f>
        <v/>
      </c>
      <c r="H391" s="7" t="str">
        <f>IF(Plantilla_SCAN_EQ3_COUNT_2[[#This Row],[ID MATERIAL]]="","",$B$13)</f>
        <v/>
      </c>
      <c r="I391" s="7" t="str">
        <f>IF(Plantilla_SCAN_EQ3_COUNT_2[[#This Row],[ID MATERIAL]]="","","Segundo Conteo")</f>
        <v/>
      </c>
    </row>
    <row r="392" spans="1:9" s="7" customFormat="1" ht="15" x14ac:dyDescent="0.2">
      <c r="A392" s="7" t="str">
        <f>IF(Plantilla_SCAN_EQ3_COUNT_2[[#This Row],[ID MATERIAL]]="","",SIGN(Plantilla_SCAN_EQ3_COUNT_2[[#This Row],[Cantidad]])+A391)</f>
        <v/>
      </c>
      <c r="B392" s="21" t="str">
        <f>IF(Plantilla_SCAN_EQ3_COUNT_2[[#This Row],[ID MATERIAL]]="","",B391)</f>
        <v/>
      </c>
      <c r="C392" s="21"/>
      <c r="D392" s="21"/>
      <c r="E392" s="7" t="str">
        <f>IF(Plantilla_SCAN_EQ3_COUNT_2[[#This Row],[ID MATERIAL]]="","",VLOOKUP(Plantilla_SCAN_EQ3_COUNT_2[[#This Row],[ID MATERIAL]],INVENTARIO!$A:$D,2,FALSE))</f>
        <v/>
      </c>
      <c r="F392" s="7" t="str">
        <f>IF(Plantilla_SCAN_EQ3_COUNT_2[[#This Row],[ID MATERIAL]]="","",IF(Plantilla_SCAN_EQ3_COUNT_2[[#This Row],[No. Empaques]]="",1,Plantilla_SCAN_EQ3_COUNT_2[[#This Row],[No. Empaques]]*1))</f>
        <v/>
      </c>
      <c r="G392" s="7" t="str">
        <f>IF(Plantilla_SCAN_EQ3_COUNT_2[[#This Row],[ID MATERIAL]]="","","PZ")</f>
        <v/>
      </c>
      <c r="H392" s="7" t="str">
        <f>IF(Plantilla_SCAN_EQ3_COUNT_2[[#This Row],[ID MATERIAL]]="","",$B$13)</f>
        <v/>
      </c>
      <c r="I392" s="7" t="str">
        <f>IF(Plantilla_SCAN_EQ3_COUNT_2[[#This Row],[ID MATERIAL]]="","","Segundo Conteo")</f>
        <v/>
      </c>
    </row>
    <row r="393" spans="1:9" s="7" customFormat="1" ht="15" x14ac:dyDescent="0.2">
      <c r="A393" s="7" t="str">
        <f>IF(Plantilla_SCAN_EQ3_COUNT_2[[#This Row],[ID MATERIAL]]="","",SIGN(Plantilla_SCAN_EQ3_COUNT_2[[#This Row],[Cantidad]])+A392)</f>
        <v/>
      </c>
      <c r="B393" s="21" t="str">
        <f>IF(Plantilla_SCAN_EQ3_COUNT_2[[#This Row],[ID MATERIAL]]="","",B392)</f>
        <v/>
      </c>
      <c r="C393" s="21"/>
      <c r="D393" s="21"/>
      <c r="E393" s="7" t="str">
        <f>IF(Plantilla_SCAN_EQ3_COUNT_2[[#This Row],[ID MATERIAL]]="","",VLOOKUP(Plantilla_SCAN_EQ3_COUNT_2[[#This Row],[ID MATERIAL]],INVENTARIO!$A:$D,2,FALSE))</f>
        <v/>
      </c>
      <c r="F393" s="7" t="str">
        <f>IF(Plantilla_SCAN_EQ3_COUNT_2[[#This Row],[ID MATERIAL]]="","",IF(Plantilla_SCAN_EQ3_COUNT_2[[#This Row],[No. Empaques]]="",1,Plantilla_SCAN_EQ3_COUNT_2[[#This Row],[No. Empaques]]*1))</f>
        <v/>
      </c>
      <c r="G393" s="7" t="str">
        <f>IF(Plantilla_SCAN_EQ3_COUNT_2[[#This Row],[ID MATERIAL]]="","","PZ")</f>
        <v/>
      </c>
      <c r="H393" s="7" t="str">
        <f>IF(Plantilla_SCAN_EQ3_COUNT_2[[#This Row],[ID MATERIAL]]="","",$B$13)</f>
        <v/>
      </c>
      <c r="I393" s="7" t="str">
        <f>IF(Plantilla_SCAN_EQ3_COUNT_2[[#This Row],[ID MATERIAL]]="","","Segundo Conteo")</f>
        <v/>
      </c>
    </row>
    <row r="394" spans="1:9" s="7" customFormat="1" ht="15" x14ac:dyDescent="0.2">
      <c r="A394" s="7" t="str">
        <f>IF(Plantilla_SCAN_EQ3_COUNT_2[[#This Row],[ID MATERIAL]]="","",SIGN(Plantilla_SCAN_EQ3_COUNT_2[[#This Row],[Cantidad]])+A393)</f>
        <v/>
      </c>
      <c r="B394" s="21" t="str">
        <f>IF(Plantilla_SCAN_EQ3_COUNT_2[[#This Row],[ID MATERIAL]]="","",B393)</f>
        <v/>
      </c>
      <c r="C394" s="21"/>
      <c r="D394" s="21"/>
      <c r="E394" s="7" t="str">
        <f>IF(Plantilla_SCAN_EQ3_COUNT_2[[#This Row],[ID MATERIAL]]="","",VLOOKUP(Plantilla_SCAN_EQ3_COUNT_2[[#This Row],[ID MATERIAL]],INVENTARIO!$A:$D,2,FALSE))</f>
        <v/>
      </c>
      <c r="F394" s="7" t="str">
        <f>IF(Plantilla_SCAN_EQ3_COUNT_2[[#This Row],[ID MATERIAL]]="","",IF(Plantilla_SCAN_EQ3_COUNT_2[[#This Row],[No. Empaques]]="",1,Plantilla_SCAN_EQ3_COUNT_2[[#This Row],[No. Empaques]]*1))</f>
        <v/>
      </c>
      <c r="G394" s="7" t="str">
        <f>IF(Plantilla_SCAN_EQ3_COUNT_2[[#This Row],[ID MATERIAL]]="","","PZ")</f>
        <v/>
      </c>
      <c r="H394" s="7" t="str">
        <f>IF(Plantilla_SCAN_EQ3_COUNT_2[[#This Row],[ID MATERIAL]]="","",$B$13)</f>
        <v/>
      </c>
      <c r="I394" s="7" t="str">
        <f>IF(Plantilla_SCAN_EQ3_COUNT_2[[#This Row],[ID MATERIAL]]="","","Segundo Conteo")</f>
        <v/>
      </c>
    </row>
    <row r="395" spans="1:9" s="7" customFormat="1" ht="15" x14ac:dyDescent="0.2">
      <c r="A395" s="7" t="str">
        <f>IF(Plantilla_SCAN_EQ3_COUNT_2[[#This Row],[ID MATERIAL]]="","",SIGN(Plantilla_SCAN_EQ3_COUNT_2[[#This Row],[Cantidad]])+A394)</f>
        <v/>
      </c>
      <c r="B395" s="21" t="str">
        <f>IF(Plantilla_SCAN_EQ3_COUNT_2[[#This Row],[ID MATERIAL]]="","",B394)</f>
        <v/>
      </c>
      <c r="C395" s="21"/>
      <c r="D395" s="21"/>
      <c r="E395" s="7" t="str">
        <f>IF(Plantilla_SCAN_EQ3_COUNT_2[[#This Row],[ID MATERIAL]]="","",VLOOKUP(Plantilla_SCAN_EQ3_COUNT_2[[#This Row],[ID MATERIAL]],INVENTARIO!$A:$D,2,FALSE))</f>
        <v/>
      </c>
      <c r="F395" s="7" t="str">
        <f>IF(Plantilla_SCAN_EQ3_COUNT_2[[#This Row],[ID MATERIAL]]="","",IF(Plantilla_SCAN_EQ3_COUNT_2[[#This Row],[No. Empaques]]="",1,Plantilla_SCAN_EQ3_COUNT_2[[#This Row],[No. Empaques]]*1))</f>
        <v/>
      </c>
      <c r="G395" s="7" t="str">
        <f>IF(Plantilla_SCAN_EQ3_COUNT_2[[#This Row],[ID MATERIAL]]="","","PZ")</f>
        <v/>
      </c>
      <c r="H395" s="7" t="str">
        <f>IF(Plantilla_SCAN_EQ3_COUNT_2[[#This Row],[ID MATERIAL]]="","",$B$13)</f>
        <v/>
      </c>
      <c r="I395" s="7" t="str">
        <f>IF(Plantilla_SCAN_EQ3_COUNT_2[[#This Row],[ID MATERIAL]]="","","Segundo Conteo")</f>
        <v/>
      </c>
    </row>
    <row r="396" spans="1:9" s="7" customFormat="1" ht="15" x14ac:dyDescent="0.2">
      <c r="A396" s="7" t="str">
        <f>IF(Plantilla_SCAN_EQ3_COUNT_2[[#This Row],[ID MATERIAL]]="","",SIGN(Plantilla_SCAN_EQ3_COUNT_2[[#This Row],[Cantidad]])+A395)</f>
        <v/>
      </c>
      <c r="B396" s="21" t="str">
        <f>IF(Plantilla_SCAN_EQ3_COUNT_2[[#This Row],[ID MATERIAL]]="","",B395)</f>
        <v/>
      </c>
      <c r="C396" s="21"/>
      <c r="D396" s="21"/>
      <c r="E396" s="7" t="str">
        <f>IF(Plantilla_SCAN_EQ3_COUNT_2[[#This Row],[ID MATERIAL]]="","",VLOOKUP(Plantilla_SCAN_EQ3_COUNT_2[[#This Row],[ID MATERIAL]],INVENTARIO!$A:$D,2,FALSE))</f>
        <v/>
      </c>
      <c r="F396" s="7" t="str">
        <f>IF(Plantilla_SCAN_EQ3_COUNT_2[[#This Row],[ID MATERIAL]]="","",IF(Plantilla_SCAN_EQ3_COUNT_2[[#This Row],[No. Empaques]]="",1,Plantilla_SCAN_EQ3_COUNT_2[[#This Row],[No. Empaques]]*1))</f>
        <v/>
      </c>
      <c r="G396" s="7" t="str">
        <f>IF(Plantilla_SCAN_EQ3_COUNT_2[[#This Row],[ID MATERIAL]]="","","PZ")</f>
        <v/>
      </c>
      <c r="H396" s="7" t="str">
        <f>IF(Plantilla_SCAN_EQ3_COUNT_2[[#This Row],[ID MATERIAL]]="","",$B$13)</f>
        <v/>
      </c>
      <c r="I396" s="7" t="str">
        <f>IF(Plantilla_SCAN_EQ3_COUNT_2[[#This Row],[ID MATERIAL]]="","","Segundo Conteo")</f>
        <v/>
      </c>
    </row>
    <row r="397" spans="1:9" s="7" customFormat="1" ht="15" x14ac:dyDescent="0.2">
      <c r="A397" s="7" t="str">
        <f>IF(Plantilla_SCAN_EQ3_COUNT_2[[#This Row],[ID MATERIAL]]="","",SIGN(Plantilla_SCAN_EQ3_COUNT_2[[#This Row],[Cantidad]])+A396)</f>
        <v/>
      </c>
      <c r="B397" s="21" t="str">
        <f>IF(Plantilla_SCAN_EQ3_COUNT_2[[#This Row],[ID MATERIAL]]="","",B396)</f>
        <v/>
      </c>
      <c r="C397" s="21"/>
      <c r="D397" s="21"/>
      <c r="E397" s="7" t="str">
        <f>IF(Plantilla_SCAN_EQ3_COUNT_2[[#This Row],[ID MATERIAL]]="","",VLOOKUP(Plantilla_SCAN_EQ3_COUNT_2[[#This Row],[ID MATERIAL]],INVENTARIO!$A:$D,2,FALSE))</f>
        <v/>
      </c>
      <c r="F397" s="7" t="str">
        <f>IF(Plantilla_SCAN_EQ3_COUNT_2[[#This Row],[ID MATERIAL]]="","",IF(Plantilla_SCAN_EQ3_COUNT_2[[#This Row],[No. Empaques]]="",1,Plantilla_SCAN_EQ3_COUNT_2[[#This Row],[No. Empaques]]*1))</f>
        <v/>
      </c>
      <c r="G397" s="7" t="str">
        <f>IF(Plantilla_SCAN_EQ3_COUNT_2[[#This Row],[ID MATERIAL]]="","","PZ")</f>
        <v/>
      </c>
      <c r="H397" s="7" t="str">
        <f>IF(Plantilla_SCAN_EQ3_COUNT_2[[#This Row],[ID MATERIAL]]="","",$B$13)</f>
        <v/>
      </c>
      <c r="I397" s="7" t="str">
        <f>IF(Plantilla_SCAN_EQ3_COUNT_2[[#This Row],[ID MATERIAL]]="","","Segundo Conteo")</f>
        <v/>
      </c>
    </row>
    <row r="398" spans="1:9" s="7" customFormat="1" ht="15" x14ac:dyDescent="0.2">
      <c r="A398" s="7" t="str">
        <f>IF(Plantilla_SCAN_EQ3_COUNT_2[[#This Row],[ID MATERIAL]]="","",SIGN(Plantilla_SCAN_EQ3_COUNT_2[[#This Row],[Cantidad]])+A397)</f>
        <v/>
      </c>
      <c r="B398" s="21" t="str">
        <f>IF(Plantilla_SCAN_EQ3_COUNT_2[[#This Row],[ID MATERIAL]]="","",B397)</f>
        <v/>
      </c>
      <c r="C398" s="21"/>
      <c r="D398" s="21"/>
      <c r="E398" s="7" t="str">
        <f>IF(Plantilla_SCAN_EQ3_COUNT_2[[#This Row],[ID MATERIAL]]="","",VLOOKUP(Plantilla_SCAN_EQ3_COUNT_2[[#This Row],[ID MATERIAL]],INVENTARIO!$A:$D,2,FALSE))</f>
        <v/>
      </c>
      <c r="F398" s="7" t="str">
        <f>IF(Plantilla_SCAN_EQ3_COUNT_2[[#This Row],[ID MATERIAL]]="","",IF(Plantilla_SCAN_EQ3_COUNT_2[[#This Row],[No. Empaques]]="",1,Plantilla_SCAN_EQ3_COUNT_2[[#This Row],[No. Empaques]]*1))</f>
        <v/>
      </c>
      <c r="G398" s="7" t="str">
        <f>IF(Plantilla_SCAN_EQ3_COUNT_2[[#This Row],[ID MATERIAL]]="","","PZ")</f>
        <v/>
      </c>
      <c r="H398" s="7" t="str">
        <f>IF(Plantilla_SCAN_EQ3_COUNT_2[[#This Row],[ID MATERIAL]]="","",$B$13)</f>
        <v/>
      </c>
      <c r="I398" s="7" t="str">
        <f>IF(Plantilla_SCAN_EQ3_COUNT_2[[#This Row],[ID MATERIAL]]="","","Segundo Conteo")</f>
        <v/>
      </c>
    </row>
    <row r="399" spans="1:9" s="7" customFormat="1" ht="15" x14ac:dyDescent="0.2">
      <c r="A399" s="7" t="str">
        <f>IF(Plantilla_SCAN_EQ3_COUNT_2[[#This Row],[ID MATERIAL]]="","",SIGN(Plantilla_SCAN_EQ3_COUNT_2[[#This Row],[Cantidad]])+A398)</f>
        <v/>
      </c>
      <c r="B399" s="21" t="str">
        <f>IF(Plantilla_SCAN_EQ3_COUNT_2[[#This Row],[ID MATERIAL]]="","",B398)</f>
        <v/>
      </c>
      <c r="C399" s="21"/>
      <c r="D399" s="21"/>
      <c r="E399" s="7" t="str">
        <f>IF(Plantilla_SCAN_EQ3_COUNT_2[[#This Row],[ID MATERIAL]]="","",VLOOKUP(Plantilla_SCAN_EQ3_COUNT_2[[#This Row],[ID MATERIAL]],INVENTARIO!$A:$D,2,FALSE))</f>
        <v/>
      </c>
      <c r="F399" s="7" t="str">
        <f>IF(Plantilla_SCAN_EQ3_COUNT_2[[#This Row],[ID MATERIAL]]="","",IF(Plantilla_SCAN_EQ3_COUNT_2[[#This Row],[No. Empaques]]="",1,Plantilla_SCAN_EQ3_COUNT_2[[#This Row],[No. Empaques]]*1))</f>
        <v/>
      </c>
      <c r="G399" s="7" t="str">
        <f>IF(Plantilla_SCAN_EQ3_COUNT_2[[#This Row],[ID MATERIAL]]="","","PZ")</f>
        <v/>
      </c>
      <c r="H399" s="7" t="str">
        <f>IF(Plantilla_SCAN_EQ3_COUNT_2[[#This Row],[ID MATERIAL]]="","",$B$13)</f>
        <v/>
      </c>
      <c r="I399" s="7" t="str">
        <f>IF(Plantilla_SCAN_EQ3_COUNT_2[[#This Row],[ID MATERIAL]]="","","Segundo Conteo")</f>
        <v/>
      </c>
    </row>
    <row r="400" spans="1:9" s="7" customFormat="1" ht="15" x14ac:dyDescent="0.2">
      <c r="A400" s="7" t="str">
        <f>IF(Plantilla_SCAN_EQ3_COUNT_2[[#This Row],[ID MATERIAL]]="","",SIGN(Plantilla_SCAN_EQ3_COUNT_2[[#This Row],[Cantidad]])+A399)</f>
        <v/>
      </c>
      <c r="B400" s="21" t="str">
        <f>IF(Plantilla_SCAN_EQ3_COUNT_2[[#This Row],[ID MATERIAL]]="","",B399)</f>
        <v/>
      </c>
      <c r="C400" s="21"/>
      <c r="D400" s="21"/>
      <c r="E400" s="7" t="str">
        <f>IF(Plantilla_SCAN_EQ3_COUNT_2[[#This Row],[ID MATERIAL]]="","",VLOOKUP(Plantilla_SCAN_EQ3_COUNT_2[[#This Row],[ID MATERIAL]],INVENTARIO!$A:$D,2,FALSE))</f>
        <v/>
      </c>
      <c r="F400" s="7" t="str">
        <f>IF(Plantilla_SCAN_EQ3_COUNT_2[[#This Row],[ID MATERIAL]]="","",IF(Plantilla_SCAN_EQ3_COUNT_2[[#This Row],[No. Empaques]]="",1,Plantilla_SCAN_EQ3_COUNT_2[[#This Row],[No. Empaques]]*1))</f>
        <v/>
      </c>
      <c r="G400" s="7" t="str">
        <f>IF(Plantilla_SCAN_EQ3_COUNT_2[[#This Row],[ID MATERIAL]]="","","PZ")</f>
        <v/>
      </c>
      <c r="H400" s="7" t="str">
        <f>IF(Plantilla_SCAN_EQ3_COUNT_2[[#This Row],[ID MATERIAL]]="","",$B$13)</f>
        <v/>
      </c>
      <c r="I400" s="7" t="str">
        <f>IF(Plantilla_SCAN_EQ3_COUNT_2[[#This Row],[ID MATERIAL]]="","","Segundo Conteo")</f>
        <v/>
      </c>
    </row>
    <row r="401" spans="1:9" s="7" customFormat="1" ht="15" x14ac:dyDescent="0.2">
      <c r="A401" s="7" t="str">
        <f>IF(Plantilla_SCAN_EQ3_COUNT_2[[#This Row],[ID MATERIAL]]="","",SIGN(Plantilla_SCAN_EQ3_COUNT_2[[#This Row],[Cantidad]])+A400)</f>
        <v/>
      </c>
      <c r="B401" s="21" t="str">
        <f>IF(Plantilla_SCAN_EQ3_COUNT_2[[#This Row],[ID MATERIAL]]="","",B400)</f>
        <v/>
      </c>
      <c r="C401" s="21"/>
      <c r="D401" s="21"/>
      <c r="E401" s="7" t="str">
        <f>IF(Plantilla_SCAN_EQ3_COUNT_2[[#This Row],[ID MATERIAL]]="","",VLOOKUP(Plantilla_SCAN_EQ3_COUNT_2[[#This Row],[ID MATERIAL]],INVENTARIO!$A:$D,2,FALSE))</f>
        <v/>
      </c>
      <c r="F401" s="7" t="str">
        <f>IF(Plantilla_SCAN_EQ3_COUNT_2[[#This Row],[ID MATERIAL]]="","",IF(Plantilla_SCAN_EQ3_COUNT_2[[#This Row],[No. Empaques]]="",1,Plantilla_SCAN_EQ3_COUNT_2[[#This Row],[No. Empaques]]*1))</f>
        <v/>
      </c>
      <c r="G401" s="7" t="str">
        <f>IF(Plantilla_SCAN_EQ3_COUNT_2[[#This Row],[ID MATERIAL]]="","","PZ")</f>
        <v/>
      </c>
      <c r="H401" s="7" t="str">
        <f>IF(Plantilla_SCAN_EQ3_COUNT_2[[#This Row],[ID MATERIAL]]="","",$B$13)</f>
        <v/>
      </c>
      <c r="I401" s="7" t="str">
        <f>IF(Plantilla_SCAN_EQ3_COUNT_2[[#This Row],[ID MATERIAL]]="","","Segundo Conteo")</f>
        <v/>
      </c>
    </row>
    <row r="402" spans="1:9" s="7" customFormat="1" ht="15" x14ac:dyDescent="0.2">
      <c r="A402" s="7" t="str">
        <f>IF(Plantilla_SCAN_EQ3_COUNT_2[[#This Row],[ID MATERIAL]]="","",SIGN(Plantilla_SCAN_EQ3_COUNT_2[[#This Row],[Cantidad]])+A401)</f>
        <v/>
      </c>
      <c r="B402" s="21" t="str">
        <f>IF(Plantilla_SCAN_EQ3_COUNT_2[[#This Row],[ID MATERIAL]]="","",B401)</f>
        <v/>
      </c>
      <c r="C402" s="21"/>
      <c r="D402" s="21"/>
      <c r="E402" s="7" t="str">
        <f>IF(Plantilla_SCAN_EQ3_COUNT_2[[#This Row],[ID MATERIAL]]="","",VLOOKUP(Plantilla_SCAN_EQ3_COUNT_2[[#This Row],[ID MATERIAL]],INVENTARIO!$A:$D,2,FALSE))</f>
        <v/>
      </c>
      <c r="F402" s="7" t="str">
        <f>IF(Plantilla_SCAN_EQ3_COUNT_2[[#This Row],[ID MATERIAL]]="","",IF(Plantilla_SCAN_EQ3_COUNT_2[[#This Row],[No. Empaques]]="",1,Plantilla_SCAN_EQ3_COUNT_2[[#This Row],[No. Empaques]]*1))</f>
        <v/>
      </c>
      <c r="G402" s="7" t="str">
        <f>IF(Plantilla_SCAN_EQ3_COUNT_2[[#This Row],[ID MATERIAL]]="","","PZ")</f>
        <v/>
      </c>
      <c r="H402" s="7" t="str">
        <f>IF(Plantilla_SCAN_EQ3_COUNT_2[[#This Row],[ID MATERIAL]]="","",$B$13)</f>
        <v/>
      </c>
      <c r="I402" s="7" t="str">
        <f>IF(Plantilla_SCAN_EQ3_COUNT_2[[#This Row],[ID MATERIAL]]="","","Segundo Conteo")</f>
        <v/>
      </c>
    </row>
    <row r="403" spans="1:9" s="7" customFormat="1" ht="15" x14ac:dyDescent="0.2">
      <c r="A403" s="7" t="str">
        <f>IF(Plantilla_SCAN_EQ3_COUNT_2[[#This Row],[ID MATERIAL]]="","",SIGN(Plantilla_SCAN_EQ3_COUNT_2[[#This Row],[Cantidad]])+A402)</f>
        <v/>
      </c>
      <c r="B403" s="21" t="str">
        <f>IF(Plantilla_SCAN_EQ3_COUNT_2[[#This Row],[ID MATERIAL]]="","",B402)</f>
        <v/>
      </c>
      <c r="C403" s="21"/>
      <c r="D403" s="21"/>
      <c r="E403" s="7" t="str">
        <f>IF(Plantilla_SCAN_EQ3_COUNT_2[[#This Row],[ID MATERIAL]]="","",VLOOKUP(Plantilla_SCAN_EQ3_COUNT_2[[#This Row],[ID MATERIAL]],INVENTARIO!$A:$D,2,FALSE))</f>
        <v/>
      </c>
      <c r="F403" s="7" t="str">
        <f>IF(Plantilla_SCAN_EQ3_COUNT_2[[#This Row],[ID MATERIAL]]="","",IF(Plantilla_SCAN_EQ3_COUNT_2[[#This Row],[No. Empaques]]="",1,Plantilla_SCAN_EQ3_COUNT_2[[#This Row],[No. Empaques]]*1))</f>
        <v/>
      </c>
      <c r="G403" s="7" t="str">
        <f>IF(Plantilla_SCAN_EQ3_COUNT_2[[#This Row],[ID MATERIAL]]="","","PZ")</f>
        <v/>
      </c>
      <c r="H403" s="7" t="str">
        <f>IF(Plantilla_SCAN_EQ3_COUNT_2[[#This Row],[ID MATERIAL]]="","",$B$13)</f>
        <v/>
      </c>
      <c r="I403" s="7" t="str">
        <f>IF(Plantilla_SCAN_EQ3_COUNT_2[[#This Row],[ID MATERIAL]]="","","Segundo Conteo")</f>
        <v/>
      </c>
    </row>
    <row r="404" spans="1:9" s="7" customFormat="1" ht="15" x14ac:dyDescent="0.2">
      <c r="A404" s="7" t="str">
        <f>IF(Plantilla_SCAN_EQ3_COUNT_2[[#This Row],[ID MATERIAL]]="","",SIGN(Plantilla_SCAN_EQ3_COUNT_2[[#This Row],[Cantidad]])+A403)</f>
        <v/>
      </c>
      <c r="B404" s="21" t="str">
        <f>IF(Plantilla_SCAN_EQ3_COUNT_2[[#This Row],[ID MATERIAL]]="","",B403)</f>
        <v/>
      </c>
      <c r="C404" s="21"/>
      <c r="D404" s="21"/>
      <c r="E404" s="7" t="str">
        <f>IF(Plantilla_SCAN_EQ3_COUNT_2[[#This Row],[ID MATERIAL]]="","",VLOOKUP(Plantilla_SCAN_EQ3_COUNT_2[[#This Row],[ID MATERIAL]],INVENTARIO!$A:$D,2,FALSE))</f>
        <v/>
      </c>
      <c r="F404" s="7" t="str">
        <f>IF(Plantilla_SCAN_EQ3_COUNT_2[[#This Row],[ID MATERIAL]]="","",IF(Plantilla_SCAN_EQ3_COUNT_2[[#This Row],[No. Empaques]]="",1,Plantilla_SCAN_EQ3_COUNT_2[[#This Row],[No. Empaques]]*1))</f>
        <v/>
      </c>
      <c r="G404" s="7" t="str">
        <f>IF(Plantilla_SCAN_EQ3_COUNT_2[[#This Row],[ID MATERIAL]]="","","PZ")</f>
        <v/>
      </c>
      <c r="H404" s="7" t="str">
        <f>IF(Plantilla_SCAN_EQ3_COUNT_2[[#This Row],[ID MATERIAL]]="","",$B$13)</f>
        <v/>
      </c>
      <c r="I404" s="7" t="str">
        <f>IF(Plantilla_SCAN_EQ3_COUNT_2[[#This Row],[ID MATERIAL]]="","","Segundo Conteo")</f>
        <v/>
      </c>
    </row>
    <row r="405" spans="1:9" s="7" customFormat="1" ht="15" x14ac:dyDescent="0.2">
      <c r="A405" s="7" t="str">
        <f>IF(Plantilla_SCAN_EQ3_COUNT_2[[#This Row],[ID MATERIAL]]="","",SIGN(Plantilla_SCAN_EQ3_COUNT_2[[#This Row],[Cantidad]])+A404)</f>
        <v/>
      </c>
      <c r="B405" s="21" t="str">
        <f>IF(Plantilla_SCAN_EQ3_COUNT_2[[#This Row],[ID MATERIAL]]="","",B404)</f>
        <v/>
      </c>
      <c r="C405" s="21"/>
      <c r="D405" s="21"/>
      <c r="E405" s="7" t="str">
        <f>IF(Plantilla_SCAN_EQ3_COUNT_2[[#This Row],[ID MATERIAL]]="","",VLOOKUP(Plantilla_SCAN_EQ3_COUNT_2[[#This Row],[ID MATERIAL]],INVENTARIO!$A:$D,2,FALSE))</f>
        <v/>
      </c>
      <c r="F405" s="7" t="str">
        <f>IF(Plantilla_SCAN_EQ3_COUNT_2[[#This Row],[ID MATERIAL]]="","",IF(Plantilla_SCAN_EQ3_COUNT_2[[#This Row],[No. Empaques]]="",1,Plantilla_SCAN_EQ3_COUNT_2[[#This Row],[No. Empaques]]*1))</f>
        <v/>
      </c>
      <c r="G405" s="7" t="str">
        <f>IF(Plantilla_SCAN_EQ3_COUNT_2[[#This Row],[ID MATERIAL]]="","","PZ")</f>
        <v/>
      </c>
      <c r="H405" s="7" t="str">
        <f>IF(Plantilla_SCAN_EQ3_COUNT_2[[#This Row],[ID MATERIAL]]="","",$B$13)</f>
        <v/>
      </c>
      <c r="I405" s="7" t="str">
        <f>IF(Plantilla_SCAN_EQ3_COUNT_2[[#This Row],[ID MATERIAL]]="","","Segundo Conteo")</f>
        <v/>
      </c>
    </row>
    <row r="406" spans="1:9" s="7" customFormat="1" ht="15" x14ac:dyDescent="0.2">
      <c r="A406" s="7" t="str">
        <f>IF(Plantilla_SCAN_EQ3_COUNT_2[[#This Row],[ID MATERIAL]]="","",SIGN(Plantilla_SCAN_EQ3_COUNT_2[[#This Row],[Cantidad]])+A405)</f>
        <v/>
      </c>
      <c r="B406" s="21" t="str">
        <f>IF(Plantilla_SCAN_EQ3_COUNT_2[[#This Row],[ID MATERIAL]]="","",B405)</f>
        <v/>
      </c>
      <c r="C406" s="21"/>
      <c r="D406" s="21"/>
      <c r="E406" s="7" t="str">
        <f>IF(Plantilla_SCAN_EQ3_COUNT_2[[#This Row],[ID MATERIAL]]="","",VLOOKUP(Plantilla_SCAN_EQ3_COUNT_2[[#This Row],[ID MATERIAL]],INVENTARIO!$A:$D,2,FALSE))</f>
        <v/>
      </c>
      <c r="F406" s="7" t="str">
        <f>IF(Plantilla_SCAN_EQ3_COUNT_2[[#This Row],[ID MATERIAL]]="","",IF(Plantilla_SCAN_EQ3_COUNT_2[[#This Row],[No. Empaques]]="",1,Plantilla_SCAN_EQ3_COUNT_2[[#This Row],[No. Empaques]]*1))</f>
        <v/>
      </c>
      <c r="G406" s="7" t="str">
        <f>IF(Plantilla_SCAN_EQ3_COUNT_2[[#This Row],[ID MATERIAL]]="","","PZ")</f>
        <v/>
      </c>
      <c r="H406" s="7" t="str">
        <f>IF(Plantilla_SCAN_EQ3_COUNT_2[[#This Row],[ID MATERIAL]]="","",$B$13)</f>
        <v/>
      </c>
      <c r="I406" s="7" t="str">
        <f>IF(Plantilla_SCAN_EQ3_COUNT_2[[#This Row],[ID MATERIAL]]="","","Segundo Conteo")</f>
        <v/>
      </c>
    </row>
    <row r="407" spans="1:9" s="7" customFormat="1" ht="15" x14ac:dyDescent="0.2">
      <c r="A407" s="7" t="str">
        <f>IF(Plantilla_SCAN_EQ3_COUNT_2[[#This Row],[ID MATERIAL]]="","",SIGN(Plantilla_SCAN_EQ3_COUNT_2[[#This Row],[Cantidad]])+A406)</f>
        <v/>
      </c>
      <c r="B407" s="21" t="str">
        <f>IF(Plantilla_SCAN_EQ3_COUNT_2[[#This Row],[ID MATERIAL]]="","",B406)</f>
        <v/>
      </c>
      <c r="C407" s="21"/>
      <c r="D407" s="21"/>
      <c r="E407" s="7" t="str">
        <f>IF(Plantilla_SCAN_EQ3_COUNT_2[[#This Row],[ID MATERIAL]]="","",VLOOKUP(Plantilla_SCAN_EQ3_COUNT_2[[#This Row],[ID MATERIAL]],INVENTARIO!$A:$D,2,FALSE))</f>
        <v/>
      </c>
      <c r="F407" s="7" t="str">
        <f>IF(Plantilla_SCAN_EQ3_COUNT_2[[#This Row],[ID MATERIAL]]="","",IF(Plantilla_SCAN_EQ3_COUNT_2[[#This Row],[No. Empaques]]="",1,Plantilla_SCAN_EQ3_COUNT_2[[#This Row],[No. Empaques]]*1))</f>
        <v/>
      </c>
      <c r="G407" s="7" t="str">
        <f>IF(Plantilla_SCAN_EQ3_COUNT_2[[#This Row],[ID MATERIAL]]="","","PZ")</f>
        <v/>
      </c>
      <c r="H407" s="7" t="str">
        <f>IF(Plantilla_SCAN_EQ3_COUNT_2[[#This Row],[ID MATERIAL]]="","",$B$13)</f>
        <v/>
      </c>
      <c r="I407" s="7" t="str">
        <f>IF(Plantilla_SCAN_EQ3_COUNT_2[[#This Row],[ID MATERIAL]]="","","Segundo Conteo")</f>
        <v/>
      </c>
    </row>
    <row r="408" spans="1:9" s="7" customFormat="1" ht="15" x14ac:dyDescent="0.2">
      <c r="A408" s="7" t="str">
        <f>IF(Plantilla_SCAN_EQ3_COUNT_2[[#This Row],[ID MATERIAL]]="","",SIGN(Plantilla_SCAN_EQ3_COUNT_2[[#This Row],[Cantidad]])+A407)</f>
        <v/>
      </c>
      <c r="B408" s="21" t="str">
        <f>IF(Plantilla_SCAN_EQ3_COUNT_2[[#This Row],[ID MATERIAL]]="","",B407)</f>
        <v/>
      </c>
      <c r="C408" s="21"/>
      <c r="D408" s="21"/>
      <c r="E408" s="7" t="str">
        <f>IF(Plantilla_SCAN_EQ3_COUNT_2[[#This Row],[ID MATERIAL]]="","",VLOOKUP(Plantilla_SCAN_EQ3_COUNT_2[[#This Row],[ID MATERIAL]],INVENTARIO!$A:$D,2,FALSE))</f>
        <v/>
      </c>
      <c r="F408" s="7" t="str">
        <f>IF(Plantilla_SCAN_EQ3_COUNT_2[[#This Row],[ID MATERIAL]]="","",IF(Plantilla_SCAN_EQ3_COUNT_2[[#This Row],[No. Empaques]]="",1,Plantilla_SCAN_EQ3_COUNT_2[[#This Row],[No. Empaques]]*1))</f>
        <v/>
      </c>
      <c r="G408" s="7" t="str">
        <f>IF(Plantilla_SCAN_EQ3_COUNT_2[[#This Row],[ID MATERIAL]]="","","PZ")</f>
        <v/>
      </c>
      <c r="H408" s="7" t="str">
        <f>IF(Plantilla_SCAN_EQ3_COUNT_2[[#This Row],[ID MATERIAL]]="","",$B$13)</f>
        <v/>
      </c>
      <c r="I408" s="7" t="str">
        <f>IF(Plantilla_SCAN_EQ3_COUNT_2[[#This Row],[ID MATERIAL]]="","","Segundo Conteo")</f>
        <v/>
      </c>
    </row>
    <row r="409" spans="1:9" s="7" customFormat="1" ht="15" x14ac:dyDescent="0.2">
      <c r="A409" s="7" t="str">
        <f>IF(Plantilla_SCAN_EQ3_COUNT_2[[#This Row],[ID MATERIAL]]="","",SIGN(Plantilla_SCAN_EQ3_COUNT_2[[#This Row],[Cantidad]])+A408)</f>
        <v/>
      </c>
      <c r="B409" s="21" t="str">
        <f>IF(Plantilla_SCAN_EQ3_COUNT_2[[#This Row],[ID MATERIAL]]="","",B408)</f>
        <v/>
      </c>
      <c r="C409" s="21"/>
      <c r="D409" s="21"/>
      <c r="E409" s="7" t="str">
        <f>IF(Plantilla_SCAN_EQ3_COUNT_2[[#This Row],[ID MATERIAL]]="","",VLOOKUP(Plantilla_SCAN_EQ3_COUNT_2[[#This Row],[ID MATERIAL]],INVENTARIO!$A:$D,2,FALSE))</f>
        <v/>
      </c>
      <c r="F409" s="7" t="str">
        <f>IF(Plantilla_SCAN_EQ3_COUNT_2[[#This Row],[ID MATERIAL]]="","",IF(Plantilla_SCAN_EQ3_COUNT_2[[#This Row],[No. Empaques]]="",1,Plantilla_SCAN_EQ3_COUNT_2[[#This Row],[No. Empaques]]*1))</f>
        <v/>
      </c>
      <c r="G409" s="7" t="str">
        <f>IF(Plantilla_SCAN_EQ3_COUNT_2[[#This Row],[ID MATERIAL]]="","","PZ")</f>
        <v/>
      </c>
      <c r="H409" s="7" t="str">
        <f>IF(Plantilla_SCAN_EQ3_COUNT_2[[#This Row],[ID MATERIAL]]="","",$B$13)</f>
        <v/>
      </c>
      <c r="I409" s="7" t="str">
        <f>IF(Plantilla_SCAN_EQ3_COUNT_2[[#This Row],[ID MATERIAL]]="","","Segundo Conteo")</f>
        <v/>
      </c>
    </row>
    <row r="410" spans="1:9" s="7" customFormat="1" ht="15" x14ac:dyDescent="0.2">
      <c r="A410" s="7" t="str">
        <f>IF(Plantilla_SCAN_EQ3_COUNT_2[[#This Row],[ID MATERIAL]]="","",SIGN(Plantilla_SCAN_EQ3_COUNT_2[[#This Row],[Cantidad]])+A409)</f>
        <v/>
      </c>
      <c r="B410" s="21" t="str">
        <f>IF(Plantilla_SCAN_EQ3_COUNT_2[[#This Row],[ID MATERIAL]]="","",B409)</f>
        <v/>
      </c>
      <c r="C410" s="21"/>
      <c r="D410" s="21"/>
      <c r="E410" s="7" t="str">
        <f>IF(Plantilla_SCAN_EQ3_COUNT_2[[#This Row],[ID MATERIAL]]="","",VLOOKUP(Plantilla_SCAN_EQ3_COUNT_2[[#This Row],[ID MATERIAL]],INVENTARIO!$A:$D,2,FALSE))</f>
        <v/>
      </c>
      <c r="F410" s="7" t="str">
        <f>IF(Plantilla_SCAN_EQ3_COUNT_2[[#This Row],[ID MATERIAL]]="","",IF(Plantilla_SCAN_EQ3_COUNT_2[[#This Row],[No. Empaques]]="",1,Plantilla_SCAN_EQ3_COUNT_2[[#This Row],[No. Empaques]]*1))</f>
        <v/>
      </c>
      <c r="G410" s="7" t="str">
        <f>IF(Plantilla_SCAN_EQ3_COUNT_2[[#This Row],[ID MATERIAL]]="","","PZ")</f>
        <v/>
      </c>
      <c r="H410" s="7" t="str">
        <f>IF(Plantilla_SCAN_EQ3_COUNT_2[[#This Row],[ID MATERIAL]]="","",$B$13)</f>
        <v/>
      </c>
      <c r="I410" s="7" t="str">
        <f>IF(Plantilla_SCAN_EQ3_COUNT_2[[#This Row],[ID MATERIAL]]="","","Segundo Conteo")</f>
        <v/>
      </c>
    </row>
    <row r="411" spans="1:9" s="7" customFormat="1" ht="15" x14ac:dyDescent="0.2">
      <c r="A411" s="7" t="str">
        <f>IF(Plantilla_SCAN_EQ3_COUNT_2[[#This Row],[ID MATERIAL]]="","",SIGN(Plantilla_SCAN_EQ3_COUNT_2[[#This Row],[Cantidad]])+A410)</f>
        <v/>
      </c>
      <c r="B411" s="21" t="str">
        <f>IF(Plantilla_SCAN_EQ3_COUNT_2[[#This Row],[ID MATERIAL]]="","",B410)</f>
        <v/>
      </c>
      <c r="C411" s="21"/>
      <c r="D411" s="21"/>
      <c r="E411" s="7" t="str">
        <f>IF(Plantilla_SCAN_EQ3_COUNT_2[[#This Row],[ID MATERIAL]]="","",VLOOKUP(Plantilla_SCAN_EQ3_COUNT_2[[#This Row],[ID MATERIAL]],INVENTARIO!$A:$D,2,FALSE))</f>
        <v/>
      </c>
      <c r="F411" s="7" t="str">
        <f>IF(Plantilla_SCAN_EQ3_COUNT_2[[#This Row],[ID MATERIAL]]="","",IF(Plantilla_SCAN_EQ3_COUNT_2[[#This Row],[No. Empaques]]="",1,Plantilla_SCAN_EQ3_COUNT_2[[#This Row],[No. Empaques]]*1))</f>
        <v/>
      </c>
      <c r="G411" s="7" t="str">
        <f>IF(Plantilla_SCAN_EQ3_COUNT_2[[#This Row],[ID MATERIAL]]="","","PZ")</f>
        <v/>
      </c>
      <c r="H411" s="7" t="str">
        <f>IF(Plantilla_SCAN_EQ3_COUNT_2[[#This Row],[ID MATERIAL]]="","",$B$13)</f>
        <v/>
      </c>
      <c r="I411" s="7" t="str">
        <f>IF(Plantilla_SCAN_EQ3_COUNT_2[[#This Row],[ID MATERIAL]]="","","Segundo Conteo")</f>
        <v/>
      </c>
    </row>
    <row r="412" spans="1:9" s="7" customFormat="1" ht="15" x14ac:dyDescent="0.2">
      <c r="A412" s="7" t="str">
        <f>IF(Plantilla_SCAN_EQ3_COUNT_2[[#This Row],[ID MATERIAL]]="","",SIGN(Plantilla_SCAN_EQ3_COUNT_2[[#This Row],[Cantidad]])+A411)</f>
        <v/>
      </c>
      <c r="B412" s="21" t="str">
        <f>IF(Plantilla_SCAN_EQ3_COUNT_2[[#This Row],[ID MATERIAL]]="","",B411)</f>
        <v/>
      </c>
      <c r="C412" s="21"/>
      <c r="D412" s="21"/>
      <c r="E412" s="7" t="str">
        <f>IF(Plantilla_SCAN_EQ3_COUNT_2[[#This Row],[ID MATERIAL]]="","",VLOOKUP(Plantilla_SCAN_EQ3_COUNT_2[[#This Row],[ID MATERIAL]],INVENTARIO!$A:$D,2,FALSE))</f>
        <v/>
      </c>
      <c r="F412" s="7" t="str">
        <f>IF(Plantilla_SCAN_EQ3_COUNT_2[[#This Row],[ID MATERIAL]]="","",IF(Plantilla_SCAN_EQ3_COUNT_2[[#This Row],[No. Empaques]]="",1,Plantilla_SCAN_EQ3_COUNT_2[[#This Row],[No. Empaques]]*1))</f>
        <v/>
      </c>
      <c r="G412" s="7" t="str">
        <f>IF(Plantilla_SCAN_EQ3_COUNT_2[[#This Row],[ID MATERIAL]]="","","PZ")</f>
        <v/>
      </c>
      <c r="H412" s="7" t="str">
        <f>IF(Plantilla_SCAN_EQ3_COUNT_2[[#This Row],[ID MATERIAL]]="","",$B$13)</f>
        <v/>
      </c>
      <c r="I412" s="7" t="str">
        <f>IF(Plantilla_SCAN_EQ3_COUNT_2[[#This Row],[ID MATERIAL]]="","","Segundo Conteo")</f>
        <v/>
      </c>
    </row>
    <row r="413" spans="1:9" s="7" customFormat="1" ht="15" x14ac:dyDescent="0.2">
      <c r="A413" s="7" t="str">
        <f>IF(Plantilla_SCAN_EQ3_COUNT_2[[#This Row],[ID MATERIAL]]="","",SIGN(Plantilla_SCAN_EQ3_COUNT_2[[#This Row],[Cantidad]])+A412)</f>
        <v/>
      </c>
      <c r="B413" s="21" t="str">
        <f>IF(Plantilla_SCAN_EQ3_COUNT_2[[#This Row],[ID MATERIAL]]="","",B412)</f>
        <v/>
      </c>
      <c r="C413" s="21"/>
      <c r="D413" s="21"/>
      <c r="E413" s="7" t="str">
        <f>IF(Plantilla_SCAN_EQ3_COUNT_2[[#This Row],[ID MATERIAL]]="","",VLOOKUP(Plantilla_SCAN_EQ3_COUNT_2[[#This Row],[ID MATERIAL]],INVENTARIO!$A:$D,2,FALSE))</f>
        <v/>
      </c>
      <c r="F413" s="7" t="str">
        <f>IF(Plantilla_SCAN_EQ3_COUNT_2[[#This Row],[ID MATERIAL]]="","",IF(Plantilla_SCAN_EQ3_COUNT_2[[#This Row],[No. Empaques]]="",1,Plantilla_SCAN_EQ3_COUNT_2[[#This Row],[No. Empaques]]*1))</f>
        <v/>
      </c>
      <c r="G413" s="7" t="str">
        <f>IF(Plantilla_SCAN_EQ3_COUNT_2[[#This Row],[ID MATERIAL]]="","","PZ")</f>
        <v/>
      </c>
      <c r="H413" s="7" t="str">
        <f>IF(Plantilla_SCAN_EQ3_COUNT_2[[#This Row],[ID MATERIAL]]="","",$B$13)</f>
        <v/>
      </c>
      <c r="I413" s="7" t="str">
        <f>IF(Plantilla_SCAN_EQ3_COUNT_2[[#This Row],[ID MATERIAL]]="","","Segundo Conteo")</f>
        <v/>
      </c>
    </row>
    <row r="414" spans="1:9" s="7" customFormat="1" ht="15" x14ac:dyDescent="0.2">
      <c r="A414" s="7" t="str">
        <f>IF(Plantilla_SCAN_EQ3_COUNT_2[[#This Row],[ID MATERIAL]]="","",SIGN(Plantilla_SCAN_EQ3_COUNT_2[[#This Row],[Cantidad]])+A413)</f>
        <v/>
      </c>
      <c r="B414" s="21" t="str">
        <f>IF(Plantilla_SCAN_EQ3_COUNT_2[[#This Row],[ID MATERIAL]]="","",B413)</f>
        <v/>
      </c>
      <c r="C414" s="21"/>
      <c r="D414" s="21"/>
      <c r="E414" s="7" t="str">
        <f>IF(Plantilla_SCAN_EQ3_COUNT_2[[#This Row],[ID MATERIAL]]="","",VLOOKUP(Plantilla_SCAN_EQ3_COUNT_2[[#This Row],[ID MATERIAL]],INVENTARIO!$A:$D,2,FALSE))</f>
        <v/>
      </c>
      <c r="F414" s="7" t="str">
        <f>IF(Plantilla_SCAN_EQ3_COUNT_2[[#This Row],[ID MATERIAL]]="","",IF(Plantilla_SCAN_EQ3_COUNT_2[[#This Row],[No. Empaques]]="",1,Plantilla_SCAN_EQ3_COUNT_2[[#This Row],[No. Empaques]]*1))</f>
        <v/>
      </c>
      <c r="G414" s="7" t="str">
        <f>IF(Plantilla_SCAN_EQ3_COUNT_2[[#This Row],[ID MATERIAL]]="","","PZ")</f>
        <v/>
      </c>
      <c r="H414" s="7" t="str">
        <f>IF(Plantilla_SCAN_EQ3_COUNT_2[[#This Row],[ID MATERIAL]]="","",$B$13)</f>
        <v/>
      </c>
      <c r="I414" s="7" t="str">
        <f>IF(Plantilla_SCAN_EQ3_COUNT_2[[#This Row],[ID MATERIAL]]="","","Segundo Conteo")</f>
        <v/>
      </c>
    </row>
    <row r="415" spans="1:9" s="7" customFormat="1" ht="15" x14ac:dyDescent="0.2">
      <c r="A415" s="7" t="str">
        <f>IF(Plantilla_SCAN_EQ3_COUNT_2[[#This Row],[ID MATERIAL]]="","",SIGN(Plantilla_SCAN_EQ3_COUNT_2[[#This Row],[Cantidad]])+A414)</f>
        <v/>
      </c>
      <c r="B415" s="21" t="str">
        <f>IF(Plantilla_SCAN_EQ3_COUNT_2[[#This Row],[ID MATERIAL]]="","",B414)</f>
        <v/>
      </c>
      <c r="C415" s="21"/>
      <c r="D415" s="21"/>
      <c r="E415" s="7" t="str">
        <f>IF(Plantilla_SCAN_EQ3_COUNT_2[[#This Row],[ID MATERIAL]]="","",VLOOKUP(Plantilla_SCAN_EQ3_COUNT_2[[#This Row],[ID MATERIAL]],INVENTARIO!$A:$D,2,FALSE))</f>
        <v/>
      </c>
      <c r="F415" s="7" t="str">
        <f>IF(Plantilla_SCAN_EQ3_COUNT_2[[#This Row],[ID MATERIAL]]="","",IF(Plantilla_SCAN_EQ3_COUNT_2[[#This Row],[No. Empaques]]="",1,Plantilla_SCAN_EQ3_COUNT_2[[#This Row],[No. Empaques]]*1))</f>
        <v/>
      </c>
      <c r="G415" s="7" t="str">
        <f>IF(Plantilla_SCAN_EQ3_COUNT_2[[#This Row],[ID MATERIAL]]="","","PZ")</f>
        <v/>
      </c>
      <c r="H415" s="7" t="str">
        <f>IF(Plantilla_SCAN_EQ3_COUNT_2[[#This Row],[ID MATERIAL]]="","",$B$13)</f>
        <v/>
      </c>
      <c r="I415" s="7" t="str">
        <f>IF(Plantilla_SCAN_EQ3_COUNT_2[[#This Row],[ID MATERIAL]]="","","Segundo Conteo")</f>
        <v/>
      </c>
    </row>
    <row r="416" spans="1:9" s="7" customFormat="1" ht="15" x14ac:dyDescent="0.2">
      <c r="A416" s="7" t="str">
        <f>IF(Plantilla_SCAN_EQ3_COUNT_2[[#This Row],[ID MATERIAL]]="","",SIGN(Plantilla_SCAN_EQ3_COUNT_2[[#This Row],[Cantidad]])+A415)</f>
        <v/>
      </c>
      <c r="B416" s="21" t="str">
        <f>IF(Plantilla_SCAN_EQ3_COUNT_2[[#This Row],[ID MATERIAL]]="","",B415)</f>
        <v/>
      </c>
      <c r="C416" s="21"/>
      <c r="D416" s="21"/>
      <c r="E416" s="7" t="str">
        <f>IF(Plantilla_SCAN_EQ3_COUNT_2[[#This Row],[ID MATERIAL]]="","",VLOOKUP(Plantilla_SCAN_EQ3_COUNT_2[[#This Row],[ID MATERIAL]],INVENTARIO!$A:$D,2,FALSE))</f>
        <v/>
      </c>
      <c r="F416" s="7" t="str">
        <f>IF(Plantilla_SCAN_EQ3_COUNT_2[[#This Row],[ID MATERIAL]]="","",IF(Plantilla_SCAN_EQ3_COUNT_2[[#This Row],[No. Empaques]]="",1,Plantilla_SCAN_EQ3_COUNT_2[[#This Row],[No. Empaques]]*1))</f>
        <v/>
      </c>
      <c r="G416" s="7" t="str">
        <f>IF(Plantilla_SCAN_EQ3_COUNT_2[[#This Row],[ID MATERIAL]]="","","PZ")</f>
        <v/>
      </c>
      <c r="H416" s="7" t="str">
        <f>IF(Plantilla_SCAN_EQ3_COUNT_2[[#This Row],[ID MATERIAL]]="","",$B$13)</f>
        <v/>
      </c>
      <c r="I416" s="7" t="str">
        <f>IF(Plantilla_SCAN_EQ3_COUNT_2[[#This Row],[ID MATERIAL]]="","","Segundo Conteo")</f>
        <v/>
      </c>
    </row>
    <row r="417" spans="1:9" s="7" customFormat="1" ht="15" x14ac:dyDescent="0.2">
      <c r="A417" s="7" t="str">
        <f>IF(Plantilla_SCAN_EQ3_COUNT_2[[#This Row],[ID MATERIAL]]="","",SIGN(Plantilla_SCAN_EQ3_COUNT_2[[#This Row],[Cantidad]])+A416)</f>
        <v/>
      </c>
      <c r="B417" s="21" t="str">
        <f>IF(Plantilla_SCAN_EQ3_COUNT_2[[#This Row],[ID MATERIAL]]="","",B416)</f>
        <v/>
      </c>
      <c r="C417" s="21"/>
      <c r="D417" s="21"/>
      <c r="E417" s="7" t="str">
        <f>IF(Plantilla_SCAN_EQ3_COUNT_2[[#This Row],[ID MATERIAL]]="","",VLOOKUP(Plantilla_SCAN_EQ3_COUNT_2[[#This Row],[ID MATERIAL]],INVENTARIO!$A:$D,2,FALSE))</f>
        <v/>
      </c>
      <c r="F417" s="7" t="str">
        <f>IF(Plantilla_SCAN_EQ3_COUNT_2[[#This Row],[ID MATERIAL]]="","",IF(Plantilla_SCAN_EQ3_COUNT_2[[#This Row],[No. Empaques]]="",1,Plantilla_SCAN_EQ3_COUNT_2[[#This Row],[No. Empaques]]*1))</f>
        <v/>
      </c>
      <c r="G417" s="7" t="str">
        <f>IF(Plantilla_SCAN_EQ3_COUNT_2[[#This Row],[ID MATERIAL]]="","","PZ")</f>
        <v/>
      </c>
      <c r="H417" s="7" t="str">
        <f>IF(Plantilla_SCAN_EQ3_COUNT_2[[#This Row],[ID MATERIAL]]="","",$B$13)</f>
        <v/>
      </c>
      <c r="I417" s="7" t="str">
        <f>IF(Plantilla_SCAN_EQ3_COUNT_2[[#This Row],[ID MATERIAL]]="","","Segundo Conteo")</f>
        <v/>
      </c>
    </row>
    <row r="418" spans="1:9" s="7" customFormat="1" ht="15" x14ac:dyDescent="0.2">
      <c r="A418" s="7" t="str">
        <f>IF(Plantilla_SCAN_EQ3_COUNT_2[[#This Row],[ID MATERIAL]]="","",SIGN(Plantilla_SCAN_EQ3_COUNT_2[[#This Row],[Cantidad]])+A417)</f>
        <v/>
      </c>
      <c r="B418" s="21" t="str">
        <f>IF(Plantilla_SCAN_EQ3_COUNT_2[[#This Row],[ID MATERIAL]]="","",B417)</f>
        <v/>
      </c>
      <c r="C418" s="21"/>
      <c r="D418" s="21"/>
      <c r="E418" s="7" t="str">
        <f>IF(Plantilla_SCAN_EQ3_COUNT_2[[#This Row],[ID MATERIAL]]="","",VLOOKUP(Plantilla_SCAN_EQ3_COUNT_2[[#This Row],[ID MATERIAL]],INVENTARIO!$A:$D,2,FALSE))</f>
        <v/>
      </c>
      <c r="F418" s="7" t="str">
        <f>IF(Plantilla_SCAN_EQ3_COUNT_2[[#This Row],[ID MATERIAL]]="","",IF(Plantilla_SCAN_EQ3_COUNT_2[[#This Row],[No. Empaques]]="",1,Plantilla_SCAN_EQ3_COUNT_2[[#This Row],[No. Empaques]]*1))</f>
        <v/>
      </c>
      <c r="G418" s="7" t="str">
        <f>IF(Plantilla_SCAN_EQ3_COUNT_2[[#This Row],[ID MATERIAL]]="","","PZ")</f>
        <v/>
      </c>
      <c r="H418" s="7" t="str">
        <f>IF(Plantilla_SCAN_EQ3_COUNT_2[[#This Row],[ID MATERIAL]]="","",$B$13)</f>
        <v/>
      </c>
      <c r="I418" s="7" t="str">
        <f>IF(Plantilla_SCAN_EQ3_COUNT_2[[#This Row],[ID MATERIAL]]="","","Segundo Conteo")</f>
        <v/>
      </c>
    </row>
    <row r="419" spans="1:9" s="7" customFormat="1" ht="15" x14ac:dyDescent="0.2">
      <c r="A419" s="7" t="str">
        <f>IF(Plantilla_SCAN_EQ3_COUNT_2[[#This Row],[ID MATERIAL]]="","",SIGN(Plantilla_SCAN_EQ3_COUNT_2[[#This Row],[Cantidad]])+A418)</f>
        <v/>
      </c>
      <c r="B419" s="21" t="str">
        <f>IF(Plantilla_SCAN_EQ3_COUNT_2[[#This Row],[ID MATERIAL]]="","",B418)</f>
        <v/>
      </c>
      <c r="C419" s="21"/>
      <c r="D419" s="21"/>
      <c r="E419" s="7" t="str">
        <f>IF(Plantilla_SCAN_EQ3_COUNT_2[[#This Row],[ID MATERIAL]]="","",VLOOKUP(Plantilla_SCAN_EQ3_COUNT_2[[#This Row],[ID MATERIAL]],INVENTARIO!$A:$D,2,FALSE))</f>
        <v/>
      </c>
      <c r="F419" s="7" t="str">
        <f>IF(Plantilla_SCAN_EQ3_COUNT_2[[#This Row],[ID MATERIAL]]="","",IF(Plantilla_SCAN_EQ3_COUNT_2[[#This Row],[No. Empaques]]="",1,Plantilla_SCAN_EQ3_COUNT_2[[#This Row],[No. Empaques]]*1))</f>
        <v/>
      </c>
      <c r="G419" s="7" t="str">
        <f>IF(Plantilla_SCAN_EQ3_COUNT_2[[#This Row],[ID MATERIAL]]="","","PZ")</f>
        <v/>
      </c>
      <c r="H419" s="7" t="str">
        <f>IF(Plantilla_SCAN_EQ3_COUNT_2[[#This Row],[ID MATERIAL]]="","",$B$13)</f>
        <v/>
      </c>
      <c r="I419" s="7" t="str">
        <f>IF(Plantilla_SCAN_EQ3_COUNT_2[[#This Row],[ID MATERIAL]]="","","Segundo Conteo")</f>
        <v/>
      </c>
    </row>
    <row r="420" spans="1:9" s="7" customFormat="1" ht="15" x14ac:dyDescent="0.2">
      <c r="A420" s="7" t="str">
        <f>IF(Plantilla_SCAN_EQ3_COUNT_2[[#This Row],[ID MATERIAL]]="","",SIGN(Plantilla_SCAN_EQ3_COUNT_2[[#This Row],[Cantidad]])+A419)</f>
        <v/>
      </c>
      <c r="B420" s="21" t="str">
        <f>IF(Plantilla_SCAN_EQ3_COUNT_2[[#This Row],[ID MATERIAL]]="","",B419)</f>
        <v/>
      </c>
      <c r="C420" s="21"/>
      <c r="D420" s="21"/>
      <c r="E420" s="7" t="str">
        <f>IF(Plantilla_SCAN_EQ3_COUNT_2[[#This Row],[ID MATERIAL]]="","",VLOOKUP(Plantilla_SCAN_EQ3_COUNT_2[[#This Row],[ID MATERIAL]],INVENTARIO!$A:$D,2,FALSE))</f>
        <v/>
      </c>
      <c r="F420" s="7" t="str">
        <f>IF(Plantilla_SCAN_EQ3_COUNT_2[[#This Row],[ID MATERIAL]]="","",IF(Plantilla_SCAN_EQ3_COUNT_2[[#This Row],[No. Empaques]]="",1,Plantilla_SCAN_EQ3_COUNT_2[[#This Row],[No. Empaques]]*1))</f>
        <v/>
      </c>
      <c r="G420" s="7" t="str">
        <f>IF(Plantilla_SCAN_EQ3_COUNT_2[[#This Row],[ID MATERIAL]]="","","PZ")</f>
        <v/>
      </c>
      <c r="H420" s="7" t="str">
        <f>IF(Plantilla_SCAN_EQ3_COUNT_2[[#This Row],[ID MATERIAL]]="","",$B$13)</f>
        <v/>
      </c>
      <c r="I420" s="7" t="str">
        <f>IF(Plantilla_SCAN_EQ3_COUNT_2[[#This Row],[ID MATERIAL]]="","","Segundo Conteo")</f>
        <v/>
      </c>
    </row>
    <row r="421" spans="1:9" s="7" customFormat="1" ht="15" x14ac:dyDescent="0.2">
      <c r="A421" s="7" t="str">
        <f>IF(Plantilla_SCAN_EQ3_COUNT_2[[#This Row],[ID MATERIAL]]="","",SIGN(Plantilla_SCAN_EQ3_COUNT_2[[#This Row],[Cantidad]])+A420)</f>
        <v/>
      </c>
      <c r="B421" s="21" t="str">
        <f>IF(Plantilla_SCAN_EQ3_COUNT_2[[#This Row],[ID MATERIAL]]="","",B420)</f>
        <v/>
      </c>
      <c r="C421" s="21"/>
      <c r="D421" s="21"/>
      <c r="E421" s="7" t="str">
        <f>IF(Plantilla_SCAN_EQ3_COUNT_2[[#This Row],[ID MATERIAL]]="","",VLOOKUP(Plantilla_SCAN_EQ3_COUNT_2[[#This Row],[ID MATERIAL]],INVENTARIO!$A:$D,2,FALSE))</f>
        <v/>
      </c>
      <c r="F421" s="7" t="str">
        <f>IF(Plantilla_SCAN_EQ3_COUNT_2[[#This Row],[ID MATERIAL]]="","",IF(Plantilla_SCAN_EQ3_COUNT_2[[#This Row],[No. Empaques]]="",1,Plantilla_SCAN_EQ3_COUNT_2[[#This Row],[No. Empaques]]*1))</f>
        <v/>
      </c>
      <c r="G421" s="7" t="str">
        <f>IF(Plantilla_SCAN_EQ3_COUNT_2[[#This Row],[ID MATERIAL]]="","","PZ")</f>
        <v/>
      </c>
      <c r="H421" s="7" t="str">
        <f>IF(Plantilla_SCAN_EQ3_COUNT_2[[#This Row],[ID MATERIAL]]="","",$B$13)</f>
        <v/>
      </c>
      <c r="I421" s="7" t="str">
        <f>IF(Plantilla_SCAN_EQ3_COUNT_2[[#This Row],[ID MATERIAL]]="","","Segundo Conteo")</f>
        <v/>
      </c>
    </row>
    <row r="422" spans="1:9" s="7" customFormat="1" ht="15" x14ac:dyDescent="0.2">
      <c r="A422" s="7" t="str">
        <f>IF(Plantilla_SCAN_EQ3_COUNT_2[[#This Row],[ID MATERIAL]]="","",SIGN(Plantilla_SCAN_EQ3_COUNT_2[[#This Row],[Cantidad]])+A421)</f>
        <v/>
      </c>
      <c r="B422" s="21" t="str">
        <f>IF(Plantilla_SCAN_EQ3_COUNT_2[[#This Row],[ID MATERIAL]]="","",B421)</f>
        <v/>
      </c>
      <c r="C422" s="21"/>
      <c r="D422" s="21"/>
      <c r="E422" s="7" t="str">
        <f>IF(Plantilla_SCAN_EQ3_COUNT_2[[#This Row],[ID MATERIAL]]="","",VLOOKUP(Plantilla_SCAN_EQ3_COUNT_2[[#This Row],[ID MATERIAL]],INVENTARIO!$A:$D,2,FALSE))</f>
        <v/>
      </c>
      <c r="F422" s="7" t="str">
        <f>IF(Plantilla_SCAN_EQ3_COUNT_2[[#This Row],[ID MATERIAL]]="","",IF(Plantilla_SCAN_EQ3_COUNT_2[[#This Row],[No. Empaques]]="",1,Plantilla_SCAN_EQ3_COUNT_2[[#This Row],[No. Empaques]]*1))</f>
        <v/>
      </c>
      <c r="G422" s="7" t="str">
        <f>IF(Plantilla_SCAN_EQ3_COUNT_2[[#This Row],[ID MATERIAL]]="","","PZ")</f>
        <v/>
      </c>
      <c r="H422" s="7" t="str">
        <f>IF(Plantilla_SCAN_EQ3_COUNT_2[[#This Row],[ID MATERIAL]]="","",$B$13)</f>
        <v/>
      </c>
      <c r="I422" s="7" t="str">
        <f>IF(Plantilla_SCAN_EQ3_COUNT_2[[#This Row],[ID MATERIAL]]="","","Segundo Conteo")</f>
        <v/>
      </c>
    </row>
    <row r="423" spans="1:9" s="7" customFormat="1" ht="15" x14ac:dyDescent="0.2">
      <c r="A423" s="7" t="str">
        <f>IF(Plantilla_SCAN_EQ3_COUNT_2[[#This Row],[ID MATERIAL]]="","",SIGN(Plantilla_SCAN_EQ3_COUNT_2[[#This Row],[Cantidad]])+A422)</f>
        <v/>
      </c>
      <c r="B423" s="21" t="str">
        <f>IF(Plantilla_SCAN_EQ3_COUNT_2[[#This Row],[ID MATERIAL]]="","",B422)</f>
        <v/>
      </c>
      <c r="C423" s="21"/>
      <c r="D423" s="21"/>
      <c r="E423" s="7" t="str">
        <f>IF(Plantilla_SCAN_EQ3_COUNT_2[[#This Row],[ID MATERIAL]]="","",VLOOKUP(Plantilla_SCAN_EQ3_COUNT_2[[#This Row],[ID MATERIAL]],INVENTARIO!$A:$D,2,FALSE))</f>
        <v/>
      </c>
      <c r="F423" s="7" t="str">
        <f>IF(Plantilla_SCAN_EQ3_COUNT_2[[#This Row],[ID MATERIAL]]="","",IF(Plantilla_SCAN_EQ3_COUNT_2[[#This Row],[No. Empaques]]="",1,Plantilla_SCAN_EQ3_COUNT_2[[#This Row],[No. Empaques]]*1))</f>
        <v/>
      </c>
      <c r="G423" s="7" t="str">
        <f>IF(Plantilla_SCAN_EQ3_COUNT_2[[#This Row],[ID MATERIAL]]="","","PZ")</f>
        <v/>
      </c>
      <c r="H423" s="7" t="str">
        <f>IF(Plantilla_SCAN_EQ3_COUNT_2[[#This Row],[ID MATERIAL]]="","",$B$13)</f>
        <v/>
      </c>
      <c r="I423" s="7" t="str">
        <f>IF(Plantilla_SCAN_EQ3_COUNT_2[[#This Row],[ID MATERIAL]]="","","Segundo Conteo")</f>
        <v/>
      </c>
    </row>
    <row r="424" spans="1:9" s="7" customFormat="1" ht="15" x14ac:dyDescent="0.2">
      <c r="A424" s="7" t="str">
        <f>IF(Plantilla_SCAN_EQ3_COUNT_2[[#This Row],[ID MATERIAL]]="","",SIGN(Plantilla_SCAN_EQ3_COUNT_2[[#This Row],[Cantidad]])+A423)</f>
        <v/>
      </c>
      <c r="B424" s="21" t="str">
        <f>IF(Plantilla_SCAN_EQ3_COUNT_2[[#This Row],[ID MATERIAL]]="","",B423)</f>
        <v/>
      </c>
      <c r="C424" s="21"/>
      <c r="D424" s="21"/>
      <c r="E424" s="7" t="str">
        <f>IF(Plantilla_SCAN_EQ3_COUNT_2[[#This Row],[ID MATERIAL]]="","",VLOOKUP(Plantilla_SCAN_EQ3_COUNT_2[[#This Row],[ID MATERIAL]],INVENTARIO!$A:$D,2,FALSE))</f>
        <v/>
      </c>
      <c r="F424" s="7" t="str">
        <f>IF(Plantilla_SCAN_EQ3_COUNT_2[[#This Row],[ID MATERIAL]]="","",IF(Plantilla_SCAN_EQ3_COUNT_2[[#This Row],[No. Empaques]]="",1,Plantilla_SCAN_EQ3_COUNT_2[[#This Row],[No. Empaques]]*1))</f>
        <v/>
      </c>
      <c r="G424" s="7" t="str">
        <f>IF(Plantilla_SCAN_EQ3_COUNT_2[[#This Row],[ID MATERIAL]]="","","PZ")</f>
        <v/>
      </c>
      <c r="H424" s="7" t="str">
        <f>IF(Plantilla_SCAN_EQ3_COUNT_2[[#This Row],[ID MATERIAL]]="","",$B$13)</f>
        <v/>
      </c>
      <c r="I424" s="7" t="str">
        <f>IF(Plantilla_SCAN_EQ3_COUNT_2[[#This Row],[ID MATERIAL]]="","","Segundo Conteo")</f>
        <v/>
      </c>
    </row>
    <row r="425" spans="1:9" s="7" customFormat="1" ht="15" x14ac:dyDescent="0.2">
      <c r="A425" s="7" t="str">
        <f>IF(Plantilla_SCAN_EQ3_COUNT_2[[#This Row],[ID MATERIAL]]="","",SIGN(Plantilla_SCAN_EQ3_COUNT_2[[#This Row],[Cantidad]])+A424)</f>
        <v/>
      </c>
      <c r="B425" s="21" t="str">
        <f>IF(Plantilla_SCAN_EQ3_COUNT_2[[#This Row],[ID MATERIAL]]="","",B424)</f>
        <v/>
      </c>
      <c r="C425" s="21"/>
      <c r="D425" s="21"/>
      <c r="E425" s="7" t="str">
        <f>IF(Plantilla_SCAN_EQ3_COUNT_2[[#This Row],[ID MATERIAL]]="","",VLOOKUP(Plantilla_SCAN_EQ3_COUNT_2[[#This Row],[ID MATERIAL]],INVENTARIO!$A:$D,2,FALSE))</f>
        <v/>
      </c>
      <c r="F425" s="7" t="str">
        <f>IF(Plantilla_SCAN_EQ3_COUNT_2[[#This Row],[ID MATERIAL]]="","",IF(Plantilla_SCAN_EQ3_COUNT_2[[#This Row],[No. Empaques]]="",1,Plantilla_SCAN_EQ3_COUNT_2[[#This Row],[No. Empaques]]*1))</f>
        <v/>
      </c>
      <c r="G425" s="7" t="str">
        <f>IF(Plantilla_SCAN_EQ3_COUNT_2[[#This Row],[ID MATERIAL]]="","","PZ")</f>
        <v/>
      </c>
      <c r="H425" s="7" t="str">
        <f>IF(Plantilla_SCAN_EQ3_COUNT_2[[#This Row],[ID MATERIAL]]="","",$B$13)</f>
        <v/>
      </c>
      <c r="I425" s="7" t="str">
        <f>IF(Plantilla_SCAN_EQ3_COUNT_2[[#This Row],[ID MATERIAL]]="","","Segundo Conteo")</f>
        <v/>
      </c>
    </row>
    <row r="426" spans="1:9" s="7" customFormat="1" ht="15" x14ac:dyDescent="0.2">
      <c r="A426" s="7" t="str">
        <f>IF(Plantilla_SCAN_EQ3_COUNT_2[[#This Row],[ID MATERIAL]]="","",SIGN(Plantilla_SCAN_EQ3_COUNT_2[[#This Row],[Cantidad]])+A425)</f>
        <v/>
      </c>
      <c r="B426" s="21" t="str">
        <f>IF(Plantilla_SCAN_EQ3_COUNT_2[[#This Row],[ID MATERIAL]]="","",B425)</f>
        <v/>
      </c>
      <c r="C426" s="21"/>
      <c r="D426" s="21"/>
      <c r="E426" s="7" t="str">
        <f>IF(Plantilla_SCAN_EQ3_COUNT_2[[#This Row],[ID MATERIAL]]="","",VLOOKUP(Plantilla_SCAN_EQ3_COUNT_2[[#This Row],[ID MATERIAL]],INVENTARIO!$A:$D,2,FALSE))</f>
        <v/>
      </c>
      <c r="F426" s="7" t="str">
        <f>IF(Plantilla_SCAN_EQ3_COUNT_2[[#This Row],[ID MATERIAL]]="","",IF(Plantilla_SCAN_EQ3_COUNT_2[[#This Row],[No. Empaques]]="",1,Plantilla_SCAN_EQ3_COUNT_2[[#This Row],[No. Empaques]]*1))</f>
        <v/>
      </c>
      <c r="G426" s="7" t="str">
        <f>IF(Plantilla_SCAN_EQ3_COUNT_2[[#This Row],[ID MATERIAL]]="","","PZ")</f>
        <v/>
      </c>
      <c r="H426" s="7" t="str">
        <f>IF(Plantilla_SCAN_EQ3_COUNT_2[[#This Row],[ID MATERIAL]]="","",$B$13)</f>
        <v/>
      </c>
      <c r="I426" s="7" t="str">
        <f>IF(Plantilla_SCAN_EQ3_COUNT_2[[#This Row],[ID MATERIAL]]="","","Segundo Conteo")</f>
        <v/>
      </c>
    </row>
    <row r="427" spans="1:9" s="7" customFormat="1" ht="15" x14ac:dyDescent="0.2">
      <c r="A427" s="7" t="str">
        <f>IF(Plantilla_SCAN_EQ3_COUNT_2[[#This Row],[ID MATERIAL]]="","",SIGN(Plantilla_SCAN_EQ3_COUNT_2[[#This Row],[Cantidad]])+A426)</f>
        <v/>
      </c>
      <c r="B427" s="21" t="str">
        <f>IF(Plantilla_SCAN_EQ3_COUNT_2[[#This Row],[ID MATERIAL]]="","",B426)</f>
        <v/>
      </c>
      <c r="C427" s="21"/>
      <c r="D427" s="21"/>
      <c r="E427" s="7" t="str">
        <f>IF(Plantilla_SCAN_EQ3_COUNT_2[[#This Row],[ID MATERIAL]]="","",VLOOKUP(Plantilla_SCAN_EQ3_COUNT_2[[#This Row],[ID MATERIAL]],INVENTARIO!$A:$D,2,FALSE))</f>
        <v/>
      </c>
      <c r="F427" s="7" t="str">
        <f>IF(Plantilla_SCAN_EQ3_COUNT_2[[#This Row],[ID MATERIAL]]="","",IF(Plantilla_SCAN_EQ3_COUNT_2[[#This Row],[No. Empaques]]="",1,Plantilla_SCAN_EQ3_COUNT_2[[#This Row],[No. Empaques]]*1))</f>
        <v/>
      </c>
      <c r="G427" s="7" t="str">
        <f>IF(Plantilla_SCAN_EQ3_COUNT_2[[#This Row],[ID MATERIAL]]="","","PZ")</f>
        <v/>
      </c>
      <c r="H427" s="7" t="str">
        <f>IF(Plantilla_SCAN_EQ3_COUNT_2[[#This Row],[ID MATERIAL]]="","",$B$13)</f>
        <v/>
      </c>
      <c r="I427" s="7" t="str">
        <f>IF(Plantilla_SCAN_EQ3_COUNT_2[[#This Row],[ID MATERIAL]]="","","Segundo Conteo")</f>
        <v/>
      </c>
    </row>
    <row r="428" spans="1:9" s="7" customFormat="1" ht="15" x14ac:dyDescent="0.2">
      <c r="A428" s="7" t="str">
        <f>IF(Plantilla_SCAN_EQ3_COUNT_2[[#This Row],[ID MATERIAL]]="","",SIGN(Plantilla_SCAN_EQ3_COUNT_2[[#This Row],[Cantidad]])+A427)</f>
        <v/>
      </c>
      <c r="B428" s="21" t="str">
        <f>IF(Plantilla_SCAN_EQ3_COUNT_2[[#This Row],[ID MATERIAL]]="","",B427)</f>
        <v/>
      </c>
      <c r="C428" s="21"/>
      <c r="D428" s="21"/>
      <c r="E428" s="7" t="str">
        <f>IF(Plantilla_SCAN_EQ3_COUNT_2[[#This Row],[ID MATERIAL]]="","",VLOOKUP(Plantilla_SCAN_EQ3_COUNT_2[[#This Row],[ID MATERIAL]],INVENTARIO!$A:$D,2,FALSE))</f>
        <v/>
      </c>
      <c r="F428" s="7" t="str">
        <f>IF(Plantilla_SCAN_EQ3_COUNT_2[[#This Row],[ID MATERIAL]]="","",IF(Plantilla_SCAN_EQ3_COUNT_2[[#This Row],[No. Empaques]]="",1,Plantilla_SCAN_EQ3_COUNT_2[[#This Row],[No. Empaques]]*1))</f>
        <v/>
      </c>
      <c r="G428" s="7" t="str">
        <f>IF(Plantilla_SCAN_EQ3_COUNT_2[[#This Row],[ID MATERIAL]]="","","PZ")</f>
        <v/>
      </c>
      <c r="H428" s="7" t="str">
        <f>IF(Plantilla_SCAN_EQ3_COUNT_2[[#This Row],[ID MATERIAL]]="","",$B$13)</f>
        <v/>
      </c>
      <c r="I428" s="7" t="str">
        <f>IF(Plantilla_SCAN_EQ3_COUNT_2[[#This Row],[ID MATERIAL]]="","","Segundo Conteo")</f>
        <v/>
      </c>
    </row>
    <row r="429" spans="1:9" s="7" customFormat="1" ht="15" x14ac:dyDescent="0.2">
      <c r="A429" s="7" t="str">
        <f>IF(Plantilla_SCAN_EQ3_COUNT_2[[#This Row],[ID MATERIAL]]="","",SIGN(Plantilla_SCAN_EQ3_COUNT_2[[#This Row],[Cantidad]])+A428)</f>
        <v/>
      </c>
      <c r="B429" s="21" t="str">
        <f>IF(Plantilla_SCAN_EQ3_COUNT_2[[#This Row],[ID MATERIAL]]="","",B428)</f>
        <v/>
      </c>
      <c r="C429" s="21"/>
      <c r="D429" s="21"/>
      <c r="E429" s="7" t="str">
        <f>IF(Plantilla_SCAN_EQ3_COUNT_2[[#This Row],[ID MATERIAL]]="","",VLOOKUP(Plantilla_SCAN_EQ3_COUNT_2[[#This Row],[ID MATERIAL]],INVENTARIO!$A:$D,2,FALSE))</f>
        <v/>
      </c>
      <c r="F429" s="7" t="str">
        <f>IF(Plantilla_SCAN_EQ3_COUNT_2[[#This Row],[ID MATERIAL]]="","",IF(Plantilla_SCAN_EQ3_COUNT_2[[#This Row],[No. Empaques]]="",1,Plantilla_SCAN_EQ3_COUNT_2[[#This Row],[No. Empaques]]*1))</f>
        <v/>
      </c>
      <c r="G429" s="7" t="str">
        <f>IF(Plantilla_SCAN_EQ3_COUNT_2[[#This Row],[ID MATERIAL]]="","","PZ")</f>
        <v/>
      </c>
      <c r="H429" s="7" t="str">
        <f>IF(Plantilla_SCAN_EQ3_COUNT_2[[#This Row],[ID MATERIAL]]="","",$B$13)</f>
        <v/>
      </c>
      <c r="I429" s="7" t="str">
        <f>IF(Plantilla_SCAN_EQ3_COUNT_2[[#This Row],[ID MATERIAL]]="","","Segundo Conteo")</f>
        <v/>
      </c>
    </row>
    <row r="430" spans="1:9" s="7" customFormat="1" ht="15" x14ac:dyDescent="0.2">
      <c r="A430" s="7" t="str">
        <f>IF(Plantilla_SCAN_EQ3_COUNT_2[[#This Row],[ID MATERIAL]]="","",SIGN(Plantilla_SCAN_EQ3_COUNT_2[[#This Row],[Cantidad]])+A429)</f>
        <v/>
      </c>
      <c r="B430" s="21" t="str">
        <f>IF(Plantilla_SCAN_EQ3_COUNT_2[[#This Row],[ID MATERIAL]]="","",B429)</f>
        <v/>
      </c>
      <c r="C430" s="21"/>
      <c r="D430" s="21"/>
      <c r="E430" s="7" t="str">
        <f>IF(Plantilla_SCAN_EQ3_COUNT_2[[#This Row],[ID MATERIAL]]="","",VLOOKUP(Plantilla_SCAN_EQ3_COUNT_2[[#This Row],[ID MATERIAL]],INVENTARIO!$A:$D,2,FALSE))</f>
        <v/>
      </c>
      <c r="F430" s="7" t="str">
        <f>IF(Plantilla_SCAN_EQ3_COUNT_2[[#This Row],[ID MATERIAL]]="","",IF(Plantilla_SCAN_EQ3_COUNT_2[[#This Row],[No. Empaques]]="",1,Plantilla_SCAN_EQ3_COUNT_2[[#This Row],[No. Empaques]]*1))</f>
        <v/>
      </c>
      <c r="G430" s="7" t="str">
        <f>IF(Plantilla_SCAN_EQ3_COUNT_2[[#This Row],[ID MATERIAL]]="","","PZ")</f>
        <v/>
      </c>
      <c r="H430" s="7" t="str">
        <f>IF(Plantilla_SCAN_EQ3_COUNT_2[[#This Row],[ID MATERIAL]]="","",$B$13)</f>
        <v/>
      </c>
      <c r="I430" s="7" t="str">
        <f>IF(Plantilla_SCAN_EQ3_COUNT_2[[#This Row],[ID MATERIAL]]="","","Segundo Conteo")</f>
        <v/>
      </c>
    </row>
    <row r="431" spans="1:9" s="7" customFormat="1" ht="15" x14ac:dyDescent="0.2">
      <c r="A431" s="7" t="str">
        <f>IF(Plantilla_SCAN_EQ3_COUNT_2[[#This Row],[ID MATERIAL]]="","",SIGN(Plantilla_SCAN_EQ3_COUNT_2[[#This Row],[Cantidad]])+A430)</f>
        <v/>
      </c>
      <c r="B431" s="21" t="str">
        <f>IF(Plantilla_SCAN_EQ3_COUNT_2[[#This Row],[ID MATERIAL]]="","",B430)</f>
        <v/>
      </c>
      <c r="C431" s="21"/>
      <c r="D431" s="21"/>
      <c r="E431" s="7" t="str">
        <f>IF(Plantilla_SCAN_EQ3_COUNT_2[[#This Row],[ID MATERIAL]]="","",VLOOKUP(Plantilla_SCAN_EQ3_COUNT_2[[#This Row],[ID MATERIAL]],INVENTARIO!$A:$D,2,FALSE))</f>
        <v/>
      </c>
      <c r="F431" s="7" t="str">
        <f>IF(Plantilla_SCAN_EQ3_COUNT_2[[#This Row],[ID MATERIAL]]="","",IF(Plantilla_SCAN_EQ3_COUNT_2[[#This Row],[No. Empaques]]="",1,Plantilla_SCAN_EQ3_COUNT_2[[#This Row],[No. Empaques]]*1))</f>
        <v/>
      </c>
      <c r="G431" s="7" t="str">
        <f>IF(Plantilla_SCAN_EQ3_COUNT_2[[#This Row],[ID MATERIAL]]="","","PZ")</f>
        <v/>
      </c>
      <c r="H431" s="7" t="str">
        <f>IF(Plantilla_SCAN_EQ3_COUNT_2[[#This Row],[ID MATERIAL]]="","",$B$13)</f>
        <v/>
      </c>
      <c r="I431" s="7" t="str">
        <f>IF(Plantilla_SCAN_EQ3_COUNT_2[[#This Row],[ID MATERIAL]]="","","Segundo Conteo")</f>
        <v/>
      </c>
    </row>
    <row r="432" spans="1:9" s="7" customFormat="1" ht="15" x14ac:dyDescent="0.2">
      <c r="A432" s="7" t="str">
        <f>IF(Plantilla_SCAN_EQ3_COUNT_2[[#This Row],[ID MATERIAL]]="","",SIGN(Plantilla_SCAN_EQ3_COUNT_2[[#This Row],[Cantidad]])+A431)</f>
        <v/>
      </c>
      <c r="B432" s="21" t="str">
        <f>IF(Plantilla_SCAN_EQ3_COUNT_2[[#This Row],[ID MATERIAL]]="","",B431)</f>
        <v/>
      </c>
      <c r="C432" s="21"/>
      <c r="D432" s="21"/>
      <c r="E432" s="7" t="str">
        <f>IF(Plantilla_SCAN_EQ3_COUNT_2[[#This Row],[ID MATERIAL]]="","",VLOOKUP(Plantilla_SCAN_EQ3_COUNT_2[[#This Row],[ID MATERIAL]],INVENTARIO!$A:$D,2,FALSE))</f>
        <v/>
      </c>
      <c r="F432" s="7" t="str">
        <f>IF(Plantilla_SCAN_EQ3_COUNT_2[[#This Row],[ID MATERIAL]]="","",IF(Plantilla_SCAN_EQ3_COUNT_2[[#This Row],[No. Empaques]]="",1,Plantilla_SCAN_EQ3_COUNT_2[[#This Row],[No. Empaques]]*1))</f>
        <v/>
      </c>
      <c r="G432" s="7" t="str">
        <f>IF(Plantilla_SCAN_EQ3_COUNT_2[[#This Row],[ID MATERIAL]]="","","PZ")</f>
        <v/>
      </c>
      <c r="H432" s="7" t="str">
        <f>IF(Plantilla_SCAN_EQ3_COUNT_2[[#This Row],[ID MATERIAL]]="","",$B$13)</f>
        <v/>
      </c>
      <c r="I432" s="7" t="str">
        <f>IF(Plantilla_SCAN_EQ3_COUNT_2[[#This Row],[ID MATERIAL]]="","","Segundo Conteo")</f>
        <v/>
      </c>
    </row>
    <row r="433" spans="1:9" s="7" customFormat="1" ht="15" x14ac:dyDescent="0.2">
      <c r="A433" s="7" t="str">
        <f>IF(Plantilla_SCAN_EQ3_COUNT_2[[#This Row],[ID MATERIAL]]="","",SIGN(Plantilla_SCAN_EQ3_COUNT_2[[#This Row],[Cantidad]])+A432)</f>
        <v/>
      </c>
      <c r="B433" s="21" t="str">
        <f>IF(Plantilla_SCAN_EQ3_COUNT_2[[#This Row],[ID MATERIAL]]="","",B432)</f>
        <v/>
      </c>
      <c r="C433" s="21"/>
      <c r="D433" s="21"/>
      <c r="E433" s="7" t="str">
        <f>IF(Plantilla_SCAN_EQ3_COUNT_2[[#This Row],[ID MATERIAL]]="","",VLOOKUP(Plantilla_SCAN_EQ3_COUNT_2[[#This Row],[ID MATERIAL]],INVENTARIO!$A:$D,2,FALSE))</f>
        <v/>
      </c>
      <c r="F433" s="7" t="str">
        <f>IF(Plantilla_SCAN_EQ3_COUNT_2[[#This Row],[ID MATERIAL]]="","",IF(Plantilla_SCAN_EQ3_COUNT_2[[#This Row],[No. Empaques]]="",1,Plantilla_SCAN_EQ3_COUNT_2[[#This Row],[No. Empaques]]*1))</f>
        <v/>
      </c>
      <c r="G433" s="7" t="str">
        <f>IF(Plantilla_SCAN_EQ3_COUNT_2[[#This Row],[ID MATERIAL]]="","","PZ")</f>
        <v/>
      </c>
      <c r="H433" s="7" t="str">
        <f>IF(Plantilla_SCAN_EQ3_COUNT_2[[#This Row],[ID MATERIAL]]="","",$B$13)</f>
        <v/>
      </c>
      <c r="I433" s="7" t="str">
        <f>IF(Plantilla_SCAN_EQ3_COUNT_2[[#This Row],[ID MATERIAL]]="","","Segundo Conteo")</f>
        <v/>
      </c>
    </row>
    <row r="434" spans="1:9" s="7" customFormat="1" ht="15" x14ac:dyDescent="0.2">
      <c r="A434" s="7" t="str">
        <f>IF(Plantilla_SCAN_EQ3_COUNT_2[[#This Row],[ID MATERIAL]]="","",SIGN(Plantilla_SCAN_EQ3_COUNT_2[[#This Row],[Cantidad]])+A433)</f>
        <v/>
      </c>
      <c r="B434" s="21" t="str">
        <f>IF(Plantilla_SCAN_EQ3_COUNT_2[[#This Row],[ID MATERIAL]]="","",B433)</f>
        <v/>
      </c>
      <c r="C434" s="21"/>
      <c r="D434" s="21"/>
      <c r="E434" s="7" t="str">
        <f>IF(Plantilla_SCAN_EQ3_COUNT_2[[#This Row],[ID MATERIAL]]="","",VLOOKUP(Plantilla_SCAN_EQ3_COUNT_2[[#This Row],[ID MATERIAL]],INVENTARIO!$A:$D,2,FALSE))</f>
        <v/>
      </c>
      <c r="F434" s="7" t="str">
        <f>IF(Plantilla_SCAN_EQ3_COUNT_2[[#This Row],[ID MATERIAL]]="","",IF(Plantilla_SCAN_EQ3_COUNT_2[[#This Row],[No. Empaques]]="",1,Plantilla_SCAN_EQ3_COUNT_2[[#This Row],[No. Empaques]]*1))</f>
        <v/>
      </c>
      <c r="G434" s="7" t="str">
        <f>IF(Plantilla_SCAN_EQ3_COUNT_2[[#This Row],[ID MATERIAL]]="","","PZ")</f>
        <v/>
      </c>
      <c r="H434" s="7" t="str">
        <f>IF(Plantilla_SCAN_EQ3_COUNT_2[[#This Row],[ID MATERIAL]]="","",$B$13)</f>
        <v/>
      </c>
      <c r="I434" s="7" t="str">
        <f>IF(Plantilla_SCAN_EQ3_COUNT_2[[#This Row],[ID MATERIAL]]="","","Segundo Conteo")</f>
        <v/>
      </c>
    </row>
    <row r="435" spans="1:9" s="7" customFormat="1" ht="15" x14ac:dyDescent="0.2">
      <c r="A435" s="7" t="str">
        <f>IF(Plantilla_SCAN_EQ3_COUNT_2[[#This Row],[ID MATERIAL]]="","",SIGN(Plantilla_SCAN_EQ3_COUNT_2[[#This Row],[Cantidad]])+A434)</f>
        <v/>
      </c>
      <c r="B435" s="21" t="str">
        <f>IF(Plantilla_SCAN_EQ3_COUNT_2[[#This Row],[ID MATERIAL]]="","",B434)</f>
        <v/>
      </c>
      <c r="C435" s="21"/>
      <c r="D435" s="21"/>
      <c r="E435" s="7" t="str">
        <f>IF(Plantilla_SCAN_EQ3_COUNT_2[[#This Row],[ID MATERIAL]]="","",VLOOKUP(Plantilla_SCAN_EQ3_COUNT_2[[#This Row],[ID MATERIAL]],INVENTARIO!$A:$D,2,FALSE))</f>
        <v/>
      </c>
      <c r="F435" s="7" t="str">
        <f>IF(Plantilla_SCAN_EQ3_COUNT_2[[#This Row],[ID MATERIAL]]="","",IF(Plantilla_SCAN_EQ3_COUNT_2[[#This Row],[No. Empaques]]="",1,Plantilla_SCAN_EQ3_COUNT_2[[#This Row],[No. Empaques]]*1))</f>
        <v/>
      </c>
      <c r="G435" s="7" t="str">
        <f>IF(Plantilla_SCAN_EQ3_COUNT_2[[#This Row],[ID MATERIAL]]="","","PZ")</f>
        <v/>
      </c>
      <c r="H435" s="7" t="str">
        <f>IF(Plantilla_SCAN_EQ3_COUNT_2[[#This Row],[ID MATERIAL]]="","",$B$13)</f>
        <v/>
      </c>
      <c r="I435" s="7" t="str">
        <f>IF(Plantilla_SCAN_EQ3_COUNT_2[[#This Row],[ID MATERIAL]]="","","Segundo Conteo")</f>
        <v/>
      </c>
    </row>
    <row r="436" spans="1:9" s="7" customFormat="1" ht="15" x14ac:dyDescent="0.2">
      <c r="A436" s="7" t="str">
        <f>IF(Plantilla_SCAN_EQ3_COUNT_2[[#This Row],[ID MATERIAL]]="","",SIGN(Plantilla_SCAN_EQ3_COUNT_2[[#This Row],[Cantidad]])+A435)</f>
        <v/>
      </c>
      <c r="B436" s="21" t="str">
        <f>IF(Plantilla_SCAN_EQ3_COUNT_2[[#This Row],[ID MATERIAL]]="","",B435)</f>
        <v/>
      </c>
      <c r="C436" s="21"/>
      <c r="D436" s="21"/>
      <c r="E436" s="7" t="str">
        <f>IF(Plantilla_SCAN_EQ3_COUNT_2[[#This Row],[ID MATERIAL]]="","",VLOOKUP(Plantilla_SCAN_EQ3_COUNT_2[[#This Row],[ID MATERIAL]],INVENTARIO!$A:$D,2,FALSE))</f>
        <v/>
      </c>
      <c r="F436" s="7" t="str">
        <f>IF(Plantilla_SCAN_EQ3_COUNT_2[[#This Row],[ID MATERIAL]]="","",IF(Plantilla_SCAN_EQ3_COUNT_2[[#This Row],[No. Empaques]]="",1,Plantilla_SCAN_EQ3_COUNT_2[[#This Row],[No. Empaques]]*1))</f>
        <v/>
      </c>
      <c r="G436" s="7" t="str">
        <f>IF(Plantilla_SCAN_EQ3_COUNT_2[[#This Row],[ID MATERIAL]]="","","PZ")</f>
        <v/>
      </c>
      <c r="H436" s="7" t="str">
        <f>IF(Plantilla_SCAN_EQ3_COUNT_2[[#This Row],[ID MATERIAL]]="","",$B$13)</f>
        <v/>
      </c>
      <c r="I436" s="7" t="str">
        <f>IF(Plantilla_SCAN_EQ3_COUNT_2[[#This Row],[ID MATERIAL]]="","","Segundo Conteo")</f>
        <v/>
      </c>
    </row>
    <row r="437" spans="1:9" s="7" customFormat="1" ht="15" x14ac:dyDescent="0.2">
      <c r="A437" s="7" t="str">
        <f>IF(Plantilla_SCAN_EQ3_COUNT_2[[#This Row],[ID MATERIAL]]="","",SIGN(Plantilla_SCAN_EQ3_COUNT_2[[#This Row],[Cantidad]])+A436)</f>
        <v/>
      </c>
      <c r="B437" s="21" t="str">
        <f>IF(Plantilla_SCAN_EQ3_COUNT_2[[#This Row],[ID MATERIAL]]="","",B436)</f>
        <v/>
      </c>
      <c r="C437" s="21"/>
      <c r="D437" s="21"/>
      <c r="E437" s="7" t="str">
        <f>IF(Plantilla_SCAN_EQ3_COUNT_2[[#This Row],[ID MATERIAL]]="","",VLOOKUP(Plantilla_SCAN_EQ3_COUNT_2[[#This Row],[ID MATERIAL]],INVENTARIO!$A:$D,2,FALSE))</f>
        <v/>
      </c>
      <c r="F437" s="7" t="str">
        <f>IF(Plantilla_SCAN_EQ3_COUNT_2[[#This Row],[ID MATERIAL]]="","",IF(Plantilla_SCAN_EQ3_COUNT_2[[#This Row],[No. Empaques]]="",1,Plantilla_SCAN_EQ3_COUNT_2[[#This Row],[No. Empaques]]*1))</f>
        <v/>
      </c>
      <c r="G437" s="7" t="str">
        <f>IF(Plantilla_SCAN_EQ3_COUNT_2[[#This Row],[ID MATERIAL]]="","","PZ")</f>
        <v/>
      </c>
      <c r="H437" s="7" t="str">
        <f>IF(Plantilla_SCAN_EQ3_COUNT_2[[#This Row],[ID MATERIAL]]="","",$B$13)</f>
        <v/>
      </c>
      <c r="I437" s="7" t="str">
        <f>IF(Plantilla_SCAN_EQ3_COUNT_2[[#This Row],[ID MATERIAL]]="","","Segundo Conteo")</f>
        <v/>
      </c>
    </row>
    <row r="438" spans="1:9" s="7" customFormat="1" ht="15" x14ac:dyDescent="0.2">
      <c r="A438" s="7" t="str">
        <f>IF(Plantilla_SCAN_EQ3_COUNT_2[[#This Row],[ID MATERIAL]]="","",SIGN(Plantilla_SCAN_EQ3_COUNT_2[[#This Row],[Cantidad]])+A437)</f>
        <v/>
      </c>
      <c r="B438" s="21" t="str">
        <f>IF(Plantilla_SCAN_EQ3_COUNT_2[[#This Row],[ID MATERIAL]]="","",B437)</f>
        <v/>
      </c>
      <c r="C438" s="21"/>
      <c r="D438" s="21"/>
      <c r="E438" s="7" t="str">
        <f>IF(Plantilla_SCAN_EQ3_COUNT_2[[#This Row],[ID MATERIAL]]="","",VLOOKUP(Plantilla_SCAN_EQ3_COUNT_2[[#This Row],[ID MATERIAL]],INVENTARIO!$A:$D,2,FALSE))</f>
        <v/>
      </c>
      <c r="F438" s="7" t="str">
        <f>IF(Plantilla_SCAN_EQ3_COUNT_2[[#This Row],[ID MATERIAL]]="","",IF(Plantilla_SCAN_EQ3_COUNT_2[[#This Row],[No. Empaques]]="",1,Plantilla_SCAN_EQ3_COUNT_2[[#This Row],[No. Empaques]]*1))</f>
        <v/>
      </c>
      <c r="G438" s="7" t="str">
        <f>IF(Plantilla_SCAN_EQ3_COUNT_2[[#This Row],[ID MATERIAL]]="","","PZ")</f>
        <v/>
      </c>
      <c r="H438" s="7" t="str">
        <f>IF(Plantilla_SCAN_EQ3_COUNT_2[[#This Row],[ID MATERIAL]]="","",$B$13)</f>
        <v/>
      </c>
      <c r="I438" s="7" t="str">
        <f>IF(Plantilla_SCAN_EQ3_COUNT_2[[#This Row],[ID MATERIAL]]="","","Segundo Conteo")</f>
        <v/>
      </c>
    </row>
    <row r="439" spans="1:9" s="7" customFormat="1" ht="15" x14ac:dyDescent="0.2">
      <c r="A439" s="7" t="str">
        <f>IF(Plantilla_SCAN_EQ3_COUNT_2[[#This Row],[ID MATERIAL]]="","",SIGN(Plantilla_SCAN_EQ3_COUNT_2[[#This Row],[Cantidad]])+A438)</f>
        <v/>
      </c>
      <c r="B439" s="21" t="str">
        <f>IF(Plantilla_SCAN_EQ3_COUNT_2[[#This Row],[ID MATERIAL]]="","",B438)</f>
        <v/>
      </c>
      <c r="C439" s="21"/>
      <c r="D439" s="21"/>
      <c r="E439" s="7" t="str">
        <f>IF(Plantilla_SCAN_EQ3_COUNT_2[[#This Row],[ID MATERIAL]]="","",VLOOKUP(Plantilla_SCAN_EQ3_COUNT_2[[#This Row],[ID MATERIAL]],INVENTARIO!$A:$D,2,FALSE))</f>
        <v/>
      </c>
      <c r="F439" s="7" t="str">
        <f>IF(Plantilla_SCAN_EQ3_COUNT_2[[#This Row],[ID MATERIAL]]="","",IF(Plantilla_SCAN_EQ3_COUNT_2[[#This Row],[No. Empaques]]="",1,Plantilla_SCAN_EQ3_COUNT_2[[#This Row],[No. Empaques]]*1))</f>
        <v/>
      </c>
      <c r="G439" s="7" t="str">
        <f>IF(Plantilla_SCAN_EQ3_COUNT_2[[#This Row],[ID MATERIAL]]="","","PZ")</f>
        <v/>
      </c>
      <c r="H439" s="7" t="str">
        <f>IF(Plantilla_SCAN_EQ3_COUNT_2[[#This Row],[ID MATERIAL]]="","",$B$13)</f>
        <v/>
      </c>
      <c r="I439" s="7" t="str">
        <f>IF(Plantilla_SCAN_EQ3_COUNT_2[[#This Row],[ID MATERIAL]]="","","Segundo Conteo")</f>
        <v/>
      </c>
    </row>
    <row r="440" spans="1:9" s="7" customFormat="1" ht="15" x14ac:dyDescent="0.2">
      <c r="A440" s="7" t="str">
        <f>IF(Plantilla_SCAN_EQ3_COUNT_2[[#This Row],[ID MATERIAL]]="","",SIGN(Plantilla_SCAN_EQ3_COUNT_2[[#This Row],[Cantidad]])+A439)</f>
        <v/>
      </c>
      <c r="B440" s="21" t="str">
        <f>IF(Plantilla_SCAN_EQ3_COUNT_2[[#This Row],[ID MATERIAL]]="","",B439)</f>
        <v/>
      </c>
      <c r="C440" s="21"/>
      <c r="D440" s="21"/>
      <c r="E440" s="7" t="str">
        <f>IF(Plantilla_SCAN_EQ3_COUNT_2[[#This Row],[ID MATERIAL]]="","",VLOOKUP(Plantilla_SCAN_EQ3_COUNT_2[[#This Row],[ID MATERIAL]],INVENTARIO!$A:$D,2,FALSE))</f>
        <v/>
      </c>
      <c r="F440" s="7" t="str">
        <f>IF(Plantilla_SCAN_EQ3_COUNT_2[[#This Row],[ID MATERIAL]]="","",IF(Plantilla_SCAN_EQ3_COUNT_2[[#This Row],[No. Empaques]]="",1,Plantilla_SCAN_EQ3_COUNT_2[[#This Row],[No. Empaques]]*1))</f>
        <v/>
      </c>
      <c r="G440" s="7" t="str">
        <f>IF(Plantilla_SCAN_EQ3_COUNT_2[[#This Row],[ID MATERIAL]]="","","PZ")</f>
        <v/>
      </c>
      <c r="H440" s="7" t="str">
        <f>IF(Plantilla_SCAN_EQ3_COUNT_2[[#This Row],[ID MATERIAL]]="","",$B$13)</f>
        <v/>
      </c>
      <c r="I440" s="7" t="str">
        <f>IF(Plantilla_SCAN_EQ3_COUNT_2[[#This Row],[ID MATERIAL]]="","","Segundo Conteo")</f>
        <v/>
      </c>
    </row>
    <row r="441" spans="1:9" s="7" customFormat="1" ht="15" x14ac:dyDescent="0.2">
      <c r="A441" s="7" t="str">
        <f>IF(Plantilla_SCAN_EQ3_COUNT_2[[#This Row],[ID MATERIAL]]="","",SIGN(Plantilla_SCAN_EQ3_COUNT_2[[#This Row],[Cantidad]])+A440)</f>
        <v/>
      </c>
      <c r="B441" s="21" t="str">
        <f>IF(Plantilla_SCAN_EQ3_COUNT_2[[#This Row],[ID MATERIAL]]="","",B440)</f>
        <v/>
      </c>
      <c r="C441" s="21"/>
      <c r="D441" s="21"/>
      <c r="E441" s="7" t="str">
        <f>IF(Plantilla_SCAN_EQ3_COUNT_2[[#This Row],[ID MATERIAL]]="","",VLOOKUP(Plantilla_SCAN_EQ3_COUNT_2[[#This Row],[ID MATERIAL]],INVENTARIO!$A:$D,2,FALSE))</f>
        <v/>
      </c>
      <c r="F441" s="7" t="str">
        <f>IF(Plantilla_SCAN_EQ3_COUNT_2[[#This Row],[ID MATERIAL]]="","",IF(Plantilla_SCAN_EQ3_COUNT_2[[#This Row],[No. Empaques]]="",1,Plantilla_SCAN_EQ3_COUNT_2[[#This Row],[No. Empaques]]*1))</f>
        <v/>
      </c>
      <c r="G441" s="7" t="str">
        <f>IF(Plantilla_SCAN_EQ3_COUNT_2[[#This Row],[ID MATERIAL]]="","","PZ")</f>
        <v/>
      </c>
      <c r="H441" s="7" t="str">
        <f>IF(Plantilla_SCAN_EQ3_COUNT_2[[#This Row],[ID MATERIAL]]="","",$B$13)</f>
        <v/>
      </c>
      <c r="I441" s="7" t="str">
        <f>IF(Plantilla_SCAN_EQ3_COUNT_2[[#This Row],[ID MATERIAL]]="","","Segundo Conteo")</f>
        <v/>
      </c>
    </row>
    <row r="442" spans="1:9" s="7" customFormat="1" ht="15" x14ac:dyDescent="0.2">
      <c r="A442" s="7" t="str">
        <f>IF(Plantilla_SCAN_EQ3_COUNT_2[[#This Row],[ID MATERIAL]]="","",SIGN(Plantilla_SCAN_EQ3_COUNT_2[[#This Row],[Cantidad]])+A441)</f>
        <v/>
      </c>
      <c r="B442" s="21" t="str">
        <f>IF(Plantilla_SCAN_EQ3_COUNT_2[[#This Row],[ID MATERIAL]]="","",B441)</f>
        <v/>
      </c>
      <c r="C442" s="21"/>
      <c r="D442" s="21"/>
      <c r="E442" s="7" t="str">
        <f>IF(Plantilla_SCAN_EQ3_COUNT_2[[#This Row],[ID MATERIAL]]="","",VLOOKUP(Plantilla_SCAN_EQ3_COUNT_2[[#This Row],[ID MATERIAL]],INVENTARIO!$A:$D,2,FALSE))</f>
        <v/>
      </c>
      <c r="F442" s="7" t="str">
        <f>IF(Plantilla_SCAN_EQ3_COUNT_2[[#This Row],[ID MATERIAL]]="","",IF(Plantilla_SCAN_EQ3_COUNT_2[[#This Row],[No. Empaques]]="",1,Plantilla_SCAN_EQ3_COUNT_2[[#This Row],[No. Empaques]]*1))</f>
        <v/>
      </c>
      <c r="G442" s="7" t="str">
        <f>IF(Plantilla_SCAN_EQ3_COUNT_2[[#This Row],[ID MATERIAL]]="","","PZ")</f>
        <v/>
      </c>
      <c r="H442" s="7" t="str">
        <f>IF(Plantilla_SCAN_EQ3_COUNT_2[[#This Row],[ID MATERIAL]]="","",$B$13)</f>
        <v/>
      </c>
      <c r="I442" s="7" t="str">
        <f>IF(Plantilla_SCAN_EQ3_COUNT_2[[#This Row],[ID MATERIAL]]="","","Segundo Conteo")</f>
        <v/>
      </c>
    </row>
    <row r="443" spans="1:9" s="7" customFormat="1" ht="15" x14ac:dyDescent="0.2">
      <c r="A443" s="7" t="str">
        <f>IF(Plantilla_SCAN_EQ3_COUNT_2[[#This Row],[ID MATERIAL]]="","",SIGN(Plantilla_SCAN_EQ3_COUNT_2[[#This Row],[Cantidad]])+A442)</f>
        <v/>
      </c>
      <c r="B443" s="21" t="str">
        <f>IF(Plantilla_SCAN_EQ3_COUNT_2[[#This Row],[ID MATERIAL]]="","",B442)</f>
        <v/>
      </c>
      <c r="C443" s="21"/>
      <c r="D443" s="21"/>
      <c r="E443" s="7" t="str">
        <f>IF(Plantilla_SCAN_EQ3_COUNT_2[[#This Row],[ID MATERIAL]]="","",VLOOKUP(Plantilla_SCAN_EQ3_COUNT_2[[#This Row],[ID MATERIAL]],INVENTARIO!$A:$D,2,FALSE))</f>
        <v/>
      </c>
      <c r="F443" s="7" t="str">
        <f>IF(Plantilla_SCAN_EQ3_COUNT_2[[#This Row],[ID MATERIAL]]="","",IF(Plantilla_SCAN_EQ3_COUNT_2[[#This Row],[No. Empaques]]="",1,Plantilla_SCAN_EQ3_COUNT_2[[#This Row],[No. Empaques]]*1))</f>
        <v/>
      </c>
      <c r="G443" s="7" t="str">
        <f>IF(Plantilla_SCAN_EQ3_COUNT_2[[#This Row],[ID MATERIAL]]="","","PZ")</f>
        <v/>
      </c>
      <c r="H443" s="7" t="str">
        <f>IF(Plantilla_SCAN_EQ3_COUNT_2[[#This Row],[ID MATERIAL]]="","",$B$13)</f>
        <v/>
      </c>
      <c r="I443" s="7" t="str">
        <f>IF(Plantilla_SCAN_EQ3_COUNT_2[[#This Row],[ID MATERIAL]]="","","Segundo Conteo")</f>
        <v/>
      </c>
    </row>
    <row r="444" spans="1:9" s="7" customFormat="1" ht="15" x14ac:dyDescent="0.2">
      <c r="A444" s="7" t="str">
        <f>IF(Plantilla_SCAN_EQ3_COUNT_2[[#This Row],[ID MATERIAL]]="","",SIGN(Plantilla_SCAN_EQ3_COUNT_2[[#This Row],[Cantidad]])+A443)</f>
        <v/>
      </c>
      <c r="B444" s="21" t="str">
        <f>IF(Plantilla_SCAN_EQ3_COUNT_2[[#This Row],[ID MATERIAL]]="","",B443)</f>
        <v/>
      </c>
      <c r="C444" s="21"/>
      <c r="D444" s="21"/>
      <c r="E444" s="7" t="str">
        <f>IF(Plantilla_SCAN_EQ3_COUNT_2[[#This Row],[ID MATERIAL]]="","",VLOOKUP(Plantilla_SCAN_EQ3_COUNT_2[[#This Row],[ID MATERIAL]],INVENTARIO!$A:$D,2,FALSE))</f>
        <v/>
      </c>
      <c r="F444" s="7" t="str">
        <f>IF(Plantilla_SCAN_EQ3_COUNT_2[[#This Row],[ID MATERIAL]]="","",IF(Plantilla_SCAN_EQ3_COUNT_2[[#This Row],[No. Empaques]]="",1,Plantilla_SCAN_EQ3_COUNT_2[[#This Row],[No. Empaques]]*1))</f>
        <v/>
      </c>
      <c r="G444" s="7" t="str">
        <f>IF(Plantilla_SCAN_EQ3_COUNT_2[[#This Row],[ID MATERIAL]]="","","PZ")</f>
        <v/>
      </c>
      <c r="H444" s="7" t="str">
        <f>IF(Plantilla_SCAN_EQ3_COUNT_2[[#This Row],[ID MATERIAL]]="","",$B$13)</f>
        <v/>
      </c>
      <c r="I444" s="7" t="str">
        <f>IF(Plantilla_SCAN_EQ3_COUNT_2[[#This Row],[ID MATERIAL]]="","","Segundo Conteo")</f>
        <v/>
      </c>
    </row>
    <row r="445" spans="1:9" s="7" customFormat="1" ht="15" x14ac:dyDescent="0.2">
      <c r="A445" s="7" t="str">
        <f>IF(Plantilla_SCAN_EQ3_COUNT_2[[#This Row],[ID MATERIAL]]="","",SIGN(Plantilla_SCAN_EQ3_COUNT_2[[#This Row],[Cantidad]])+A444)</f>
        <v/>
      </c>
      <c r="B445" s="21" t="str">
        <f>IF(Plantilla_SCAN_EQ3_COUNT_2[[#This Row],[ID MATERIAL]]="","",B444)</f>
        <v/>
      </c>
      <c r="C445" s="21"/>
      <c r="D445" s="21"/>
      <c r="E445" s="7" t="str">
        <f>IF(Plantilla_SCAN_EQ3_COUNT_2[[#This Row],[ID MATERIAL]]="","",VLOOKUP(Plantilla_SCAN_EQ3_COUNT_2[[#This Row],[ID MATERIAL]],INVENTARIO!$A:$D,2,FALSE))</f>
        <v/>
      </c>
      <c r="F445" s="7" t="str">
        <f>IF(Plantilla_SCAN_EQ3_COUNT_2[[#This Row],[ID MATERIAL]]="","",IF(Plantilla_SCAN_EQ3_COUNT_2[[#This Row],[No. Empaques]]="",1,Plantilla_SCAN_EQ3_COUNT_2[[#This Row],[No. Empaques]]*1))</f>
        <v/>
      </c>
      <c r="G445" s="7" t="str">
        <f>IF(Plantilla_SCAN_EQ3_COUNT_2[[#This Row],[ID MATERIAL]]="","","PZ")</f>
        <v/>
      </c>
      <c r="H445" s="7" t="str">
        <f>IF(Plantilla_SCAN_EQ3_COUNT_2[[#This Row],[ID MATERIAL]]="","",$B$13)</f>
        <v/>
      </c>
      <c r="I445" s="7" t="str">
        <f>IF(Plantilla_SCAN_EQ3_COUNT_2[[#This Row],[ID MATERIAL]]="","","Segundo Conteo")</f>
        <v/>
      </c>
    </row>
    <row r="446" spans="1:9" s="7" customFormat="1" ht="15" x14ac:dyDescent="0.2">
      <c r="A446" s="7" t="str">
        <f>IF(Plantilla_SCAN_EQ3_COUNT_2[[#This Row],[ID MATERIAL]]="","",SIGN(Plantilla_SCAN_EQ3_COUNT_2[[#This Row],[Cantidad]])+A445)</f>
        <v/>
      </c>
      <c r="B446" s="21" t="str">
        <f>IF(Plantilla_SCAN_EQ3_COUNT_2[[#This Row],[ID MATERIAL]]="","",B445)</f>
        <v/>
      </c>
      <c r="C446" s="21"/>
      <c r="D446" s="21"/>
      <c r="E446" s="7" t="str">
        <f>IF(Plantilla_SCAN_EQ3_COUNT_2[[#This Row],[ID MATERIAL]]="","",VLOOKUP(Plantilla_SCAN_EQ3_COUNT_2[[#This Row],[ID MATERIAL]],INVENTARIO!$A:$D,2,FALSE))</f>
        <v/>
      </c>
      <c r="F446" s="7" t="str">
        <f>IF(Plantilla_SCAN_EQ3_COUNT_2[[#This Row],[ID MATERIAL]]="","",IF(Plantilla_SCAN_EQ3_COUNT_2[[#This Row],[No. Empaques]]="",1,Plantilla_SCAN_EQ3_COUNT_2[[#This Row],[No. Empaques]]*1))</f>
        <v/>
      </c>
      <c r="G446" s="7" t="str">
        <f>IF(Plantilla_SCAN_EQ3_COUNT_2[[#This Row],[ID MATERIAL]]="","","PZ")</f>
        <v/>
      </c>
      <c r="H446" s="7" t="str">
        <f>IF(Plantilla_SCAN_EQ3_COUNT_2[[#This Row],[ID MATERIAL]]="","",$B$13)</f>
        <v/>
      </c>
      <c r="I446" s="7" t="str">
        <f>IF(Plantilla_SCAN_EQ3_COUNT_2[[#This Row],[ID MATERIAL]]="","","Segundo Conteo")</f>
        <v/>
      </c>
    </row>
    <row r="447" spans="1:9" s="7" customFormat="1" ht="15" x14ac:dyDescent="0.2">
      <c r="A447" s="7" t="str">
        <f>IF(Plantilla_SCAN_EQ3_COUNT_2[[#This Row],[ID MATERIAL]]="","",SIGN(Plantilla_SCAN_EQ3_COUNT_2[[#This Row],[Cantidad]])+A446)</f>
        <v/>
      </c>
      <c r="B447" s="21" t="str">
        <f>IF(Plantilla_SCAN_EQ3_COUNT_2[[#This Row],[ID MATERIAL]]="","",B446)</f>
        <v/>
      </c>
      <c r="C447" s="21"/>
      <c r="D447" s="21"/>
      <c r="E447" s="7" t="str">
        <f>IF(Plantilla_SCAN_EQ3_COUNT_2[[#This Row],[ID MATERIAL]]="","",VLOOKUP(Plantilla_SCAN_EQ3_COUNT_2[[#This Row],[ID MATERIAL]],INVENTARIO!$A:$D,2,FALSE))</f>
        <v/>
      </c>
      <c r="F447" s="7" t="str">
        <f>IF(Plantilla_SCAN_EQ3_COUNT_2[[#This Row],[ID MATERIAL]]="","",IF(Plantilla_SCAN_EQ3_COUNT_2[[#This Row],[No. Empaques]]="",1,Plantilla_SCAN_EQ3_COUNT_2[[#This Row],[No. Empaques]]*1))</f>
        <v/>
      </c>
      <c r="G447" s="7" t="str">
        <f>IF(Plantilla_SCAN_EQ3_COUNT_2[[#This Row],[ID MATERIAL]]="","","PZ")</f>
        <v/>
      </c>
      <c r="H447" s="7" t="str">
        <f>IF(Plantilla_SCAN_EQ3_COUNT_2[[#This Row],[ID MATERIAL]]="","",$B$13)</f>
        <v/>
      </c>
      <c r="I447" s="7" t="str">
        <f>IF(Plantilla_SCAN_EQ3_COUNT_2[[#This Row],[ID MATERIAL]]="","","Segundo Conteo")</f>
        <v/>
      </c>
    </row>
    <row r="448" spans="1:9" s="7" customFormat="1" ht="15" x14ac:dyDescent="0.2">
      <c r="A448" s="7" t="str">
        <f>IF(Plantilla_SCAN_EQ3_COUNT_2[[#This Row],[ID MATERIAL]]="","",SIGN(Plantilla_SCAN_EQ3_COUNT_2[[#This Row],[Cantidad]])+A447)</f>
        <v/>
      </c>
      <c r="B448" s="21" t="str">
        <f>IF(Plantilla_SCAN_EQ3_COUNT_2[[#This Row],[ID MATERIAL]]="","",B447)</f>
        <v/>
      </c>
      <c r="C448" s="21"/>
      <c r="D448" s="21"/>
      <c r="E448" s="7" t="str">
        <f>IF(Plantilla_SCAN_EQ3_COUNT_2[[#This Row],[ID MATERIAL]]="","",VLOOKUP(Plantilla_SCAN_EQ3_COUNT_2[[#This Row],[ID MATERIAL]],INVENTARIO!$A:$D,2,FALSE))</f>
        <v/>
      </c>
      <c r="F448" s="7" t="str">
        <f>IF(Plantilla_SCAN_EQ3_COUNT_2[[#This Row],[ID MATERIAL]]="","",IF(Plantilla_SCAN_EQ3_COUNT_2[[#This Row],[No. Empaques]]="",1,Plantilla_SCAN_EQ3_COUNT_2[[#This Row],[No. Empaques]]*1))</f>
        <v/>
      </c>
      <c r="G448" s="7" t="str">
        <f>IF(Plantilla_SCAN_EQ3_COUNT_2[[#This Row],[ID MATERIAL]]="","","PZ")</f>
        <v/>
      </c>
      <c r="H448" s="7" t="str">
        <f>IF(Plantilla_SCAN_EQ3_COUNT_2[[#This Row],[ID MATERIAL]]="","",$B$13)</f>
        <v/>
      </c>
      <c r="I448" s="7" t="str">
        <f>IF(Plantilla_SCAN_EQ3_COUNT_2[[#This Row],[ID MATERIAL]]="","","Segundo Conteo")</f>
        <v/>
      </c>
    </row>
    <row r="449" spans="1:9" s="7" customFormat="1" ht="15" x14ac:dyDescent="0.2">
      <c r="A449" s="7" t="str">
        <f>IF(Plantilla_SCAN_EQ3_COUNT_2[[#This Row],[ID MATERIAL]]="","",SIGN(Plantilla_SCAN_EQ3_COUNT_2[[#This Row],[Cantidad]])+A448)</f>
        <v/>
      </c>
      <c r="B449" s="21" t="str">
        <f>IF(Plantilla_SCAN_EQ3_COUNT_2[[#This Row],[ID MATERIAL]]="","",B448)</f>
        <v/>
      </c>
      <c r="C449" s="21"/>
      <c r="D449" s="21"/>
      <c r="E449" s="7" t="str">
        <f>IF(Plantilla_SCAN_EQ3_COUNT_2[[#This Row],[ID MATERIAL]]="","",VLOOKUP(Plantilla_SCAN_EQ3_COUNT_2[[#This Row],[ID MATERIAL]],INVENTARIO!$A:$D,2,FALSE))</f>
        <v/>
      </c>
      <c r="F449" s="7" t="str">
        <f>IF(Plantilla_SCAN_EQ3_COUNT_2[[#This Row],[ID MATERIAL]]="","",IF(Plantilla_SCAN_EQ3_COUNT_2[[#This Row],[No. Empaques]]="",1,Plantilla_SCAN_EQ3_COUNT_2[[#This Row],[No. Empaques]]*1))</f>
        <v/>
      </c>
      <c r="G449" s="7" t="str">
        <f>IF(Plantilla_SCAN_EQ3_COUNT_2[[#This Row],[ID MATERIAL]]="","","PZ")</f>
        <v/>
      </c>
      <c r="H449" s="7" t="str">
        <f>IF(Plantilla_SCAN_EQ3_COUNT_2[[#This Row],[ID MATERIAL]]="","",$B$13)</f>
        <v/>
      </c>
      <c r="I449" s="7" t="str">
        <f>IF(Plantilla_SCAN_EQ3_COUNT_2[[#This Row],[ID MATERIAL]]="","","Segundo Conteo")</f>
        <v/>
      </c>
    </row>
    <row r="450" spans="1:9" s="7" customFormat="1" ht="15" x14ac:dyDescent="0.2">
      <c r="A450" s="7" t="str">
        <f>IF(Plantilla_SCAN_EQ3_COUNT_2[[#This Row],[ID MATERIAL]]="","",SIGN(Plantilla_SCAN_EQ3_COUNT_2[[#This Row],[Cantidad]])+A449)</f>
        <v/>
      </c>
      <c r="B450" s="21" t="str">
        <f>IF(Plantilla_SCAN_EQ3_COUNT_2[[#This Row],[ID MATERIAL]]="","",B449)</f>
        <v/>
      </c>
      <c r="C450" s="21"/>
      <c r="D450" s="21"/>
      <c r="E450" s="7" t="str">
        <f>IF(Plantilla_SCAN_EQ3_COUNT_2[[#This Row],[ID MATERIAL]]="","",VLOOKUP(Plantilla_SCAN_EQ3_COUNT_2[[#This Row],[ID MATERIAL]],INVENTARIO!$A:$D,2,FALSE))</f>
        <v/>
      </c>
      <c r="F450" s="7" t="str">
        <f>IF(Plantilla_SCAN_EQ3_COUNT_2[[#This Row],[ID MATERIAL]]="","",IF(Plantilla_SCAN_EQ3_COUNT_2[[#This Row],[No. Empaques]]="",1,Plantilla_SCAN_EQ3_COUNT_2[[#This Row],[No. Empaques]]*1))</f>
        <v/>
      </c>
      <c r="G450" s="7" t="str">
        <f>IF(Plantilla_SCAN_EQ3_COUNT_2[[#This Row],[ID MATERIAL]]="","","PZ")</f>
        <v/>
      </c>
      <c r="H450" s="7" t="str">
        <f>IF(Plantilla_SCAN_EQ3_COUNT_2[[#This Row],[ID MATERIAL]]="","",$B$13)</f>
        <v/>
      </c>
      <c r="I450" s="7" t="str">
        <f>IF(Plantilla_SCAN_EQ3_COUNT_2[[#This Row],[ID MATERIAL]]="","","Segundo Conteo")</f>
        <v/>
      </c>
    </row>
    <row r="451" spans="1:9" s="7" customFormat="1" ht="15" x14ac:dyDescent="0.2">
      <c r="A451" s="7" t="str">
        <f>IF(Plantilla_SCAN_EQ3_COUNT_2[[#This Row],[ID MATERIAL]]="","",SIGN(Plantilla_SCAN_EQ3_COUNT_2[[#This Row],[Cantidad]])+A450)</f>
        <v/>
      </c>
      <c r="B451" s="21" t="str">
        <f>IF(Plantilla_SCAN_EQ3_COUNT_2[[#This Row],[ID MATERIAL]]="","",B450)</f>
        <v/>
      </c>
      <c r="C451" s="21"/>
      <c r="D451" s="21"/>
      <c r="E451" s="7" t="str">
        <f>IF(Plantilla_SCAN_EQ3_COUNT_2[[#This Row],[ID MATERIAL]]="","",VLOOKUP(Plantilla_SCAN_EQ3_COUNT_2[[#This Row],[ID MATERIAL]],INVENTARIO!$A:$D,2,FALSE))</f>
        <v/>
      </c>
      <c r="F451" s="7" t="str">
        <f>IF(Plantilla_SCAN_EQ3_COUNT_2[[#This Row],[ID MATERIAL]]="","",IF(Plantilla_SCAN_EQ3_COUNT_2[[#This Row],[No. Empaques]]="",1,Plantilla_SCAN_EQ3_COUNT_2[[#This Row],[No. Empaques]]*1))</f>
        <v/>
      </c>
      <c r="G451" s="7" t="str">
        <f>IF(Plantilla_SCAN_EQ3_COUNT_2[[#This Row],[ID MATERIAL]]="","","PZ")</f>
        <v/>
      </c>
      <c r="H451" s="7" t="str">
        <f>IF(Plantilla_SCAN_EQ3_COUNT_2[[#This Row],[ID MATERIAL]]="","",$B$13)</f>
        <v/>
      </c>
      <c r="I451" s="7" t="str">
        <f>IF(Plantilla_SCAN_EQ3_COUNT_2[[#This Row],[ID MATERIAL]]="","","Segundo Conteo")</f>
        <v/>
      </c>
    </row>
    <row r="452" spans="1:9" s="7" customFormat="1" ht="15" x14ac:dyDescent="0.2">
      <c r="A452" s="7" t="str">
        <f>IF(Plantilla_SCAN_EQ3_COUNT_2[[#This Row],[ID MATERIAL]]="","",SIGN(Plantilla_SCAN_EQ3_COUNT_2[[#This Row],[Cantidad]])+A451)</f>
        <v/>
      </c>
      <c r="B452" s="21" t="str">
        <f>IF(Plantilla_SCAN_EQ3_COUNT_2[[#This Row],[ID MATERIAL]]="","",B451)</f>
        <v/>
      </c>
      <c r="C452" s="21"/>
      <c r="D452" s="21"/>
      <c r="E452" s="7" t="str">
        <f>IF(Plantilla_SCAN_EQ3_COUNT_2[[#This Row],[ID MATERIAL]]="","",VLOOKUP(Plantilla_SCAN_EQ3_COUNT_2[[#This Row],[ID MATERIAL]],INVENTARIO!$A:$D,2,FALSE))</f>
        <v/>
      </c>
      <c r="F452" s="7" t="str">
        <f>IF(Plantilla_SCAN_EQ3_COUNT_2[[#This Row],[ID MATERIAL]]="","",IF(Plantilla_SCAN_EQ3_COUNT_2[[#This Row],[No. Empaques]]="",1,Plantilla_SCAN_EQ3_COUNT_2[[#This Row],[No. Empaques]]*1))</f>
        <v/>
      </c>
      <c r="G452" s="7" t="str">
        <f>IF(Plantilla_SCAN_EQ3_COUNT_2[[#This Row],[ID MATERIAL]]="","","PZ")</f>
        <v/>
      </c>
      <c r="H452" s="7" t="str">
        <f>IF(Plantilla_SCAN_EQ3_COUNT_2[[#This Row],[ID MATERIAL]]="","",$B$13)</f>
        <v/>
      </c>
      <c r="I452" s="7" t="str">
        <f>IF(Plantilla_SCAN_EQ3_COUNT_2[[#This Row],[ID MATERIAL]]="","","Segundo Conteo")</f>
        <v/>
      </c>
    </row>
    <row r="453" spans="1:9" s="7" customFormat="1" ht="15" x14ac:dyDescent="0.2">
      <c r="A453" s="7" t="str">
        <f>IF(Plantilla_SCAN_EQ3_COUNT_2[[#This Row],[ID MATERIAL]]="","",SIGN(Plantilla_SCAN_EQ3_COUNT_2[[#This Row],[Cantidad]])+A452)</f>
        <v/>
      </c>
      <c r="B453" s="21" t="str">
        <f>IF(Plantilla_SCAN_EQ3_COUNT_2[[#This Row],[ID MATERIAL]]="","",B452)</f>
        <v/>
      </c>
      <c r="C453" s="21"/>
      <c r="D453" s="21"/>
      <c r="E453" s="7" t="str">
        <f>IF(Plantilla_SCAN_EQ3_COUNT_2[[#This Row],[ID MATERIAL]]="","",VLOOKUP(Plantilla_SCAN_EQ3_COUNT_2[[#This Row],[ID MATERIAL]],INVENTARIO!$A:$D,2,FALSE))</f>
        <v/>
      </c>
      <c r="F453" s="7" t="str">
        <f>IF(Plantilla_SCAN_EQ3_COUNT_2[[#This Row],[ID MATERIAL]]="","",IF(Plantilla_SCAN_EQ3_COUNT_2[[#This Row],[No. Empaques]]="",1,Plantilla_SCAN_EQ3_COUNT_2[[#This Row],[No. Empaques]]*1))</f>
        <v/>
      </c>
      <c r="G453" s="7" t="str">
        <f>IF(Plantilla_SCAN_EQ3_COUNT_2[[#This Row],[ID MATERIAL]]="","","PZ")</f>
        <v/>
      </c>
      <c r="H453" s="7" t="str">
        <f>IF(Plantilla_SCAN_EQ3_COUNT_2[[#This Row],[ID MATERIAL]]="","",$B$13)</f>
        <v/>
      </c>
      <c r="I453" s="7" t="str">
        <f>IF(Plantilla_SCAN_EQ3_COUNT_2[[#This Row],[ID MATERIAL]]="","","Segundo Conteo")</f>
        <v/>
      </c>
    </row>
    <row r="454" spans="1:9" s="7" customFormat="1" ht="15" x14ac:dyDescent="0.2">
      <c r="A454" s="7" t="str">
        <f>IF(Plantilla_SCAN_EQ3_COUNT_2[[#This Row],[ID MATERIAL]]="","",SIGN(Plantilla_SCAN_EQ3_COUNT_2[[#This Row],[Cantidad]])+A453)</f>
        <v/>
      </c>
      <c r="B454" s="21" t="str">
        <f>IF(Plantilla_SCAN_EQ3_COUNT_2[[#This Row],[ID MATERIAL]]="","",B453)</f>
        <v/>
      </c>
      <c r="C454" s="21"/>
      <c r="D454" s="21"/>
      <c r="E454" s="7" t="str">
        <f>IF(Plantilla_SCAN_EQ3_COUNT_2[[#This Row],[ID MATERIAL]]="","",VLOOKUP(Plantilla_SCAN_EQ3_COUNT_2[[#This Row],[ID MATERIAL]],INVENTARIO!$A:$D,2,FALSE))</f>
        <v/>
      </c>
      <c r="F454" s="7" t="str">
        <f>IF(Plantilla_SCAN_EQ3_COUNT_2[[#This Row],[ID MATERIAL]]="","",IF(Plantilla_SCAN_EQ3_COUNT_2[[#This Row],[No. Empaques]]="",1,Plantilla_SCAN_EQ3_COUNT_2[[#This Row],[No. Empaques]]*1))</f>
        <v/>
      </c>
      <c r="G454" s="7" t="str">
        <f>IF(Plantilla_SCAN_EQ3_COUNT_2[[#This Row],[ID MATERIAL]]="","","PZ")</f>
        <v/>
      </c>
      <c r="H454" s="7" t="str">
        <f>IF(Plantilla_SCAN_EQ3_COUNT_2[[#This Row],[ID MATERIAL]]="","",$B$13)</f>
        <v/>
      </c>
      <c r="I454" s="7" t="str">
        <f>IF(Plantilla_SCAN_EQ3_COUNT_2[[#This Row],[ID MATERIAL]]="","","Segundo Conteo")</f>
        <v/>
      </c>
    </row>
    <row r="455" spans="1:9" s="7" customFormat="1" ht="15" x14ac:dyDescent="0.2">
      <c r="A455" s="7" t="str">
        <f>IF(Plantilla_SCAN_EQ3_COUNT_2[[#This Row],[ID MATERIAL]]="","",SIGN(Plantilla_SCAN_EQ3_COUNT_2[[#This Row],[Cantidad]])+A454)</f>
        <v/>
      </c>
      <c r="B455" s="21" t="str">
        <f>IF(Plantilla_SCAN_EQ3_COUNT_2[[#This Row],[ID MATERIAL]]="","",B454)</f>
        <v/>
      </c>
      <c r="C455" s="21"/>
      <c r="D455" s="21"/>
      <c r="E455" s="7" t="str">
        <f>IF(Plantilla_SCAN_EQ3_COUNT_2[[#This Row],[ID MATERIAL]]="","",VLOOKUP(Plantilla_SCAN_EQ3_COUNT_2[[#This Row],[ID MATERIAL]],INVENTARIO!$A:$D,2,FALSE))</f>
        <v/>
      </c>
      <c r="F455" s="7" t="str">
        <f>IF(Plantilla_SCAN_EQ3_COUNT_2[[#This Row],[ID MATERIAL]]="","",IF(Plantilla_SCAN_EQ3_COUNT_2[[#This Row],[No. Empaques]]="",1,Plantilla_SCAN_EQ3_COUNT_2[[#This Row],[No. Empaques]]*1))</f>
        <v/>
      </c>
      <c r="G455" s="7" t="str">
        <f>IF(Plantilla_SCAN_EQ3_COUNT_2[[#This Row],[ID MATERIAL]]="","","PZ")</f>
        <v/>
      </c>
      <c r="H455" s="7" t="str">
        <f>IF(Plantilla_SCAN_EQ3_COUNT_2[[#This Row],[ID MATERIAL]]="","",$B$13)</f>
        <v/>
      </c>
      <c r="I455" s="7" t="str">
        <f>IF(Plantilla_SCAN_EQ3_COUNT_2[[#This Row],[ID MATERIAL]]="","","Segundo Conteo")</f>
        <v/>
      </c>
    </row>
    <row r="456" spans="1:9" s="7" customFormat="1" ht="15" x14ac:dyDescent="0.2">
      <c r="A456" s="7" t="str">
        <f>IF(Plantilla_SCAN_EQ3_COUNT_2[[#This Row],[ID MATERIAL]]="","",SIGN(Plantilla_SCAN_EQ3_COUNT_2[[#This Row],[Cantidad]])+A455)</f>
        <v/>
      </c>
      <c r="B456" s="21" t="str">
        <f>IF(Plantilla_SCAN_EQ3_COUNT_2[[#This Row],[ID MATERIAL]]="","",B455)</f>
        <v/>
      </c>
      <c r="C456" s="21"/>
      <c r="D456" s="21"/>
      <c r="E456" s="7" t="str">
        <f>IF(Plantilla_SCAN_EQ3_COUNT_2[[#This Row],[ID MATERIAL]]="","",VLOOKUP(Plantilla_SCAN_EQ3_COUNT_2[[#This Row],[ID MATERIAL]],INVENTARIO!$A:$D,2,FALSE))</f>
        <v/>
      </c>
      <c r="F456" s="7" t="str">
        <f>IF(Plantilla_SCAN_EQ3_COUNT_2[[#This Row],[ID MATERIAL]]="","",IF(Plantilla_SCAN_EQ3_COUNT_2[[#This Row],[No. Empaques]]="",1,Plantilla_SCAN_EQ3_COUNT_2[[#This Row],[No. Empaques]]*1))</f>
        <v/>
      </c>
      <c r="G456" s="7" t="str">
        <f>IF(Plantilla_SCAN_EQ3_COUNT_2[[#This Row],[ID MATERIAL]]="","","PZ")</f>
        <v/>
      </c>
      <c r="H456" s="7" t="str">
        <f>IF(Plantilla_SCAN_EQ3_COUNT_2[[#This Row],[ID MATERIAL]]="","",$B$13)</f>
        <v/>
      </c>
      <c r="I456" s="7" t="str">
        <f>IF(Plantilla_SCAN_EQ3_COUNT_2[[#This Row],[ID MATERIAL]]="","","Segundo Conteo")</f>
        <v/>
      </c>
    </row>
    <row r="457" spans="1:9" s="7" customFormat="1" ht="15" x14ac:dyDescent="0.2">
      <c r="A457" s="7" t="str">
        <f>IF(Plantilla_SCAN_EQ3_COUNT_2[[#This Row],[ID MATERIAL]]="","",SIGN(Plantilla_SCAN_EQ3_COUNT_2[[#This Row],[Cantidad]])+A456)</f>
        <v/>
      </c>
      <c r="B457" s="21" t="str">
        <f>IF(Plantilla_SCAN_EQ3_COUNT_2[[#This Row],[ID MATERIAL]]="","",B456)</f>
        <v/>
      </c>
      <c r="C457" s="21"/>
      <c r="D457" s="21"/>
      <c r="E457" s="7" t="str">
        <f>IF(Plantilla_SCAN_EQ3_COUNT_2[[#This Row],[ID MATERIAL]]="","",VLOOKUP(Plantilla_SCAN_EQ3_COUNT_2[[#This Row],[ID MATERIAL]],INVENTARIO!$A:$D,2,FALSE))</f>
        <v/>
      </c>
      <c r="F457" s="7" t="str">
        <f>IF(Plantilla_SCAN_EQ3_COUNT_2[[#This Row],[ID MATERIAL]]="","",IF(Plantilla_SCAN_EQ3_COUNT_2[[#This Row],[No. Empaques]]="",1,Plantilla_SCAN_EQ3_COUNT_2[[#This Row],[No. Empaques]]*1))</f>
        <v/>
      </c>
      <c r="G457" s="7" t="str">
        <f>IF(Plantilla_SCAN_EQ3_COUNT_2[[#This Row],[ID MATERIAL]]="","","PZ")</f>
        <v/>
      </c>
      <c r="H457" s="7" t="str">
        <f>IF(Plantilla_SCAN_EQ3_COUNT_2[[#This Row],[ID MATERIAL]]="","",$B$13)</f>
        <v/>
      </c>
      <c r="I457" s="7" t="str">
        <f>IF(Plantilla_SCAN_EQ3_COUNT_2[[#This Row],[ID MATERIAL]]="","","Segundo Conteo")</f>
        <v/>
      </c>
    </row>
    <row r="458" spans="1:9" s="7" customFormat="1" ht="15" x14ac:dyDescent="0.2">
      <c r="A458" s="7" t="str">
        <f>IF(Plantilla_SCAN_EQ3_COUNT_2[[#This Row],[ID MATERIAL]]="","",SIGN(Plantilla_SCAN_EQ3_COUNT_2[[#This Row],[Cantidad]])+A457)</f>
        <v/>
      </c>
      <c r="B458" s="21" t="str">
        <f>IF(Plantilla_SCAN_EQ3_COUNT_2[[#This Row],[ID MATERIAL]]="","",B457)</f>
        <v/>
      </c>
      <c r="C458" s="21"/>
      <c r="D458" s="21"/>
      <c r="E458" s="7" t="str">
        <f>IF(Plantilla_SCAN_EQ3_COUNT_2[[#This Row],[ID MATERIAL]]="","",VLOOKUP(Plantilla_SCAN_EQ3_COUNT_2[[#This Row],[ID MATERIAL]],INVENTARIO!$A:$D,2,FALSE))</f>
        <v/>
      </c>
      <c r="F458" s="7" t="str">
        <f>IF(Plantilla_SCAN_EQ3_COUNT_2[[#This Row],[ID MATERIAL]]="","",IF(Plantilla_SCAN_EQ3_COUNT_2[[#This Row],[No. Empaques]]="",1,Plantilla_SCAN_EQ3_COUNT_2[[#This Row],[No. Empaques]]*1))</f>
        <v/>
      </c>
      <c r="G458" s="7" t="str">
        <f>IF(Plantilla_SCAN_EQ3_COUNT_2[[#This Row],[ID MATERIAL]]="","","PZ")</f>
        <v/>
      </c>
      <c r="H458" s="7" t="str">
        <f>IF(Plantilla_SCAN_EQ3_COUNT_2[[#This Row],[ID MATERIAL]]="","",$B$13)</f>
        <v/>
      </c>
      <c r="I458" s="7" t="str">
        <f>IF(Plantilla_SCAN_EQ3_COUNT_2[[#This Row],[ID MATERIAL]]="","","Segundo Conteo")</f>
        <v/>
      </c>
    </row>
    <row r="459" spans="1:9" s="7" customFormat="1" ht="15" x14ac:dyDescent="0.2">
      <c r="A459" s="7" t="str">
        <f>IF(Plantilla_SCAN_EQ3_COUNT_2[[#This Row],[ID MATERIAL]]="","",SIGN(Plantilla_SCAN_EQ3_COUNT_2[[#This Row],[Cantidad]])+A458)</f>
        <v/>
      </c>
      <c r="B459" s="21" t="str">
        <f>IF(Plantilla_SCAN_EQ3_COUNT_2[[#This Row],[ID MATERIAL]]="","",B458)</f>
        <v/>
      </c>
      <c r="C459" s="21"/>
      <c r="D459" s="21"/>
      <c r="E459" s="7" t="str">
        <f>IF(Plantilla_SCAN_EQ3_COUNT_2[[#This Row],[ID MATERIAL]]="","",VLOOKUP(Plantilla_SCAN_EQ3_COUNT_2[[#This Row],[ID MATERIAL]],INVENTARIO!$A:$D,2,FALSE))</f>
        <v/>
      </c>
      <c r="F459" s="7" t="str">
        <f>IF(Plantilla_SCAN_EQ3_COUNT_2[[#This Row],[ID MATERIAL]]="","",IF(Plantilla_SCAN_EQ3_COUNT_2[[#This Row],[No. Empaques]]="",1,Plantilla_SCAN_EQ3_COUNT_2[[#This Row],[No. Empaques]]*1))</f>
        <v/>
      </c>
      <c r="G459" s="7" t="str">
        <f>IF(Plantilla_SCAN_EQ3_COUNT_2[[#This Row],[ID MATERIAL]]="","","PZ")</f>
        <v/>
      </c>
      <c r="H459" s="7" t="str">
        <f>IF(Plantilla_SCAN_EQ3_COUNT_2[[#This Row],[ID MATERIAL]]="","",$B$13)</f>
        <v/>
      </c>
      <c r="I459" s="7" t="str">
        <f>IF(Plantilla_SCAN_EQ3_COUNT_2[[#This Row],[ID MATERIAL]]="","","Segundo Conteo")</f>
        <v/>
      </c>
    </row>
    <row r="460" spans="1:9" s="7" customFormat="1" ht="15" x14ac:dyDescent="0.2">
      <c r="A460" s="7" t="str">
        <f>IF(Plantilla_SCAN_EQ3_COUNT_2[[#This Row],[ID MATERIAL]]="","",SIGN(Plantilla_SCAN_EQ3_COUNT_2[[#This Row],[Cantidad]])+A459)</f>
        <v/>
      </c>
      <c r="B460" s="21" t="str">
        <f>IF(Plantilla_SCAN_EQ3_COUNT_2[[#This Row],[ID MATERIAL]]="","",B459)</f>
        <v/>
      </c>
      <c r="C460" s="21"/>
      <c r="D460" s="21"/>
      <c r="E460" s="7" t="str">
        <f>IF(Plantilla_SCAN_EQ3_COUNT_2[[#This Row],[ID MATERIAL]]="","",VLOOKUP(Plantilla_SCAN_EQ3_COUNT_2[[#This Row],[ID MATERIAL]],INVENTARIO!$A:$D,2,FALSE))</f>
        <v/>
      </c>
      <c r="F460" s="7" t="str">
        <f>IF(Plantilla_SCAN_EQ3_COUNT_2[[#This Row],[ID MATERIAL]]="","",IF(Plantilla_SCAN_EQ3_COUNT_2[[#This Row],[No. Empaques]]="",1,Plantilla_SCAN_EQ3_COUNT_2[[#This Row],[No. Empaques]]*1))</f>
        <v/>
      </c>
      <c r="G460" s="7" t="str">
        <f>IF(Plantilla_SCAN_EQ3_COUNT_2[[#This Row],[ID MATERIAL]]="","","PZ")</f>
        <v/>
      </c>
      <c r="H460" s="7" t="str">
        <f>IF(Plantilla_SCAN_EQ3_COUNT_2[[#This Row],[ID MATERIAL]]="","",$B$13)</f>
        <v/>
      </c>
      <c r="I460" s="7" t="str">
        <f>IF(Plantilla_SCAN_EQ3_COUNT_2[[#This Row],[ID MATERIAL]]="","","Segundo Conteo")</f>
        <v/>
      </c>
    </row>
    <row r="461" spans="1:9" s="7" customFormat="1" ht="15" x14ac:dyDescent="0.2">
      <c r="A461" s="7" t="str">
        <f>IF(Plantilla_SCAN_EQ3_COUNT_2[[#This Row],[ID MATERIAL]]="","",SIGN(Plantilla_SCAN_EQ3_COUNT_2[[#This Row],[Cantidad]])+A460)</f>
        <v/>
      </c>
      <c r="B461" s="21" t="str">
        <f>IF(Plantilla_SCAN_EQ3_COUNT_2[[#This Row],[ID MATERIAL]]="","",B460)</f>
        <v/>
      </c>
      <c r="C461" s="21"/>
      <c r="D461" s="21"/>
      <c r="E461" s="7" t="str">
        <f>IF(Plantilla_SCAN_EQ3_COUNT_2[[#This Row],[ID MATERIAL]]="","",VLOOKUP(Plantilla_SCAN_EQ3_COUNT_2[[#This Row],[ID MATERIAL]],INVENTARIO!$A:$D,2,FALSE))</f>
        <v/>
      </c>
      <c r="F461" s="7" t="str">
        <f>IF(Plantilla_SCAN_EQ3_COUNT_2[[#This Row],[ID MATERIAL]]="","",IF(Plantilla_SCAN_EQ3_COUNT_2[[#This Row],[No. Empaques]]="",1,Plantilla_SCAN_EQ3_COUNT_2[[#This Row],[No. Empaques]]*1))</f>
        <v/>
      </c>
      <c r="G461" s="7" t="str">
        <f>IF(Plantilla_SCAN_EQ3_COUNT_2[[#This Row],[ID MATERIAL]]="","","PZ")</f>
        <v/>
      </c>
      <c r="H461" s="7" t="str">
        <f>IF(Plantilla_SCAN_EQ3_COUNT_2[[#This Row],[ID MATERIAL]]="","",$B$13)</f>
        <v/>
      </c>
      <c r="I461" s="7" t="str">
        <f>IF(Plantilla_SCAN_EQ3_COUNT_2[[#This Row],[ID MATERIAL]]="","","Segundo Conteo")</f>
        <v/>
      </c>
    </row>
    <row r="462" spans="1:9" s="7" customFormat="1" ht="15" x14ac:dyDescent="0.2">
      <c r="A462" s="7" t="str">
        <f>IF(Plantilla_SCAN_EQ3_COUNT_2[[#This Row],[ID MATERIAL]]="","",SIGN(Plantilla_SCAN_EQ3_COUNT_2[[#This Row],[Cantidad]])+A461)</f>
        <v/>
      </c>
      <c r="B462" s="21" t="str">
        <f>IF(Plantilla_SCAN_EQ3_COUNT_2[[#This Row],[ID MATERIAL]]="","",B461)</f>
        <v/>
      </c>
      <c r="C462" s="21"/>
      <c r="D462" s="21"/>
      <c r="E462" s="7" t="str">
        <f>IF(Plantilla_SCAN_EQ3_COUNT_2[[#This Row],[ID MATERIAL]]="","",VLOOKUP(Plantilla_SCAN_EQ3_COUNT_2[[#This Row],[ID MATERIAL]],INVENTARIO!$A:$D,2,FALSE))</f>
        <v/>
      </c>
      <c r="F462" s="7" t="str">
        <f>IF(Plantilla_SCAN_EQ3_COUNT_2[[#This Row],[ID MATERIAL]]="","",IF(Plantilla_SCAN_EQ3_COUNT_2[[#This Row],[No. Empaques]]="",1,Plantilla_SCAN_EQ3_COUNT_2[[#This Row],[No. Empaques]]*1))</f>
        <v/>
      </c>
      <c r="G462" s="7" t="str">
        <f>IF(Plantilla_SCAN_EQ3_COUNT_2[[#This Row],[ID MATERIAL]]="","","PZ")</f>
        <v/>
      </c>
      <c r="H462" s="7" t="str">
        <f>IF(Plantilla_SCAN_EQ3_COUNT_2[[#This Row],[ID MATERIAL]]="","",$B$13)</f>
        <v/>
      </c>
      <c r="I462" s="7" t="str">
        <f>IF(Plantilla_SCAN_EQ3_COUNT_2[[#This Row],[ID MATERIAL]]="","","Segundo Conteo")</f>
        <v/>
      </c>
    </row>
    <row r="463" spans="1:9" s="7" customFormat="1" ht="15" x14ac:dyDescent="0.2">
      <c r="A463" s="7" t="str">
        <f>IF(Plantilla_SCAN_EQ3_COUNT_2[[#This Row],[ID MATERIAL]]="","",SIGN(Plantilla_SCAN_EQ3_COUNT_2[[#This Row],[Cantidad]])+A462)</f>
        <v/>
      </c>
      <c r="B463" s="21" t="str">
        <f>IF(Plantilla_SCAN_EQ3_COUNT_2[[#This Row],[ID MATERIAL]]="","",B462)</f>
        <v/>
      </c>
      <c r="C463" s="21"/>
      <c r="D463" s="21"/>
      <c r="E463" s="7" t="str">
        <f>IF(Plantilla_SCAN_EQ3_COUNT_2[[#This Row],[ID MATERIAL]]="","",VLOOKUP(Plantilla_SCAN_EQ3_COUNT_2[[#This Row],[ID MATERIAL]],INVENTARIO!$A:$D,2,FALSE))</f>
        <v/>
      </c>
      <c r="F463" s="7" t="str">
        <f>IF(Plantilla_SCAN_EQ3_COUNT_2[[#This Row],[ID MATERIAL]]="","",IF(Plantilla_SCAN_EQ3_COUNT_2[[#This Row],[No. Empaques]]="",1,Plantilla_SCAN_EQ3_COUNT_2[[#This Row],[No. Empaques]]*1))</f>
        <v/>
      </c>
      <c r="G463" s="7" t="str">
        <f>IF(Plantilla_SCAN_EQ3_COUNT_2[[#This Row],[ID MATERIAL]]="","","PZ")</f>
        <v/>
      </c>
      <c r="H463" s="7" t="str">
        <f>IF(Plantilla_SCAN_EQ3_COUNT_2[[#This Row],[ID MATERIAL]]="","",$B$13)</f>
        <v/>
      </c>
      <c r="I463" s="7" t="str">
        <f>IF(Plantilla_SCAN_EQ3_COUNT_2[[#This Row],[ID MATERIAL]]="","","Segundo Conteo")</f>
        <v/>
      </c>
    </row>
    <row r="464" spans="1:9" s="7" customFormat="1" ht="15" x14ac:dyDescent="0.2">
      <c r="A464" s="7" t="str">
        <f>IF(Plantilla_SCAN_EQ3_COUNT_2[[#This Row],[ID MATERIAL]]="","",SIGN(Plantilla_SCAN_EQ3_COUNT_2[[#This Row],[Cantidad]])+A463)</f>
        <v/>
      </c>
      <c r="B464" s="21" t="str">
        <f>IF(Plantilla_SCAN_EQ3_COUNT_2[[#This Row],[ID MATERIAL]]="","",B463)</f>
        <v/>
      </c>
      <c r="C464" s="21"/>
      <c r="D464" s="21"/>
      <c r="E464" s="7" t="str">
        <f>IF(Plantilla_SCAN_EQ3_COUNT_2[[#This Row],[ID MATERIAL]]="","",VLOOKUP(Plantilla_SCAN_EQ3_COUNT_2[[#This Row],[ID MATERIAL]],INVENTARIO!$A:$D,2,FALSE))</f>
        <v/>
      </c>
      <c r="F464" s="7" t="str">
        <f>IF(Plantilla_SCAN_EQ3_COUNT_2[[#This Row],[ID MATERIAL]]="","",IF(Plantilla_SCAN_EQ3_COUNT_2[[#This Row],[No. Empaques]]="",1,Plantilla_SCAN_EQ3_COUNT_2[[#This Row],[No. Empaques]]*1))</f>
        <v/>
      </c>
      <c r="G464" s="7" t="str">
        <f>IF(Plantilla_SCAN_EQ3_COUNT_2[[#This Row],[ID MATERIAL]]="","","PZ")</f>
        <v/>
      </c>
      <c r="H464" s="7" t="str">
        <f>IF(Plantilla_SCAN_EQ3_COUNT_2[[#This Row],[ID MATERIAL]]="","",$B$13)</f>
        <v/>
      </c>
      <c r="I464" s="7" t="str">
        <f>IF(Plantilla_SCAN_EQ3_COUNT_2[[#This Row],[ID MATERIAL]]="","","Segundo Conteo")</f>
        <v/>
      </c>
    </row>
    <row r="465" spans="1:9" s="7" customFormat="1" ht="15" x14ac:dyDescent="0.2">
      <c r="A465" s="7" t="str">
        <f>IF(Plantilla_SCAN_EQ3_COUNT_2[[#This Row],[ID MATERIAL]]="","",SIGN(Plantilla_SCAN_EQ3_COUNT_2[[#This Row],[Cantidad]])+A464)</f>
        <v/>
      </c>
      <c r="B465" s="21" t="str">
        <f>IF(Plantilla_SCAN_EQ3_COUNT_2[[#This Row],[ID MATERIAL]]="","",B464)</f>
        <v/>
      </c>
      <c r="C465" s="21"/>
      <c r="D465" s="21"/>
      <c r="E465" s="7" t="str">
        <f>IF(Plantilla_SCAN_EQ3_COUNT_2[[#This Row],[ID MATERIAL]]="","",VLOOKUP(Plantilla_SCAN_EQ3_COUNT_2[[#This Row],[ID MATERIAL]],INVENTARIO!$A:$D,2,FALSE))</f>
        <v/>
      </c>
      <c r="F465" s="7" t="str">
        <f>IF(Plantilla_SCAN_EQ3_COUNT_2[[#This Row],[ID MATERIAL]]="","",IF(Plantilla_SCAN_EQ3_COUNT_2[[#This Row],[No. Empaques]]="",1,Plantilla_SCAN_EQ3_COUNT_2[[#This Row],[No. Empaques]]*1))</f>
        <v/>
      </c>
      <c r="G465" s="7" t="str">
        <f>IF(Plantilla_SCAN_EQ3_COUNT_2[[#This Row],[ID MATERIAL]]="","","PZ")</f>
        <v/>
      </c>
      <c r="H465" s="7" t="str">
        <f>IF(Plantilla_SCAN_EQ3_COUNT_2[[#This Row],[ID MATERIAL]]="","",$B$13)</f>
        <v/>
      </c>
      <c r="I465" s="7" t="str">
        <f>IF(Plantilla_SCAN_EQ3_COUNT_2[[#This Row],[ID MATERIAL]]="","","Segundo Conteo")</f>
        <v/>
      </c>
    </row>
    <row r="466" spans="1:9" s="7" customFormat="1" ht="15" x14ac:dyDescent="0.2">
      <c r="A466" s="7" t="str">
        <f>IF(Plantilla_SCAN_EQ3_COUNT_2[[#This Row],[ID MATERIAL]]="","",SIGN(Plantilla_SCAN_EQ3_COUNT_2[[#This Row],[Cantidad]])+A465)</f>
        <v/>
      </c>
      <c r="B466" s="21" t="str">
        <f>IF(Plantilla_SCAN_EQ3_COUNT_2[[#This Row],[ID MATERIAL]]="","",B465)</f>
        <v/>
      </c>
      <c r="C466" s="21"/>
      <c r="D466" s="21"/>
      <c r="E466" s="7" t="str">
        <f>IF(Plantilla_SCAN_EQ3_COUNT_2[[#This Row],[ID MATERIAL]]="","",VLOOKUP(Plantilla_SCAN_EQ3_COUNT_2[[#This Row],[ID MATERIAL]],INVENTARIO!$A:$D,2,FALSE))</f>
        <v/>
      </c>
      <c r="F466" s="7" t="str">
        <f>IF(Plantilla_SCAN_EQ3_COUNT_2[[#This Row],[ID MATERIAL]]="","",IF(Plantilla_SCAN_EQ3_COUNT_2[[#This Row],[No. Empaques]]="",1,Plantilla_SCAN_EQ3_COUNT_2[[#This Row],[No. Empaques]]*1))</f>
        <v/>
      </c>
      <c r="G466" s="7" t="str">
        <f>IF(Plantilla_SCAN_EQ3_COUNT_2[[#This Row],[ID MATERIAL]]="","","PZ")</f>
        <v/>
      </c>
      <c r="H466" s="7" t="str">
        <f>IF(Plantilla_SCAN_EQ3_COUNT_2[[#This Row],[ID MATERIAL]]="","",$B$13)</f>
        <v/>
      </c>
      <c r="I466" s="7" t="str">
        <f>IF(Plantilla_SCAN_EQ3_COUNT_2[[#This Row],[ID MATERIAL]]="","","Segundo Conteo")</f>
        <v/>
      </c>
    </row>
    <row r="467" spans="1:9" s="7" customFormat="1" ht="15" x14ac:dyDescent="0.2">
      <c r="A467" s="7" t="str">
        <f>IF(Plantilla_SCAN_EQ3_COUNT_2[[#This Row],[ID MATERIAL]]="","",SIGN(Plantilla_SCAN_EQ3_COUNT_2[[#This Row],[Cantidad]])+A466)</f>
        <v/>
      </c>
      <c r="B467" s="21" t="str">
        <f>IF(Plantilla_SCAN_EQ3_COUNT_2[[#This Row],[ID MATERIAL]]="","",B466)</f>
        <v/>
      </c>
      <c r="C467" s="21"/>
      <c r="D467" s="21"/>
      <c r="E467" s="7" t="str">
        <f>IF(Plantilla_SCAN_EQ3_COUNT_2[[#This Row],[ID MATERIAL]]="","",VLOOKUP(Plantilla_SCAN_EQ3_COUNT_2[[#This Row],[ID MATERIAL]],INVENTARIO!$A:$D,2,FALSE))</f>
        <v/>
      </c>
      <c r="F467" s="7" t="str">
        <f>IF(Plantilla_SCAN_EQ3_COUNT_2[[#This Row],[ID MATERIAL]]="","",IF(Plantilla_SCAN_EQ3_COUNT_2[[#This Row],[No. Empaques]]="",1,Plantilla_SCAN_EQ3_COUNT_2[[#This Row],[No. Empaques]]*1))</f>
        <v/>
      </c>
      <c r="G467" s="7" t="str">
        <f>IF(Plantilla_SCAN_EQ3_COUNT_2[[#This Row],[ID MATERIAL]]="","","PZ")</f>
        <v/>
      </c>
      <c r="H467" s="7" t="str">
        <f>IF(Plantilla_SCAN_EQ3_COUNT_2[[#This Row],[ID MATERIAL]]="","",$B$13)</f>
        <v/>
      </c>
      <c r="I467" s="7" t="str">
        <f>IF(Plantilla_SCAN_EQ3_COUNT_2[[#This Row],[ID MATERIAL]]="","","Segundo Conteo")</f>
        <v/>
      </c>
    </row>
    <row r="468" spans="1:9" s="7" customFormat="1" ht="15" x14ac:dyDescent="0.2">
      <c r="A468" s="7" t="str">
        <f>IF(Plantilla_SCAN_EQ3_COUNT_2[[#This Row],[ID MATERIAL]]="","",SIGN(Plantilla_SCAN_EQ3_COUNT_2[[#This Row],[Cantidad]])+A467)</f>
        <v/>
      </c>
      <c r="B468" s="21" t="str">
        <f>IF(Plantilla_SCAN_EQ3_COUNT_2[[#This Row],[ID MATERIAL]]="","",B467)</f>
        <v/>
      </c>
      <c r="C468" s="21"/>
      <c r="D468" s="21"/>
      <c r="E468" s="7" t="str">
        <f>IF(Plantilla_SCAN_EQ3_COUNT_2[[#This Row],[ID MATERIAL]]="","",VLOOKUP(Plantilla_SCAN_EQ3_COUNT_2[[#This Row],[ID MATERIAL]],INVENTARIO!$A:$D,2,FALSE))</f>
        <v/>
      </c>
      <c r="F468" s="7" t="str">
        <f>IF(Plantilla_SCAN_EQ3_COUNT_2[[#This Row],[ID MATERIAL]]="","",IF(Plantilla_SCAN_EQ3_COUNT_2[[#This Row],[No. Empaques]]="",1,Plantilla_SCAN_EQ3_COUNT_2[[#This Row],[No. Empaques]]*1))</f>
        <v/>
      </c>
      <c r="G468" s="7" t="str">
        <f>IF(Plantilla_SCAN_EQ3_COUNT_2[[#This Row],[ID MATERIAL]]="","","PZ")</f>
        <v/>
      </c>
      <c r="H468" s="7" t="str">
        <f>IF(Plantilla_SCAN_EQ3_COUNT_2[[#This Row],[ID MATERIAL]]="","",$B$13)</f>
        <v/>
      </c>
      <c r="I468" s="7" t="str">
        <f>IF(Plantilla_SCAN_EQ3_COUNT_2[[#This Row],[ID MATERIAL]]="","","Segundo Conteo")</f>
        <v/>
      </c>
    </row>
    <row r="469" spans="1:9" s="7" customFormat="1" ht="15" x14ac:dyDescent="0.2">
      <c r="A469" s="7" t="str">
        <f>IF(Plantilla_SCAN_EQ3_COUNT_2[[#This Row],[ID MATERIAL]]="","",SIGN(Plantilla_SCAN_EQ3_COUNT_2[[#This Row],[Cantidad]])+A468)</f>
        <v/>
      </c>
      <c r="B469" s="21" t="str">
        <f>IF(Plantilla_SCAN_EQ3_COUNT_2[[#This Row],[ID MATERIAL]]="","",B468)</f>
        <v/>
      </c>
      <c r="C469" s="21"/>
      <c r="D469" s="21"/>
      <c r="E469" s="7" t="str">
        <f>IF(Plantilla_SCAN_EQ3_COUNT_2[[#This Row],[ID MATERIAL]]="","",VLOOKUP(Plantilla_SCAN_EQ3_COUNT_2[[#This Row],[ID MATERIAL]],INVENTARIO!$A:$D,2,FALSE))</f>
        <v/>
      </c>
      <c r="F469" s="7" t="str">
        <f>IF(Plantilla_SCAN_EQ3_COUNT_2[[#This Row],[ID MATERIAL]]="","",IF(Plantilla_SCAN_EQ3_COUNT_2[[#This Row],[No. Empaques]]="",1,Plantilla_SCAN_EQ3_COUNT_2[[#This Row],[No. Empaques]]*1))</f>
        <v/>
      </c>
      <c r="G469" s="7" t="str">
        <f>IF(Plantilla_SCAN_EQ3_COUNT_2[[#This Row],[ID MATERIAL]]="","","PZ")</f>
        <v/>
      </c>
      <c r="H469" s="7" t="str">
        <f>IF(Plantilla_SCAN_EQ3_COUNT_2[[#This Row],[ID MATERIAL]]="","",$B$13)</f>
        <v/>
      </c>
      <c r="I469" s="7" t="str">
        <f>IF(Plantilla_SCAN_EQ3_COUNT_2[[#This Row],[ID MATERIAL]]="","","Segundo Conteo")</f>
        <v/>
      </c>
    </row>
    <row r="470" spans="1:9" s="7" customFormat="1" ht="15" x14ac:dyDescent="0.2">
      <c r="A470" s="7" t="str">
        <f>IF(Plantilla_SCAN_EQ3_COUNT_2[[#This Row],[ID MATERIAL]]="","",SIGN(Plantilla_SCAN_EQ3_COUNT_2[[#This Row],[Cantidad]])+A469)</f>
        <v/>
      </c>
      <c r="B470" s="21" t="str">
        <f>IF(Plantilla_SCAN_EQ3_COUNT_2[[#This Row],[ID MATERIAL]]="","",B469)</f>
        <v/>
      </c>
      <c r="C470" s="21"/>
      <c r="D470" s="21"/>
      <c r="E470" s="7" t="str">
        <f>IF(Plantilla_SCAN_EQ3_COUNT_2[[#This Row],[ID MATERIAL]]="","",VLOOKUP(Plantilla_SCAN_EQ3_COUNT_2[[#This Row],[ID MATERIAL]],INVENTARIO!$A:$D,2,FALSE))</f>
        <v/>
      </c>
      <c r="F470" s="7" t="str">
        <f>IF(Plantilla_SCAN_EQ3_COUNT_2[[#This Row],[ID MATERIAL]]="","",IF(Plantilla_SCAN_EQ3_COUNT_2[[#This Row],[No. Empaques]]="",1,Plantilla_SCAN_EQ3_COUNT_2[[#This Row],[No. Empaques]]*1))</f>
        <v/>
      </c>
      <c r="G470" s="7" t="str">
        <f>IF(Plantilla_SCAN_EQ3_COUNT_2[[#This Row],[ID MATERIAL]]="","","PZ")</f>
        <v/>
      </c>
      <c r="H470" s="7" t="str">
        <f>IF(Plantilla_SCAN_EQ3_COUNT_2[[#This Row],[ID MATERIAL]]="","",$B$13)</f>
        <v/>
      </c>
      <c r="I470" s="7" t="str">
        <f>IF(Plantilla_SCAN_EQ3_COUNT_2[[#This Row],[ID MATERIAL]]="","","Segundo Conteo")</f>
        <v/>
      </c>
    </row>
    <row r="471" spans="1:9" s="7" customFormat="1" ht="15" x14ac:dyDescent="0.2">
      <c r="A471" s="7" t="str">
        <f>IF(Plantilla_SCAN_EQ3_COUNT_2[[#This Row],[ID MATERIAL]]="","",SIGN(Plantilla_SCAN_EQ3_COUNT_2[[#This Row],[Cantidad]])+A470)</f>
        <v/>
      </c>
      <c r="B471" s="21" t="str">
        <f>IF(Plantilla_SCAN_EQ3_COUNT_2[[#This Row],[ID MATERIAL]]="","",B470)</f>
        <v/>
      </c>
      <c r="C471" s="21"/>
      <c r="D471" s="21"/>
      <c r="E471" s="7" t="str">
        <f>IF(Plantilla_SCAN_EQ3_COUNT_2[[#This Row],[ID MATERIAL]]="","",VLOOKUP(Plantilla_SCAN_EQ3_COUNT_2[[#This Row],[ID MATERIAL]],INVENTARIO!$A:$D,2,FALSE))</f>
        <v/>
      </c>
      <c r="F471" s="7" t="str">
        <f>IF(Plantilla_SCAN_EQ3_COUNT_2[[#This Row],[ID MATERIAL]]="","",IF(Plantilla_SCAN_EQ3_COUNT_2[[#This Row],[No. Empaques]]="",1,Plantilla_SCAN_EQ3_COUNT_2[[#This Row],[No. Empaques]]*1))</f>
        <v/>
      </c>
      <c r="G471" s="7" t="str">
        <f>IF(Plantilla_SCAN_EQ3_COUNT_2[[#This Row],[ID MATERIAL]]="","","PZ")</f>
        <v/>
      </c>
      <c r="H471" s="7" t="str">
        <f>IF(Plantilla_SCAN_EQ3_COUNT_2[[#This Row],[ID MATERIAL]]="","",$B$13)</f>
        <v/>
      </c>
      <c r="I471" s="7" t="str">
        <f>IF(Plantilla_SCAN_EQ3_COUNT_2[[#This Row],[ID MATERIAL]]="","","Segundo Conteo")</f>
        <v/>
      </c>
    </row>
    <row r="472" spans="1:9" s="7" customFormat="1" ht="15" x14ac:dyDescent="0.2">
      <c r="A472" s="7" t="str">
        <f>IF(Plantilla_SCAN_EQ3_COUNT_2[[#This Row],[ID MATERIAL]]="","",SIGN(Plantilla_SCAN_EQ3_COUNT_2[[#This Row],[Cantidad]])+A471)</f>
        <v/>
      </c>
      <c r="B472" s="21" t="str">
        <f>IF(Plantilla_SCAN_EQ3_COUNT_2[[#This Row],[ID MATERIAL]]="","",B471)</f>
        <v/>
      </c>
      <c r="C472" s="21"/>
      <c r="D472" s="21"/>
      <c r="E472" s="7" t="str">
        <f>IF(Plantilla_SCAN_EQ3_COUNT_2[[#This Row],[ID MATERIAL]]="","",VLOOKUP(Plantilla_SCAN_EQ3_COUNT_2[[#This Row],[ID MATERIAL]],INVENTARIO!$A:$D,2,FALSE))</f>
        <v/>
      </c>
      <c r="F472" s="7" t="str">
        <f>IF(Plantilla_SCAN_EQ3_COUNT_2[[#This Row],[ID MATERIAL]]="","",IF(Plantilla_SCAN_EQ3_COUNT_2[[#This Row],[No. Empaques]]="",1,Plantilla_SCAN_EQ3_COUNT_2[[#This Row],[No. Empaques]]*1))</f>
        <v/>
      </c>
      <c r="G472" s="7" t="str">
        <f>IF(Plantilla_SCAN_EQ3_COUNT_2[[#This Row],[ID MATERIAL]]="","","PZ")</f>
        <v/>
      </c>
      <c r="H472" s="7" t="str">
        <f>IF(Plantilla_SCAN_EQ3_COUNT_2[[#This Row],[ID MATERIAL]]="","",$B$13)</f>
        <v/>
      </c>
      <c r="I472" s="7" t="str">
        <f>IF(Plantilla_SCAN_EQ3_COUNT_2[[#This Row],[ID MATERIAL]]="","","Segundo Conteo")</f>
        <v/>
      </c>
    </row>
    <row r="473" spans="1:9" s="7" customFormat="1" ht="15" x14ac:dyDescent="0.2">
      <c r="A473" s="7" t="str">
        <f>IF(Plantilla_SCAN_EQ3_COUNT_2[[#This Row],[ID MATERIAL]]="","",SIGN(Plantilla_SCAN_EQ3_COUNT_2[[#This Row],[Cantidad]])+A472)</f>
        <v/>
      </c>
      <c r="B473" s="21" t="str">
        <f>IF(Plantilla_SCAN_EQ3_COUNT_2[[#This Row],[ID MATERIAL]]="","",B472)</f>
        <v/>
      </c>
      <c r="C473" s="21"/>
      <c r="D473" s="21"/>
      <c r="E473" s="7" t="str">
        <f>IF(Plantilla_SCAN_EQ3_COUNT_2[[#This Row],[ID MATERIAL]]="","",VLOOKUP(Plantilla_SCAN_EQ3_COUNT_2[[#This Row],[ID MATERIAL]],INVENTARIO!$A:$D,2,FALSE))</f>
        <v/>
      </c>
      <c r="F473" s="7" t="str">
        <f>IF(Plantilla_SCAN_EQ3_COUNT_2[[#This Row],[ID MATERIAL]]="","",IF(Plantilla_SCAN_EQ3_COUNT_2[[#This Row],[No. Empaques]]="",1,Plantilla_SCAN_EQ3_COUNT_2[[#This Row],[No. Empaques]]*1))</f>
        <v/>
      </c>
      <c r="G473" s="7" t="str">
        <f>IF(Plantilla_SCAN_EQ3_COUNT_2[[#This Row],[ID MATERIAL]]="","","PZ")</f>
        <v/>
      </c>
      <c r="H473" s="7" t="str">
        <f>IF(Plantilla_SCAN_EQ3_COUNT_2[[#This Row],[ID MATERIAL]]="","",$B$13)</f>
        <v/>
      </c>
      <c r="I473" s="7" t="str">
        <f>IF(Plantilla_SCAN_EQ3_COUNT_2[[#This Row],[ID MATERIAL]]="","","Segundo Conteo")</f>
        <v/>
      </c>
    </row>
    <row r="474" spans="1:9" s="7" customFormat="1" ht="15" x14ac:dyDescent="0.2">
      <c r="A474" s="7" t="str">
        <f>IF(Plantilla_SCAN_EQ3_COUNT_2[[#This Row],[ID MATERIAL]]="","",SIGN(Plantilla_SCAN_EQ3_COUNT_2[[#This Row],[Cantidad]])+A473)</f>
        <v/>
      </c>
      <c r="B474" s="21" t="str">
        <f>IF(Plantilla_SCAN_EQ3_COUNT_2[[#This Row],[ID MATERIAL]]="","",B473)</f>
        <v/>
      </c>
      <c r="C474" s="21"/>
      <c r="D474" s="21"/>
      <c r="E474" s="7" t="str">
        <f>IF(Plantilla_SCAN_EQ3_COUNT_2[[#This Row],[ID MATERIAL]]="","",VLOOKUP(Plantilla_SCAN_EQ3_COUNT_2[[#This Row],[ID MATERIAL]],INVENTARIO!$A:$D,2,FALSE))</f>
        <v/>
      </c>
      <c r="F474" s="7" t="str">
        <f>IF(Plantilla_SCAN_EQ3_COUNT_2[[#This Row],[ID MATERIAL]]="","",IF(Plantilla_SCAN_EQ3_COUNT_2[[#This Row],[No. Empaques]]="",1,Plantilla_SCAN_EQ3_COUNT_2[[#This Row],[No. Empaques]]*1))</f>
        <v/>
      </c>
      <c r="G474" s="7" t="str">
        <f>IF(Plantilla_SCAN_EQ3_COUNT_2[[#This Row],[ID MATERIAL]]="","","PZ")</f>
        <v/>
      </c>
      <c r="H474" s="7" t="str">
        <f>IF(Plantilla_SCAN_EQ3_COUNT_2[[#This Row],[ID MATERIAL]]="","",$B$13)</f>
        <v/>
      </c>
      <c r="I474" s="7" t="str">
        <f>IF(Plantilla_SCAN_EQ3_COUNT_2[[#This Row],[ID MATERIAL]]="","","Segundo Conteo")</f>
        <v/>
      </c>
    </row>
    <row r="475" spans="1:9" s="7" customFormat="1" ht="15" x14ac:dyDescent="0.2">
      <c r="A475" s="7" t="str">
        <f>IF(Plantilla_SCAN_EQ3_COUNT_2[[#This Row],[ID MATERIAL]]="","",SIGN(Plantilla_SCAN_EQ3_COUNT_2[[#This Row],[Cantidad]])+A474)</f>
        <v/>
      </c>
      <c r="B475" s="21" t="str">
        <f>IF(Plantilla_SCAN_EQ3_COUNT_2[[#This Row],[ID MATERIAL]]="","",B474)</f>
        <v/>
      </c>
      <c r="C475" s="21"/>
      <c r="D475" s="21"/>
      <c r="E475" s="7" t="str">
        <f>IF(Plantilla_SCAN_EQ3_COUNT_2[[#This Row],[ID MATERIAL]]="","",VLOOKUP(Plantilla_SCAN_EQ3_COUNT_2[[#This Row],[ID MATERIAL]],INVENTARIO!$A:$D,2,FALSE))</f>
        <v/>
      </c>
      <c r="F475" s="7" t="str">
        <f>IF(Plantilla_SCAN_EQ3_COUNT_2[[#This Row],[ID MATERIAL]]="","",IF(Plantilla_SCAN_EQ3_COUNT_2[[#This Row],[No. Empaques]]="",1,Plantilla_SCAN_EQ3_COUNT_2[[#This Row],[No. Empaques]]*1))</f>
        <v/>
      </c>
      <c r="G475" s="7" t="str">
        <f>IF(Plantilla_SCAN_EQ3_COUNT_2[[#This Row],[ID MATERIAL]]="","","PZ")</f>
        <v/>
      </c>
      <c r="H475" s="7" t="str">
        <f>IF(Plantilla_SCAN_EQ3_COUNT_2[[#This Row],[ID MATERIAL]]="","",$B$13)</f>
        <v/>
      </c>
      <c r="I475" s="7" t="str">
        <f>IF(Plantilla_SCAN_EQ3_COUNT_2[[#This Row],[ID MATERIAL]]="","","Segundo Conteo")</f>
        <v/>
      </c>
    </row>
    <row r="476" spans="1:9" s="7" customFormat="1" ht="15" x14ac:dyDescent="0.2">
      <c r="A476" s="7" t="str">
        <f>IF(Plantilla_SCAN_EQ3_COUNT_2[[#This Row],[ID MATERIAL]]="","",SIGN(Plantilla_SCAN_EQ3_COUNT_2[[#This Row],[Cantidad]])+A475)</f>
        <v/>
      </c>
      <c r="B476" s="21" t="str">
        <f>IF(Plantilla_SCAN_EQ3_COUNT_2[[#This Row],[ID MATERIAL]]="","",B475)</f>
        <v/>
      </c>
      <c r="C476" s="21"/>
      <c r="D476" s="21"/>
      <c r="E476" s="7" t="str">
        <f>IF(Plantilla_SCAN_EQ3_COUNT_2[[#This Row],[ID MATERIAL]]="","",VLOOKUP(Plantilla_SCAN_EQ3_COUNT_2[[#This Row],[ID MATERIAL]],INVENTARIO!$A:$D,2,FALSE))</f>
        <v/>
      </c>
      <c r="F476" s="7" t="str">
        <f>IF(Plantilla_SCAN_EQ3_COUNT_2[[#This Row],[ID MATERIAL]]="","",IF(Plantilla_SCAN_EQ3_COUNT_2[[#This Row],[No. Empaques]]="",1,Plantilla_SCAN_EQ3_COUNT_2[[#This Row],[No. Empaques]]*1))</f>
        <v/>
      </c>
      <c r="G476" s="7" t="str">
        <f>IF(Plantilla_SCAN_EQ3_COUNT_2[[#This Row],[ID MATERIAL]]="","","PZ")</f>
        <v/>
      </c>
      <c r="H476" s="7" t="str">
        <f>IF(Plantilla_SCAN_EQ3_COUNT_2[[#This Row],[ID MATERIAL]]="","",$B$13)</f>
        <v/>
      </c>
      <c r="I476" s="7" t="str">
        <f>IF(Plantilla_SCAN_EQ3_COUNT_2[[#This Row],[ID MATERIAL]]="","","Segundo Conteo")</f>
        <v/>
      </c>
    </row>
    <row r="477" spans="1:9" s="7" customFormat="1" ht="15" x14ac:dyDescent="0.2">
      <c r="A477" s="7" t="str">
        <f>IF(Plantilla_SCAN_EQ3_COUNT_2[[#This Row],[ID MATERIAL]]="","",SIGN(Plantilla_SCAN_EQ3_COUNT_2[[#This Row],[Cantidad]])+A476)</f>
        <v/>
      </c>
      <c r="B477" s="21" t="str">
        <f>IF(Plantilla_SCAN_EQ3_COUNT_2[[#This Row],[ID MATERIAL]]="","",B476)</f>
        <v/>
      </c>
      <c r="C477" s="21"/>
      <c r="D477" s="21"/>
      <c r="E477" s="7" t="str">
        <f>IF(Plantilla_SCAN_EQ3_COUNT_2[[#This Row],[ID MATERIAL]]="","",VLOOKUP(Plantilla_SCAN_EQ3_COUNT_2[[#This Row],[ID MATERIAL]],INVENTARIO!$A:$D,2,FALSE))</f>
        <v/>
      </c>
      <c r="F477" s="7" t="str">
        <f>IF(Plantilla_SCAN_EQ3_COUNT_2[[#This Row],[ID MATERIAL]]="","",IF(Plantilla_SCAN_EQ3_COUNT_2[[#This Row],[No. Empaques]]="",1,Plantilla_SCAN_EQ3_COUNT_2[[#This Row],[No. Empaques]]*1))</f>
        <v/>
      </c>
      <c r="G477" s="7" t="str">
        <f>IF(Plantilla_SCAN_EQ3_COUNT_2[[#This Row],[ID MATERIAL]]="","","PZ")</f>
        <v/>
      </c>
      <c r="H477" s="7" t="str">
        <f>IF(Plantilla_SCAN_EQ3_COUNT_2[[#This Row],[ID MATERIAL]]="","",$B$13)</f>
        <v/>
      </c>
      <c r="I477" s="7" t="str">
        <f>IF(Plantilla_SCAN_EQ3_COUNT_2[[#This Row],[ID MATERIAL]]="","","Segundo Conteo")</f>
        <v/>
      </c>
    </row>
    <row r="478" spans="1:9" s="7" customFormat="1" ht="15" x14ac:dyDescent="0.2">
      <c r="A478" s="7" t="str">
        <f>IF(Plantilla_SCAN_EQ3_COUNT_2[[#This Row],[ID MATERIAL]]="","",SIGN(Plantilla_SCAN_EQ3_COUNT_2[[#This Row],[Cantidad]])+A477)</f>
        <v/>
      </c>
      <c r="B478" s="21" t="str">
        <f>IF(Plantilla_SCAN_EQ3_COUNT_2[[#This Row],[ID MATERIAL]]="","",B477)</f>
        <v/>
      </c>
      <c r="C478" s="21"/>
      <c r="D478" s="21"/>
      <c r="E478" s="7" t="str">
        <f>IF(Plantilla_SCAN_EQ3_COUNT_2[[#This Row],[ID MATERIAL]]="","",VLOOKUP(Plantilla_SCAN_EQ3_COUNT_2[[#This Row],[ID MATERIAL]],INVENTARIO!$A:$D,2,FALSE))</f>
        <v/>
      </c>
      <c r="F478" s="7" t="str">
        <f>IF(Plantilla_SCAN_EQ3_COUNT_2[[#This Row],[ID MATERIAL]]="","",IF(Plantilla_SCAN_EQ3_COUNT_2[[#This Row],[No. Empaques]]="",1,Plantilla_SCAN_EQ3_COUNT_2[[#This Row],[No. Empaques]]*1))</f>
        <v/>
      </c>
      <c r="G478" s="7" t="str">
        <f>IF(Plantilla_SCAN_EQ3_COUNT_2[[#This Row],[ID MATERIAL]]="","","PZ")</f>
        <v/>
      </c>
      <c r="H478" s="7" t="str">
        <f>IF(Plantilla_SCAN_EQ3_COUNT_2[[#This Row],[ID MATERIAL]]="","",$B$13)</f>
        <v/>
      </c>
      <c r="I478" s="7" t="str">
        <f>IF(Plantilla_SCAN_EQ3_COUNT_2[[#This Row],[ID MATERIAL]]="","","Segundo Conteo")</f>
        <v/>
      </c>
    </row>
    <row r="479" spans="1:9" s="7" customFormat="1" ht="15" x14ac:dyDescent="0.2">
      <c r="A479" s="7" t="str">
        <f>IF(Plantilla_SCAN_EQ3_COUNT_2[[#This Row],[ID MATERIAL]]="","",SIGN(Plantilla_SCAN_EQ3_COUNT_2[[#This Row],[Cantidad]])+A478)</f>
        <v/>
      </c>
      <c r="B479" s="21" t="str">
        <f>IF(Plantilla_SCAN_EQ3_COUNT_2[[#This Row],[ID MATERIAL]]="","",B478)</f>
        <v/>
      </c>
      <c r="C479" s="21"/>
      <c r="D479" s="21"/>
      <c r="E479" s="7" t="str">
        <f>IF(Plantilla_SCAN_EQ3_COUNT_2[[#This Row],[ID MATERIAL]]="","",VLOOKUP(Plantilla_SCAN_EQ3_COUNT_2[[#This Row],[ID MATERIAL]],INVENTARIO!$A:$D,2,FALSE))</f>
        <v/>
      </c>
      <c r="F479" s="7" t="str">
        <f>IF(Plantilla_SCAN_EQ3_COUNT_2[[#This Row],[ID MATERIAL]]="","",IF(Plantilla_SCAN_EQ3_COUNT_2[[#This Row],[No. Empaques]]="",1,Plantilla_SCAN_EQ3_COUNT_2[[#This Row],[No. Empaques]]*1))</f>
        <v/>
      </c>
      <c r="G479" s="7" t="str">
        <f>IF(Plantilla_SCAN_EQ3_COUNT_2[[#This Row],[ID MATERIAL]]="","","PZ")</f>
        <v/>
      </c>
      <c r="H479" s="7" t="str">
        <f>IF(Plantilla_SCAN_EQ3_COUNT_2[[#This Row],[ID MATERIAL]]="","",$B$13)</f>
        <v/>
      </c>
      <c r="I479" s="7" t="str">
        <f>IF(Plantilla_SCAN_EQ3_COUNT_2[[#This Row],[ID MATERIAL]]="","","Segundo Conteo")</f>
        <v/>
      </c>
    </row>
    <row r="480" spans="1:9" s="7" customFormat="1" ht="15" x14ac:dyDescent="0.2">
      <c r="A480" s="7" t="str">
        <f>IF(Plantilla_SCAN_EQ3_COUNT_2[[#This Row],[ID MATERIAL]]="","",SIGN(Plantilla_SCAN_EQ3_COUNT_2[[#This Row],[Cantidad]])+A479)</f>
        <v/>
      </c>
      <c r="B480" s="21" t="str">
        <f>IF(Plantilla_SCAN_EQ3_COUNT_2[[#This Row],[ID MATERIAL]]="","",B479)</f>
        <v/>
      </c>
      <c r="C480" s="21"/>
      <c r="D480" s="21"/>
      <c r="E480" s="7" t="str">
        <f>IF(Plantilla_SCAN_EQ3_COUNT_2[[#This Row],[ID MATERIAL]]="","",VLOOKUP(Plantilla_SCAN_EQ3_COUNT_2[[#This Row],[ID MATERIAL]],INVENTARIO!$A:$D,2,FALSE))</f>
        <v/>
      </c>
      <c r="F480" s="7" t="str">
        <f>IF(Plantilla_SCAN_EQ3_COUNT_2[[#This Row],[ID MATERIAL]]="","",IF(Plantilla_SCAN_EQ3_COUNT_2[[#This Row],[No. Empaques]]="",1,Plantilla_SCAN_EQ3_COUNT_2[[#This Row],[No. Empaques]]*1))</f>
        <v/>
      </c>
      <c r="G480" s="7" t="str">
        <f>IF(Plantilla_SCAN_EQ3_COUNT_2[[#This Row],[ID MATERIAL]]="","","PZ")</f>
        <v/>
      </c>
      <c r="H480" s="7" t="str">
        <f>IF(Plantilla_SCAN_EQ3_COUNT_2[[#This Row],[ID MATERIAL]]="","",$B$13)</f>
        <v/>
      </c>
      <c r="I480" s="7" t="str">
        <f>IF(Plantilla_SCAN_EQ3_COUNT_2[[#This Row],[ID MATERIAL]]="","","Segundo Conteo")</f>
        <v/>
      </c>
    </row>
    <row r="481" spans="1:9" s="7" customFormat="1" ht="15" x14ac:dyDescent="0.2">
      <c r="A481" s="7" t="str">
        <f>IF(Plantilla_SCAN_EQ3_COUNT_2[[#This Row],[ID MATERIAL]]="","",SIGN(Plantilla_SCAN_EQ3_COUNT_2[[#This Row],[Cantidad]])+A480)</f>
        <v/>
      </c>
      <c r="B481" s="21" t="str">
        <f>IF(Plantilla_SCAN_EQ3_COUNT_2[[#This Row],[ID MATERIAL]]="","",B480)</f>
        <v/>
      </c>
      <c r="C481" s="21"/>
      <c r="D481" s="21"/>
      <c r="E481" s="7" t="str">
        <f>IF(Plantilla_SCAN_EQ3_COUNT_2[[#This Row],[ID MATERIAL]]="","",VLOOKUP(Plantilla_SCAN_EQ3_COUNT_2[[#This Row],[ID MATERIAL]],INVENTARIO!$A:$D,2,FALSE))</f>
        <v/>
      </c>
      <c r="F481" s="7" t="str">
        <f>IF(Plantilla_SCAN_EQ3_COUNT_2[[#This Row],[ID MATERIAL]]="","",IF(Plantilla_SCAN_EQ3_COUNT_2[[#This Row],[No. Empaques]]="",1,Plantilla_SCAN_EQ3_COUNT_2[[#This Row],[No. Empaques]]*1))</f>
        <v/>
      </c>
      <c r="G481" s="7" t="str">
        <f>IF(Plantilla_SCAN_EQ3_COUNT_2[[#This Row],[ID MATERIAL]]="","","PZ")</f>
        <v/>
      </c>
      <c r="H481" s="7" t="str">
        <f>IF(Plantilla_SCAN_EQ3_COUNT_2[[#This Row],[ID MATERIAL]]="","",$B$13)</f>
        <v/>
      </c>
      <c r="I481" s="7" t="str">
        <f>IF(Plantilla_SCAN_EQ3_COUNT_2[[#This Row],[ID MATERIAL]]="","","Segundo Conteo")</f>
        <v/>
      </c>
    </row>
    <row r="482" spans="1:9" s="7" customFormat="1" ht="15" x14ac:dyDescent="0.2">
      <c r="A482" s="7" t="str">
        <f>IF(Plantilla_SCAN_EQ3_COUNT_2[[#This Row],[ID MATERIAL]]="","",SIGN(Plantilla_SCAN_EQ3_COUNT_2[[#This Row],[Cantidad]])+A481)</f>
        <v/>
      </c>
      <c r="B482" s="21" t="str">
        <f>IF(Plantilla_SCAN_EQ3_COUNT_2[[#This Row],[ID MATERIAL]]="","",B481)</f>
        <v/>
      </c>
      <c r="C482" s="21"/>
      <c r="D482" s="21"/>
      <c r="E482" s="7" t="str">
        <f>IF(Plantilla_SCAN_EQ3_COUNT_2[[#This Row],[ID MATERIAL]]="","",VLOOKUP(Plantilla_SCAN_EQ3_COUNT_2[[#This Row],[ID MATERIAL]],INVENTARIO!$A:$D,2,FALSE))</f>
        <v/>
      </c>
      <c r="F482" s="7" t="str">
        <f>IF(Plantilla_SCAN_EQ3_COUNT_2[[#This Row],[ID MATERIAL]]="","",IF(Plantilla_SCAN_EQ3_COUNT_2[[#This Row],[No. Empaques]]="",1,Plantilla_SCAN_EQ3_COUNT_2[[#This Row],[No. Empaques]]*1))</f>
        <v/>
      </c>
      <c r="G482" s="7" t="str">
        <f>IF(Plantilla_SCAN_EQ3_COUNT_2[[#This Row],[ID MATERIAL]]="","","PZ")</f>
        <v/>
      </c>
      <c r="H482" s="7" t="str">
        <f>IF(Plantilla_SCAN_EQ3_COUNT_2[[#This Row],[ID MATERIAL]]="","",$B$13)</f>
        <v/>
      </c>
      <c r="I482" s="7" t="str">
        <f>IF(Plantilla_SCAN_EQ3_COUNT_2[[#This Row],[ID MATERIAL]]="","","Segundo Conteo")</f>
        <v/>
      </c>
    </row>
    <row r="483" spans="1:9" s="7" customFormat="1" ht="15" x14ac:dyDescent="0.2">
      <c r="A483" s="7" t="str">
        <f>IF(Plantilla_SCAN_EQ3_COUNT_2[[#This Row],[ID MATERIAL]]="","",SIGN(Plantilla_SCAN_EQ3_COUNT_2[[#This Row],[Cantidad]])+A482)</f>
        <v/>
      </c>
      <c r="B483" s="21" t="str">
        <f>IF(Plantilla_SCAN_EQ3_COUNT_2[[#This Row],[ID MATERIAL]]="","",B482)</f>
        <v/>
      </c>
      <c r="C483" s="21"/>
      <c r="D483" s="21"/>
      <c r="E483" s="7" t="str">
        <f>IF(Plantilla_SCAN_EQ3_COUNT_2[[#This Row],[ID MATERIAL]]="","",VLOOKUP(Plantilla_SCAN_EQ3_COUNT_2[[#This Row],[ID MATERIAL]],INVENTARIO!$A:$D,2,FALSE))</f>
        <v/>
      </c>
      <c r="F483" s="7" t="str">
        <f>IF(Plantilla_SCAN_EQ3_COUNT_2[[#This Row],[ID MATERIAL]]="","",IF(Plantilla_SCAN_EQ3_COUNT_2[[#This Row],[No. Empaques]]="",1,Plantilla_SCAN_EQ3_COUNT_2[[#This Row],[No. Empaques]]*1))</f>
        <v/>
      </c>
      <c r="G483" s="7" t="str">
        <f>IF(Plantilla_SCAN_EQ3_COUNT_2[[#This Row],[ID MATERIAL]]="","","PZ")</f>
        <v/>
      </c>
      <c r="H483" s="7" t="str">
        <f>IF(Plantilla_SCAN_EQ3_COUNT_2[[#This Row],[ID MATERIAL]]="","",$B$13)</f>
        <v/>
      </c>
      <c r="I483" s="7" t="str">
        <f>IF(Plantilla_SCAN_EQ3_COUNT_2[[#This Row],[ID MATERIAL]]="","","Segundo Conteo")</f>
        <v/>
      </c>
    </row>
    <row r="484" spans="1:9" s="7" customFormat="1" ht="15" x14ac:dyDescent="0.2">
      <c r="A484" s="7" t="str">
        <f>IF(Plantilla_SCAN_EQ3_COUNT_2[[#This Row],[ID MATERIAL]]="","",SIGN(Plantilla_SCAN_EQ3_COUNT_2[[#This Row],[Cantidad]])+A483)</f>
        <v/>
      </c>
      <c r="B484" s="21" t="str">
        <f>IF(Plantilla_SCAN_EQ3_COUNT_2[[#This Row],[ID MATERIAL]]="","",B483)</f>
        <v/>
      </c>
      <c r="C484" s="21"/>
      <c r="D484" s="21"/>
      <c r="E484" s="7" t="str">
        <f>IF(Plantilla_SCAN_EQ3_COUNT_2[[#This Row],[ID MATERIAL]]="","",VLOOKUP(Plantilla_SCAN_EQ3_COUNT_2[[#This Row],[ID MATERIAL]],INVENTARIO!$A:$D,2,FALSE))</f>
        <v/>
      </c>
      <c r="F484" s="7" t="str">
        <f>IF(Plantilla_SCAN_EQ3_COUNT_2[[#This Row],[ID MATERIAL]]="","",IF(Plantilla_SCAN_EQ3_COUNT_2[[#This Row],[No. Empaques]]="",1,Plantilla_SCAN_EQ3_COUNT_2[[#This Row],[No. Empaques]]*1))</f>
        <v/>
      </c>
      <c r="G484" s="7" t="str">
        <f>IF(Plantilla_SCAN_EQ3_COUNT_2[[#This Row],[ID MATERIAL]]="","","PZ")</f>
        <v/>
      </c>
      <c r="H484" s="7" t="str">
        <f>IF(Plantilla_SCAN_EQ3_COUNT_2[[#This Row],[ID MATERIAL]]="","",$B$13)</f>
        <v/>
      </c>
      <c r="I484" s="7" t="str">
        <f>IF(Plantilla_SCAN_EQ3_COUNT_2[[#This Row],[ID MATERIAL]]="","","Segundo Conteo")</f>
        <v/>
      </c>
    </row>
    <row r="485" spans="1:9" s="7" customFormat="1" ht="15" x14ac:dyDescent="0.2">
      <c r="A485" s="7" t="str">
        <f>IF(Plantilla_SCAN_EQ3_COUNT_2[[#This Row],[ID MATERIAL]]="","",SIGN(Plantilla_SCAN_EQ3_COUNT_2[[#This Row],[Cantidad]])+A484)</f>
        <v/>
      </c>
      <c r="B485" s="21" t="str">
        <f>IF(Plantilla_SCAN_EQ3_COUNT_2[[#This Row],[ID MATERIAL]]="","",B484)</f>
        <v/>
      </c>
      <c r="C485" s="21"/>
      <c r="D485" s="21"/>
      <c r="E485" s="7" t="str">
        <f>IF(Plantilla_SCAN_EQ3_COUNT_2[[#This Row],[ID MATERIAL]]="","",VLOOKUP(Plantilla_SCAN_EQ3_COUNT_2[[#This Row],[ID MATERIAL]],INVENTARIO!$A:$D,2,FALSE))</f>
        <v/>
      </c>
      <c r="F485" s="7" t="str">
        <f>IF(Plantilla_SCAN_EQ3_COUNT_2[[#This Row],[ID MATERIAL]]="","",IF(Plantilla_SCAN_EQ3_COUNT_2[[#This Row],[No. Empaques]]="",1,Plantilla_SCAN_EQ3_COUNT_2[[#This Row],[No. Empaques]]*1))</f>
        <v/>
      </c>
      <c r="G485" s="7" t="str">
        <f>IF(Plantilla_SCAN_EQ3_COUNT_2[[#This Row],[ID MATERIAL]]="","","PZ")</f>
        <v/>
      </c>
      <c r="H485" s="7" t="str">
        <f>IF(Plantilla_SCAN_EQ3_COUNT_2[[#This Row],[ID MATERIAL]]="","",$B$13)</f>
        <v/>
      </c>
      <c r="I485" s="7" t="str">
        <f>IF(Plantilla_SCAN_EQ3_COUNT_2[[#This Row],[ID MATERIAL]]="","","Segundo Conteo")</f>
        <v/>
      </c>
    </row>
    <row r="486" spans="1:9" s="7" customFormat="1" ht="15" x14ac:dyDescent="0.2">
      <c r="A486" s="7" t="str">
        <f>IF(Plantilla_SCAN_EQ3_COUNT_2[[#This Row],[ID MATERIAL]]="","",SIGN(Plantilla_SCAN_EQ3_COUNT_2[[#This Row],[Cantidad]])+A485)</f>
        <v/>
      </c>
      <c r="B486" s="21" t="str">
        <f>IF(Plantilla_SCAN_EQ3_COUNT_2[[#This Row],[ID MATERIAL]]="","",B485)</f>
        <v/>
      </c>
      <c r="C486" s="21"/>
      <c r="D486" s="21"/>
      <c r="E486" s="7" t="str">
        <f>IF(Plantilla_SCAN_EQ3_COUNT_2[[#This Row],[ID MATERIAL]]="","",VLOOKUP(Plantilla_SCAN_EQ3_COUNT_2[[#This Row],[ID MATERIAL]],INVENTARIO!$A:$D,2,FALSE))</f>
        <v/>
      </c>
      <c r="F486" s="7" t="str">
        <f>IF(Plantilla_SCAN_EQ3_COUNT_2[[#This Row],[ID MATERIAL]]="","",IF(Plantilla_SCAN_EQ3_COUNT_2[[#This Row],[No. Empaques]]="",1,Plantilla_SCAN_EQ3_COUNT_2[[#This Row],[No. Empaques]]*1))</f>
        <v/>
      </c>
      <c r="G486" s="7" t="str">
        <f>IF(Plantilla_SCAN_EQ3_COUNT_2[[#This Row],[ID MATERIAL]]="","","PZ")</f>
        <v/>
      </c>
      <c r="H486" s="7" t="str">
        <f>IF(Plantilla_SCAN_EQ3_COUNT_2[[#This Row],[ID MATERIAL]]="","",$B$13)</f>
        <v/>
      </c>
      <c r="I486" s="7" t="str">
        <f>IF(Plantilla_SCAN_EQ3_COUNT_2[[#This Row],[ID MATERIAL]]="","","Segundo Conteo")</f>
        <v/>
      </c>
    </row>
    <row r="487" spans="1:9" s="7" customFormat="1" ht="15" x14ac:dyDescent="0.2">
      <c r="A487" s="7" t="str">
        <f>IF(Plantilla_SCAN_EQ3_COUNT_2[[#This Row],[ID MATERIAL]]="","",SIGN(Plantilla_SCAN_EQ3_COUNT_2[[#This Row],[Cantidad]])+A486)</f>
        <v/>
      </c>
      <c r="B487" s="21" t="str">
        <f>IF(Plantilla_SCAN_EQ3_COUNT_2[[#This Row],[ID MATERIAL]]="","",B486)</f>
        <v/>
      </c>
      <c r="C487" s="21"/>
      <c r="D487" s="21"/>
      <c r="E487" s="7" t="str">
        <f>IF(Plantilla_SCAN_EQ3_COUNT_2[[#This Row],[ID MATERIAL]]="","",VLOOKUP(Plantilla_SCAN_EQ3_COUNT_2[[#This Row],[ID MATERIAL]],INVENTARIO!$A:$D,2,FALSE))</f>
        <v/>
      </c>
      <c r="F487" s="7" t="str">
        <f>IF(Plantilla_SCAN_EQ3_COUNT_2[[#This Row],[ID MATERIAL]]="","",IF(Plantilla_SCAN_EQ3_COUNT_2[[#This Row],[No. Empaques]]="",1,Plantilla_SCAN_EQ3_COUNT_2[[#This Row],[No. Empaques]]*1))</f>
        <v/>
      </c>
      <c r="G487" s="7" t="str">
        <f>IF(Plantilla_SCAN_EQ3_COUNT_2[[#This Row],[ID MATERIAL]]="","","PZ")</f>
        <v/>
      </c>
      <c r="H487" s="7" t="str">
        <f>IF(Plantilla_SCAN_EQ3_COUNT_2[[#This Row],[ID MATERIAL]]="","",$B$13)</f>
        <v/>
      </c>
      <c r="I487" s="7" t="str">
        <f>IF(Plantilla_SCAN_EQ3_COUNT_2[[#This Row],[ID MATERIAL]]="","","Segundo Conteo")</f>
        <v/>
      </c>
    </row>
    <row r="488" spans="1:9" s="7" customFormat="1" ht="15" x14ac:dyDescent="0.2">
      <c r="A488" s="7" t="str">
        <f>IF(Plantilla_SCAN_EQ3_COUNT_2[[#This Row],[ID MATERIAL]]="","",SIGN(Plantilla_SCAN_EQ3_COUNT_2[[#This Row],[Cantidad]])+A487)</f>
        <v/>
      </c>
      <c r="B488" s="21" t="str">
        <f>IF(Plantilla_SCAN_EQ3_COUNT_2[[#This Row],[ID MATERIAL]]="","",B487)</f>
        <v/>
      </c>
      <c r="C488" s="21"/>
      <c r="D488" s="21"/>
      <c r="E488" s="7" t="str">
        <f>IF(Plantilla_SCAN_EQ3_COUNT_2[[#This Row],[ID MATERIAL]]="","",VLOOKUP(Plantilla_SCAN_EQ3_COUNT_2[[#This Row],[ID MATERIAL]],INVENTARIO!$A:$D,2,FALSE))</f>
        <v/>
      </c>
      <c r="F488" s="7" t="str">
        <f>IF(Plantilla_SCAN_EQ3_COUNT_2[[#This Row],[ID MATERIAL]]="","",IF(Plantilla_SCAN_EQ3_COUNT_2[[#This Row],[No. Empaques]]="",1,Plantilla_SCAN_EQ3_COUNT_2[[#This Row],[No. Empaques]]*1))</f>
        <v/>
      </c>
      <c r="G488" s="7" t="str">
        <f>IF(Plantilla_SCAN_EQ3_COUNT_2[[#This Row],[ID MATERIAL]]="","","PZ")</f>
        <v/>
      </c>
      <c r="H488" s="7" t="str">
        <f>IF(Plantilla_SCAN_EQ3_COUNT_2[[#This Row],[ID MATERIAL]]="","",$B$13)</f>
        <v/>
      </c>
      <c r="I488" s="7" t="str">
        <f>IF(Plantilla_SCAN_EQ3_COUNT_2[[#This Row],[ID MATERIAL]]="","","Segundo Conteo")</f>
        <v/>
      </c>
    </row>
    <row r="489" spans="1:9" s="7" customFormat="1" ht="15" x14ac:dyDescent="0.2">
      <c r="A489" s="7" t="str">
        <f>IF(Plantilla_SCAN_EQ3_COUNT_2[[#This Row],[ID MATERIAL]]="","",SIGN(Plantilla_SCAN_EQ3_COUNT_2[[#This Row],[Cantidad]])+A488)</f>
        <v/>
      </c>
      <c r="B489" s="21" t="str">
        <f>IF(Plantilla_SCAN_EQ3_COUNT_2[[#This Row],[ID MATERIAL]]="","",B488)</f>
        <v/>
      </c>
      <c r="C489" s="21"/>
      <c r="D489" s="21"/>
      <c r="E489" s="7" t="str">
        <f>IF(Plantilla_SCAN_EQ3_COUNT_2[[#This Row],[ID MATERIAL]]="","",VLOOKUP(Plantilla_SCAN_EQ3_COUNT_2[[#This Row],[ID MATERIAL]],INVENTARIO!$A:$D,2,FALSE))</f>
        <v/>
      </c>
      <c r="F489" s="7" t="str">
        <f>IF(Plantilla_SCAN_EQ3_COUNT_2[[#This Row],[ID MATERIAL]]="","",IF(Plantilla_SCAN_EQ3_COUNT_2[[#This Row],[No. Empaques]]="",1,Plantilla_SCAN_EQ3_COUNT_2[[#This Row],[No. Empaques]]*1))</f>
        <v/>
      </c>
      <c r="G489" s="7" t="str">
        <f>IF(Plantilla_SCAN_EQ3_COUNT_2[[#This Row],[ID MATERIAL]]="","","PZ")</f>
        <v/>
      </c>
      <c r="H489" s="7" t="str">
        <f>IF(Plantilla_SCAN_EQ3_COUNT_2[[#This Row],[ID MATERIAL]]="","",$B$13)</f>
        <v/>
      </c>
      <c r="I489" s="7" t="str">
        <f>IF(Plantilla_SCAN_EQ3_COUNT_2[[#This Row],[ID MATERIAL]]="","","Segundo Conteo")</f>
        <v/>
      </c>
    </row>
    <row r="490" spans="1:9" s="7" customFormat="1" ht="15" x14ac:dyDescent="0.2">
      <c r="A490" s="7" t="str">
        <f>IF(Plantilla_SCAN_EQ3_COUNT_2[[#This Row],[ID MATERIAL]]="","",SIGN(Plantilla_SCAN_EQ3_COUNT_2[[#This Row],[Cantidad]])+A489)</f>
        <v/>
      </c>
      <c r="B490" s="21" t="str">
        <f>IF(Plantilla_SCAN_EQ3_COUNT_2[[#This Row],[ID MATERIAL]]="","",B489)</f>
        <v/>
      </c>
      <c r="C490" s="21"/>
      <c r="D490" s="21"/>
      <c r="E490" s="7" t="str">
        <f>IF(Plantilla_SCAN_EQ3_COUNT_2[[#This Row],[ID MATERIAL]]="","",VLOOKUP(Plantilla_SCAN_EQ3_COUNT_2[[#This Row],[ID MATERIAL]],INVENTARIO!$A:$D,2,FALSE))</f>
        <v/>
      </c>
      <c r="F490" s="7" t="str">
        <f>IF(Plantilla_SCAN_EQ3_COUNT_2[[#This Row],[ID MATERIAL]]="","",IF(Plantilla_SCAN_EQ3_COUNT_2[[#This Row],[No. Empaques]]="",1,Plantilla_SCAN_EQ3_COUNT_2[[#This Row],[No. Empaques]]*1))</f>
        <v/>
      </c>
      <c r="G490" s="7" t="str">
        <f>IF(Plantilla_SCAN_EQ3_COUNT_2[[#This Row],[ID MATERIAL]]="","","PZ")</f>
        <v/>
      </c>
      <c r="H490" s="7" t="str">
        <f>IF(Plantilla_SCAN_EQ3_COUNT_2[[#This Row],[ID MATERIAL]]="","",$B$13)</f>
        <v/>
      </c>
      <c r="I490" s="7" t="str">
        <f>IF(Plantilla_SCAN_EQ3_COUNT_2[[#This Row],[ID MATERIAL]]="","","Segundo Conteo")</f>
        <v/>
      </c>
    </row>
    <row r="491" spans="1:9" s="7" customFormat="1" ht="15" x14ac:dyDescent="0.2">
      <c r="A491" s="7" t="str">
        <f>IF(Plantilla_SCAN_EQ3_COUNT_2[[#This Row],[ID MATERIAL]]="","",SIGN(Plantilla_SCAN_EQ3_COUNT_2[[#This Row],[Cantidad]])+A490)</f>
        <v/>
      </c>
      <c r="B491" s="21" t="str">
        <f>IF(Plantilla_SCAN_EQ3_COUNT_2[[#This Row],[ID MATERIAL]]="","",B490)</f>
        <v/>
      </c>
      <c r="C491" s="21"/>
      <c r="D491" s="21"/>
      <c r="E491" s="7" t="str">
        <f>IF(Plantilla_SCAN_EQ3_COUNT_2[[#This Row],[ID MATERIAL]]="","",VLOOKUP(Plantilla_SCAN_EQ3_COUNT_2[[#This Row],[ID MATERIAL]],INVENTARIO!$A:$D,2,FALSE))</f>
        <v/>
      </c>
      <c r="F491" s="7" t="str">
        <f>IF(Plantilla_SCAN_EQ3_COUNT_2[[#This Row],[ID MATERIAL]]="","",IF(Plantilla_SCAN_EQ3_COUNT_2[[#This Row],[No. Empaques]]="",1,Plantilla_SCAN_EQ3_COUNT_2[[#This Row],[No. Empaques]]*1))</f>
        <v/>
      </c>
      <c r="G491" s="7" t="str">
        <f>IF(Plantilla_SCAN_EQ3_COUNT_2[[#This Row],[ID MATERIAL]]="","","PZ")</f>
        <v/>
      </c>
      <c r="H491" s="7" t="str">
        <f>IF(Plantilla_SCAN_EQ3_COUNT_2[[#This Row],[ID MATERIAL]]="","",$B$13)</f>
        <v/>
      </c>
      <c r="I491" s="7" t="str">
        <f>IF(Plantilla_SCAN_EQ3_COUNT_2[[#This Row],[ID MATERIAL]]="","","Segundo Conteo")</f>
        <v/>
      </c>
    </row>
    <row r="492" spans="1:9" s="7" customFormat="1" ht="15" x14ac:dyDescent="0.2">
      <c r="A492" s="7" t="str">
        <f>IF(Plantilla_SCAN_EQ3_COUNT_2[[#This Row],[ID MATERIAL]]="","",SIGN(Plantilla_SCAN_EQ3_COUNT_2[[#This Row],[Cantidad]])+A491)</f>
        <v/>
      </c>
      <c r="B492" s="21" t="str">
        <f>IF(Plantilla_SCAN_EQ3_COUNT_2[[#This Row],[ID MATERIAL]]="","",B491)</f>
        <v/>
      </c>
      <c r="C492" s="21"/>
      <c r="D492" s="21"/>
      <c r="E492" s="7" t="str">
        <f>IF(Plantilla_SCAN_EQ3_COUNT_2[[#This Row],[ID MATERIAL]]="","",VLOOKUP(Plantilla_SCAN_EQ3_COUNT_2[[#This Row],[ID MATERIAL]],INVENTARIO!$A:$D,2,FALSE))</f>
        <v/>
      </c>
      <c r="F492" s="7" t="str">
        <f>IF(Plantilla_SCAN_EQ3_COUNT_2[[#This Row],[ID MATERIAL]]="","",IF(Plantilla_SCAN_EQ3_COUNT_2[[#This Row],[No. Empaques]]="",1,Plantilla_SCAN_EQ3_COUNT_2[[#This Row],[No. Empaques]]*1))</f>
        <v/>
      </c>
      <c r="G492" s="7" t="str">
        <f>IF(Plantilla_SCAN_EQ3_COUNT_2[[#This Row],[ID MATERIAL]]="","","PZ")</f>
        <v/>
      </c>
      <c r="H492" s="7" t="str">
        <f>IF(Plantilla_SCAN_EQ3_COUNT_2[[#This Row],[ID MATERIAL]]="","",$B$13)</f>
        <v/>
      </c>
      <c r="I492" s="7" t="str">
        <f>IF(Plantilla_SCAN_EQ3_COUNT_2[[#This Row],[ID MATERIAL]]="","","Segundo Conteo")</f>
        <v/>
      </c>
    </row>
    <row r="493" spans="1:9" s="7" customFormat="1" ht="15" x14ac:dyDescent="0.2">
      <c r="A493" s="7" t="str">
        <f>IF(Plantilla_SCAN_EQ3_COUNT_2[[#This Row],[ID MATERIAL]]="","",SIGN(Plantilla_SCAN_EQ3_COUNT_2[[#This Row],[Cantidad]])+A492)</f>
        <v/>
      </c>
      <c r="B493" s="21" t="str">
        <f>IF(Plantilla_SCAN_EQ3_COUNT_2[[#This Row],[ID MATERIAL]]="","",B492)</f>
        <v/>
      </c>
      <c r="C493" s="21"/>
      <c r="D493" s="21"/>
      <c r="E493" s="7" t="str">
        <f>IF(Plantilla_SCAN_EQ3_COUNT_2[[#This Row],[ID MATERIAL]]="","",VLOOKUP(Plantilla_SCAN_EQ3_COUNT_2[[#This Row],[ID MATERIAL]],INVENTARIO!$A:$D,2,FALSE))</f>
        <v/>
      </c>
      <c r="F493" s="7" t="str">
        <f>IF(Plantilla_SCAN_EQ3_COUNT_2[[#This Row],[ID MATERIAL]]="","",IF(Plantilla_SCAN_EQ3_COUNT_2[[#This Row],[No. Empaques]]="",1,Plantilla_SCAN_EQ3_COUNT_2[[#This Row],[No. Empaques]]*1))</f>
        <v/>
      </c>
      <c r="G493" s="7" t="str">
        <f>IF(Plantilla_SCAN_EQ3_COUNT_2[[#This Row],[ID MATERIAL]]="","","PZ")</f>
        <v/>
      </c>
      <c r="H493" s="7" t="str">
        <f>IF(Plantilla_SCAN_EQ3_COUNT_2[[#This Row],[ID MATERIAL]]="","",$B$13)</f>
        <v/>
      </c>
      <c r="I493" s="7" t="str">
        <f>IF(Plantilla_SCAN_EQ3_COUNT_2[[#This Row],[ID MATERIAL]]="","","Segundo Conteo")</f>
        <v/>
      </c>
    </row>
    <row r="494" spans="1:9" s="7" customFormat="1" ht="15" x14ac:dyDescent="0.2">
      <c r="A494" s="7" t="str">
        <f>IF(Plantilla_SCAN_EQ3_COUNT_2[[#This Row],[ID MATERIAL]]="","",SIGN(Plantilla_SCAN_EQ3_COUNT_2[[#This Row],[Cantidad]])+A493)</f>
        <v/>
      </c>
      <c r="B494" s="21" t="str">
        <f>IF(Plantilla_SCAN_EQ3_COUNT_2[[#This Row],[ID MATERIAL]]="","",B493)</f>
        <v/>
      </c>
      <c r="C494" s="21"/>
      <c r="D494" s="21"/>
      <c r="E494" s="7" t="str">
        <f>IF(Plantilla_SCAN_EQ3_COUNT_2[[#This Row],[ID MATERIAL]]="","",VLOOKUP(Plantilla_SCAN_EQ3_COUNT_2[[#This Row],[ID MATERIAL]],INVENTARIO!$A:$D,2,FALSE))</f>
        <v/>
      </c>
      <c r="F494" s="7" t="str">
        <f>IF(Plantilla_SCAN_EQ3_COUNT_2[[#This Row],[ID MATERIAL]]="","",IF(Plantilla_SCAN_EQ3_COUNT_2[[#This Row],[No. Empaques]]="",1,Plantilla_SCAN_EQ3_COUNT_2[[#This Row],[No. Empaques]]*1))</f>
        <v/>
      </c>
      <c r="G494" s="7" t="str">
        <f>IF(Plantilla_SCAN_EQ3_COUNT_2[[#This Row],[ID MATERIAL]]="","","PZ")</f>
        <v/>
      </c>
      <c r="H494" s="7" t="str">
        <f>IF(Plantilla_SCAN_EQ3_COUNT_2[[#This Row],[ID MATERIAL]]="","",$B$13)</f>
        <v/>
      </c>
      <c r="I494" s="7" t="str">
        <f>IF(Plantilla_SCAN_EQ3_COUNT_2[[#This Row],[ID MATERIAL]]="","","Segundo Conteo")</f>
        <v/>
      </c>
    </row>
    <row r="495" spans="1:9" s="7" customFormat="1" ht="15" x14ac:dyDescent="0.2">
      <c r="A495" s="7" t="str">
        <f>IF(Plantilla_SCAN_EQ3_COUNT_2[[#This Row],[ID MATERIAL]]="","",SIGN(Plantilla_SCAN_EQ3_COUNT_2[[#This Row],[Cantidad]])+A494)</f>
        <v/>
      </c>
      <c r="B495" s="21" t="str">
        <f>IF(Plantilla_SCAN_EQ3_COUNT_2[[#This Row],[ID MATERIAL]]="","",B494)</f>
        <v/>
      </c>
      <c r="C495" s="21"/>
      <c r="D495" s="21"/>
      <c r="E495" s="7" t="str">
        <f>IF(Plantilla_SCAN_EQ3_COUNT_2[[#This Row],[ID MATERIAL]]="","",VLOOKUP(Plantilla_SCAN_EQ3_COUNT_2[[#This Row],[ID MATERIAL]],INVENTARIO!$A:$D,2,FALSE))</f>
        <v/>
      </c>
      <c r="F495" s="7" t="str">
        <f>IF(Plantilla_SCAN_EQ3_COUNT_2[[#This Row],[ID MATERIAL]]="","",IF(Plantilla_SCAN_EQ3_COUNT_2[[#This Row],[No. Empaques]]="",1,Plantilla_SCAN_EQ3_COUNT_2[[#This Row],[No. Empaques]]*1))</f>
        <v/>
      </c>
      <c r="G495" s="7" t="str">
        <f>IF(Plantilla_SCAN_EQ3_COUNT_2[[#This Row],[ID MATERIAL]]="","","PZ")</f>
        <v/>
      </c>
      <c r="H495" s="7" t="str">
        <f>IF(Plantilla_SCAN_EQ3_COUNT_2[[#This Row],[ID MATERIAL]]="","",$B$13)</f>
        <v/>
      </c>
      <c r="I495" s="7" t="str">
        <f>IF(Plantilla_SCAN_EQ3_COUNT_2[[#This Row],[ID MATERIAL]]="","","Segundo Conteo")</f>
        <v/>
      </c>
    </row>
    <row r="496" spans="1:9" s="7" customFormat="1" ht="15" x14ac:dyDescent="0.2">
      <c r="A496" s="7" t="str">
        <f>IF(Plantilla_SCAN_EQ3_COUNT_2[[#This Row],[ID MATERIAL]]="","",SIGN(Plantilla_SCAN_EQ3_COUNT_2[[#This Row],[Cantidad]])+A495)</f>
        <v/>
      </c>
      <c r="B496" s="21" t="str">
        <f>IF(Plantilla_SCAN_EQ3_COUNT_2[[#This Row],[ID MATERIAL]]="","",B495)</f>
        <v/>
      </c>
      <c r="C496" s="21"/>
      <c r="D496" s="21"/>
      <c r="E496" s="7" t="str">
        <f>IF(Plantilla_SCAN_EQ3_COUNT_2[[#This Row],[ID MATERIAL]]="","",VLOOKUP(Plantilla_SCAN_EQ3_COUNT_2[[#This Row],[ID MATERIAL]],INVENTARIO!$A:$D,2,FALSE))</f>
        <v/>
      </c>
      <c r="F496" s="7" t="str">
        <f>IF(Plantilla_SCAN_EQ3_COUNT_2[[#This Row],[ID MATERIAL]]="","",IF(Plantilla_SCAN_EQ3_COUNT_2[[#This Row],[No. Empaques]]="",1,Plantilla_SCAN_EQ3_COUNT_2[[#This Row],[No. Empaques]]*1))</f>
        <v/>
      </c>
      <c r="G496" s="7" t="str">
        <f>IF(Plantilla_SCAN_EQ3_COUNT_2[[#This Row],[ID MATERIAL]]="","","PZ")</f>
        <v/>
      </c>
      <c r="H496" s="7" t="str">
        <f>IF(Plantilla_SCAN_EQ3_COUNT_2[[#This Row],[ID MATERIAL]]="","",$B$13)</f>
        <v/>
      </c>
      <c r="I496" s="7" t="str">
        <f>IF(Plantilla_SCAN_EQ3_COUNT_2[[#This Row],[ID MATERIAL]]="","","Segundo Conteo")</f>
        <v/>
      </c>
    </row>
    <row r="497" spans="1:9" s="7" customFormat="1" ht="15" x14ac:dyDescent="0.2">
      <c r="A497" s="7" t="str">
        <f>IF(Plantilla_SCAN_EQ3_COUNT_2[[#This Row],[ID MATERIAL]]="","",SIGN(Plantilla_SCAN_EQ3_COUNT_2[[#This Row],[Cantidad]])+A496)</f>
        <v/>
      </c>
      <c r="B497" s="21" t="str">
        <f>IF(Plantilla_SCAN_EQ3_COUNT_2[[#This Row],[ID MATERIAL]]="","",B496)</f>
        <v/>
      </c>
      <c r="C497" s="21"/>
      <c r="D497" s="21"/>
      <c r="E497" s="7" t="str">
        <f>IF(Plantilla_SCAN_EQ3_COUNT_2[[#This Row],[ID MATERIAL]]="","",VLOOKUP(Plantilla_SCAN_EQ3_COUNT_2[[#This Row],[ID MATERIAL]],INVENTARIO!$A:$D,2,FALSE))</f>
        <v/>
      </c>
      <c r="F497" s="7" t="str">
        <f>IF(Plantilla_SCAN_EQ3_COUNT_2[[#This Row],[ID MATERIAL]]="","",IF(Plantilla_SCAN_EQ3_COUNT_2[[#This Row],[No. Empaques]]="",1,Plantilla_SCAN_EQ3_COUNT_2[[#This Row],[No. Empaques]]*1))</f>
        <v/>
      </c>
      <c r="G497" s="7" t="str">
        <f>IF(Plantilla_SCAN_EQ3_COUNT_2[[#This Row],[ID MATERIAL]]="","","PZ")</f>
        <v/>
      </c>
      <c r="H497" s="7" t="str">
        <f>IF(Plantilla_SCAN_EQ3_COUNT_2[[#This Row],[ID MATERIAL]]="","",$B$13)</f>
        <v/>
      </c>
      <c r="I497" s="7" t="str">
        <f>IF(Plantilla_SCAN_EQ3_COUNT_2[[#This Row],[ID MATERIAL]]="","","Segundo Conteo")</f>
        <v/>
      </c>
    </row>
    <row r="498" spans="1:9" s="7" customFormat="1" ht="15" x14ac:dyDescent="0.2">
      <c r="A498" s="7" t="str">
        <f>IF(Plantilla_SCAN_EQ3_COUNT_2[[#This Row],[ID MATERIAL]]="","",SIGN(Plantilla_SCAN_EQ3_COUNT_2[[#This Row],[Cantidad]])+A497)</f>
        <v/>
      </c>
      <c r="B498" s="21" t="str">
        <f>IF(Plantilla_SCAN_EQ3_COUNT_2[[#This Row],[ID MATERIAL]]="","",B497)</f>
        <v/>
      </c>
      <c r="C498" s="21"/>
      <c r="D498" s="21"/>
      <c r="E498" s="7" t="str">
        <f>IF(Plantilla_SCAN_EQ3_COUNT_2[[#This Row],[ID MATERIAL]]="","",VLOOKUP(Plantilla_SCAN_EQ3_COUNT_2[[#This Row],[ID MATERIAL]],INVENTARIO!$A:$D,2,FALSE))</f>
        <v/>
      </c>
      <c r="F498" s="7" t="str">
        <f>IF(Plantilla_SCAN_EQ3_COUNT_2[[#This Row],[ID MATERIAL]]="","",IF(Plantilla_SCAN_EQ3_COUNT_2[[#This Row],[No. Empaques]]="",1,Plantilla_SCAN_EQ3_COUNT_2[[#This Row],[No. Empaques]]*1))</f>
        <v/>
      </c>
      <c r="G498" s="7" t="str">
        <f>IF(Plantilla_SCAN_EQ3_COUNT_2[[#This Row],[ID MATERIAL]]="","","PZ")</f>
        <v/>
      </c>
      <c r="H498" s="7" t="str">
        <f>IF(Plantilla_SCAN_EQ3_COUNT_2[[#This Row],[ID MATERIAL]]="","",$B$13)</f>
        <v/>
      </c>
      <c r="I498" s="7" t="str">
        <f>IF(Plantilla_SCAN_EQ3_COUNT_2[[#This Row],[ID MATERIAL]]="","","Segundo Conteo")</f>
        <v/>
      </c>
    </row>
    <row r="499" spans="1:9" s="7" customFormat="1" ht="15" x14ac:dyDescent="0.2">
      <c r="A499" s="7" t="str">
        <f>IF(Plantilla_SCAN_EQ3_COUNT_2[[#This Row],[ID MATERIAL]]="","",SIGN(Plantilla_SCAN_EQ3_COUNT_2[[#This Row],[Cantidad]])+A498)</f>
        <v/>
      </c>
      <c r="B499" s="21" t="str">
        <f>IF(Plantilla_SCAN_EQ3_COUNT_2[[#This Row],[ID MATERIAL]]="","",B498)</f>
        <v/>
      </c>
      <c r="C499" s="21"/>
      <c r="D499" s="21"/>
      <c r="E499" s="7" t="str">
        <f>IF(Plantilla_SCAN_EQ3_COUNT_2[[#This Row],[ID MATERIAL]]="","",VLOOKUP(Plantilla_SCAN_EQ3_COUNT_2[[#This Row],[ID MATERIAL]],INVENTARIO!$A:$D,2,FALSE))</f>
        <v/>
      </c>
      <c r="F499" s="7" t="str">
        <f>IF(Plantilla_SCAN_EQ3_COUNT_2[[#This Row],[ID MATERIAL]]="","",IF(Plantilla_SCAN_EQ3_COUNT_2[[#This Row],[No. Empaques]]="",1,Plantilla_SCAN_EQ3_COUNT_2[[#This Row],[No. Empaques]]*1))</f>
        <v/>
      </c>
      <c r="G499" s="7" t="str">
        <f>IF(Plantilla_SCAN_EQ3_COUNT_2[[#This Row],[ID MATERIAL]]="","","PZ")</f>
        <v/>
      </c>
      <c r="H499" s="7" t="str">
        <f>IF(Plantilla_SCAN_EQ3_COUNT_2[[#This Row],[ID MATERIAL]]="","",$B$13)</f>
        <v/>
      </c>
      <c r="I499" s="7" t="str">
        <f>IF(Plantilla_SCAN_EQ3_COUNT_2[[#This Row],[ID MATERIAL]]="","","Segundo Conteo")</f>
        <v/>
      </c>
    </row>
    <row r="500" spans="1:9" s="7" customFormat="1" ht="15" x14ac:dyDescent="0.2">
      <c r="A500" s="7" t="str">
        <f>IF(Plantilla_SCAN_EQ3_COUNT_2[[#This Row],[ID MATERIAL]]="","",SIGN(Plantilla_SCAN_EQ3_COUNT_2[[#This Row],[Cantidad]])+A499)</f>
        <v/>
      </c>
      <c r="B500" s="21" t="str">
        <f>IF(Plantilla_SCAN_EQ3_COUNT_2[[#This Row],[ID MATERIAL]]="","",B499)</f>
        <v/>
      </c>
      <c r="C500" s="21"/>
      <c r="D500" s="21"/>
      <c r="E500" s="7" t="str">
        <f>IF(Plantilla_SCAN_EQ3_COUNT_2[[#This Row],[ID MATERIAL]]="","",VLOOKUP(Plantilla_SCAN_EQ3_COUNT_2[[#This Row],[ID MATERIAL]],INVENTARIO!$A:$D,2,FALSE))</f>
        <v/>
      </c>
      <c r="F500" s="7" t="str">
        <f>IF(Plantilla_SCAN_EQ3_COUNT_2[[#This Row],[ID MATERIAL]]="","",IF(Plantilla_SCAN_EQ3_COUNT_2[[#This Row],[No. Empaques]]="",1,Plantilla_SCAN_EQ3_COUNT_2[[#This Row],[No. Empaques]]*1))</f>
        <v/>
      </c>
      <c r="G500" s="7" t="str">
        <f>IF(Plantilla_SCAN_EQ3_COUNT_2[[#This Row],[ID MATERIAL]]="","","PZ")</f>
        <v/>
      </c>
      <c r="H500" s="7" t="str">
        <f>IF(Plantilla_SCAN_EQ3_COUNT_2[[#This Row],[ID MATERIAL]]="","",$B$13)</f>
        <v/>
      </c>
      <c r="I500" s="7" t="str">
        <f>IF(Plantilla_SCAN_EQ3_COUNT_2[[#This Row],[ID MATERIAL]]="","","Segundo Conteo")</f>
        <v/>
      </c>
    </row>
    <row r="501" spans="1:9" s="7" customFormat="1" ht="15" x14ac:dyDescent="0.2">
      <c r="A501" s="7" t="str">
        <f>IF(Plantilla_SCAN_EQ3_COUNT_2[[#This Row],[ID MATERIAL]]="","",SIGN(Plantilla_SCAN_EQ3_COUNT_2[[#This Row],[Cantidad]])+A500)</f>
        <v/>
      </c>
      <c r="B501" s="21" t="str">
        <f>IF(Plantilla_SCAN_EQ3_COUNT_2[[#This Row],[ID MATERIAL]]="","",B500)</f>
        <v/>
      </c>
      <c r="C501" s="21"/>
      <c r="D501" s="21"/>
      <c r="E501" s="7" t="str">
        <f>IF(Plantilla_SCAN_EQ3_COUNT_2[[#This Row],[ID MATERIAL]]="","",VLOOKUP(Plantilla_SCAN_EQ3_COUNT_2[[#This Row],[ID MATERIAL]],INVENTARIO!$A:$D,2,FALSE))</f>
        <v/>
      </c>
      <c r="F501" s="7" t="str">
        <f>IF(Plantilla_SCAN_EQ3_COUNT_2[[#This Row],[ID MATERIAL]]="","",IF(Plantilla_SCAN_EQ3_COUNT_2[[#This Row],[No. Empaques]]="",1,Plantilla_SCAN_EQ3_COUNT_2[[#This Row],[No. Empaques]]*1))</f>
        <v/>
      </c>
      <c r="G501" s="7" t="str">
        <f>IF(Plantilla_SCAN_EQ3_COUNT_2[[#This Row],[ID MATERIAL]]="","","PZ")</f>
        <v/>
      </c>
      <c r="H501" s="7" t="str">
        <f>IF(Plantilla_SCAN_EQ3_COUNT_2[[#This Row],[ID MATERIAL]]="","",$B$13)</f>
        <v/>
      </c>
      <c r="I501" s="7" t="str">
        <f>IF(Plantilla_SCAN_EQ3_COUNT_2[[#This Row],[ID MATERIAL]]="","","Segundo Conteo")</f>
        <v/>
      </c>
    </row>
    <row r="502" spans="1:9" s="7" customFormat="1" ht="15" x14ac:dyDescent="0.2">
      <c r="A502" s="7" t="str">
        <f>IF(Plantilla_SCAN_EQ3_COUNT_2[[#This Row],[ID MATERIAL]]="","",SIGN(Plantilla_SCAN_EQ3_COUNT_2[[#This Row],[Cantidad]])+A501)</f>
        <v/>
      </c>
      <c r="B502" s="21" t="str">
        <f>IF(Plantilla_SCAN_EQ3_COUNT_2[[#This Row],[ID MATERIAL]]="","",B501)</f>
        <v/>
      </c>
      <c r="C502" s="21"/>
      <c r="D502" s="21"/>
      <c r="E502" s="7" t="str">
        <f>IF(Plantilla_SCAN_EQ3_COUNT_2[[#This Row],[ID MATERIAL]]="","",VLOOKUP(Plantilla_SCAN_EQ3_COUNT_2[[#This Row],[ID MATERIAL]],INVENTARIO!$A:$D,2,FALSE))</f>
        <v/>
      </c>
      <c r="F502" s="7" t="str">
        <f>IF(Plantilla_SCAN_EQ3_COUNT_2[[#This Row],[ID MATERIAL]]="","",IF(Plantilla_SCAN_EQ3_COUNT_2[[#This Row],[No. Empaques]]="",1,Plantilla_SCAN_EQ3_COUNT_2[[#This Row],[No. Empaques]]*1))</f>
        <v/>
      </c>
      <c r="G502" s="7" t="str">
        <f>IF(Plantilla_SCAN_EQ3_COUNT_2[[#This Row],[ID MATERIAL]]="","","PZ")</f>
        <v/>
      </c>
      <c r="H502" s="7" t="str">
        <f>IF(Plantilla_SCAN_EQ3_COUNT_2[[#This Row],[ID MATERIAL]]="","",$B$13)</f>
        <v/>
      </c>
      <c r="I502" s="7" t="str">
        <f>IF(Plantilla_SCAN_EQ3_COUNT_2[[#This Row],[ID MATERIAL]]="","","Segundo Conteo")</f>
        <v/>
      </c>
    </row>
    <row r="503" spans="1:9" s="7" customFormat="1" ht="15" x14ac:dyDescent="0.2">
      <c r="A503" s="7" t="str">
        <f>IF(Plantilla_SCAN_EQ3_COUNT_2[[#This Row],[ID MATERIAL]]="","",SIGN(Plantilla_SCAN_EQ3_COUNT_2[[#This Row],[Cantidad]])+A502)</f>
        <v/>
      </c>
      <c r="B503" s="21" t="str">
        <f>IF(Plantilla_SCAN_EQ3_COUNT_2[[#This Row],[ID MATERIAL]]="","",B502)</f>
        <v/>
      </c>
      <c r="C503" s="21"/>
      <c r="D503" s="21"/>
      <c r="E503" s="7" t="str">
        <f>IF(Plantilla_SCAN_EQ3_COUNT_2[[#This Row],[ID MATERIAL]]="","",VLOOKUP(Plantilla_SCAN_EQ3_COUNT_2[[#This Row],[ID MATERIAL]],INVENTARIO!$A:$D,2,FALSE))</f>
        <v/>
      </c>
      <c r="F503" s="7" t="str">
        <f>IF(Plantilla_SCAN_EQ3_COUNT_2[[#This Row],[ID MATERIAL]]="","",IF(Plantilla_SCAN_EQ3_COUNT_2[[#This Row],[No. Empaques]]="",1,Plantilla_SCAN_EQ3_COUNT_2[[#This Row],[No. Empaques]]*1))</f>
        <v/>
      </c>
      <c r="G503" s="7" t="str">
        <f>IF(Plantilla_SCAN_EQ3_COUNT_2[[#This Row],[ID MATERIAL]]="","","PZ")</f>
        <v/>
      </c>
      <c r="H503" s="7" t="str">
        <f>IF(Plantilla_SCAN_EQ3_COUNT_2[[#This Row],[ID MATERIAL]]="","",$B$13)</f>
        <v/>
      </c>
      <c r="I503" s="7" t="str">
        <f>IF(Plantilla_SCAN_EQ3_COUNT_2[[#This Row],[ID MATERIAL]]="","","Segundo Conteo")</f>
        <v/>
      </c>
    </row>
    <row r="504" spans="1:9" s="7" customFormat="1" ht="15" x14ac:dyDescent="0.2">
      <c r="A504" s="7" t="str">
        <f>IF(Plantilla_SCAN_EQ3_COUNT_2[[#This Row],[ID MATERIAL]]="","",SIGN(Plantilla_SCAN_EQ3_COUNT_2[[#This Row],[Cantidad]])+A503)</f>
        <v/>
      </c>
      <c r="B504" s="21" t="str">
        <f>IF(Plantilla_SCAN_EQ3_COUNT_2[[#This Row],[ID MATERIAL]]="","",B503)</f>
        <v/>
      </c>
      <c r="C504" s="21"/>
      <c r="D504" s="21"/>
      <c r="E504" s="7" t="str">
        <f>IF(Plantilla_SCAN_EQ3_COUNT_2[[#This Row],[ID MATERIAL]]="","",VLOOKUP(Plantilla_SCAN_EQ3_COUNT_2[[#This Row],[ID MATERIAL]],INVENTARIO!$A:$D,2,FALSE))</f>
        <v/>
      </c>
      <c r="F504" s="7" t="str">
        <f>IF(Plantilla_SCAN_EQ3_COUNT_2[[#This Row],[ID MATERIAL]]="","",IF(Plantilla_SCAN_EQ3_COUNT_2[[#This Row],[No. Empaques]]="",1,Plantilla_SCAN_EQ3_COUNT_2[[#This Row],[No. Empaques]]*1))</f>
        <v/>
      </c>
      <c r="G504" s="7" t="str">
        <f>IF(Plantilla_SCAN_EQ3_COUNT_2[[#This Row],[ID MATERIAL]]="","","PZ")</f>
        <v/>
      </c>
      <c r="H504" s="7" t="str">
        <f>IF(Plantilla_SCAN_EQ3_COUNT_2[[#This Row],[ID MATERIAL]]="","",$B$13)</f>
        <v/>
      </c>
      <c r="I504" s="7" t="str">
        <f>IF(Plantilla_SCAN_EQ3_COUNT_2[[#This Row],[ID MATERIAL]]="","","Segundo Conteo")</f>
        <v/>
      </c>
    </row>
    <row r="505" spans="1:9" s="7" customFormat="1" ht="15" x14ac:dyDescent="0.2">
      <c r="A505" s="7" t="str">
        <f>IF(Plantilla_SCAN_EQ3_COUNT_2[[#This Row],[ID MATERIAL]]="","",SIGN(Plantilla_SCAN_EQ3_COUNT_2[[#This Row],[Cantidad]])+A504)</f>
        <v/>
      </c>
      <c r="B505" s="21" t="str">
        <f>IF(Plantilla_SCAN_EQ3_COUNT_2[[#This Row],[ID MATERIAL]]="","",B504)</f>
        <v/>
      </c>
      <c r="C505" s="21"/>
      <c r="D505" s="21"/>
      <c r="E505" s="7" t="str">
        <f>IF(Plantilla_SCAN_EQ3_COUNT_2[[#This Row],[ID MATERIAL]]="","",VLOOKUP(Plantilla_SCAN_EQ3_COUNT_2[[#This Row],[ID MATERIAL]],INVENTARIO!$A:$D,2,FALSE))</f>
        <v/>
      </c>
      <c r="F505" s="7" t="str">
        <f>IF(Plantilla_SCAN_EQ3_COUNT_2[[#This Row],[ID MATERIAL]]="","",IF(Plantilla_SCAN_EQ3_COUNT_2[[#This Row],[No. Empaques]]="",1,Plantilla_SCAN_EQ3_COUNT_2[[#This Row],[No. Empaques]]*1))</f>
        <v/>
      </c>
      <c r="G505" s="7" t="str">
        <f>IF(Plantilla_SCAN_EQ3_COUNT_2[[#This Row],[ID MATERIAL]]="","","PZ")</f>
        <v/>
      </c>
      <c r="H505" s="7" t="str">
        <f>IF(Plantilla_SCAN_EQ3_COUNT_2[[#This Row],[ID MATERIAL]]="","",$B$13)</f>
        <v/>
      </c>
      <c r="I505" s="7" t="str">
        <f>IF(Plantilla_SCAN_EQ3_COUNT_2[[#This Row],[ID MATERIAL]]="","","Segundo Conteo")</f>
        <v/>
      </c>
    </row>
    <row r="506" spans="1:9" s="7" customFormat="1" ht="15" x14ac:dyDescent="0.2">
      <c r="A506" s="7" t="str">
        <f>IF(Plantilla_SCAN_EQ3_COUNT_2[[#This Row],[ID MATERIAL]]="","",SIGN(Plantilla_SCAN_EQ3_COUNT_2[[#This Row],[Cantidad]])+A505)</f>
        <v/>
      </c>
      <c r="B506" s="21" t="str">
        <f>IF(Plantilla_SCAN_EQ3_COUNT_2[[#This Row],[ID MATERIAL]]="","",B505)</f>
        <v/>
      </c>
      <c r="C506" s="21"/>
      <c r="D506" s="21"/>
      <c r="E506" s="7" t="str">
        <f>IF(Plantilla_SCAN_EQ3_COUNT_2[[#This Row],[ID MATERIAL]]="","",VLOOKUP(Plantilla_SCAN_EQ3_COUNT_2[[#This Row],[ID MATERIAL]],INVENTARIO!$A:$D,2,FALSE))</f>
        <v/>
      </c>
      <c r="F506" s="7" t="str">
        <f>IF(Plantilla_SCAN_EQ3_COUNT_2[[#This Row],[ID MATERIAL]]="","",IF(Plantilla_SCAN_EQ3_COUNT_2[[#This Row],[No. Empaques]]="",1,Plantilla_SCAN_EQ3_COUNT_2[[#This Row],[No. Empaques]]*1))</f>
        <v/>
      </c>
      <c r="G506" s="7" t="str">
        <f>IF(Plantilla_SCAN_EQ3_COUNT_2[[#This Row],[ID MATERIAL]]="","","PZ")</f>
        <v/>
      </c>
      <c r="H506" s="7" t="str">
        <f>IF(Plantilla_SCAN_EQ3_COUNT_2[[#This Row],[ID MATERIAL]]="","",$B$13)</f>
        <v/>
      </c>
      <c r="I506" s="7" t="str">
        <f>IF(Plantilla_SCAN_EQ3_COUNT_2[[#This Row],[ID MATERIAL]]="","","Segundo Conteo")</f>
        <v/>
      </c>
    </row>
    <row r="507" spans="1:9" s="7" customFormat="1" ht="15" x14ac:dyDescent="0.2">
      <c r="A507" s="7" t="str">
        <f>IF(Plantilla_SCAN_EQ3_COUNT_2[[#This Row],[ID MATERIAL]]="","",SIGN(Plantilla_SCAN_EQ3_COUNT_2[[#This Row],[Cantidad]])+A506)</f>
        <v/>
      </c>
      <c r="B507" s="21" t="str">
        <f>IF(Plantilla_SCAN_EQ3_COUNT_2[[#This Row],[ID MATERIAL]]="","",B506)</f>
        <v/>
      </c>
      <c r="C507" s="21"/>
      <c r="D507" s="21"/>
      <c r="E507" s="7" t="str">
        <f>IF(Plantilla_SCAN_EQ3_COUNT_2[[#This Row],[ID MATERIAL]]="","",VLOOKUP(Plantilla_SCAN_EQ3_COUNT_2[[#This Row],[ID MATERIAL]],INVENTARIO!$A:$D,2,FALSE))</f>
        <v/>
      </c>
      <c r="F507" s="7" t="str">
        <f>IF(Plantilla_SCAN_EQ3_COUNT_2[[#This Row],[ID MATERIAL]]="","",IF(Plantilla_SCAN_EQ3_COUNT_2[[#This Row],[No. Empaques]]="",1,Plantilla_SCAN_EQ3_COUNT_2[[#This Row],[No. Empaques]]*1))</f>
        <v/>
      </c>
      <c r="G507" s="7" t="str">
        <f>IF(Plantilla_SCAN_EQ3_COUNT_2[[#This Row],[ID MATERIAL]]="","","PZ")</f>
        <v/>
      </c>
      <c r="H507" s="7" t="str">
        <f>IF(Plantilla_SCAN_EQ3_COUNT_2[[#This Row],[ID MATERIAL]]="","",$B$13)</f>
        <v/>
      </c>
      <c r="I507" s="7" t="str">
        <f>IF(Plantilla_SCAN_EQ3_COUNT_2[[#This Row],[ID MATERIAL]]="","","Segundo Conteo")</f>
        <v/>
      </c>
    </row>
    <row r="508" spans="1:9" s="7" customFormat="1" ht="15" x14ac:dyDescent="0.2">
      <c r="A508" s="7" t="str">
        <f>IF(Plantilla_SCAN_EQ3_COUNT_2[[#This Row],[ID MATERIAL]]="","",SIGN(Plantilla_SCAN_EQ3_COUNT_2[[#This Row],[Cantidad]])+A507)</f>
        <v/>
      </c>
      <c r="B508" s="21" t="str">
        <f>IF(Plantilla_SCAN_EQ3_COUNT_2[[#This Row],[ID MATERIAL]]="","",B507)</f>
        <v/>
      </c>
      <c r="C508" s="21"/>
      <c r="D508" s="21"/>
      <c r="E508" s="7" t="str">
        <f>IF(Plantilla_SCAN_EQ3_COUNT_2[[#This Row],[ID MATERIAL]]="","",VLOOKUP(Plantilla_SCAN_EQ3_COUNT_2[[#This Row],[ID MATERIAL]],INVENTARIO!$A:$D,2,FALSE))</f>
        <v/>
      </c>
      <c r="F508" s="7" t="str">
        <f>IF(Plantilla_SCAN_EQ3_COUNT_2[[#This Row],[ID MATERIAL]]="","",IF(Plantilla_SCAN_EQ3_COUNT_2[[#This Row],[No. Empaques]]="",1,Plantilla_SCAN_EQ3_COUNT_2[[#This Row],[No. Empaques]]*1))</f>
        <v/>
      </c>
      <c r="G508" s="7" t="str">
        <f>IF(Plantilla_SCAN_EQ3_COUNT_2[[#This Row],[ID MATERIAL]]="","","PZ")</f>
        <v/>
      </c>
      <c r="H508" s="7" t="str">
        <f>IF(Plantilla_SCAN_EQ3_COUNT_2[[#This Row],[ID MATERIAL]]="","",$B$13)</f>
        <v/>
      </c>
      <c r="I508" s="7" t="str">
        <f>IF(Plantilla_SCAN_EQ3_COUNT_2[[#This Row],[ID MATERIAL]]="","","Segundo Conteo")</f>
        <v/>
      </c>
    </row>
    <row r="509" spans="1:9" s="7" customFormat="1" ht="15" x14ac:dyDescent="0.2">
      <c r="A509" s="7" t="str">
        <f>IF(Plantilla_SCAN_EQ3_COUNT_2[[#This Row],[ID MATERIAL]]="","",SIGN(Plantilla_SCAN_EQ3_COUNT_2[[#This Row],[Cantidad]])+A508)</f>
        <v/>
      </c>
      <c r="B509" s="21" t="str">
        <f>IF(Plantilla_SCAN_EQ3_COUNT_2[[#This Row],[ID MATERIAL]]="","",B508)</f>
        <v/>
      </c>
      <c r="C509" s="21"/>
      <c r="D509" s="21"/>
      <c r="E509" s="7" t="str">
        <f>IF(Plantilla_SCAN_EQ3_COUNT_2[[#This Row],[ID MATERIAL]]="","",VLOOKUP(Plantilla_SCAN_EQ3_COUNT_2[[#This Row],[ID MATERIAL]],INVENTARIO!$A:$D,2,FALSE))</f>
        <v/>
      </c>
      <c r="F509" s="7" t="str">
        <f>IF(Plantilla_SCAN_EQ3_COUNT_2[[#This Row],[ID MATERIAL]]="","",IF(Plantilla_SCAN_EQ3_COUNT_2[[#This Row],[No. Empaques]]="",1,Plantilla_SCAN_EQ3_COUNT_2[[#This Row],[No. Empaques]]*1))</f>
        <v/>
      </c>
      <c r="G509" s="7" t="str">
        <f>IF(Plantilla_SCAN_EQ3_COUNT_2[[#This Row],[ID MATERIAL]]="","","PZ")</f>
        <v/>
      </c>
      <c r="H509" s="7" t="str">
        <f>IF(Plantilla_SCAN_EQ3_COUNT_2[[#This Row],[ID MATERIAL]]="","",$B$13)</f>
        <v/>
      </c>
      <c r="I509" s="7" t="str">
        <f>IF(Plantilla_SCAN_EQ3_COUNT_2[[#This Row],[ID MATERIAL]]="","","Segundo Conteo")</f>
        <v/>
      </c>
    </row>
    <row r="510" spans="1:9" s="7" customFormat="1" ht="15" x14ac:dyDescent="0.2">
      <c r="A510" s="7" t="str">
        <f>IF(Plantilla_SCAN_EQ3_COUNT_2[[#This Row],[ID MATERIAL]]="","",SIGN(Plantilla_SCAN_EQ3_COUNT_2[[#This Row],[Cantidad]])+A509)</f>
        <v/>
      </c>
      <c r="B510" s="21" t="str">
        <f>IF(Plantilla_SCAN_EQ3_COUNT_2[[#This Row],[ID MATERIAL]]="","",B509)</f>
        <v/>
      </c>
      <c r="C510" s="21"/>
      <c r="D510" s="21"/>
      <c r="E510" s="7" t="str">
        <f>IF(Plantilla_SCAN_EQ3_COUNT_2[[#This Row],[ID MATERIAL]]="","",VLOOKUP(Plantilla_SCAN_EQ3_COUNT_2[[#This Row],[ID MATERIAL]],INVENTARIO!$A:$D,2,FALSE))</f>
        <v/>
      </c>
      <c r="F510" s="7" t="str">
        <f>IF(Plantilla_SCAN_EQ3_COUNT_2[[#This Row],[ID MATERIAL]]="","",IF(Plantilla_SCAN_EQ3_COUNT_2[[#This Row],[No. Empaques]]="",1,Plantilla_SCAN_EQ3_COUNT_2[[#This Row],[No. Empaques]]*1))</f>
        <v/>
      </c>
      <c r="G510" s="7" t="str">
        <f>IF(Plantilla_SCAN_EQ3_COUNT_2[[#This Row],[ID MATERIAL]]="","","PZ")</f>
        <v/>
      </c>
      <c r="H510" s="7" t="str">
        <f>IF(Plantilla_SCAN_EQ3_COUNT_2[[#This Row],[ID MATERIAL]]="","",$B$13)</f>
        <v/>
      </c>
      <c r="I510" s="7" t="str">
        <f>IF(Plantilla_SCAN_EQ3_COUNT_2[[#This Row],[ID MATERIAL]]="","","Segundo Conteo")</f>
        <v/>
      </c>
    </row>
    <row r="511" spans="1:9" s="7" customFormat="1" ht="15" x14ac:dyDescent="0.2">
      <c r="A511" s="7" t="str">
        <f>IF(Plantilla_SCAN_EQ3_COUNT_2[[#This Row],[ID MATERIAL]]="","",SIGN(Plantilla_SCAN_EQ3_COUNT_2[[#This Row],[Cantidad]])+A510)</f>
        <v/>
      </c>
      <c r="B511" s="21" t="str">
        <f>IF(Plantilla_SCAN_EQ3_COUNT_2[[#This Row],[ID MATERIAL]]="","",B510)</f>
        <v/>
      </c>
      <c r="C511" s="21"/>
      <c r="D511" s="21"/>
      <c r="E511" s="7" t="str">
        <f>IF(Plantilla_SCAN_EQ3_COUNT_2[[#This Row],[ID MATERIAL]]="","",VLOOKUP(Plantilla_SCAN_EQ3_COUNT_2[[#This Row],[ID MATERIAL]],INVENTARIO!$A:$D,2,FALSE))</f>
        <v/>
      </c>
      <c r="F511" s="7" t="str">
        <f>IF(Plantilla_SCAN_EQ3_COUNT_2[[#This Row],[ID MATERIAL]]="","",IF(Plantilla_SCAN_EQ3_COUNT_2[[#This Row],[No. Empaques]]="",1,Plantilla_SCAN_EQ3_COUNT_2[[#This Row],[No. Empaques]]*1))</f>
        <v/>
      </c>
      <c r="G511" s="7" t="str">
        <f>IF(Plantilla_SCAN_EQ3_COUNT_2[[#This Row],[ID MATERIAL]]="","","PZ")</f>
        <v/>
      </c>
      <c r="H511" s="7" t="str">
        <f>IF(Plantilla_SCAN_EQ3_COUNT_2[[#This Row],[ID MATERIAL]]="","",$B$13)</f>
        <v/>
      </c>
      <c r="I511" s="7" t="str">
        <f>IF(Plantilla_SCAN_EQ3_COUNT_2[[#This Row],[ID MATERIAL]]="","","Segundo Conteo")</f>
        <v/>
      </c>
    </row>
    <row r="512" spans="1:9" s="7" customFormat="1" ht="15" x14ac:dyDescent="0.2">
      <c r="A512" s="7" t="str">
        <f>IF(Plantilla_SCAN_EQ3_COUNT_2[[#This Row],[ID MATERIAL]]="","",SIGN(Plantilla_SCAN_EQ3_COUNT_2[[#This Row],[Cantidad]])+A511)</f>
        <v/>
      </c>
      <c r="B512" s="21" t="str">
        <f>IF(Plantilla_SCAN_EQ3_COUNT_2[[#This Row],[ID MATERIAL]]="","",B511)</f>
        <v/>
      </c>
      <c r="C512" s="21"/>
      <c r="D512" s="21"/>
      <c r="E512" s="7" t="str">
        <f>IF(Plantilla_SCAN_EQ3_COUNT_2[[#This Row],[ID MATERIAL]]="","",VLOOKUP(Plantilla_SCAN_EQ3_COUNT_2[[#This Row],[ID MATERIAL]],INVENTARIO!$A:$D,2,FALSE))</f>
        <v/>
      </c>
      <c r="F512" s="7" t="str">
        <f>IF(Plantilla_SCAN_EQ3_COUNT_2[[#This Row],[ID MATERIAL]]="","",IF(Plantilla_SCAN_EQ3_COUNT_2[[#This Row],[No. Empaques]]="",1,Plantilla_SCAN_EQ3_COUNT_2[[#This Row],[No. Empaques]]*1))</f>
        <v/>
      </c>
      <c r="G512" s="7" t="str">
        <f>IF(Plantilla_SCAN_EQ3_COUNT_2[[#This Row],[ID MATERIAL]]="","","PZ")</f>
        <v/>
      </c>
      <c r="H512" s="7" t="str">
        <f>IF(Plantilla_SCAN_EQ3_COUNT_2[[#This Row],[ID MATERIAL]]="","",$B$13)</f>
        <v/>
      </c>
      <c r="I512" s="7" t="str">
        <f>IF(Plantilla_SCAN_EQ3_COUNT_2[[#This Row],[ID MATERIAL]]="","","Segundo Conteo")</f>
        <v/>
      </c>
    </row>
    <row r="513" spans="1:9" s="7" customFormat="1" ht="15" x14ac:dyDescent="0.2">
      <c r="A513" s="7" t="str">
        <f>IF(Plantilla_SCAN_EQ3_COUNT_2[[#This Row],[ID MATERIAL]]="","",SIGN(Plantilla_SCAN_EQ3_COUNT_2[[#This Row],[Cantidad]])+A512)</f>
        <v/>
      </c>
      <c r="B513" s="21" t="str">
        <f>IF(Plantilla_SCAN_EQ3_COUNT_2[[#This Row],[ID MATERIAL]]="","",B512)</f>
        <v/>
      </c>
      <c r="C513" s="21"/>
      <c r="D513" s="21"/>
      <c r="E513" s="7" t="str">
        <f>IF(Plantilla_SCAN_EQ3_COUNT_2[[#This Row],[ID MATERIAL]]="","",VLOOKUP(Plantilla_SCAN_EQ3_COUNT_2[[#This Row],[ID MATERIAL]],INVENTARIO!$A:$D,2,FALSE))</f>
        <v/>
      </c>
      <c r="F513" s="7" t="str">
        <f>IF(Plantilla_SCAN_EQ3_COUNT_2[[#This Row],[ID MATERIAL]]="","",IF(Plantilla_SCAN_EQ3_COUNT_2[[#This Row],[No. Empaques]]="",1,Plantilla_SCAN_EQ3_COUNT_2[[#This Row],[No. Empaques]]*1))</f>
        <v/>
      </c>
      <c r="G513" s="7" t="str">
        <f>IF(Plantilla_SCAN_EQ3_COUNT_2[[#This Row],[ID MATERIAL]]="","","PZ")</f>
        <v/>
      </c>
      <c r="H513" s="7" t="str">
        <f>IF(Plantilla_SCAN_EQ3_COUNT_2[[#This Row],[ID MATERIAL]]="","",$B$13)</f>
        <v/>
      </c>
      <c r="I513" s="7" t="str">
        <f>IF(Plantilla_SCAN_EQ3_COUNT_2[[#This Row],[ID MATERIAL]]="","","Segundo Conteo")</f>
        <v/>
      </c>
    </row>
    <row r="514" spans="1:9" s="7" customFormat="1" ht="15" x14ac:dyDescent="0.2">
      <c r="A514" s="7" t="str">
        <f>IF(Plantilla_SCAN_EQ3_COUNT_2[[#This Row],[ID MATERIAL]]="","",SIGN(Plantilla_SCAN_EQ3_COUNT_2[[#This Row],[Cantidad]])+A513)</f>
        <v/>
      </c>
      <c r="B514" s="21" t="str">
        <f>IF(Plantilla_SCAN_EQ3_COUNT_2[[#This Row],[ID MATERIAL]]="","",B513)</f>
        <v/>
      </c>
      <c r="C514" s="21"/>
      <c r="D514" s="21"/>
      <c r="E514" s="7" t="str">
        <f>IF(Plantilla_SCAN_EQ3_COUNT_2[[#This Row],[ID MATERIAL]]="","",VLOOKUP(Plantilla_SCAN_EQ3_COUNT_2[[#This Row],[ID MATERIAL]],INVENTARIO!$A:$D,2,FALSE))</f>
        <v/>
      </c>
      <c r="F514" s="7" t="str">
        <f>IF(Plantilla_SCAN_EQ3_COUNT_2[[#This Row],[ID MATERIAL]]="","",IF(Plantilla_SCAN_EQ3_COUNT_2[[#This Row],[No. Empaques]]="",1,Plantilla_SCAN_EQ3_COUNT_2[[#This Row],[No. Empaques]]*1))</f>
        <v/>
      </c>
      <c r="G514" s="7" t="str">
        <f>IF(Plantilla_SCAN_EQ3_COUNT_2[[#This Row],[ID MATERIAL]]="","","PZ")</f>
        <v/>
      </c>
      <c r="H514" s="7" t="str">
        <f>IF(Plantilla_SCAN_EQ3_COUNT_2[[#This Row],[ID MATERIAL]]="","",$B$13)</f>
        <v/>
      </c>
      <c r="I514" s="7" t="str">
        <f>IF(Plantilla_SCAN_EQ3_COUNT_2[[#This Row],[ID MATERIAL]]="","","Segundo Conteo")</f>
        <v/>
      </c>
    </row>
    <row r="515" spans="1:9" s="7" customFormat="1" ht="15" x14ac:dyDescent="0.2">
      <c r="A515" s="7" t="str">
        <f>IF(Plantilla_SCAN_EQ3_COUNT_2[[#This Row],[ID MATERIAL]]="","",SIGN(Plantilla_SCAN_EQ3_COUNT_2[[#This Row],[Cantidad]])+A514)</f>
        <v/>
      </c>
      <c r="B515" s="21" t="str">
        <f>IF(Plantilla_SCAN_EQ3_COUNT_2[[#This Row],[ID MATERIAL]]="","",B514)</f>
        <v/>
      </c>
      <c r="C515" s="21"/>
      <c r="D515" s="21"/>
      <c r="E515" s="7" t="str">
        <f>IF(Plantilla_SCAN_EQ3_COUNT_2[[#This Row],[ID MATERIAL]]="","",VLOOKUP(Plantilla_SCAN_EQ3_COUNT_2[[#This Row],[ID MATERIAL]],INVENTARIO!$A:$D,2,FALSE))</f>
        <v/>
      </c>
      <c r="F515" s="7" t="str">
        <f>IF(Plantilla_SCAN_EQ3_COUNT_2[[#This Row],[ID MATERIAL]]="","",IF(Plantilla_SCAN_EQ3_COUNT_2[[#This Row],[No. Empaques]]="",1,Plantilla_SCAN_EQ3_COUNT_2[[#This Row],[No. Empaques]]*1))</f>
        <v/>
      </c>
      <c r="G515" s="7" t="str">
        <f>IF(Plantilla_SCAN_EQ3_COUNT_2[[#This Row],[ID MATERIAL]]="","","PZ")</f>
        <v/>
      </c>
      <c r="H515" s="7" t="str">
        <f>IF(Plantilla_SCAN_EQ3_COUNT_2[[#This Row],[ID MATERIAL]]="","",$B$13)</f>
        <v/>
      </c>
      <c r="I515" s="7" t="str">
        <f>IF(Plantilla_SCAN_EQ3_COUNT_2[[#This Row],[ID MATERIAL]]="","","Segundo Conteo")</f>
        <v/>
      </c>
    </row>
    <row r="516" spans="1:9" s="7" customFormat="1" ht="15" x14ac:dyDescent="0.2">
      <c r="A516" s="7" t="str">
        <f>IF(Plantilla_SCAN_EQ3_COUNT_2[[#This Row],[ID MATERIAL]]="","",SIGN(Plantilla_SCAN_EQ3_COUNT_2[[#This Row],[Cantidad]])+A515)</f>
        <v/>
      </c>
      <c r="B516" s="21" t="str">
        <f>IF(Plantilla_SCAN_EQ3_COUNT_2[[#This Row],[ID MATERIAL]]="","",B515)</f>
        <v/>
      </c>
      <c r="C516" s="21"/>
      <c r="D516" s="21"/>
      <c r="E516" s="7" t="str">
        <f>IF(Plantilla_SCAN_EQ3_COUNT_2[[#This Row],[ID MATERIAL]]="","",VLOOKUP(Plantilla_SCAN_EQ3_COUNT_2[[#This Row],[ID MATERIAL]],INVENTARIO!$A:$D,2,FALSE))</f>
        <v/>
      </c>
      <c r="F516" s="7" t="str">
        <f>IF(Plantilla_SCAN_EQ3_COUNT_2[[#This Row],[ID MATERIAL]]="","",IF(Plantilla_SCAN_EQ3_COUNT_2[[#This Row],[No. Empaques]]="",1,Plantilla_SCAN_EQ3_COUNT_2[[#This Row],[No. Empaques]]*1))</f>
        <v/>
      </c>
      <c r="G516" s="7" t="str">
        <f>IF(Plantilla_SCAN_EQ3_COUNT_2[[#This Row],[ID MATERIAL]]="","","PZ")</f>
        <v/>
      </c>
      <c r="H516" s="7" t="str">
        <f>IF(Plantilla_SCAN_EQ3_COUNT_2[[#This Row],[ID MATERIAL]]="","",$B$13)</f>
        <v/>
      </c>
      <c r="I516" s="7" t="str">
        <f>IF(Plantilla_SCAN_EQ3_COUNT_2[[#This Row],[ID MATERIAL]]="","","Segundo Conteo")</f>
        <v/>
      </c>
    </row>
    <row r="517" spans="1:9" s="7" customFormat="1" ht="15" x14ac:dyDescent="0.2">
      <c r="A517" s="7" t="str">
        <f>IF(Plantilla_SCAN_EQ3_COUNT_2[[#This Row],[ID MATERIAL]]="","",SIGN(Plantilla_SCAN_EQ3_COUNT_2[[#This Row],[Cantidad]])+A516)</f>
        <v/>
      </c>
      <c r="B517" s="21" t="str">
        <f>IF(Plantilla_SCAN_EQ3_COUNT_2[[#This Row],[ID MATERIAL]]="","",B516)</f>
        <v/>
      </c>
      <c r="C517" s="21"/>
      <c r="D517" s="21"/>
      <c r="E517" s="7" t="str">
        <f>IF(Plantilla_SCAN_EQ3_COUNT_2[[#This Row],[ID MATERIAL]]="","",VLOOKUP(Plantilla_SCAN_EQ3_COUNT_2[[#This Row],[ID MATERIAL]],INVENTARIO!$A:$D,2,FALSE))</f>
        <v/>
      </c>
      <c r="F517" s="7" t="str">
        <f>IF(Plantilla_SCAN_EQ3_COUNT_2[[#This Row],[ID MATERIAL]]="","",IF(Plantilla_SCAN_EQ3_COUNT_2[[#This Row],[No. Empaques]]="",1,Plantilla_SCAN_EQ3_COUNT_2[[#This Row],[No. Empaques]]*1))</f>
        <v/>
      </c>
      <c r="G517" s="7" t="str">
        <f>IF(Plantilla_SCAN_EQ3_COUNT_2[[#This Row],[ID MATERIAL]]="","","PZ")</f>
        <v/>
      </c>
      <c r="H517" s="7" t="str">
        <f>IF(Plantilla_SCAN_EQ3_COUNT_2[[#This Row],[ID MATERIAL]]="","",$B$13)</f>
        <v/>
      </c>
      <c r="I517" s="7" t="str">
        <f>IF(Plantilla_SCAN_EQ3_COUNT_2[[#This Row],[ID MATERIAL]]="","","Segundo Conteo")</f>
        <v/>
      </c>
    </row>
    <row r="518" spans="1:9" s="7" customFormat="1" ht="15" x14ac:dyDescent="0.2">
      <c r="A518" s="7" t="str">
        <f>IF(Plantilla_SCAN_EQ3_COUNT_2[[#This Row],[ID MATERIAL]]="","",SIGN(Plantilla_SCAN_EQ3_COUNT_2[[#This Row],[Cantidad]])+A517)</f>
        <v/>
      </c>
      <c r="B518" s="21" t="str">
        <f>IF(Plantilla_SCAN_EQ3_COUNT_2[[#This Row],[ID MATERIAL]]="","",B517)</f>
        <v/>
      </c>
      <c r="C518" s="21"/>
      <c r="D518" s="21"/>
      <c r="E518" s="7" t="str">
        <f>IF(Plantilla_SCAN_EQ3_COUNT_2[[#This Row],[ID MATERIAL]]="","",VLOOKUP(Plantilla_SCAN_EQ3_COUNT_2[[#This Row],[ID MATERIAL]],INVENTARIO!$A:$D,2,FALSE))</f>
        <v/>
      </c>
      <c r="F518" s="7" t="str">
        <f>IF(Plantilla_SCAN_EQ3_COUNT_2[[#This Row],[ID MATERIAL]]="","",IF(Plantilla_SCAN_EQ3_COUNT_2[[#This Row],[No. Empaques]]="",1,Plantilla_SCAN_EQ3_COUNT_2[[#This Row],[No. Empaques]]*1))</f>
        <v/>
      </c>
      <c r="G518" s="7" t="str">
        <f>IF(Plantilla_SCAN_EQ3_COUNT_2[[#This Row],[ID MATERIAL]]="","","PZ")</f>
        <v/>
      </c>
      <c r="H518" s="7" t="str">
        <f>IF(Plantilla_SCAN_EQ3_COUNT_2[[#This Row],[ID MATERIAL]]="","",$B$13)</f>
        <v/>
      </c>
      <c r="I518" s="7" t="str">
        <f>IF(Plantilla_SCAN_EQ3_COUNT_2[[#This Row],[ID MATERIAL]]="","","Segundo Conteo")</f>
        <v/>
      </c>
    </row>
    <row r="519" spans="1:9" s="7" customFormat="1" ht="15" x14ac:dyDescent="0.2">
      <c r="A519" s="7" t="str">
        <f>IF(Plantilla_SCAN_EQ3_COUNT_2[[#This Row],[ID MATERIAL]]="","",SIGN(Plantilla_SCAN_EQ3_COUNT_2[[#This Row],[Cantidad]])+A518)</f>
        <v/>
      </c>
      <c r="B519" s="21" t="str">
        <f>IF(Plantilla_SCAN_EQ3_COUNT_2[[#This Row],[ID MATERIAL]]="","",B518)</f>
        <v/>
      </c>
      <c r="C519" s="21"/>
      <c r="D519" s="21"/>
      <c r="E519" s="7" t="str">
        <f>IF(Plantilla_SCAN_EQ3_COUNT_2[[#This Row],[ID MATERIAL]]="","",VLOOKUP(Plantilla_SCAN_EQ3_COUNT_2[[#This Row],[ID MATERIAL]],INVENTARIO!$A:$D,2,FALSE))</f>
        <v/>
      </c>
      <c r="F519" s="7" t="str">
        <f>IF(Plantilla_SCAN_EQ3_COUNT_2[[#This Row],[ID MATERIAL]]="","",IF(Plantilla_SCAN_EQ3_COUNT_2[[#This Row],[No. Empaques]]="",1,Plantilla_SCAN_EQ3_COUNT_2[[#This Row],[No. Empaques]]*1))</f>
        <v/>
      </c>
      <c r="G519" s="7" t="str">
        <f>IF(Plantilla_SCAN_EQ3_COUNT_2[[#This Row],[ID MATERIAL]]="","","PZ")</f>
        <v/>
      </c>
      <c r="H519" s="7" t="str">
        <f>IF(Plantilla_SCAN_EQ3_COUNT_2[[#This Row],[ID MATERIAL]]="","",$B$13)</f>
        <v/>
      </c>
      <c r="I519" s="7" t="str">
        <f>IF(Plantilla_SCAN_EQ3_COUNT_2[[#This Row],[ID MATERIAL]]="","","Segundo Conteo")</f>
        <v/>
      </c>
    </row>
    <row r="520" spans="1:9" s="7" customFormat="1" ht="15" x14ac:dyDescent="0.2">
      <c r="A520" s="7" t="str">
        <f>IF(Plantilla_SCAN_EQ3_COUNT_2[[#This Row],[ID MATERIAL]]="","",SIGN(Plantilla_SCAN_EQ3_COUNT_2[[#This Row],[Cantidad]])+A519)</f>
        <v/>
      </c>
      <c r="B520" s="21" t="str">
        <f>IF(Plantilla_SCAN_EQ3_COUNT_2[[#This Row],[ID MATERIAL]]="","",B519)</f>
        <v/>
      </c>
      <c r="C520" s="21"/>
      <c r="D520" s="21"/>
      <c r="E520" s="7" t="str">
        <f>IF(Plantilla_SCAN_EQ3_COUNT_2[[#This Row],[ID MATERIAL]]="","",VLOOKUP(Plantilla_SCAN_EQ3_COUNT_2[[#This Row],[ID MATERIAL]],INVENTARIO!$A:$D,2,FALSE))</f>
        <v/>
      </c>
      <c r="F520" s="7" t="str">
        <f>IF(Plantilla_SCAN_EQ3_COUNT_2[[#This Row],[ID MATERIAL]]="","",IF(Plantilla_SCAN_EQ3_COUNT_2[[#This Row],[No. Empaques]]="",1,Plantilla_SCAN_EQ3_COUNT_2[[#This Row],[No. Empaques]]*1))</f>
        <v/>
      </c>
      <c r="G520" s="7" t="str">
        <f>IF(Plantilla_SCAN_EQ3_COUNT_2[[#This Row],[ID MATERIAL]]="","","PZ")</f>
        <v/>
      </c>
      <c r="H520" s="7" t="str">
        <f>IF(Plantilla_SCAN_EQ3_COUNT_2[[#This Row],[ID MATERIAL]]="","",$B$13)</f>
        <v/>
      </c>
      <c r="I520" s="7" t="str">
        <f>IF(Plantilla_SCAN_EQ3_COUNT_2[[#This Row],[ID MATERIAL]]="","","Segundo Conteo")</f>
        <v/>
      </c>
    </row>
    <row r="521" spans="1:9" s="7" customFormat="1" ht="15" x14ac:dyDescent="0.2">
      <c r="A521" s="7" t="str">
        <f>IF(Plantilla_SCAN_EQ3_COUNT_2[[#This Row],[ID MATERIAL]]="","",SIGN(Plantilla_SCAN_EQ3_COUNT_2[[#This Row],[Cantidad]])+A520)</f>
        <v/>
      </c>
      <c r="B521" s="21" t="str">
        <f>IF(Plantilla_SCAN_EQ3_COUNT_2[[#This Row],[ID MATERIAL]]="","",B520)</f>
        <v/>
      </c>
      <c r="C521" s="21"/>
      <c r="D521" s="21"/>
      <c r="E521" s="7" t="str">
        <f>IF(Plantilla_SCAN_EQ3_COUNT_2[[#This Row],[ID MATERIAL]]="","",VLOOKUP(Plantilla_SCAN_EQ3_COUNT_2[[#This Row],[ID MATERIAL]],INVENTARIO!$A:$D,2,FALSE))</f>
        <v/>
      </c>
      <c r="F521" s="7" t="str">
        <f>IF(Plantilla_SCAN_EQ3_COUNT_2[[#This Row],[ID MATERIAL]]="","",IF(Plantilla_SCAN_EQ3_COUNT_2[[#This Row],[No. Empaques]]="",1,Plantilla_SCAN_EQ3_COUNT_2[[#This Row],[No. Empaques]]*1))</f>
        <v/>
      </c>
      <c r="G521" s="7" t="str">
        <f>IF(Plantilla_SCAN_EQ3_COUNT_2[[#This Row],[ID MATERIAL]]="","","PZ")</f>
        <v/>
      </c>
      <c r="H521" s="7" t="str">
        <f>IF(Plantilla_SCAN_EQ3_COUNT_2[[#This Row],[ID MATERIAL]]="","",$B$13)</f>
        <v/>
      </c>
      <c r="I521" s="7" t="str">
        <f>IF(Plantilla_SCAN_EQ3_COUNT_2[[#This Row],[ID MATERIAL]]="","","Segundo Conteo")</f>
        <v/>
      </c>
    </row>
    <row r="522" spans="1:9" s="7" customFormat="1" ht="15" x14ac:dyDescent="0.2">
      <c r="A522" s="7" t="str">
        <f>IF(Plantilla_SCAN_EQ3_COUNT_2[[#This Row],[ID MATERIAL]]="","",SIGN(Plantilla_SCAN_EQ3_COUNT_2[[#This Row],[Cantidad]])+A521)</f>
        <v/>
      </c>
      <c r="B522" s="21" t="str">
        <f>IF(Plantilla_SCAN_EQ3_COUNT_2[[#This Row],[ID MATERIAL]]="","",B521)</f>
        <v/>
      </c>
      <c r="C522" s="21"/>
      <c r="D522" s="21"/>
      <c r="E522" s="7" t="str">
        <f>IF(Plantilla_SCAN_EQ3_COUNT_2[[#This Row],[ID MATERIAL]]="","",VLOOKUP(Plantilla_SCAN_EQ3_COUNT_2[[#This Row],[ID MATERIAL]],INVENTARIO!$A:$D,2,FALSE))</f>
        <v/>
      </c>
      <c r="F522" s="7" t="str">
        <f>IF(Plantilla_SCAN_EQ3_COUNT_2[[#This Row],[ID MATERIAL]]="","",IF(Plantilla_SCAN_EQ3_COUNT_2[[#This Row],[No. Empaques]]="",1,Plantilla_SCAN_EQ3_COUNT_2[[#This Row],[No. Empaques]]*1))</f>
        <v/>
      </c>
      <c r="G522" s="7" t="str">
        <f>IF(Plantilla_SCAN_EQ3_COUNT_2[[#This Row],[ID MATERIAL]]="","","PZ")</f>
        <v/>
      </c>
      <c r="H522" s="7" t="str">
        <f>IF(Plantilla_SCAN_EQ3_COUNT_2[[#This Row],[ID MATERIAL]]="","",$B$13)</f>
        <v/>
      </c>
      <c r="I522" s="7" t="str">
        <f>IF(Plantilla_SCAN_EQ3_COUNT_2[[#This Row],[ID MATERIAL]]="","","Segundo Conteo")</f>
        <v/>
      </c>
    </row>
    <row r="523" spans="1:9" s="7" customFormat="1" ht="15" x14ac:dyDescent="0.2">
      <c r="A523" s="7" t="str">
        <f>IF(Plantilla_SCAN_EQ3_COUNT_2[[#This Row],[ID MATERIAL]]="","",SIGN(Plantilla_SCAN_EQ3_COUNT_2[[#This Row],[Cantidad]])+A522)</f>
        <v/>
      </c>
      <c r="B523" s="21" t="str">
        <f>IF(Plantilla_SCAN_EQ3_COUNT_2[[#This Row],[ID MATERIAL]]="","",B522)</f>
        <v/>
      </c>
      <c r="C523" s="21"/>
      <c r="D523" s="21"/>
      <c r="E523" s="7" t="str">
        <f>IF(Plantilla_SCAN_EQ3_COUNT_2[[#This Row],[ID MATERIAL]]="","",VLOOKUP(Plantilla_SCAN_EQ3_COUNT_2[[#This Row],[ID MATERIAL]],INVENTARIO!$A:$D,2,FALSE))</f>
        <v/>
      </c>
      <c r="F523" s="7" t="str">
        <f>IF(Plantilla_SCAN_EQ3_COUNT_2[[#This Row],[ID MATERIAL]]="","",IF(Plantilla_SCAN_EQ3_COUNT_2[[#This Row],[No. Empaques]]="",1,Plantilla_SCAN_EQ3_COUNT_2[[#This Row],[No. Empaques]]*1))</f>
        <v/>
      </c>
      <c r="G523" s="7" t="str">
        <f>IF(Plantilla_SCAN_EQ3_COUNT_2[[#This Row],[ID MATERIAL]]="","","PZ")</f>
        <v/>
      </c>
      <c r="H523" s="7" t="str">
        <f>IF(Plantilla_SCAN_EQ3_COUNT_2[[#This Row],[ID MATERIAL]]="","",$B$13)</f>
        <v/>
      </c>
      <c r="I523" s="7" t="str">
        <f>IF(Plantilla_SCAN_EQ3_COUNT_2[[#This Row],[ID MATERIAL]]="","","Segundo Conteo")</f>
        <v/>
      </c>
    </row>
    <row r="524" spans="1:9" s="7" customFormat="1" ht="15" x14ac:dyDescent="0.2">
      <c r="A524" s="7" t="str">
        <f>IF(Plantilla_SCAN_EQ3_COUNT_2[[#This Row],[ID MATERIAL]]="","",SIGN(Plantilla_SCAN_EQ3_COUNT_2[[#This Row],[Cantidad]])+A523)</f>
        <v/>
      </c>
      <c r="B524" s="21" t="str">
        <f>IF(Plantilla_SCAN_EQ3_COUNT_2[[#This Row],[ID MATERIAL]]="","",B523)</f>
        <v/>
      </c>
      <c r="C524" s="21"/>
      <c r="D524" s="21"/>
      <c r="E524" s="7" t="str">
        <f>IF(Plantilla_SCAN_EQ3_COUNT_2[[#This Row],[ID MATERIAL]]="","",VLOOKUP(Plantilla_SCAN_EQ3_COUNT_2[[#This Row],[ID MATERIAL]],INVENTARIO!$A:$D,2,FALSE))</f>
        <v/>
      </c>
      <c r="F524" s="7" t="str">
        <f>IF(Plantilla_SCAN_EQ3_COUNT_2[[#This Row],[ID MATERIAL]]="","",IF(Plantilla_SCAN_EQ3_COUNT_2[[#This Row],[No. Empaques]]="",1,Plantilla_SCAN_EQ3_COUNT_2[[#This Row],[No. Empaques]]*1))</f>
        <v/>
      </c>
      <c r="G524" s="7" t="str">
        <f>IF(Plantilla_SCAN_EQ3_COUNT_2[[#This Row],[ID MATERIAL]]="","","PZ")</f>
        <v/>
      </c>
      <c r="H524" s="7" t="str">
        <f>IF(Plantilla_SCAN_EQ3_COUNT_2[[#This Row],[ID MATERIAL]]="","",$B$13)</f>
        <v/>
      </c>
      <c r="I524" s="7" t="str">
        <f>IF(Plantilla_SCAN_EQ3_COUNT_2[[#This Row],[ID MATERIAL]]="","","Segundo Conteo")</f>
        <v/>
      </c>
    </row>
    <row r="525" spans="1:9" s="7" customFormat="1" ht="15" x14ac:dyDescent="0.2">
      <c r="A525" s="7" t="str">
        <f>IF(Plantilla_SCAN_EQ3_COUNT_2[[#This Row],[ID MATERIAL]]="","",SIGN(Plantilla_SCAN_EQ3_COUNT_2[[#This Row],[Cantidad]])+A524)</f>
        <v/>
      </c>
      <c r="B525" s="21" t="str">
        <f>IF(Plantilla_SCAN_EQ3_COUNT_2[[#This Row],[ID MATERIAL]]="","",B524)</f>
        <v/>
      </c>
      <c r="C525" s="21"/>
      <c r="D525" s="21"/>
      <c r="E525" s="7" t="str">
        <f>IF(Plantilla_SCAN_EQ3_COUNT_2[[#This Row],[ID MATERIAL]]="","",VLOOKUP(Plantilla_SCAN_EQ3_COUNT_2[[#This Row],[ID MATERIAL]],INVENTARIO!$A:$D,2,FALSE))</f>
        <v/>
      </c>
      <c r="F525" s="7" t="str">
        <f>IF(Plantilla_SCAN_EQ3_COUNT_2[[#This Row],[ID MATERIAL]]="","",IF(Plantilla_SCAN_EQ3_COUNT_2[[#This Row],[No. Empaques]]="",1,Plantilla_SCAN_EQ3_COUNT_2[[#This Row],[No. Empaques]]*1))</f>
        <v/>
      </c>
      <c r="G525" s="7" t="str">
        <f>IF(Plantilla_SCAN_EQ3_COUNT_2[[#This Row],[ID MATERIAL]]="","","PZ")</f>
        <v/>
      </c>
      <c r="H525" s="7" t="str">
        <f>IF(Plantilla_SCAN_EQ3_COUNT_2[[#This Row],[ID MATERIAL]]="","",$B$13)</f>
        <v/>
      </c>
      <c r="I525" s="7" t="str">
        <f>IF(Plantilla_SCAN_EQ3_COUNT_2[[#This Row],[ID MATERIAL]]="","","Segundo Conteo")</f>
        <v/>
      </c>
    </row>
    <row r="526" spans="1:9" s="7" customFormat="1" ht="15" x14ac:dyDescent="0.2">
      <c r="A526" s="7" t="str">
        <f>IF(Plantilla_SCAN_EQ3_COUNT_2[[#This Row],[ID MATERIAL]]="","",SIGN(Plantilla_SCAN_EQ3_COUNT_2[[#This Row],[Cantidad]])+A525)</f>
        <v/>
      </c>
      <c r="B526" s="21" t="str">
        <f>IF(Plantilla_SCAN_EQ3_COUNT_2[[#This Row],[ID MATERIAL]]="","",B525)</f>
        <v/>
      </c>
      <c r="C526" s="21"/>
      <c r="D526" s="21"/>
      <c r="E526" s="7" t="str">
        <f>IF(Plantilla_SCAN_EQ3_COUNT_2[[#This Row],[ID MATERIAL]]="","",VLOOKUP(Plantilla_SCAN_EQ3_COUNT_2[[#This Row],[ID MATERIAL]],INVENTARIO!$A:$D,2,FALSE))</f>
        <v/>
      </c>
      <c r="F526" s="7" t="str">
        <f>IF(Plantilla_SCAN_EQ3_COUNT_2[[#This Row],[ID MATERIAL]]="","",IF(Plantilla_SCAN_EQ3_COUNT_2[[#This Row],[No. Empaques]]="",1,Plantilla_SCAN_EQ3_COUNT_2[[#This Row],[No. Empaques]]*1))</f>
        <v/>
      </c>
      <c r="G526" s="7" t="str">
        <f>IF(Plantilla_SCAN_EQ3_COUNT_2[[#This Row],[ID MATERIAL]]="","","PZ")</f>
        <v/>
      </c>
      <c r="H526" s="7" t="str">
        <f>IF(Plantilla_SCAN_EQ3_COUNT_2[[#This Row],[ID MATERIAL]]="","",$B$13)</f>
        <v/>
      </c>
      <c r="I526" s="7" t="str">
        <f>IF(Plantilla_SCAN_EQ3_COUNT_2[[#This Row],[ID MATERIAL]]="","","Segundo Conteo")</f>
        <v/>
      </c>
    </row>
    <row r="527" spans="1:9" s="7" customFormat="1" ht="15" x14ac:dyDescent="0.2">
      <c r="A527" s="7" t="str">
        <f>IF(Plantilla_SCAN_EQ3_COUNT_2[[#This Row],[ID MATERIAL]]="","",SIGN(Plantilla_SCAN_EQ3_COUNT_2[[#This Row],[Cantidad]])+A526)</f>
        <v/>
      </c>
      <c r="B527" s="21" t="str">
        <f>IF(Plantilla_SCAN_EQ3_COUNT_2[[#This Row],[ID MATERIAL]]="","",B526)</f>
        <v/>
      </c>
      <c r="C527" s="21"/>
      <c r="D527" s="21"/>
      <c r="E527" s="7" t="str">
        <f>IF(Plantilla_SCAN_EQ3_COUNT_2[[#This Row],[ID MATERIAL]]="","",VLOOKUP(Plantilla_SCAN_EQ3_COUNT_2[[#This Row],[ID MATERIAL]],INVENTARIO!$A:$D,2,FALSE))</f>
        <v/>
      </c>
      <c r="F527" s="7" t="str">
        <f>IF(Plantilla_SCAN_EQ3_COUNT_2[[#This Row],[ID MATERIAL]]="","",IF(Plantilla_SCAN_EQ3_COUNT_2[[#This Row],[No. Empaques]]="",1,Plantilla_SCAN_EQ3_COUNT_2[[#This Row],[No. Empaques]]*1))</f>
        <v/>
      </c>
      <c r="G527" s="7" t="str">
        <f>IF(Plantilla_SCAN_EQ3_COUNT_2[[#This Row],[ID MATERIAL]]="","","PZ")</f>
        <v/>
      </c>
      <c r="H527" s="7" t="str">
        <f>IF(Plantilla_SCAN_EQ3_COUNT_2[[#This Row],[ID MATERIAL]]="","",$B$13)</f>
        <v/>
      </c>
      <c r="I527" s="7" t="str">
        <f>IF(Plantilla_SCAN_EQ3_COUNT_2[[#This Row],[ID MATERIAL]]="","","Segundo Conteo")</f>
        <v/>
      </c>
    </row>
    <row r="528" spans="1:9" s="7" customFormat="1" ht="15" x14ac:dyDescent="0.2">
      <c r="A528" s="7" t="str">
        <f>IF(Plantilla_SCAN_EQ3_COUNT_2[[#This Row],[ID MATERIAL]]="","",SIGN(Plantilla_SCAN_EQ3_COUNT_2[[#This Row],[Cantidad]])+A527)</f>
        <v/>
      </c>
      <c r="B528" s="21" t="str">
        <f>IF(Plantilla_SCAN_EQ3_COUNT_2[[#This Row],[ID MATERIAL]]="","",B527)</f>
        <v/>
      </c>
      <c r="C528" s="21"/>
      <c r="D528" s="21"/>
      <c r="E528" s="7" t="str">
        <f>IF(Plantilla_SCAN_EQ3_COUNT_2[[#This Row],[ID MATERIAL]]="","",VLOOKUP(Plantilla_SCAN_EQ3_COUNT_2[[#This Row],[ID MATERIAL]],INVENTARIO!$A:$D,2,FALSE))</f>
        <v/>
      </c>
      <c r="F528" s="7" t="str">
        <f>IF(Plantilla_SCAN_EQ3_COUNT_2[[#This Row],[ID MATERIAL]]="","",IF(Plantilla_SCAN_EQ3_COUNT_2[[#This Row],[No. Empaques]]="",1,Plantilla_SCAN_EQ3_COUNT_2[[#This Row],[No. Empaques]]*1))</f>
        <v/>
      </c>
      <c r="G528" s="7" t="str">
        <f>IF(Plantilla_SCAN_EQ3_COUNT_2[[#This Row],[ID MATERIAL]]="","","PZ")</f>
        <v/>
      </c>
      <c r="H528" s="7" t="str">
        <f>IF(Plantilla_SCAN_EQ3_COUNT_2[[#This Row],[ID MATERIAL]]="","",$B$13)</f>
        <v/>
      </c>
      <c r="I528" s="7" t="str">
        <f>IF(Plantilla_SCAN_EQ3_COUNT_2[[#This Row],[ID MATERIAL]]="","","Segundo Conteo")</f>
        <v/>
      </c>
    </row>
    <row r="529" spans="1:9" s="7" customFormat="1" ht="15" x14ac:dyDescent="0.2">
      <c r="A529" s="7" t="str">
        <f>IF(Plantilla_SCAN_EQ3_COUNT_2[[#This Row],[ID MATERIAL]]="","",SIGN(Plantilla_SCAN_EQ3_COUNT_2[[#This Row],[Cantidad]])+A528)</f>
        <v/>
      </c>
      <c r="B529" s="21" t="str">
        <f>IF(Plantilla_SCAN_EQ3_COUNT_2[[#This Row],[ID MATERIAL]]="","",B528)</f>
        <v/>
      </c>
      <c r="C529" s="21"/>
      <c r="D529" s="21"/>
      <c r="E529" s="7" t="str">
        <f>IF(Plantilla_SCAN_EQ3_COUNT_2[[#This Row],[ID MATERIAL]]="","",VLOOKUP(Plantilla_SCAN_EQ3_COUNT_2[[#This Row],[ID MATERIAL]],INVENTARIO!$A:$D,2,FALSE))</f>
        <v/>
      </c>
      <c r="F529" s="7" t="str">
        <f>IF(Plantilla_SCAN_EQ3_COUNT_2[[#This Row],[ID MATERIAL]]="","",IF(Plantilla_SCAN_EQ3_COUNT_2[[#This Row],[No. Empaques]]="",1,Plantilla_SCAN_EQ3_COUNT_2[[#This Row],[No. Empaques]]*1))</f>
        <v/>
      </c>
      <c r="G529" s="7" t="str">
        <f>IF(Plantilla_SCAN_EQ3_COUNT_2[[#This Row],[ID MATERIAL]]="","","PZ")</f>
        <v/>
      </c>
      <c r="H529" s="7" t="str">
        <f>IF(Plantilla_SCAN_EQ3_COUNT_2[[#This Row],[ID MATERIAL]]="","",$B$13)</f>
        <v/>
      </c>
      <c r="I529" s="7" t="str">
        <f>IF(Plantilla_SCAN_EQ3_COUNT_2[[#This Row],[ID MATERIAL]]="","","Segundo Conteo")</f>
        <v/>
      </c>
    </row>
    <row r="530" spans="1:9" s="7" customFormat="1" ht="15" x14ac:dyDescent="0.2">
      <c r="A530" s="7" t="str">
        <f>IF(Plantilla_SCAN_EQ3_COUNT_2[[#This Row],[ID MATERIAL]]="","",SIGN(Plantilla_SCAN_EQ3_COUNT_2[[#This Row],[Cantidad]])+A529)</f>
        <v/>
      </c>
      <c r="B530" s="21" t="str">
        <f>IF(Plantilla_SCAN_EQ3_COUNT_2[[#This Row],[ID MATERIAL]]="","",B529)</f>
        <v/>
      </c>
      <c r="C530" s="21"/>
      <c r="D530" s="21"/>
      <c r="E530" s="7" t="str">
        <f>IF(Plantilla_SCAN_EQ3_COUNT_2[[#This Row],[ID MATERIAL]]="","",VLOOKUP(Plantilla_SCAN_EQ3_COUNT_2[[#This Row],[ID MATERIAL]],INVENTARIO!$A:$D,2,FALSE))</f>
        <v/>
      </c>
      <c r="F530" s="7" t="str">
        <f>IF(Plantilla_SCAN_EQ3_COUNT_2[[#This Row],[ID MATERIAL]]="","",IF(Plantilla_SCAN_EQ3_COUNT_2[[#This Row],[No. Empaques]]="",1,Plantilla_SCAN_EQ3_COUNT_2[[#This Row],[No. Empaques]]*1))</f>
        <v/>
      </c>
      <c r="G530" s="7" t="str">
        <f>IF(Plantilla_SCAN_EQ3_COUNT_2[[#This Row],[ID MATERIAL]]="","","PZ")</f>
        <v/>
      </c>
      <c r="H530" s="7" t="str">
        <f>IF(Plantilla_SCAN_EQ3_COUNT_2[[#This Row],[ID MATERIAL]]="","",$B$13)</f>
        <v/>
      </c>
      <c r="I530" s="7" t="str">
        <f>IF(Plantilla_SCAN_EQ3_COUNT_2[[#This Row],[ID MATERIAL]]="","","Segundo Conteo")</f>
        <v/>
      </c>
    </row>
    <row r="531" spans="1:9" s="7" customFormat="1" ht="15" x14ac:dyDescent="0.2">
      <c r="A531" s="7" t="str">
        <f>IF(Plantilla_SCAN_EQ3_COUNT_2[[#This Row],[ID MATERIAL]]="","",SIGN(Plantilla_SCAN_EQ3_COUNT_2[[#This Row],[Cantidad]])+A530)</f>
        <v/>
      </c>
      <c r="B531" s="21" t="str">
        <f>IF(Plantilla_SCAN_EQ3_COUNT_2[[#This Row],[ID MATERIAL]]="","",B530)</f>
        <v/>
      </c>
      <c r="C531" s="21"/>
      <c r="D531" s="21"/>
      <c r="E531" s="7" t="str">
        <f>IF(Plantilla_SCAN_EQ3_COUNT_2[[#This Row],[ID MATERIAL]]="","",VLOOKUP(Plantilla_SCAN_EQ3_COUNT_2[[#This Row],[ID MATERIAL]],INVENTARIO!$A:$D,2,FALSE))</f>
        <v/>
      </c>
      <c r="F531" s="7" t="str">
        <f>IF(Plantilla_SCAN_EQ3_COUNT_2[[#This Row],[ID MATERIAL]]="","",IF(Plantilla_SCAN_EQ3_COUNT_2[[#This Row],[No. Empaques]]="",1,Plantilla_SCAN_EQ3_COUNT_2[[#This Row],[No. Empaques]]*1))</f>
        <v/>
      </c>
      <c r="G531" s="7" t="str">
        <f>IF(Plantilla_SCAN_EQ3_COUNT_2[[#This Row],[ID MATERIAL]]="","","PZ")</f>
        <v/>
      </c>
      <c r="H531" s="7" t="str">
        <f>IF(Plantilla_SCAN_EQ3_COUNT_2[[#This Row],[ID MATERIAL]]="","",$B$13)</f>
        <v/>
      </c>
      <c r="I531" s="7" t="str">
        <f>IF(Plantilla_SCAN_EQ3_COUNT_2[[#This Row],[ID MATERIAL]]="","","Segundo Conteo")</f>
        <v/>
      </c>
    </row>
    <row r="532" spans="1:9" s="7" customFormat="1" ht="15" x14ac:dyDescent="0.2">
      <c r="A532" s="7" t="str">
        <f>IF(Plantilla_SCAN_EQ3_COUNT_2[[#This Row],[ID MATERIAL]]="","",SIGN(Plantilla_SCAN_EQ3_COUNT_2[[#This Row],[Cantidad]])+A531)</f>
        <v/>
      </c>
      <c r="B532" s="21" t="str">
        <f>IF(Plantilla_SCAN_EQ3_COUNT_2[[#This Row],[ID MATERIAL]]="","",B531)</f>
        <v/>
      </c>
      <c r="C532" s="21"/>
      <c r="D532" s="21"/>
      <c r="E532" s="7" t="str">
        <f>IF(Plantilla_SCAN_EQ3_COUNT_2[[#This Row],[ID MATERIAL]]="","",VLOOKUP(Plantilla_SCAN_EQ3_COUNT_2[[#This Row],[ID MATERIAL]],INVENTARIO!$A:$D,2,FALSE))</f>
        <v/>
      </c>
      <c r="F532" s="7" t="str">
        <f>IF(Plantilla_SCAN_EQ3_COUNT_2[[#This Row],[ID MATERIAL]]="","",IF(Plantilla_SCAN_EQ3_COUNT_2[[#This Row],[No. Empaques]]="",1,Plantilla_SCAN_EQ3_COUNT_2[[#This Row],[No. Empaques]]*1))</f>
        <v/>
      </c>
      <c r="G532" s="7" t="str">
        <f>IF(Plantilla_SCAN_EQ3_COUNT_2[[#This Row],[ID MATERIAL]]="","","PZ")</f>
        <v/>
      </c>
      <c r="H532" s="7" t="str">
        <f>IF(Plantilla_SCAN_EQ3_COUNT_2[[#This Row],[ID MATERIAL]]="","",$B$13)</f>
        <v/>
      </c>
      <c r="I532" s="7" t="str">
        <f>IF(Plantilla_SCAN_EQ3_COUNT_2[[#This Row],[ID MATERIAL]]="","","Segundo Conteo")</f>
        <v/>
      </c>
    </row>
    <row r="533" spans="1:9" s="7" customFormat="1" ht="15" x14ac:dyDescent="0.2">
      <c r="A533" s="7" t="str">
        <f>IF(Plantilla_SCAN_EQ3_COUNT_2[[#This Row],[ID MATERIAL]]="","",SIGN(Plantilla_SCAN_EQ3_COUNT_2[[#This Row],[Cantidad]])+A532)</f>
        <v/>
      </c>
      <c r="B533" s="21" t="str">
        <f>IF(Plantilla_SCAN_EQ3_COUNT_2[[#This Row],[ID MATERIAL]]="","",B532)</f>
        <v/>
      </c>
      <c r="C533" s="21"/>
      <c r="D533" s="21"/>
      <c r="E533" s="7" t="str">
        <f>IF(Plantilla_SCAN_EQ3_COUNT_2[[#This Row],[ID MATERIAL]]="","",VLOOKUP(Plantilla_SCAN_EQ3_COUNT_2[[#This Row],[ID MATERIAL]],INVENTARIO!$A:$D,2,FALSE))</f>
        <v/>
      </c>
      <c r="F533" s="7" t="str">
        <f>IF(Plantilla_SCAN_EQ3_COUNT_2[[#This Row],[ID MATERIAL]]="","",IF(Plantilla_SCAN_EQ3_COUNT_2[[#This Row],[No. Empaques]]="",1,Plantilla_SCAN_EQ3_COUNT_2[[#This Row],[No. Empaques]]*1))</f>
        <v/>
      </c>
      <c r="G533" s="7" t="str">
        <f>IF(Plantilla_SCAN_EQ3_COUNT_2[[#This Row],[ID MATERIAL]]="","","PZ")</f>
        <v/>
      </c>
      <c r="H533" s="7" t="str">
        <f>IF(Plantilla_SCAN_EQ3_COUNT_2[[#This Row],[ID MATERIAL]]="","",$B$13)</f>
        <v/>
      </c>
      <c r="I533" s="7" t="str">
        <f>IF(Plantilla_SCAN_EQ3_COUNT_2[[#This Row],[ID MATERIAL]]="","","Segundo Conteo")</f>
        <v/>
      </c>
    </row>
    <row r="534" spans="1:9" s="7" customFormat="1" ht="15" x14ac:dyDescent="0.2">
      <c r="A534" s="7" t="str">
        <f>IF(Plantilla_SCAN_EQ3_COUNT_2[[#This Row],[ID MATERIAL]]="","",SIGN(Plantilla_SCAN_EQ3_COUNT_2[[#This Row],[Cantidad]])+A533)</f>
        <v/>
      </c>
      <c r="B534" s="21" t="str">
        <f>IF(Plantilla_SCAN_EQ3_COUNT_2[[#This Row],[ID MATERIAL]]="","",B533)</f>
        <v/>
      </c>
      <c r="C534" s="21"/>
      <c r="D534" s="21"/>
      <c r="E534" s="7" t="str">
        <f>IF(Plantilla_SCAN_EQ3_COUNT_2[[#This Row],[ID MATERIAL]]="","",VLOOKUP(Plantilla_SCAN_EQ3_COUNT_2[[#This Row],[ID MATERIAL]],INVENTARIO!$A:$D,2,FALSE))</f>
        <v/>
      </c>
      <c r="F534" s="7" t="str">
        <f>IF(Plantilla_SCAN_EQ3_COUNT_2[[#This Row],[ID MATERIAL]]="","",IF(Plantilla_SCAN_EQ3_COUNT_2[[#This Row],[No. Empaques]]="",1,Plantilla_SCAN_EQ3_COUNT_2[[#This Row],[No. Empaques]]*1))</f>
        <v/>
      </c>
      <c r="G534" s="7" t="str">
        <f>IF(Plantilla_SCAN_EQ3_COUNT_2[[#This Row],[ID MATERIAL]]="","","PZ")</f>
        <v/>
      </c>
      <c r="H534" s="7" t="str">
        <f>IF(Plantilla_SCAN_EQ3_COUNT_2[[#This Row],[ID MATERIAL]]="","",$B$13)</f>
        <v/>
      </c>
      <c r="I534" s="7" t="str">
        <f>IF(Plantilla_SCAN_EQ3_COUNT_2[[#This Row],[ID MATERIAL]]="","","Segundo Conteo")</f>
        <v/>
      </c>
    </row>
    <row r="535" spans="1:9" s="7" customFormat="1" ht="15" x14ac:dyDescent="0.2">
      <c r="A535" s="7" t="str">
        <f>IF(Plantilla_SCAN_EQ3_COUNT_2[[#This Row],[ID MATERIAL]]="","",SIGN(Plantilla_SCAN_EQ3_COUNT_2[[#This Row],[Cantidad]])+A534)</f>
        <v/>
      </c>
      <c r="B535" s="21" t="str">
        <f>IF(Plantilla_SCAN_EQ3_COUNT_2[[#This Row],[ID MATERIAL]]="","",B534)</f>
        <v/>
      </c>
      <c r="C535" s="21"/>
      <c r="D535" s="21"/>
      <c r="E535" s="7" t="str">
        <f>IF(Plantilla_SCAN_EQ3_COUNT_2[[#This Row],[ID MATERIAL]]="","",VLOOKUP(Plantilla_SCAN_EQ3_COUNT_2[[#This Row],[ID MATERIAL]],INVENTARIO!$A:$D,2,FALSE))</f>
        <v/>
      </c>
      <c r="F535" s="7" t="str">
        <f>IF(Plantilla_SCAN_EQ3_COUNT_2[[#This Row],[ID MATERIAL]]="","",IF(Plantilla_SCAN_EQ3_COUNT_2[[#This Row],[No. Empaques]]="",1,Plantilla_SCAN_EQ3_COUNT_2[[#This Row],[No. Empaques]]*1))</f>
        <v/>
      </c>
      <c r="G535" s="7" t="str">
        <f>IF(Plantilla_SCAN_EQ3_COUNT_2[[#This Row],[ID MATERIAL]]="","","PZ")</f>
        <v/>
      </c>
      <c r="H535" s="7" t="str">
        <f>IF(Plantilla_SCAN_EQ3_COUNT_2[[#This Row],[ID MATERIAL]]="","",$B$13)</f>
        <v/>
      </c>
      <c r="I535" s="7" t="str">
        <f>IF(Plantilla_SCAN_EQ3_COUNT_2[[#This Row],[ID MATERIAL]]="","","Segundo Conteo")</f>
        <v/>
      </c>
    </row>
    <row r="536" spans="1:9" s="7" customFormat="1" ht="15" x14ac:dyDescent="0.2">
      <c r="A536" s="7" t="str">
        <f>IF(Plantilla_SCAN_EQ3_COUNT_2[[#This Row],[ID MATERIAL]]="","",SIGN(Plantilla_SCAN_EQ3_COUNT_2[[#This Row],[Cantidad]])+A535)</f>
        <v/>
      </c>
      <c r="B536" s="21" t="str">
        <f>IF(Plantilla_SCAN_EQ3_COUNT_2[[#This Row],[ID MATERIAL]]="","",B535)</f>
        <v/>
      </c>
      <c r="C536" s="21"/>
      <c r="D536" s="21"/>
      <c r="E536" s="7" t="str">
        <f>IF(Plantilla_SCAN_EQ3_COUNT_2[[#This Row],[ID MATERIAL]]="","",VLOOKUP(Plantilla_SCAN_EQ3_COUNT_2[[#This Row],[ID MATERIAL]],INVENTARIO!$A:$D,2,FALSE))</f>
        <v/>
      </c>
      <c r="F536" s="7" t="str">
        <f>IF(Plantilla_SCAN_EQ3_COUNT_2[[#This Row],[ID MATERIAL]]="","",IF(Plantilla_SCAN_EQ3_COUNT_2[[#This Row],[No. Empaques]]="",1,Plantilla_SCAN_EQ3_COUNT_2[[#This Row],[No. Empaques]]*1))</f>
        <v/>
      </c>
      <c r="G536" s="7" t="str">
        <f>IF(Plantilla_SCAN_EQ3_COUNT_2[[#This Row],[ID MATERIAL]]="","","PZ")</f>
        <v/>
      </c>
      <c r="H536" s="7" t="str">
        <f>IF(Plantilla_SCAN_EQ3_COUNT_2[[#This Row],[ID MATERIAL]]="","",$B$13)</f>
        <v/>
      </c>
      <c r="I536" s="7" t="str">
        <f>IF(Plantilla_SCAN_EQ3_COUNT_2[[#This Row],[ID MATERIAL]]="","","Segundo Conteo")</f>
        <v/>
      </c>
    </row>
    <row r="537" spans="1:9" s="7" customFormat="1" ht="15" x14ac:dyDescent="0.2">
      <c r="A537" s="7" t="str">
        <f>IF(Plantilla_SCAN_EQ3_COUNT_2[[#This Row],[ID MATERIAL]]="","",SIGN(Plantilla_SCAN_EQ3_COUNT_2[[#This Row],[Cantidad]])+A536)</f>
        <v/>
      </c>
      <c r="B537" s="21" t="str">
        <f>IF(Plantilla_SCAN_EQ3_COUNT_2[[#This Row],[ID MATERIAL]]="","",B536)</f>
        <v/>
      </c>
      <c r="C537" s="21"/>
      <c r="D537" s="21"/>
      <c r="E537" s="7" t="str">
        <f>IF(Plantilla_SCAN_EQ3_COUNT_2[[#This Row],[ID MATERIAL]]="","",VLOOKUP(Plantilla_SCAN_EQ3_COUNT_2[[#This Row],[ID MATERIAL]],INVENTARIO!$A:$D,2,FALSE))</f>
        <v/>
      </c>
      <c r="F537" s="7" t="str">
        <f>IF(Plantilla_SCAN_EQ3_COUNT_2[[#This Row],[ID MATERIAL]]="","",IF(Plantilla_SCAN_EQ3_COUNT_2[[#This Row],[No. Empaques]]="",1,Plantilla_SCAN_EQ3_COUNT_2[[#This Row],[No. Empaques]]*1))</f>
        <v/>
      </c>
      <c r="G537" s="7" t="str">
        <f>IF(Plantilla_SCAN_EQ3_COUNT_2[[#This Row],[ID MATERIAL]]="","","PZ")</f>
        <v/>
      </c>
      <c r="H537" s="7" t="str">
        <f>IF(Plantilla_SCAN_EQ3_COUNT_2[[#This Row],[ID MATERIAL]]="","",$B$13)</f>
        <v/>
      </c>
      <c r="I537" s="7" t="str">
        <f>IF(Plantilla_SCAN_EQ3_COUNT_2[[#This Row],[ID MATERIAL]]="","","Segundo Conteo")</f>
        <v/>
      </c>
    </row>
    <row r="538" spans="1:9" s="7" customFormat="1" ht="15" x14ac:dyDescent="0.2">
      <c r="A538" s="7" t="str">
        <f>IF(Plantilla_SCAN_EQ3_COUNT_2[[#This Row],[ID MATERIAL]]="","",SIGN(Plantilla_SCAN_EQ3_COUNT_2[[#This Row],[Cantidad]])+A537)</f>
        <v/>
      </c>
      <c r="B538" s="21" t="str">
        <f>IF(Plantilla_SCAN_EQ3_COUNT_2[[#This Row],[ID MATERIAL]]="","",B537)</f>
        <v/>
      </c>
      <c r="C538" s="21"/>
      <c r="D538" s="21"/>
      <c r="E538" s="7" t="str">
        <f>IF(Plantilla_SCAN_EQ3_COUNT_2[[#This Row],[ID MATERIAL]]="","",VLOOKUP(Plantilla_SCAN_EQ3_COUNT_2[[#This Row],[ID MATERIAL]],INVENTARIO!$A:$D,2,FALSE))</f>
        <v/>
      </c>
      <c r="F538" s="7" t="str">
        <f>IF(Plantilla_SCAN_EQ3_COUNT_2[[#This Row],[ID MATERIAL]]="","",IF(Plantilla_SCAN_EQ3_COUNT_2[[#This Row],[No. Empaques]]="",1,Plantilla_SCAN_EQ3_COUNT_2[[#This Row],[No. Empaques]]*1))</f>
        <v/>
      </c>
      <c r="G538" s="7" t="str">
        <f>IF(Plantilla_SCAN_EQ3_COUNT_2[[#This Row],[ID MATERIAL]]="","","PZ")</f>
        <v/>
      </c>
      <c r="H538" s="7" t="str">
        <f>IF(Plantilla_SCAN_EQ3_COUNT_2[[#This Row],[ID MATERIAL]]="","",$B$13)</f>
        <v/>
      </c>
      <c r="I538" s="7" t="str">
        <f>IF(Plantilla_SCAN_EQ3_COUNT_2[[#This Row],[ID MATERIAL]]="","","Segundo Conteo")</f>
        <v/>
      </c>
    </row>
    <row r="539" spans="1:9" s="7" customFormat="1" ht="15" x14ac:dyDescent="0.2">
      <c r="A539" s="7" t="str">
        <f>IF(Plantilla_SCAN_EQ3_COUNT_2[[#This Row],[ID MATERIAL]]="","",SIGN(Plantilla_SCAN_EQ3_COUNT_2[[#This Row],[Cantidad]])+A538)</f>
        <v/>
      </c>
      <c r="B539" s="21" t="str">
        <f>IF(Plantilla_SCAN_EQ3_COUNT_2[[#This Row],[ID MATERIAL]]="","",B538)</f>
        <v/>
      </c>
      <c r="C539" s="21"/>
      <c r="D539" s="21"/>
      <c r="E539" s="7" t="str">
        <f>IF(Plantilla_SCAN_EQ3_COUNT_2[[#This Row],[ID MATERIAL]]="","",VLOOKUP(Plantilla_SCAN_EQ3_COUNT_2[[#This Row],[ID MATERIAL]],INVENTARIO!$A:$D,2,FALSE))</f>
        <v/>
      </c>
      <c r="F539" s="7" t="str">
        <f>IF(Plantilla_SCAN_EQ3_COUNT_2[[#This Row],[ID MATERIAL]]="","",IF(Plantilla_SCAN_EQ3_COUNT_2[[#This Row],[No. Empaques]]="",1,Plantilla_SCAN_EQ3_COUNT_2[[#This Row],[No. Empaques]]*1))</f>
        <v/>
      </c>
      <c r="G539" s="7" t="str">
        <f>IF(Plantilla_SCAN_EQ3_COUNT_2[[#This Row],[ID MATERIAL]]="","","PZ")</f>
        <v/>
      </c>
      <c r="H539" s="7" t="str">
        <f>IF(Plantilla_SCAN_EQ3_COUNT_2[[#This Row],[ID MATERIAL]]="","",$B$13)</f>
        <v/>
      </c>
      <c r="I539" s="7" t="str">
        <f>IF(Plantilla_SCAN_EQ3_COUNT_2[[#This Row],[ID MATERIAL]]="","","Segundo Conteo")</f>
        <v/>
      </c>
    </row>
    <row r="540" spans="1:9" s="7" customFormat="1" ht="15" x14ac:dyDescent="0.2">
      <c r="A540" s="7" t="str">
        <f>IF(Plantilla_SCAN_EQ3_COUNT_2[[#This Row],[ID MATERIAL]]="","",SIGN(Plantilla_SCAN_EQ3_COUNT_2[[#This Row],[Cantidad]])+A539)</f>
        <v/>
      </c>
      <c r="B540" s="21" t="str">
        <f>IF(Plantilla_SCAN_EQ3_COUNT_2[[#This Row],[ID MATERIAL]]="","",B539)</f>
        <v/>
      </c>
      <c r="C540" s="21"/>
      <c r="D540" s="21"/>
      <c r="E540" s="7" t="str">
        <f>IF(Plantilla_SCAN_EQ3_COUNT_2[[#This Row],[ID MATERIAL]]="","",VLOOKUP(Plantilla_SCAN_EQ3_COUNT_2[[#This Row],[ID MATERIAL]],INVENTARIO!$A:$D,2,FALSE))</f>
        <v/>
      </c>
      <c r="F540" s="7" t="str">
        <f>IF(Plantilla_SCAN_EQ3_COUNT_2[[#This Row],[ID MATERIAL]]="","",IF(Plantilla_SCAN_EQ3_COUNT_2[[#This Row],[No. Empaques]]="",1,Plantilla_SCAN_EQ3_COUNT_2[[#This Row],[No. Empaques]]*1))</f>
        <v/>
      </c>
      <c r="G540" s="7" t="str">
        <f>IF(Plantilla_SCAN_EQ3_COUNT_2[[#This Row],[ID MATERIAL]]="","","PZ")</f>
        <v/>
      </c>
      <c r="H540" s="7" t="str">
        <f>IF(Plantilla_SCAN_EQ3_COUNT_2[[#This Row],[ID MATERIAL]]="","",$B$13)</f>
        <v/>
      </c>
      <c r="I540" s="7" t="str">
        <f>IF(Plantilla_SCAN_EQ3_COUNT_2[[#This Row],[ID MATERIAL]]="","","Segundo Conteo")</f>
        <v/>
      </c>
    </row>
    <row r="541" spans="1:9" s="7" customFormat="1" ht="15" x14ac:dyDescent="0.2">
      <c r="A541" s="7" t="str">
        <f>IF(Plantilla_SCAN_EQ3_COUNT_2[[#This Row],[ID MATERIAL]]="","",SIGN(Plantilla_SCAN_EQ3_COUNT_2[[#This Row],[Cantidad]])+A540)</f>
        <v/>
      </c>
      <c r="B541" s="21" t="str">
        <f>IF(Plantilla_SCAN_EQ3_COUNT_2[[#This Row],[ID MATERIAL]]="","",B540)</f>
        <v/>
      </c>
      <c r="C541" s="21"/>
      <c r="D541" s="21"/>
      <c r="E541" s="7" t="str">
        <f>IF(Plantilla_SCAN_EQ3_COUNT_2[[#This Row],[ID MATERIAL]]="","",VLOOKUP(Plantilla_SCAN_EQ3_COUNT_2[[#This Row],[ID MATERIAL]],INVENTARIO!$A:$D,2,FALSE))</f>
        <v/>
      </c>
      <c r="F541" s="7" t="str">
        <f>IF(Plantilla_SCAN_EQ3_COUNT_2[[#This Row],[ID MATERIAL]]="","",IF(Plantilla_SCAN_EQ3_COUNT_2[[#This Row],[No. Empaques]]="",1,Plantilla_SCAN_EQ3_COUNT_2[[#This Row],[No. Empaques]]*1))</f>
        <v/>
      </c>
      <c r="G541" s="7" t="str">
        <f>IF(Plantilla_SCAN_EQ3_COUNT_2[[#This Row],[ID MATERIAL]]="","","PZ")</f>
        <v/>
      </c>
      <c r="H541" s="7" t="str">
        <f>IF(Plantilla_SCAN_EQ3_COUNT_2[[#This Row],[ID MATERIAL]]="","",$B$13)</f>
        <v/>
      </c>
      <c r="I541" s="7" t="str">
        <f>IF(Plantilla_SCAN_EQ3_COUNT_2[[#This Row],[ID MATERIAL]]="","","Segundo Conteo")</f>
        <v/>
      </c>
    </row>
    <row r="542" spans="1:9" s="7" customFormat="1" ht="15" x14ac:dyDescent="0.2">
      <c r="A542" s="7" t="str">
        <f>IF(Plantilla_SCAN_EQ3_COUNT_2[[#This Row],[ID MATERIAL]]="","",SIGN(Plantilla_SCAN_EQ3_COUNT_2[[#This Row],[Cantidad]])+A541)</f>
        <v/>
      </c>
      <c r="B542" s="21" t="str">
        <f>IF(Plantilla_SCAN_EQ3_COUNT_2[[#This Row],[ID MATERIAL]]="","",B541)</f>
        <v/>
      </c>
      <c r="C542" s="21"/>
      <c r="D542" s="21"/>
      <c r="E542" s="7" t="str">
        <f>IF(Plantilla_SCAN_EQ3_COUNT_2[[#This Row],[ID MATERIAL]]="","",VLOOKUP(Plantilla_SCAN_EQ3_COUNT_2[[#This Row],[ID MATERIAL]],INVENTARIO!$A:$D,2,FALSE))</f>
        <v/>
      </c>
      <c r="F542" s="7" t="str">
        <f>IF(Plantilla_SCAN_EQ3_COUNT_2[[#This Row],[ID MATERIAL]]="","",IF(Plantilla_SCAN_EQ3_COUNT_2[[#This Row],[No. Empaques]]="",1,Plantilla_SCAN_EQ3_COUNT_2[[#This Row],[No. Empaques]]*1))</f>
        <v/>
      </c>
      <c r="G542" s="7" t="str">
        <f>IF(Plantilla_SCAN_EQ3_COUNT_2[[#This Row],[ID MATERIAL]]="","","PZ")</f>
        <v/>
      </c>
      <c r="H542" s="7" t="str">
        <f>IF(Plantilla_SCAN_EQ3_COUNT_2[[#This Row],[ID MATERIAL]]="","",$B$13)</f>
        <v/>
      </c>
      <c r="I542" s="7" t="str">
        <f>IF(Plantilla_SCAN_EQ3_COUNT_2[[#This Row],[ID MATERIAL]]="","","Segundo Conteo")</f>
        <v/>
      </c>
    </row>
    <row r="543" spans="1:9" s="7" customFormat="1" ht="15" x14ac:dyDescent="0.2">
      <c r="A543" s="7" t="str">
        <f>IF(Plantilla_SCAN_EQ3_COUNT_2[[#This Row],[ID MATERIAL]]="","",SIGN(Plantilla_SCAN_EQ3_COUNT_2[[#This Row],[Cantidad]])+A542)</f>
        <v/>
      </c>
      <c r="B543" s="21" t="str">
        <f>IF(Plantilla_SCAN_EQ3_COUNT_2[[#This Row],[ID MATERIAL]]="","",B542)</f>
        <v/>
      </c>
      <c r="C543" s="21"/>
      <c r="D543" s="21"/>
      <c r="E543" s="7" t="str">
        <f>IF(Plantilla_SCAN_EQ3_COUNT_2[[#This Row],[ID MATERIAL]]="","",VLOOKUP(Plantilla_SCAN_EQ3_COUNT_2[[#This Row],[ID MATERIAL]],INVENTARIO!$A:$D,2,FALSE))</f>
        <v/>
      </c>
      <c r="F543" s="7" t="str">
        <f>IF(Plantilla_SCAN_EQ3_COUNT_2[[#This Row],[ID MATERIAL]]="","",IF(Plantilla_SCAN_EQ3_COUNT_2[[#This Row],[No. Empaques]]="",1,Plantilla_SCAN_EQ3_COUNT_2[[#This Row],[No. Empaques]]*1))</f>
        <v/>
      </c>
      <c r="G543" s="7" t="str">
        <f>IF(Plantilla_SCAN_EQ3_COUNT_2[[#This Row],[ID MATERIAL]]="","","PZ")</f>
        <v/>
      </c>
      <c r="H543" s="7" t="str">
        <f>IF(Plantilla_SCAN_EQ3_COUNT_2[[#This Row],[ID MATERIAL]]="","",$B$13)</f>
        <v/>
      </c>
      <c r="I543" s="7" t="str">
        <f>IF(Plantilla_SCAN_EQ3_COUNT_2[[#This Row],[ID MATERIAL]]="","","Segundo Conteo")</f>
        <v/>
      </c>
    </row>
    <row r="544" spans="1:9" s="7" customFormat="1" ht="15" x14ac:dyDescent="0.2">
      <c r="A544" s="7" t="str">
        <f>IF(Plantilla_SCAN_EQ3_COUNT_2[[#This Row],[ID MATERIAL]]="","",SIGN(Plantilla_SCAN_EQ3_COUNT_2[[#This Row],[Cantidad]])+A543)</f>
        <v/>
      </c>
      <c r="B544" s="21" t="str">
        <f>IF(Plantilla_SCAN_EQ3_COUNT_2[[#This Row],[ID MATERIAL]]="","",B543)</f>
        <v/>
      </c>
      <c r="C544" s="21"/>
      <c r="D544" s="21"/>
      <c r="E544" s="7" t="str">
        <f>IF(Plantilla_SCAN_EQ3_COUNT_2[[#This Row],[ID MATERIAL]]="","",VLOOKUP(Plantilla_SCAN_EQ3_COUNT_2[[#This Row],[ID MATERIAL]],INVENTARIO!$A:$D,2,FALSE))</f>
        <v/>
      </c>
      <c r="F544" s="7" t="str">
        <f>IF(Plantilla_SCAN_EQ3_COUNT_2[[#This Row],[ID MATERIAL]]="","",IF(Plantilla_SCAN_EQ3_COUNT_2[[#This Row],[No. Empaques]]="",1,Plantilla_SCAN_EQ3_COUNT_2[[#This Row],[No. Empaques]]*1))</f>
        <v/>
      </c>
      <c r="G544" s="7" t="str">
        <f>IF(Plantilla_SCAN_EQ3_COUNT_2[[#This Row],[ID MATERIAL]]="","","PZ")</f>
        <v/>
      </c>
      <c r="H544" s="7" t="str">
        <f>IF(Plantilla_SCAN_EQ3_COUNT_2[[#This Row],[ID MATERIAL]]="","",$B$13)</f>
        <v/>
      </c>
      <c r="I544" s="7" t="str">
        <f>IF(Plantilla_SCAN_EQ3_COUNT_2[[#This Row],[ID MATERIAL]]="","","Segundo Conteo")</f>
        <v/>
      </c>
    </row>
    <row r="545" spans="1:9" s="7" customFormat="1" ht="15" x14ac:dyDescent="0.2">
      <c r="A545" s="7" t="str">
        <f>IF(Plantilla_SCAN_EQ3_COUNT_2[[#This Row],[ID MATERIAL]]="","",SIGN(Plantilla_SCAN_EQ3_COUNT_2[[#This Row],[Cantidad]])+A544)</f>
        <v/>
      </c>
      <c r="B545" s="21" t="str">
        <f>IF(Plantilla_SCAN_EQ3_COUNT_2[[#This Row],[ID MATERIAL]]="","",B544)</f>
        <v/>
      </c>
      <c r="C545" s="21"/>
      <c r="D545" s="21"/>
      <c r="E545" s="7" t="str">
        <f>IF(Plantilla_SCAN_EQ3_COUNT_2[[#This Row],[ID MATERIAL]]="","",VLOOKUP(Plantilla_SCAN_EQ3_COUNT_2[[#This Row],[ID MATERIAL]],INVENTARIO!$A:$D,2,FALSE))</f>
        <v/>
      </c>
      <c r="F545" s="7" t="str">
        <f>IF(Plantilla_SCAN_EQ3_COUNT_2[[#This Row],[ID MATERIAL]]="","",IF(Plantilla_SCAN_EQ3_COUNT_2[[#This Row],[No. Empaques]]="",1,Plantilla_SCAN_EQ3_COUNT_2[[#This Row],[No. Empaques]]*1))</f>
        <v/>
      </c>
      <c r="G545" s="7" t="str">
        <f>IF(Plantilla_SCAN_EQ3_COUNT_2[[#This Row],[ID MATERIAL]]="","","PZ")</f>
        <v/>
      </c>
      <c r="H545" s="7" t="str">
        <f>IF(Plantilla_SCAN_EQ3_COUNT_2[[#This Row],[ID MATERIAL]]="","",$B$13)</f>
        <v/>
      </c>
      <c r="I545" s="7" t="str">
        <f>IF(Plantilla_SCAN_EQ3_COUNT_2[[#This Row],[ID MATERIAL]]="","","Segundo Conteo")</f>
        <v/>
      </c>
    </row>
    <row r="546" spans="1:9" s="7" customFormat="1" ht="15" x14ac:dyDescent="0.2">
      <c r="A546" s="7" t="str">
        <f>IF(Plantilla_SCAN_EQ3_COUNT_2[[#This Row],[ID MATERIAL]]="","",SIGN(Plantilla_SCAN_EQ3_COUNT_2[[#This Row],[Cantidad]])+A545)</f>
        <v/>
      </c>
      <c r="B546" s="21" t="str">
        <f>IF(Plantilla_SCAN_EQ3_COUNT_2[[#This Row],[ID MATERIAL]]="","",B545)</f>
        <v/>
      </c>
      <c r="C546" s="21"/>
      <c r="D546" s="21"/>
      <c r="E546" s="7" t="str">
        <f>IF(Plantilla_SCAN_EQ3_COUNT_2[[#This Row],[ID MATERIAL]]="","",VLOOKUP(Plantilla_SCAN_EQ3_COUNT_2[[#This Row],[ID MATERIAL]],INVENTARIO!$A:$D,2,FALSE))</f>
        <v/>
      </c>
      <c r="F546" s="7" t="str">
        <f>IF(Plantilla_SCAN_EQ3_COUNT_2[[#This Row],[ID MATERIAL]]="","",IF(Plantilla_SCAN_EQ3_COUNT_2[[#This Row],[No. Empaques]]="",1,Plantilla_SCAN_EQ3_COUNT_2[[#This Row],[No. Empaques]]*1))</f>
        <v/>
      </c>
      <c r="G546" s="7" t="str">
        <f>IF(Plantilla_SCAN_EQ3_COUNT_2[[#This Row],[ID MATERIAL]]="","","PZ")</f>
        <v/>
      </c>
      <c r="H546" s="7" t="str">
        <f>IF(Plantilla_SCAN_EQ3_COUNT_2[[#This Row],[ID MATERIAL]]="","",$B$13)</f>
        <v/>
      </c>
      <c r="I546" s="7" t="str">
        <f>IF(Plantilla_SCAN_EQ3_COUNT_2[[#This Row],[ID MATERIAL]]="","","Segundo Conteo")</f>
        <v/>
      </c>
    </row>
    <row r="547" spans="1:9" s="7" customFormat="1" ht="15" x14ac:dyDescent="0.2">
      <c r="A547" s="7" t="str">
        <f>IF(Plantilla_SCAN_EQ3_COUNT_2[[#This Row],[ID MATERIAL]]="","",SIGN(Plantilla_SCAN_EQ3_COUNT_2[[#This Row],[Cantidad]])+A546)</f>
        <v/>
      </c>
      <c r="B547" s="21" t="str">
        <f>IF(Plantilla_SCAN_EQ3_COUNT_2[[#This Row],[ID MATERIAL]]="","",B546)</f>
        <v/>
      </c>
      <c r="C547" s="21"/>
      <c r="D547" s="21"/>
      <c r="E547" s="7" t="str">
        <f>IF(Plantilla_SCAN_EQ3_COUNT_2[[#This Row],[ID MATERIAL]]="","",VLOOKUP(Plantilla_SCAN_EQ3_COUNT_2[[#This Row],[ID MATERIAL]],INVENTARIO!$A:$D,2,FALSE))</f>
        <v/>
      </c>
      <c r="F547" s="7" t="str">
        <f>IF(Plantilla_SCAN_EQ3_COUNT_2[[#This Row],[ID MATERIAL]]="","",IF(Plantilla_SCAN_EQ3_COUNT_2[[#This Row],[No. Empaques]]="",1,Plantilla_SCAN_EQ3_COUNT_2[[#This Row],[No. Empaques]]*1))</f>
        <v/>
      </c>
      <c r="G547" s="7" t="str">
        <f>IF(Plantilla_SCAN_EQ3_COUNT_2[[#This Row],[ID MATERIAL]]="","","PZ")</f>
        <v/>
      </c>
      <c r="H547" s="7" t="str">
        <f>IF(Plantilla_SCAN_EQ3_COUNT_2[[#This Row],[ID MATERIAL]]="","",$B$13)</f>
        <v/>
      </c>
      <c r="I547" s="7" t="str">
        <f>IF(Plantilla_SCAN_EQ3_COUNT_2[[#This Row],[ID MATERIAL]]="","","Segundo Conteo")</f>
        <v/>
      </c>
    </row>
    <row r="548" spans="1:9" s="7" customFormat="1" ht="15" x14ac:dyDescent="0.2">
      <c r="A548" s="7" t="str">
        <f>IF(Plantilla_SCAN_EQ3_COUNT_2[[#This Row],[ID MATERIAL]]="","",SIGN(Plantilla_SCAN_EQ3_COUNT_2[[#This Row],[Cantidad]])+A547)</f>
        <v/>
      </c>
      <c r="B548" s="21" t="str">
        <f>IF(Plantilla_SCAN_EQ3_COUNT_2[[#This Row],[ID MATERIAL]]="","",B547)</f>
        <v/>
      </c>
      <c r="C548" s="21"/>
      <c r="D548" s="21"/>
      <c r="E548" s="7" t="str">
        <f>IF(Plantilla_SCAN_EQ3_COUNT_2[[#This Row],[ID MATERIAL]]="","",VLOOKUP(Plantilla_SCAN_EQ3_COUNT_2[[#This Row],[ID MATERIAL]],INVENTARIO!$A:$D,2,FALSE))</f>
        <v/>
      </c>
      <c r="F548" s="7" t="str">
        <f>IF(Plantilla_SCAN_EQ3_COUNT_2[[#This Row],[ID MATERIAL]]="","",IF(Plantilla_SCAN_EQ3_COUNT_2[[#This Row],[No. Empaques]]="",1,Plantilla_SCAN_EQ3_COUNT_2[[#This Row],[No. Empaques]]*1))</f>
        <v/>
      </c>
      <c r="G548" s="7" t="str">
        <f>IF(Plantilla_SCAN_EQ3_COUNT_2[[#This Row],[ID MATERIAL]]="","","PZ")</f>
        <v/>
      </c>
      <c r="H548" s="7" t="str">
        <f>IF(Plantilla_SCAN_EQ3_COUNT_2[[#This Row],[ID MATERIAL]]="","",$B$13)</f>
        <v/>
      </c>
      <c r="I548" s="7" t="str">
        <f>IF(Plantilla_SCAN_EQ3_COUNT_2[[#This Row],[ID MATERIAL]]="","","Segundo Conteo")</f>
        <v/>
      </c>
    </row>
    <row r="549" spans="1:9" s="7" customFormat="1" ht="15" x14ac:dyDescent="0.2">
      <c r="A549" s="7" t="str">
        <f>IF(Plantilla_SCAN_EQ3_COUNT_2[[#This Row],[ID MATERIAL]]="","",SIGN(Plantilla_SCAN_EQ3_COUNT_2[[#This Row],[Cantidad]])+A548)</f>
        <v/>
      </c>
      <c r="B549" s="21" t="str">
        <f>IF(Plantilla_SCAN_EQ3_COUNT_2[[#This Row],[ID MATERIAL]]="","",B548)</f>
        <v/>
      </c>
      <c r="C549" s="21"/>
      <c r="D549" s="21"/>
      <c r="E549" s="7" t="str">
        <f>IF(Plantilla_SCAN_EQ3_COUNT_2[[#This Row],[ID MATERIAL]]="","",VLOOKUP(Plantilla_SCAN_EQ3_COUNT_2[[#This Row],[ID MATERIAL]],INVENTARIO!$A:$D,2,FALSE))</f>
        <v/>
      </c>
      <c r="F549" s="7" t="str">
        <f>IF(Plantilla_SCAN_EQ3_COUNT_2[[#This Row],[ID MATERIAL]]="","",IF(Plantilla_SCAN_EQ3_COUNT_2[[#This Row],[No. Empaques]]="",1,Plantilla_SCAN_EQ3_COUNT_2[[#This Row],[No. Empaques]]*1))</f>
        <v/>
      </c>
      <c r="G549" s="7" t="str">
        <f>IF(Plantilla_SCAN_EQ3_COUNT_2[[#This Row],[ID MATERIAL]]="","","PZ")</f>
        <v/>
      </c>
      <c r="H549" s="7" t="str">
        <f>IF(Plantilla_SCAN_EQ3_COUNT_2[[#This Row],[ID MATERIAL]]="","",$B$13)</f>
        <v/>
      </c>
      <c r="I549" s="7" t="str">
        <f>IF(Plantilla_SCAN_EQ3_COUNT_2[[#This Row],[ID MATERIAL]]="","","Segundo Conteo")</f>
        <v/>
      </c>
    </row>
    <row r="550" spans="1:9" s="7" customFormat="1" ht="15" x14ac:dyDescent="0.2">
      <c r="A550" s="7" t="str">
        <f>IF(Plantilla_SCAN_EQ3_COUNT_2[[#This Row],[ID MATERIAL]]="","",SIGN(Plantilla_SCAN_EQ3_COUNT_2[[#This Row],[Cantidad]])+A549)</f>
        <v/>
      </c>
      <c r="B550" s="21" t="str">
        <f>IF(Plantilla_SCAN_EQ3_COUNT_2[[#This Row],[ID MATERIAL]]="","",B549)</f>
        <v/>
      </c>
      <c r="C550" s="21"/>
      <c r="D550" s="21"/>
      <c r="E550" s="7" t="str">
        <f>IF(Plantilla_SCAN_EQ3_COUNT_2[[#This Row],[ID MATERIAL]]="","",VLOOKUP(Plantilla_SCAN_EQ3_COUNT_2[[#This Row],[ID MATERIAL]],INVENTARIO!$A:$D,2,FALSE))</f>
        <v/>
      </c>
      <c r="F550" s="7" t="str">
        <f>IF(Plantilla_SCAN_EQ3_COUNT_2[[#This Row],[ID MATERIAL]]="","",IF(Plantilla_SCAN_EQ3_COUNT_2[[#This Row],[No. Empaques]]="",1,Plantilla_SCAN_EQ3_COUNT_2[[#This Row],[No. Empaques]]*1))</f>
        <v/>
      </c>
      <c r="G550" s="7" t="str">
        <f>IF(Plantilla_SCAN_EQ3_COUNT_2[[#This Row],[ID MATERIAL]]="","","PZ")</f>
        <v/>
      </c>
      <c r="H550" s="7" t="str">
        <f>IF(Plantilla_SCAN_EQ3_COUNT_2[[#This Row],[ID MATERIAL]]="","",$B$13)</f>
        <v/>
      </c>
      <c r="I550" s="7" t="str">
        <f>IF(Plantilla_SCAN_EQ3_COUNT_2[[#This Row],[ID MATERIAL]]="","","Segundo Conteo")</f>
        <v/>
      </c>
    </row>
    <row r="551" spans="1:9" s="7" customFormat="1" ht="15" x14ac:dyDescent="0.2">
      <c r="A551" s="7" t="str">
        <f>IF(Plantilla_SCAN_EQ3_COUNT_2[[#This Row],[ID MATERIAL]]="","",SIGN(Plantilla_SCAN_EQ3_COUNT_2[[#This Row],[Cantidad]])+A550)</f>
        <v/>
      </c>
      <c r="B551" s="21" t="str">
        <f>IF(Plantilla_SCAN_EQ3_COUNT_2[[#This Row],[ID MATERIAL]]="","",B550)</f>
        <v/>
      </c>
      <c r="C551" s="21"/>
      <c r="D551" s="21"/>
      <c r="E551" s="7" t="str">
        <f>IF(Plantilla_SCAN_EQ3_COUNT_2[[#This Row],[ID MATERIAL]]="","",VLOOKUP(Plantilla_SCAN_EQ3_COUNT_2[[#This Row],[ID MATERIAL]],INVENTARIO!$A:$D,2,FALSE))</f>
        <v/>
      </c>
      <c r="F551" s="7" t="str">
        <f>IF(Plantilla_SCAN_EQ3_COUNT_2[[#This Row],[ID MATERIAL]]="","",IF(Plantilla_SCAN_EQ3_COUNT_2[[#This Row],[No. Empaques]]="",1,Plantilla_SCAN_EQ3_COUNT_2[[#This Row],[No. Empaques]]*1))</f>
        <v/>
      </c>
      <c r="G551" s="7" t="str">
        <f>IF(Plantilla_SCAN_EQ3_COUNT_2[[#This Row],[ID MATERIAL]]="","","PZ")</f>
        <v/>
      </c>
      <c r="H551" s="7" t="str">
        <f>IF(Plantilla_SCAN_EQ3_COUNT_2[[#This Row],[ID MATERIAL]]="","",$B$13)</f>
        <v/>
      </c>
      <c r="I551" s="7" t="str">
        <f>IF(Plantilla_SCAN_EQ3_COUNT_2[[#This Row],[ID MATERIAL]]="","","Segundo Conteo")</f>
        <v/>
      </c>
    </row>
    <row r="552" spans="1:9" s="7" customFormat="1" ht="15" x14ac:dyDescent="0.2">
      <c r="A552" s="7" t="str">
        <f>IF(Plantilla_SCAN_EQ3_COUNT_2[[#This Row],[ID MATERIAL]]="","",SIGN(Plantilla_SCAN_EQ3_COUNT_2[[#This Row],[Cantidad]])+A551)</f>
        <v/>
      </c>
      <c r="B552" s="21" t="str">
        <f>IF(Plantilla_SCAN_EQ3_COUNT_2[[#This Row],[ID MATERIAL]]="","",B551)</f>
        <v/>
      </c>
      <c r="C552" s="21"/>
      <c r="D552" s="21"/>
      <c r="E552" s="7" t="str">
        <f>IF(Plantilla_SCAN_EQ3_COUNT_2[[#This Row],[ID MATERIAL]]="","",VLOOKUP(Plantilla_SCAN_EQ3_COUNT_2[[#This Row],[ID MATERIAL]],INVENTARIO!$A:$D,2,FALSE))</f>
        <v/>
      </c>
      <c r="F552" s="7" t="str">
        <f>IF(Plantilla_SCAN_EQ3_COUNT_2[[#This Row],[ID MATERIAL]]="","",IF(Plantilla_SCAN_EQ3_COUNT_2[[#This Row],[No. Empaques]]="",1,Plantilla_SCAN_EQ3_COUNT_2[[#This Row],[No. Empaques]]*1))</f>
        <v/>
      </c>
      <c r="G552" s="7" t="str">
        <f>IF(Plantilla_SCAN_EQ3_COUNT_2[[#This Row],[ID MATERIAL]]="","","PZ")</f>
        <v/>
      </c>
      <c r="H552" s="7" t="str">
        <f>IF(Plantilla_SCAN_EQ3_COUNT_2[[#This Row],[ID MATERIAL]]="","",$B$13)</f>
        <v/>
      </c>
      <c r="I552" s="7" t="str">
        <f>IF(Plantilla_SCAN_EQ3_COUNT_2[[#This Row],[ID MATERIAL]]="","","Segundo Conteo")</f>
        <v/>
      </c>
    </row>
    <row r="553" spans="1:9" s="7" customFormat="1" ht="15" x14ac:dyDescent="0.2">
      <c r="A553" s="7" t="str">
        <f>IF(Plantilla_SCAN_EQ3_COUNT_2[[#This Row],[ID MATERIAL]]="","",SIGN(Plantilla_SCAN_EQ3_COUNT_2[[#This Row],[Cantidad]])+A552)</f>
        <v/>
      </c>
      <c r="B553" s="21" t="str">
        <f>IF(Plantilla_SCAN_EQ3_COUNT_2[[#This Row],[ID MATERIAL]]="","",B552)</f>
        <v/>
      </c>
      <c r="C553" s="21"/>
      <c r="D553" s="21"/>
      <c r="E553" s="7" t="str">
        <f>IF(Plantilla_SCAN_EQ3_COUNT_2[[#This Row],[ID MATERIAL]]="","",VLOOKUP(Plantilla_SCAN_EQ3_COUNT_2[[#This Row],[ID MATERIAL]],INVENTARIO!$A:$D,2,FALSE))</f>
        <v/>
      </c>
      <c r="F553" s="7" t="str">
        <f>IF(Plantilla_SCAN_EQ3_COUNT_2[[#This Row],[ID MATERIAL]]="","",IF(Plantilla_SCAN_EQ3_COUNT_2[[#This Row],[No. Empaques]]="",1,Plantilla_SCAN_EQ3_COUNT_2[[#This Row],[No. Empaques]]*1))</f>
        <v/>
      </c>
      <c r="G553" s="7" t="str">
        <f>IF(Plantilla_SCAN_EQ3_COUNT_2[[#This Row],[ID MATERIAL]]="","","PZ")</f>
        <v/>
      </c>
      <c r="H553" s="7" t="str">
        <f>IF(Plantilla_SCAN_EQ3_COUNT_2[[#This Row],[ID MATERIAL]]="","",$B$13)</f>
        <v/>
      </c>
      <c r="I553" s="7" t="str">
        <f>IF(Plantilla_SCAN_EQ3_COUNT_2[[#This Row],[ID MATERIAL]]="","","Segundo Conteo")</f>
        <v/>
      </c>
    </row>
    <row r="554" spans="1:9" s="7" customFormat="1" ht="15" x14ac:dyDescent="0.2">
      <c r="A554" s="7" t="str">
        <f>IF(Plantilla_SCAN_EQ3_COUNT_2[[#This Row],[ID MATERIAL]]="","",SIGN(Plantilla_SCAN_EQ3_COUNT_2[[#This Row],[Cantidad]])+A553)</f>
        <v/>
      </c>
      <c r="B554" s="21" t="str">
        <f>IF(Plantilla_SCAN_EQ3_COUNT_2[[#This Row],[ID MATERIAL]]="","",B553)</f>
        <v/>
      </c>
      <c r="C554" s="21"/>
      <c r="D554" s="21"/>
      <c r="E554" s="7" t="str">
        <f>IF(Plantilla_SCAN_EQ3_COUNT_2[[#This Row],[ID MATERIAL]]="","",VLOOKUP(Plantilla_SCAN_EQ3_COUNT_2[[#This Row],[ID MATERIAL]],INVENTARIO!$A:$D,2,FALSE))</f>
        <v/>
      </c>
      <c r="F554" s="7" t="str">
        <f>IF(Plantilla_SCAN_EQ3_COUNT_2[[#This Row],[ID MATERIAL]]="","",IF(Plantilla_SCAN_EQ3_COUNT_2[[#This Row],[No. Empaques]]="",1,Plantilla_SCAN_EQ3_COUNT_2[[#This Row],[No. Empaques]]*1))</f>
        <v/>
      </c>
      <c r="G554" s="7" t="str">
        <f>IF(Plantilla_SCAN_EQ3_COUNT_2[[#This Row],[ID MATERIAL]]="","","PZ")</f>
        <v/>
      </c>
      <c r="H554" s="7" t="str">
        <f>IF(Plantilla_SCAN_EQ3_COUNT_2[[#This Row],[ID MATERIAL]]="","",$B$13)</f>
        <v/>
      </c>
      <c r="I554" s="7" t="str">
        <f>IF(Plantilla_SCAN_EQ3_COUNT_2[[#This Row],[ID MATERIAL]]="","","Segundo Conteo")</f>
        <v/>
      </c>
    </row>
    <row r="555" spans="1:9" s="7" customFormat="1" ht="15" x14ac:dyDescent="0.2">
      <c r="A555" s="7" t="str">
        <f>IF(Plantilla_SCAN_EQ3_COUNT_2[[#This Row],[ID MATERIAL]]="","",SIGN(Plantilla_SCAN_EQ3_COUNT_2[[#This Row],[Cantidad]])+A554)</f>
        <v/>
      </c>
      <c r="B555" s="21" t="str">
        <f>IF(Plantilla_SCAN_EQ3_COUNT_2[[#This Row],[ID MATERIAL]]="","",B554)</f>
        <v/>
      </c>
      <c r="C555" s="21"/>
      <c r="D555" s="21"/>
      <c r="E555" s="7" t="str">
        <f>IF(Plantilla_SCAN_EQ3_COUNT_2[[#This Row],[ID MATERIAL]]="","",VLOOKUP(Plantilla_SCAN_EQ3_COUNT_2[[#This Row],[ID MATERIAL]],INVENTARIO!$A:$D,2,FALSE))</f>
        <v/>
      </c>
      <c r="F555" s="7" t="str">
        <f>IF(Plantilla_SCAN_EQ3_COUNT_2[[#This Row],[ID MATERIAL]]="","",IF(Plantilla_SCAN_EQ3_COUNT_2[[#This Row],[No. Empaques]]="",1,Plantilla_SCAN_EQ3_COUNT_2[[#This Row],[No. Empaques]]*1))</f>
        <v/>
      </c>
      <c r="G555" s="7" t="str">
        <f>IF(Plantilla_SCAN_EQ3_COUNT_2[[#This Row],[ID MATERIAL]]="","","PZ")</f>
        <v/>
      </c>
      <c r="H555" s="7" t="str">
        <f>IF(Plantilla_SCAN_EQ3_COUNT_2[[#This Row],[ID MATERIAL]]="","",$B$13)</f>
        <v/>
      </c>
      <c r="I555" s="7" t="str">
        <f>IF(Plantilla_SCAN_EQ3_COUNT_2[[#This Row],[ID MATERIAL]]="","","Segundo Conteo")</f>
        <v/>
      </c>
    </row>
    <row r="556" spans="1:9" s="7" customFormat="1" ht="15" x14ac:dyDescent="0.2">
      <c r="A556" s="7" t="str">
        <f>IF(Plantilla_SCAN_EQ3_COUNT_2[[#This Row],[ID MATERIAL]]="","",SIGN(Plantilla_SCAN_EQ3_COUNT_2[[#This Row],[Cantidad]])+A555)</f>
        <v/>
      </c>
      <c r="B556" s="21" t="str">
        <f>IF(Plantilla_SCAN_EQ3_COUNT_2[[#This Row],[ID MATERIAL]]="","",B555)</f>
        <v/>
      </c>
      <c r="C556" s="21"/>
      <c r="D556" s="21"/>
      <c r="E556" s="7" t="str">
        <f>IF(Plantilla_SCAN_EQ3_COUNT_2[[#This Row],[ID MATERIAL]]="","",VLOOKUP(Plantilla_SCAN_EQ3_COUNT_2[[#This Row],[ID MATERIAL]],INVENTARIO!$A:$D,2,FALSE))</f>
        <v/>
      </c>
      <c r="F556" s="7" t="str">
        <f>IF(Plantilla_SCAN_EQ3_COUNT_2[[#This Row],[ID MATERIAL]]="","",IF(Plantilla_SCAN_EQ3_COUNT_2[[#This Row],[No. Empaques]]="",1,Plantilla_SCAN_EQ3_COUNT_2[[#This Row],[No. Empaques]]*1))</f>
        <v/>
      </c>
      <c r="G556" s="7" t="str">
        <f>IF(Plantilla_SCAN_EQ3_COUNT_2[[#This Row],[ID MATERIAL]]="","","PZ")</f>
        <v/>
      </c>
      <c r="H556" s="7" t="str">
        <f>IF(Plantilla_SCAN_EQ3_COUNT_2[[#This Row],[ID MATERIAL]]="","",$B$13)</f>
        <v/>
      </c>
      <c r="I556" s="7" t="str">
        <f>IF(Plantilla_SCAN_EQ3_COUNT_2[[#This Row],[ID MATERIAL]]="","","Segundo Conteo")</f>
        <v/>
      </c>
    </row>
    <row r="557" spans="1:9" s="7" customFormat="1" ht="15" x14ac:dyDescent="0.2">
      <c r="A557" s="7" t="str">
        <f>IF(Plantilla_SCAN_EQ3_COUNT_2[[#This Row],[ID MATERIAL]]="","",SIGN(Plantilla_SCAN_EQ3_COUNT_2[[#This Row],[Cantidad]])+A556)</f>
        <v/>
      </c>
      <c r="B557" s="21" t="str">
        <f>IF(Plantilla_SCAN_EQ3_COUNT_2[[#This Row],[ID MATERIAL]]="","",B556)</f>
        <v/>
      </c>
      <c r="C557" s="21"/>
      <c r="D557" s="21"/>
      <c r="E557" s="7" t="str">
        <f>IF(Plantilla_SCAN_EQ3_COUNT_2[[#This Row],[ID MATERIAL]]="","",VLOOKUP(Plantilla_SCAN_EQ3_COUNT_2[[#This Row],[ID MATERIAL]],INVENTARIO!$A:$D,2,FALSE))</f>
        <v/>
      </c>
      <c r="F557" s="7" t="str">
        <f>IF(Plantilla_SCAN_EQ3_COUNT_2[[#This Row],[ID MATERIAL]]="","",IF(Plantilla_SCAN_EQ3_COUNT_2[[#This Row],[No. Empaques]]="",1,Plantilla_SCAN_EQ3_COUNT_2[[#This Row],[No. Empaques]]*1))</f>
        <v/>
      </c>
      <c r="G557" s="7" t="str">
        <f>IF(Plantilla_SCAN_EQ3_COUNT_2[[#This Row],[ID MATERIAL]]="","","PZ")</f>
        <v/>
      </c>
      <c r="H557" s="7" t="str">
        <f>IF(Plantilla_SCAN_EQ3_COUNT_2[[#This Row],[ID MATERIAL]]="","",$B$13)</f>
        <v/>
      </c>
      <c r="I557" s="7" t="str">
        <f>IF(Plantilla_SCAN_EQ3_COUNT_2[[#This Row],[ID MATERIAL]]="","","Segundo Conteo")</f>
        <v/>
      </c>
    </row>
    <row r="558" spans="1:9" s="7" customFormat="1" ht="15" x14ac:dyDescent="0.2">
      <c r="A558" s="7" t="str">
        <f>IF(Plantilla_SCAN_EQ3_COUNT_2[[#This Row],[ID MATERIAL]]="","",SIGN(Plantilla_SCAN_EQ3_COUNT_2[[#This Row],[Cantidad]])+A557)</f>
        <v/>
      </c>
      <c r="B558" s="21" t="str">
        <f>IF(Plantilla_SCAN_EQ3_COUNT_2[[#This Row],[ID MATERIAL]]="","",B557)</f>
        <v/>
      </c>
      <c r="C558" s="21"/>
      <c r="D558" s="21"/>
      <c r="E558" s="7" t="str">
        <f>IF(Plantilla_SCAN_EQ3_COUNT_2[[#This Row],[ID MATERIAL]]="","",VLOOKUP(Plantilla_SCAN_EQ3_COUNT_2[[#This Row],[ID MATERIAL]],INVENTARIO!$A:$D,2,FALSE))</f>
        <v/>
      </c>
      <c r="F558" s="7" t="str">
        <f>IF(Plantilla_SCAN_EQ3_COUNT_2[[#This Row],[ID MATERIAL]]="","",IF(Plantilla_SCAN_EQ3_COUNT_2[[#This Row],[No. Empaques]]="",1,Plantilla_SCAN_EQ3_COUNT_2[[#This Row],[No. Empaques]]*1))</f>
        <v/>
      </c>
      <c r="G558" s="7" t="str">
        <f>IF(Plantilla_SCAN_EQ3_COUNT_2[[#This Row],[ID MATERIAL]]="","","PZ")</f>
        <v/>
      </c>
      <c r="H558" s="7" t="str">
        <f>IF(Plantilla_SCAN_EQ3_COUNT_2[[#This Row],[ID MATERIAL]]="","",$B$13)</f>
        <v/>
      </c>
      <c r="I558" s="7" t="str">
        <f>IF(Plantilla_SCAN_EQ3_COUNT_2[[#This Row],[ID MATERIAL]]="","","Segundo Conteo")</f>
        <v/>
      </c>
    </row>
    <row r="559" spans="1:9" s="7" customFormat="1" ht="15" x14ac:dyDescent="0.2">
      <c r="A559" s="7" t="str">
        <f>IF(Plantilla_SCAN_EQ3_COUNT_2[[#This Row],[ID MATERIAL]]="","",SIGN(Plantilla_SCAN_EQ3_COUNT_2[[#This Row],[Cantidad]])+A558)</f>
        <v/>
      </c>
      <c r="B559" s="21" t="str">
        <f>IF(Plantilla_SCAN_EQ3_COUNT_2[[#This Row],[ID MATERIAL]]="","",B558)</f>
        <v/>
      </c>
      <c r="C559" s="21"/>
      <c r="D559" s="21"/>
      <c r="E559" s="7" t="str">
        <f>IF(Plantilla_SCAN_EQ3_COUNT_2[[#This Row],[ID MATERIAL]]="","",VLOOKUP(Plantilla_SCAN_EQ3_COUNT_2[[#This Row],[ID MATERIAL]],INVENTARIO!$A:$D,2,FALSE))</f>
        <v/>
      </c>
      <c r="F559" s="7" t="str">
        <f>IF(Plantilla_SCAN_EQ3_COUNT_2[[#This Row],[ID MATERIAL]]="","",IF(Plantilla_SCAN_EQ3_COUNT_2[[#This Row],[No. Empaques]]="",1,Plantilla_SCAN_EQ3_COUNT_2[[#This Row],[No. Empaques]]*1))</f>
        <v/>
      </c>
      <c r="G559" s="7" t="str">
        <f>IF(Plantilla_SCAN_EQ3_COUNT_2[[#This Row],[ID MATERIAL]]="","","PZ")</f>
        <v/>
      </c>
      <c r="H559" s="7" t="str">
        <f>IF(Plantilla_SCAN_EQ3_COUNT_2[[#This Row],[ID MATERIAL]]="","",$B$13)</f>
        <v/>
      </c>
      <c r="I559" s="7" t="str">
        <f>IF(Plantilla_SCAN_EQ3_COUNT_2[[#This Row],[ID MATERIAL]]="","","Segundo Conteo")</f>
        <v/>
      </c>
    </row>
    <row r="560" spans="1:9" s="7" customFormat="1" ht="15" x14ac:dyDescent="0.2">
      <c r="A560" s="7" t="str">
        <f>IF(Plantilla_SCAN_EQ3_COUNT_2[[#This Row],[ID MATERIAL]]="","",SIGN(Plantilla_SCAN_EQ3_COUNT_2[[#This Row],[Cantidad]])+A559)</f>
        <v/>
      </c>
      <c r="B560" s="21" t="str">
        <f>IF(Plantilla_SCAN_EQ3_COUNT_2[[#This Row],[ID MATERIAL]]="","",B559)</f>
        <v/>
      </c>
      <c r="C560" s="21"/>
      <c r="D560" s="21"/>
      <c r="E560" s="7" t="str">
        <f>IF(Plantilla_SCAN_EQ3_COUNT_2[[#This Row],[ID MATERIAL]]="","",VLOOKUP(Plantilla_SCAN_EQ3_COUNT_2[[#This Row],[ID MATERIAL]],INVENTARIO!$A:$D,2,FALSE))</f>
        <v/>
      </c>
      <c r="F560" s="7" t="str">
        <f>IF(Plantilla_SCAN_EQ3_COUNT_2[[#This Row],[ID MATERIAL]]="","",IF(Plantilla_SCAN_EQ3_COUNT_2[[#This Row],[No. Empaques]]="",1,Plantilla_SCAN_EQ3_COUNT_2[[#This Row],[No. Empaques]]*1))</f>
        <v/>
      </c>
      <c r="G560" s="7" t="str">
        <f>IF(Plantilla_SCAN_EQ3_COUNT_2[[#This Row],[ID MATERIAL]]="","","PZ")</f>
        <v/>
      </c>
      <c r="H560" s="7" t="str">
        <f>IF(Plantilla_SCAN_EQ3_COUNT_2[[#This Row],[ID MATERIAL]]="","",$B$13)</f>
        <v/>
      </c>
      <c r="I560" s="7" t="str">
        <f>IF(Plantilla_SCAN_EQ3_COUNT_2[[#This Row],[ID MATERIAL]]="","","Segundo Conteo")</f>
        <v/>
      </c>
    </row>
    <row r="561" spans="1:9" s="7" customFormat="1" ht="15" x14ac:dyDescent="0.2">
      <c r="A561" s="7" t="str">
        <f>IF(Plantilla_SCAN_EQ3_COUNT_2[[#This Row],[ID MATERIAL]]="","",SIGN(Plantilla_SCAN_EQ3_COUNT_2[[#This Row],[Cantidad]])+A560)</f>
        <v/>
      </c>
      <c r="B561" s="21" t="str">
        <f>IF(Plantilla_SCAN_EQ3_COUNT_2[[#This Row],[ID MATERIAL]]="","",B560)</f>
        <v/>
      </c>
      <c r="C561" s="21"/>
      <c r="D561" s="21"/>
      <c r="E561" s="7" t="str">
        <f>IF(Plantilla_SCAN_EQ3_COUNT_2[[#This Row],[ID MATERIAL]]="","",VLOOKUP(Plantilla_SCAN_EQ3_COUNT_2[[#This Row],[ID MATERIAL]],INVENTARIO!$A:$D,2,FALSE))</f>
        <v/>
      </c>
      <c r="F561" s="7" t="str">
        <f>IF(Plantilla_SCAN_EQ3_COUNT_2[[#This Row],[ID MATERIAL]]="","",IF(Plantilla_SCAN_EQ3_COUNT_2[[#This Row],[No. Empaques]]="",1,Plantilla_SCAN_EQ3_COUNT_2[[#This Row],[No. Empaques]]*1))</f>
        <v/>
      </c>
      <c r="G561" s="7" t="str">
        <f>IF(Plantilla_SCAN_EQ3_COUNT_2[[#This Row],[ID MATERIAL]]="","","PZ")</f>
        <v/>
      </c>
      <c r="H561" s="7" t="str">
        <f>IF(Plantilla_SCAN_EQ3_COUNT_2[[#This Row],[ID MATERIAL]]="","",$B$13)</f>
        <v/>
      </c>
      <c r="I561" s="7" t="str">
        <f>IF(Plantilla_SCAN_EQ3_COUNT_2[[#This Row],[ID MATERIAL]]="","","Segundo Conteo")</f>
        <v/>
      </c>
    </row>
    <row r="562" spans="1:9" s="7" customFormat="1" ht="15" x14ac:dyDescent="0.2">
      <c r="A562" s="7" t="str">
        <f>IF(Plantilla_SCAN_EQ3_COUNT_2[[#This Row],[ID MATERIAL]]="","",SIGN(Plantilla_SCAN_EQ3_COUNT_2[[#This Row],[Cantidad]])+A561)</f>
        <v/>
      </c>
      <c r="B562" s="21" t="str">
        <f>IF(Plantilla_SCAN_EQ3_COUNT_2[[#This Row],[ID MATERIAL]]="","",B561)</f>
        <v/>
      </c>
      <c r="C562" s="21"/>
      <c r="D562" s="21"/>
      <c r="E562" s="7" t="str">
        <f>IF(Plantilla_SCAN_EQ3_COUNT_2[[#This Row],[ID MATERIAL]]="","",VLOOKUP(Plantilla_SCAN_EQ3_COUNT_2[[#This Row],[ID MATERIAL]],INVENTARIO!$A:$D,2,FALSE))</f>
        <v/>
      </c>
      <c r="F562" s="7" t="str">
        <f>IF(Plantilla_SCAN_EQ3_COUNT_2[[#This Row],[ID MATERIAL]]="","",IF(Plantilla_SCAN_EQ3_COUNT_2[[#This Row],[No. Empaques]]="",1,Plantilla_SCAN_EQ3_COUNT_2[[#This Row],[No. Empaques]]*1))</f>
        <v/>
      </c>
      <c r="G562" s="7" t="str">
        <f>IF(Plantilla_SCAN_EQ3_COUNT_2[[#This Row],[ID MATERIAL]]="","","PZ")</f>
        <v/>
      </c>
      <c r="H562" s="7" t="str">
        <f>IF(Plantilla_SCAN_EQ3_COUNT_2[[#This Row],[ID MATERIAL]]="","",$B$13)</f>
        <v/>
      </c>
      <c r="I562" s="7" t="str">
        <f>IF(Plantilla_SCAN_EQ3_COUNT_2[[#This Row],[ID MATERIAL]]="","","Segundo Conteo")</f>
        <v/>
      </c>
    </row>
    <row r="563" spans="1:9" s="7" customFormat="1" ht="15" x14ac:dyDescent="0.2">
      <c r="A563" s="7" t="str">
        <f>IF(Plantilla_SCAN_EQ3_COUNT_2[[#This Row],[ID MATERIAL]]="","",SIGN(Plantilla_SCAN_EQ3_COUNT_2[[#This Row],[Cantidad]])+A562)</f>
        <v/>
      </c>
      <c r="B563" s="21" t="str">
        <f>IF(Plantilla_SCAN_EQ3_COUNT_2[[#This Row],[ID MATERIAL]]="","",B562)</f>
        <v/>
      </c>
      <c r="C563" s="21"/>
      <c r="D563" s="21"/>
      <c r="E563" s="7" t="str">
        <f>IF(Plantilla_SCAN_EQ3_COUNT_2[[#This Row],[ID MATERIAL]]="","",VLOOKUP(Plantilla_SCAN_EQ3_COUNT_2[[#This Row],[ID MATERIAL]],INVENTARIO!$A:$D,2,FALSE))</f>
        <v/>
      </c>
      <c r="F563" s="7" t="str">
        <f>IF(Plantilla_SCAN_EQ3_COUNT_2[[#This Row],[ID MATERIAL]]="","",IF(Plantilla_SCAN_EQ3_COUNT_2[[#This Row],[No. Empaques]]="",1,Plantilla_SCAN_EQ3_COUNT_2[[#This Row],[No. Empaques]]*1))</f>
        <v/>
      </c>
      <c r="G563" s="7" t="str">
        <f>IF(Plantilla_SCAN_EQ3_COUNT_2[[#This Row],[ID MATERIAL]]="","","PZ")</f>
        <v/>
      </c>
      <c r="H563" s="7" t="str">
        <f>IF(Plantilla_SCAN_EQ3_COUNT_2[[#This Row],[ID MATERIAL]]="","",$B$13)</f>
        <v/>
      </c>
      <c r="I563" s="7" t="str">
        <f>IF(Plantilla_SCAN_EQ3_COUNT_2[[#This Row],[ID MATERIAL]]="","","Segundo Conteo")</f>
        <v/>
      </c>
    </row>
    <row r="564" spans="1:9" s="7" customFormat="1" ht="15" x14ac:dyDescent="0.2">
      <c r="A564" s="7" t="str">
        <f>IF(Plantilla_SCAN_EQ3_COUNT_2[[#This Row],[ID MATERIAL]]="","",SIGN(Plantilla_SCAN_EQ3_COUNT_2[[#This Row],[Cantidad]])+A563)</f>
        <v/>
      </c>
      <c r="B564" s="21" t="str">
        <f>IF(Plantilla_SCAN_EQ3_COUNT_2[[#This Row],[ID MATERIAL]]="","",B563)</f>
        <v/>
      </c>
      <c r="C564" s="21"/>
      <c r="D564" s="21"/>
      <c r="E564" s="7" t="str">
        <f>IF(Plantilla_SCAN_EQ3_COUNT_2[[#This Row],[ID MATERIAL]]="","",VLOOKUP(Plantilla_SCAN_EQ3_COUNT_2[[#This Row],[ID MATERIAL]],INVENTARIO!$A:$D,2,FALSE))</f>
        <v/>
      </c>
      <c r="F564" s="7" t="str">
        <f>IF(Plantilla_SCAN_EQ3_COUNT_2[[#This Row],[ID MATERIAL]]="","",IF(Plantilla_SCAN_EQ3_COUNT_2[[#This Row],[No. Empaques]]="",1,Plantilla_SCAN_EQ3_COUNT_2[[#This Row],[No. Empaques]]*1))</f>
        <v/>
      </c>
      <c r="G564" s="7" t="str">
        <f>IF(Plantilla_SCAN_EQ3_COUNT_2[[#This Row],[ID MATERIAL]]="","","PZ")</f>
        <v/>
      </c>
      <c r="H564" s="7" t="str">
        <f>IF(Plantilla_SCAN_EQ3_COUNT_2[[#This Row],[ID MATERIAL]]="","",$B$13)</f>
        <v/>
      </c>
      <c r="I564" s="7" t="str">
        <f>IF(Plantilla_SCAN_EQ3_COUNT_2[[#This Row],[ID MATERIAL]]="","","Segundo Conteo")</f>
        <v/>
      </c>
    </row>
    <row r="565" spans="1:9" s="7" customFormat="1" ht="15" x14ac:dyDescent="0.2">
      <c r="A565" s="7" t="str">
        <f>IF(Plantilla_SCAN_EQ3_COUNT_2[[#This Row],[ID MATERIAL]]="","",SIGN(Plantilla_SCAN_EQ3_COUNT_2[[#This Row],[Cantidad]])+A564)</f>
        <v/>
      </c>
      <c r="B565" s="21" t="str">
        <f>IF(Plantilla_SCAN_EQ3_COUNT_2[[#This Row],[ID MATERIAL]]="","",B564)</f>
        <v/>
      </c>
      <c r="C565" s="21"/>
      <c r="D565" s="21"/>
      <c r="E565" s="7" t="str">
        <f>IF(Plantilla_SCAN_EQ3_COUNT_2[[#This Row],[ID MATERIAL]]="","",VLOOKUP(Plantilla_SCAN_EQ3_COUNT_2[[#This Row],[ID MATERIAL]],INVENTARIO!$A:$D,2,FALSE))</f>
        <v/>
      </c>
      <c r="F565" s="7" t="str">
        <f>IF(Plantilla_SCAN_EQ3_COUNT_2[[#This Row],[ID MATERIAL]]="","",IF(Plantilla_SCAN_EQ3_COUNT_2[[#This Row],[No. Empaques]]="",1,Plantilla_SCAN_EQ3_COUNT_2[[#This Row],[No. Empaques]]*1))</f>
        <v/>
      </c>
      <c r="G565" s="7" t="str">
        <f>IF(Plantilla_SCAN_EQ3_COUNT_2[[#This Row],[ID MATERIAL]]="","","PZ")</f>
        <v/>
      </c>
      <c r="H565" s="7" t="str">
        <f>IF(Plantilla_SCAN_EQ3_COUNT_2[[#This Row],[ID MATERIAL]]="","",$B$13)</f>
        <v/>
      </c>
      <c r="I565" s="7" t="str">
        <f>IF(Plantilla_SCAN_EQ3_COUNT_2[[#This Row],[ID MATERIAL]]="","","Segundo Conteo")</f>
        <v/>
      </c>
    </row>
    <row r="566" spans="1:9" s="7" customFormat="1" ht="15" x14ac:dyDescent="0.2">
      <c r="A566" s="7" t="str">
        <f>IF(Plantilla_SCAN_EQ3_COUNT_2[[#This Row],[ID MATERIAL]]="","",SIGN(Plantilla_SCAN_EQ3_COUNT_2[[#This Row],[Cantidad]])+A565)</f>
        <v/>
      </c>
      <c r="B566" s="21" t="str">
        <f>IF(Plantilla_SCAN_EQ3_COUNT_2[[#This Row],[ID MATERIAL]]="","",B565)</f>
        <v/>
      </c>
      <c r="C566" s="21"/>
      <c r="D566" s="21"/>
      <c r="E566" s="7" t="str">
        <f>IF(Plantilla_SCAN_EQ3_COUNT_2[[#This Row],[ID MATERIAL]]="","",VLOOKUP(Plantilla_SCAN_EQ3_COUNT_2[[#This Row],[ID MATERIAL]],INVENTARIO!$A:$D,2,FALSE))</f>
        <v/>
      </c>
      <c r="F566" s="7" t="str">
        <f>IF(Plantilla_SCAN_EQ3_COUNT_2[[#This Row],[ID MATERIAL]]="","",IF(Plantilla_SCAN_EQ3_COUNT_2[[#This Row],[No. Empaques]]="",1,Plantilla_SCAN_EQ3_COUNT_2[[#This Row],[No. Empaques]]*1))</f>
        <v/>
      </c>
      <c r="G566" s="7" t="str">
        <f>IF(Plantilla_SCAN_EQ3_COUNT_2[[#This Row],[ID MATERIAL]]="","","PZ")</f>
        <v/>
      </c>
      <c r="H566" s="7" t="str">
        <f>IF(Plantilla_SCAN_EQ3_COUNT_2[[#This Row],[ID MATERIAL]]="","",$B$13)</f>
        <v/>
      </c>
      <c r="I566" s="7" t="str">
        <f>IF(Plantilla_SCAN_EQ3_COUNT_2[[#This Row],[ID MATERIAL]]="","","Segundo Conteo")</f>
        <v/>
      </c>
    </row>
    <row r="567" spans="1:9" s="7" customFormat="1" ht="15" x14ac:dyDescent="0.2">
      <c r="A567" s="7" t="str">
        <f>IF(Plantilla_SCAN_EQ3_COUNT_2[[#This Row],[ID MATERIAL]]="","",SIGN(Plantilla_SCAN_EQ3_COUNT_2[[#This Row],[Cantidad]])+A566)</f>
        <v/>
      </c>
      <c r="B567" s="21" t="str">
        <f>IF(Plantilla_SCAN_EQ3_COUNT_2[[#This Row],[ID MATERIAL]]="","",B566)</f>
        <v/>
      </c>
      <c r="C567" s="21"/>
      <c r="D567" s="21"/>
      <c r="E567" s="7" t="str">
        <f>IF(Plantilla_SCAN_EQ3_COUNT_2[[#This Row],[ID MATERIAL]]="","",VLOOKUP(Plantilla_SCAN_EQ3_COUNT_2[[#This Row],[ID MATERIAL]],INVENTARIO!$A:$D,2,FALSE))</f>
        <v/>
      </c>
      <c r="F567" s="7" t="str">
        <f>IF(Plantilla_SCAN_EQ3_COUNT_2[[#This Row],[ID MATERIAL]]="","",IF(Plantilla_SCAN_EQ3_COUNT_2[[#This Row],[No. Empaques]]="",1,Plantilla_SCAN_EQ3_COUNT_2[[#This Row],[No. Empaques]]*1))</f>
        <v/>
      </c>
      <c r="G567" s="7" t="str">
        <f>IF(Plantilla_SCAN_EQ3_COUNT_2[[#This Row],[ID MATERIAL]]="","","PZ")</f>
        <v/>
      </c>
      <c r="H567" s="7" t="str">
        <f>IF(Plantilla_SCAN_EQ3_COUNT_2[[#This Row],[ID MATERIAL]]="","",$B$13)</f>
        <v/>
      </c>
      <c r="I567" s="7" t="str">
        <f>IF(Plantilla_SCAN_EQ3_COUNT_2[[#This Row],[ID MATERIAL]]="","","Segundo Conteo")</f>
        <v/>
      </c>
    </row>
    <row r="568" spans="1:9" s="7" customFormat="1" ht="15" x14ac:dyDescent="0.2">
      <c r="A568" s="7" t="str">
        <f>IF(Plantilla_SCAN_EQ3_COUNT_2[[#This Row],[ID MATERIAL]]="","",SIGN(Plantilla_SCAN_EQ3_COUNT_2[[#This Row],[Cantidad]])+A567)</f>
        <v/>
      </c>
      <c r="B568" s="21" t="str">
        <f>IF(Plantilla_SCAN_EQ3_COUNT_2[[#This Row],[ID MATERIAL]]="","",B567)</f>
        <v/>
      </c>
      <c r="C568" s="21"/>
      <c r="D568" s="21"/>
      <c r="E568" s="7" t="str">
        <f>IF(Plantilla_SCAN_EQ3_COUNT_2[[#This Row],[ID MATERIAL]]="","",VLOOKUP(Plantilla_SCAN_EQ3_COUNT_2[[#This Row],[ID MATERIAL]],INVENTARIO!$A:$D,2,FALSE))</f>
        <v/>
      </c>
      <c r="F568" s="7" t="str">
        <f>IF(Plantilla_SCAN_EQ3_COUNT_2[[#This Row],[ID MATERIAL]]="","",IF(Plantilla_SCAN_EQ3_COUNT_2[[#This Row],[No. Empaques]]="",1,Plantilla_SCAN_EQ3_COUNT_2[[#This Row],[No. Empaques]]*1))</f>
        <v/>
      </c>
      <c r="G568" s="7" t="str">
        <f>IF(Plantilla_SCAN_EQ3_COUNT_2[[#This Row],[ID MATERIAL]]="","","PZ")</f>
        <v/>
      </c>
      <c r="H568" s="7" t="str">
        <f>IF(Plantilla_SCAN_EQ3_COUNT_2[[#This Row],[ID MATERIAL]]="","",$B$13)</f>
        <v/>
      </c>
      <c r="I568" s="7" t="str">
        <f>IF(Plantilla_SCAN_EQ3_COUNT_2[[#This Row],[ID MATERIAL]]="","","Segundo Conteo")</f>
        <v/>
      </c>
    </row>
    <row r="569" spans="1:9" s="7" customFormat="1" ht="15" x14ac:dyDescent="0.2">
      <c r="A569" s="7" t="str">
        <f>IF(Plantilla_SCAN_EQ3_COUNT_2[[#This Row],[ID MATERIAL]]="","",SIGN(Plantilla_SCAN_EQ3_COUNT_2[[#This Row],[Cantidad]])+A568)</f>
        <v/>
      </c>
      <c r="B569" s="21" t="str">
        <f>IF(Plantilla_SCAN_EQ3_COUNT_2[[#This Row],[ID MATERIAL]]="","",B568)</f>
        <v/>
      </c>
      <c r="C569" s="21"/>
      <c r="D569" s="21"/>
      <c r="E569" s="7" t="str">
        <f>IF(Plantilla_SCAN_EQ3_COUNT_2[[#This Row],[ID MATERIAL]]="","",VLOOKUP(Plantilla_SCAN_EQ3_COUNT_2[[#This Row],[ID MATERIAL]],INVENTARIO!$A:$D,2,FALSE))</f>
        <v/>
      </c>
      <c r="F569" s="7" t="str">
        <f>IF(Plantilla_SCAN_EQ3_COUNT_2[[#This Row],[ID MATERIAL]]="","",IF(Plantilla_SCAN_EQ3_COUNT_2[[#This Row],[No. Empaques]]="",1,Plantilla_SCAN_EQ3_COUNT_2[[#This Row],[No. Empaques]]*1))</f>
        <v/>
      </c>
      <c r="G569" s="7" t="str">
        <f>IF(Plantilla_SCAN_EQ3_COUNT_2[[#This Row],[ID MATERIAL]]="","","PZ")</f>
        <v/>
      </c>
      <c r="H569" s="7" t="str">
        <f>IF(Plantilla_SCAN_EQ3_COUNT_2[[#This Row],[ID MATERIAL]]="","",$B$13)</f>
        <v/>
      </c>
      <c r="I569" s="7" t="str">
        <f>IF(Plantilla_SCAN_EQ3_COUNT_2[[#This Row],[ID MATERIAL]]="","","Segundo Conteo")</f>
        <v/>
      </c>
    </row>
    <row r="570" spans="1:9" s="7" customFormat="1" ht="15" x14ac:dyDescent="0.2">
      <c r="A570" s="7" t="str">
        <f>IF(Plantilla_SCAN_EQ3_COUNT_2[[#This Row],[ID MATERIAL]]="","",SIGN(Plantilla_SCAN_EQ3_COUNT_2[[#This Row],[Cantidad]])+A569)</f>
        <v/>
      </c>
      <c r="B570" s="21" t="str">
        <f>IF(Plantilla_SCAN_EQ3_COUNT_2[[#This Row],[ID MATERIAL]]="","",B569)</f>
        <v/>
      </c>
      <c r="C570" s="21"/>
      <c r="D570" s="21"/>
      <c r="E570" s="7" t="str">
        <f>IF(Plantilla_SCAN_EQ3_COUNT_2[[#This Row],[ID MATERIAL]]="","",VLOOKUP(Plantilla_SCAN_EQ3_COUNT_2[[#This Row],[ID MATERIAL]],INVENTARIO!$A:$D,2,FALSE))</f>
        <v/>
      </c>
      <c r="F570" s="7" t="str">
        <f>IF(Plantilla_SCAN_EQ3_COUNT_2[[#This Row],[ID MATERIAL]]="","",IF(Plantilla_SCAN_EQ3_COUNT_2[[#This Row],[No. Empaques]]="",1,Plantilla_SCAN_EQ3_COUNT_2[[#This Row],[No. Empaques]]*1))</f>
        <v/>
      </c>
      <c r="G570" s="7" t="str">
        <f>IF(Plantilla_SCAN_EQ3_COUNT_2[[#This Row],[ID MATERIAL]]="","","PZ")</f>
        <v/>
      </c>
      <c r="H570" s="7" t="str">
        <f>IF(Plantilla_SCAN_EQ3_COUNT_2[[#This Row],[ID MATERIAL]]="","",$B$13)</f>
        <v/>
      </c>
      <c r="I570" s="7" t="str">
        <f>IF(Plantilla_SCAN_EQ3_COUNT_2[[#This Row],[ID MATERIAL]]="","","Segundo Conteo")</f>
        <v/>
      </c>
    </row>
    <row r="571" spans="1:9" s="7" customFormat="1" ht="15" x14ac:dyDescent="0.2">
      <c r="A571" s="7" t="str">
        <f>IF(Plantilla_SCAN_EQ3_COUNT_2[[#This Row],[ID MATERIAL]]="","",SIGN(Plantilla_SCAN_EQ3_COUNT_2[[#This Row],[Cantidad]])+A570)</f>
        <v/>
      </c>
      <c r="B571" s="21" t="str">
        <f>IF(Plantilla_SCAN_EQ3_COUNT_2[[#This Row],[ID MATERIAL]]="","",B570)</f>
        <v/>
      </c>
      <c r="C571" s="21"/>
      <c r="D571" s="21"/>
      <c r="E571" s="7" t="str">
        <f>IF(Plantilla_SCAN_EQ3_COUNT_2[[#This Row],[ID MATERIAL]]="","",VLOOKUP(Plantilla_SCAN_EQ3_COUNT_2[[#This Row],[ID MATERIAL]],INVENTARIO!$A:$D,2,FALSE))</f>
        <v/>
      </c>
      <c r="F571" s="7" t="str">
        <f>IF(Plantilla_SCAN_EQ3_COUNT_2[[#This Row],[ID MATERIAL]]="","",IF(Plantilla_SCAN_EQ3_COUNT_2[[#This Row],[No. Empaques]]="",1,Plantilla_SCAN_EQ3_COUNT_2[[#This Row],[No. Empaques]]*1))</f>
        <v/>
      </c>
      <c r="G571" s="7" t="str">
        <f>IF(Plantilla_SCAN_EQ3_COUNT_2[[#This Row],[ID MATERIAL]]="","","PZ")</f>
        <v/>
      </c>
      <c r="H571" s="7" t="str">
        <f>IF(Plantilla_SCAN_EQ3_COUNT_2[[#This Row],[ID MATERIAL]]="","",$B$13)</f>
        <v/>
      </c>
      <c r="I571" s="7" t="str">
        <f>IF(Plantilla_SCAN_EQ3_COUNT_2[[#This Row],[ID MATERIAL]]="","","Segundo Conteo")</f>
        <v/>
      </c>
    </row>
    <row r="572" spans="1:9" s="7" customFormat="1" ht="15" x14ac:dyDescent="0.2">
      <c r="A572" s="7" t="str">
        <f>IF(Plantilla_SCAN_EQ3_COUNT_2[[#This Row],[ID MATERIAL]]="","",SIGN(Plantilla_SCAN_EQ3_COUNT_2[[#This Row],[Cantidad]])+A571)</f>
        <v/>
      </c>
      <c r="B572" s="21" t="str">
        <f>IF(Plantilla_SCAN_EQ3_COUNT_2[[#This Row],[ID MATERIAL]]="","",B571)</f>
        <v/>
      </c>
      <c r="C572" s="21"/>
      <c r="D572" s="21"/>
      <c r="E572" s="7" t="str">
        <f>IF(Plantilla_SCAN_EQ3_COUNT_2[[#This Row],[ID MATERIAL]]="","",VLOOKUP(Plantilla_SCAN_EQ3_COUNT_2[[#This Row],[ID MATERIAL]],INVENTARIO!$A:$D,2,FALSE))</f>
        <v/>
      </c>
      <c r="F572" s="7" t="str">
        <f>IF(Plantilla_SCAN_EQ3_COUNT_2[[#This Row],[ID MATERIAL]]="","",IF(Plantilla_SCAN_EQ3_COUNT_2[[#This Row],[No. Empaques]]="",1,Plantilla_SCAN_EQ3_COUNT_2[[#This Row],[No. Empaques]]*1))</f>
        <v/>
      </c>
      <c r="G572" s="7" t="str">
        <f>IF(Plantilla_SCAN_EQ3_COUNT_2[[#This Row],[ID MATERIAL]]="","","PZ")</f>
        <v/>
      </c>
      <c r="H572" s="7" t="str">
        <f>IF(Plantilla_SCAN_EQ3_COUNT_2[[#This Row],[ID MATERIAL]]="","",$B$13)</f>
        <v/>
      </c>
      <c r="I572" s="7" t="str">
        <f>IF(Plantilla_SCAN_EQ3_COUNT_2[[#This Row],[ID MATERIAL]]="","","Segundo Conteo")</f>
        <v/>
      </c>
    </row>
    <row r="573" spans="1:9" s="7" customFormat="1" ht="15" x14ac:dyDescent="0.2">
      <c r="A573" s="7" t="str">
        <f>IF(Plantilla_SCAN_EQ3_COUNT_2[[#This Row],[ID MATERIAL]]="","",SIGN(Plantilla_SCAN_EQ3_COUNT_2[[#This Row],[Cantidad]])+A572)</f>
        <v/>
      </c>
      <c r="B573" s="21" t="str">
        <f>IF(Plantilla_SCAN_EQ3_COUNT_2[[#This Row],[ID MATERIAL]]="","",B572)</f>
        <v/>
      </c>
      <c r="C573" s="21"/>
      <c r="D573" s="21"/>
      <c r="E573" s="7" t="str">
        <f>IF(Plantilla_SCAN_EQ3_COUNT_2[[#This Row],[ID MATERIAL]]="","",VLOOKUP(Plantilla_SCAN_EQ3_COUNT_2[[#This Row],[ID MATERIAL]],INVENTARIO!$A:$D,2,FALSE))</f>
        <v/>
      </c>
      <c r="F573" s="7" t="str">
        <f>IF(Plantilla_SCAN_EQ3_COUNT_2[[#This Row],[ID MATERIAL]]="","",IF(Plantilla_SCAN_EQ3_COUNT_2[[#This Row],[No. Empaques]]="",1,Plantilla_SCAN_EQ3_COUNT_2[[#This Row],[No. Empaques]]*1))</f>
        <v/>
      </c>
      <c r="G573" s="7" t="str">
        <f>IF(Plantilla_SCAN_EQ3_COUNT_2[[#This Row],[ID MATERIAL]]="","","PZ")</f>
        <v/>
      </c>
      <c r="H573" s="7" t="str">
        <f>IF(Plantilla_SCAN_EQ3_COUNT_2[[#This Row],[ID MATERIAL]]="","",$B$13)</f>
        <v/>
      </c>
      <c r="I573" s="7" t="str">
        <f>IF(Plantilla_SCAN_EQ3_COUNT_2[[#This Row],[ID MATERIAL]]="","","Segundo Conteo")</f>
        <v/>
      </c>
    </row>
    <row r="574" spans="1:9" s="7" customFormat="1" ht="15" x14ac:dyDescent="0.2">
      <c r="A574" s="7" t="str">
        <f>IF(Plantilla_SCAN_EQ3_COUNT_2[[#This Row],[ID MATERIAL]]="","",SIGN(Plantilla_SCAN_EQ3_COUNT_2[[#This Row],[Cantidad]])+A573)</f>
        <v/>
      </c>
      <c r="B574" s="21" t="str">
        <f>IF(Plantilla_SCAN_EQ3_COUNT_2[[#This Row],[ID MATERIAL]]="","",B573)</f>
        <v/>
      </c>
      <c r="C574" s="21"/>
      <c r="D574" s="21"/>
      <c r="E574" s="7" t="str">
        <f>IF(Plantilla_SCAN_EQ3_COUNT_2[[#This Row],[ID MATERIAL]]="","",VLOOKUP(Plantilla_SCAN_EQ3_COUNT_2[[#This Row],[ID MATERIAL]],INVENTARIO!$A:$D,2,FALSE))</f>
        <v/>
      </c>
      <c r="F574" s="7" t="str">
        <f>IF(Plantilla_SCAN_EQ3_COUNT_2[[#This Row],[ID MATERIAL]]="","",IF(Plantilla_SCAN_EQ3_COUNT_2[[#This Row],[No. Empaques]]="",1,Plantilla_SCAN_EQ3_COUNT_2[[#This Row],[No. Empaques]]*1))</f>
        <v/>
      </c>
      <c r="G574" s="7" t="str">
        <f>IF(Plantilla_SCAN_EQ3_COUNT_2[[#This Row],[ID MATERIAL]]="","","PZ")</f>
        <v/>
      </c>
      <c r="H574" s="7" t="str">
        <f>IF(Plantilla_SCAN_EQ3_COUNT_2[[#This Row],[ID MATERIAL]]="","",$B$13)</f>
        <v/>
      </c>
      <c r="I574" s="7" t="str">
        <f>IF(Plantilla_SCAN_EQ3_COUNT_2[[#This Row],[ID MATERIAL]]="","","Segundo Conteo")</f>
        <v/>
      </c>
    </row>
    <row r="575" spans="1:9" s="7" customFormat="1" ht="15" x14ac:dyDescent="0.2">
      <c r="A575" s="7" t="str">
        <f>IF(Plantilla_SCAN_EQ3_COUNT_2[[#This Row],[ID MATERIAL]]="","",SIGN(Plantilla_SCAN_EQ3_COUNT_2[[#This Row],[Cantidad]])+A574)</f>
        <v/>
      </c>
      <c r="B575" s="21" t="str">
        <f>IF(Plantilla_SCAN_EQ3_COUNT_2[[#This Row],[ID MATERIAL]]="","",B574)</f>
        <v/>
      </c>
      <c r="C575" s="21"/>
      <c r="D575" s="21"/>
      <c r="E575" s="7" t="str">
        <f>IF(Plantilla_SCAN_EQ3_COUNT_2[[#This Row],[ID MATERIAL]]="","",VLOOKUP(Plantilla_SCAN_EQ3_COUNT_2[[#This Row],[ID MATERIAL]],INVENTARIO!$A:$D,2,FALSE))</f>
        <v/>
      </c>
      <c r="F575" s="7" t="str">
        <f>IF(Plantilla_SCAN_EQ3_COUNT_2[[#This Row],[ID MATERIAL]]="","",IF(Plantilla_SCAN_EQ3_COUNT_2[[#This Row],[No. Empaques]]="",1,Plantilla_SCAN_EQ3_COUNT_2[[#This Row],[No. Empaques]]*1))</f>
        <v/>
      </c>
      <c r="G575" s="7" t="str">
        <f>IF(Plantilla_SCAN_EQ3_COUNT_2[[#This Row],[ID MATERIAL]]="","","PZ")</f>
        <v/>
      </c>
      <c r="H575" s="7" t="str">
        <f>IF(Plantilla_SCAN_EQ3_COUNT_2[[#This Row],[ID MATERIAL]]="","",$B$13)</f>
        <v/>
      </c>
      <c r="I575" s="7" t="str">
        <f>IF(Plantilla_SCAN_EQ3_COUNT_2[[#This Row],[ID MATERIAL]]="","","Segundo Conteo")</f>
        <v/>
      </c>
    </row>
    <row r="576" spans="1:9" s="7" customFormat="1" ht="15" x14ac:dyDescent="0.2">
      <c r="A576" s="7" t="str">
        <f>IF(Plantilla_SCAN_EQ3_COUNT_2[[#This Row],[ID MATERIAL]]="","",SIGN(Plantilla_SCAN_EQ3_COUNT_2[[#This Row],[Cantidad]])+A575)</f>
        <v/>
      </c>
      <c r="B576" s="21" t="str">
        <f>IF(Plantilla_SCAN_EQ3_COUNT_2[[#This Row],[ID MATERIAL]]="","",B575)</f>
        <v/>
      </c>
      <c r="C576" s="21"/>
      <c r="D576" s="21"/>
      <c r="E576" s="7" t="str">
        <f>IF(Plantilla_SCAN_EQ3_COUNT_2[[#This Row],[ID MATERIAL]]="","",VLOOKUP(Plantilla_SCAN_EQ3_COUNT_2[[#This Row],[ID MATERIAL]],INVENTARIO!$A:$D,2,FALSE))</f>
        <v/>
      </c>
      <c r="F576" s="7" t="str">
        <f>IF(Plantilla_SCAN_EQ3_COUNT_2[[#This Row],[ID MATERIAL]]="","",IF(Plantilla_SCAN_EQ3_COUNT_2[[#This Row],[No. Empaques]]="",1,Plantilla_SCAN_EQ3_COUNT_2[[#This Row],[No. Empaques]]*1))</f>
        <v/>
      </c>
      <c r="G576" s="7" t="str">
        <f>IF(Plantilla_SCAN_EQ3_COUNT_2[[#This Row],[ID MATERIAL]]="","","PZ")</f>
        <v/>
      </c>
      <c r="H576" s="7" t="str">
        <f>IF(Plantilla_SCAN_EQ3_COUNT_2[[#This Row],[ID MATERIAL]]="","",$B$13)</f>
        <v/>
      </c>
      <c r="I576" s="7" t="str">
        <f>IF(Plantilla_SCAN_EQ3_COUNT_2[[#This Row],[ID MATERIAL]]="","","Segundo Conteo")</f>
        <v/>
      </c>
    </row>
    <row r="577" spans="1:9" s="7" customFormat="1" ht="15" x14ac:dyDescent="0.2">
      <c r="A577" s="7" t="str">
        <f>IF(Plantilla_SCAN_EQ3_COUNT_2[[#This Row],[ID MATERIAL]]="","",SIGN(Plantilla_SCAN_EQ3_COUNT_2[[#This Row],[Cantidad]])+A576)</f>
        <v/>
      </c>
      <c r="B577" s="21" t="str">
        <f>IF(Plantilla_SCAN_EQ3_COUNT_2[[#This Row],[ID MATERIAL]]="","",B576)</f>
        <v/>
      </c>
      <c r="C577" s="21"/>
      <c r="D577" s="21"/>
      <c r="E577" s="7" t="str">
        <f>IF(Plantilla_SCAN_EQ3_COUNT_2[[#This Row],[ID MATERIAL]]="","",VLOOKUP(Plantilla_SCAN_EQ3_COUNT_2[[#This Row],[ID MATERIAL]],INVENTARIO!$A:$D,2,FALSE))</f>
        <v/>
      </c>
      <c r="F577" s="7" t="str">
        <f>IF(Plantilla_SCAN_EQ3_COUNT_2[[#This Row],[ID MATERIAL]]="","",IF(Plantilla_SCAN_EQ3_COUNT_2[[#This Row],[No. Empaques]]="",1,Plantilla_SCAN_EQ3_COUNT_2[[#This Row],[No. Empaques]]*1))</f>
        <v/>
      </c>
      <c r="G577" s="7" t="str">
        <f>IF(Plantilla_SCAN_EQ3_COUNT_2[[#This Row],[ID MATERIAL]]="","","PZ")</f>
        <v/>
      </c>
      <c r="H577" s="7" t="str">
        <f>IF(Plantilla_SCAN_EQ3_COUNT_2[[#This Row],[ID MATERIAL]]="","",$B$13)</f>
        <v/>
      </c>
      <c r="I577" s="7" t="str">
        <f>IF(Plantilla_SCAN_EQ3_COUNT_2[[#This Row],[ID MATERIAL]]="","","Segundo Conteo")</f>
        <v/>
      </c>
    </row>
    <row r="578" spans="1:9" s="7" customFormat="1" ht="15" x14ac:dyDescent="0.2">
      <c r="A578" s="7" t="str">
        <f>IF(Plantilla_SCAN_EQ3_COUNT_2[[#This Row],[ID MATERIAL]]="","",SIGN(Plantilla_SCAN_EQ3_COUNT_2[[#This Row],[Cantidad]])+A577)</f>
        <v/>
      </c>
      <c r="B578" s="21" t="str">
        <f>IF(Plantilla_SCAN_EQ3_COUNT_2[[#This Row],[ID MATERIAL]]="","",B577)</f>
        <v/>
      </c>
      <c r="C578" s="21"/>
      <c r="D578" s="21"/>
      <c r="E578" s="7" t="str">
        <f>IF(Plantilla_SCAN_EQ3_COUNT_2[[#This Row],[ID MATERIAL]]="","",VLOOKUP(Plantilla_SCAN_EQ3_COUNT_2[[#This Row],[ID MATERIAL]],INVENTARIO!$A:$D,2,FALSE))</f>
        <v/>
      </c>
      <c r="F578" s="7" t="str">
        <f>IF(Plantilla_SCAN_EQ3_COUNT_2[[#This Row],[ID MATERIAL]]="","",IF(Plantilla_SCAN_EQ3_COUNT_2[[#This Row],[No. Empaques]]="",1,Plantilla_SCAN_EQ3_COUNT_2[[#This Row],[No. Empaques]]*1))</f>
        <v/>
      </c>
      <c r="G578" s="7" t="str">
        <f>IF(Plantilla_SCAN_EQ3_COUNT_2[[#This Row],[ID MATERIAL]]="","","PZ")</f>
        <v/>
      </c>
      <c r="H578" s="7" t="str">
        <f>IF(Plantilla_SCAN_EQ3_COUNT_2[[#This Row],[ID MATERIAL]]="","",$B$13)</f>
        <v/>
      </c>
      <c r="I578" s="7" t="str">
        <f>IF(Plantilla_SCAN_EQ3_COUNT_2[[#This Row],[ID MATERIAL]]="","","Segundo Conteo")</f>
        <v/>
      </c>
    </row>
    <row r="579" spans="1:9" s="7" customFormat="1" ht="15" x14ac:dyDescent="0.2">
      <c r="A579" s="7" t="str">
        <f>IF(Plantilla_SCAN_EQ3_COUNT_2[[#This Row],[ID MATERIAL]]="","",SIGN(Plantilla_SCAN_EQ3_COUNT_2[[#This Row],[Cantidad]])+A578)</f>
        <v/>
      </c>
      <c r="B579" s="21" t="str">
        <f>IF(Plantilla_SCAN_EQ3_COUNT_2[[#This Row],[ID MATERIAL]]="","",B578)</f>
        <v/>
      </c>
      <c r="C579" s="21"/>
      <c r="D579" s="21"/>
      <c r="E579" s="7" t="str">
        <f>IF(Plantilla_SCAN_EQ3_COUNT_2[[#This Row],[ID MATERIAL]]="","",VLOOKUP(Plantilla_SCAN_EQ3_COUNT_2[[#This Row],[ID MATERIAL]],INVENTARIO!$A:$D,2,FALSE))</f>
        <v/>
      </c>
      <c r="F579" s="7" t="str">
        <f>IF(Plantilla_SCAN_EQ3_COUNT_2[[#This Row],[ID MATERIAL]]="","",IF(Plantilla_SCAN_EQ3_COUNT_2[[#This Row],[No. Empaques]]="",1,Plantilla_SCAN_EQ3_COUNT_2[[#This Row],[No. Empaques]]*1))</f>
        <v/>
      </c>
      <c r="G579" s="7" t="str">
        <f>IF(Plantilla_SCAN_EQ3_COUNT_2[[#This Row],[ID MATERIAL]]="","","PZ")</f>
        <v/>
      </c>
      <c r="H579" s="7" t="str">
        <f>IF(Plantilla_SCAN_EQ3_COUNT_2[[#This Row],[ID MATERIAL]]="","",$B$13)</f>
        <v/>
      </c>
      <c r="I579" s="7" t="str">
        <f>IF(Plantilla_SCAN_EQ3_COUNT_2[[#This Row],[ID MATERIAL]]="","","Segundo Conteo")</f>
        <v/>
      </c>
    </row>
    <row r="580" spans="1:9" s="7" customFormat="1" ht="15" x14ac:dyDescent="0.2">
      <c r="A580" s="7" t="str">
        <f>IF(Plantilla_SCAN_EQ3_COUNT_2[[#This Row],[ID MATERIAL]]="","",SIGN(Plantilla_SCAN_EQ3_COUNT_2[[#This Row],[Cantidad]])+A579)</f>
        <v/>
      </c>
      <c r="B580" s="21" t="str">
        <f>IF(Plantilla_SCAN_EQ3_COUNT_2[[#This Row],[ID MATERIAL]]="","",B579)</f>
        <v/>
      </c>
      <c r="C580" s="21"/>
      <c r="D580" s="21"/>
      <c r="E580" s="7" t="str">
        <f>IF(Plantilla_SCAN_EQ3_COUNT_2[[#This Row],[ID MATERIAL]]="","",VLOOKUP(Plantilla_SCAN_EQ3_COUNT_2[[#This Row],[ID MATERIAL]],INVENTARIO!$A:$D,2,FALSE))</f>
        <v/>
      </c>
      <c r="F580" s="7" t="str">
        <f>IF(Plantilla_SCAN_EQ3_COUNT_2[[#This Row],[ID MATERIAL]]="","",IF(Plantilla_SCAN_EQ3_COUNT_2[[#This Row],[No. Empaques]]="",1,Plantilla_SCAN_EQ3_COUNT_2[[#This Row],[No. Empaques]]*1))</f>
        <v/>
      </c>
      <c r="G580" s="7" t="str">
        <f>IF(Plantilla_SCAN_EQ3_COUNT_2[[#This Row],[ID MATERIAL]]="","","PZ")</f>
        <v/>
      </c>
      <c r="H580" s="7" t="str">
        <f>IF(Plantilla_SCAN_EQ3_COUNT_2[[#This Row],[ID MATERIAL]]="","",$B$13)</f>
        <v/>
      </c>
      <c r="I580" s="7" t="str">
        <f>IF(Plantilla_SCAN_EQ3_COUNT_2[[#This Row],[ID MATERIAL]]="","","Segundo Conteo")</f>
        <v/>
      </c>
    </row>
    <row r="581" spans="1:9" s="7" customFormat="1" ht="15" x14ac:dyDescent="0.2">
      <c r="A581" s="7" t="str">
        <f>IF(Plantilla_SCAN_EQ3_COUNT_2[[#This Row],[ID MATERIAL]]="","",SIGN(Plantilla_SCAN_EQ3_COUNT_2[[#This Row],[Cantidad]])+A580)</f>
        <v/>
      </c>
      <c r="B581" s="21" t="str">
        <f>IF(Plantilla_SCAN_EQ3_COUNT_2[[#This Row],[ID MATERIAL]]="","",B580)</f>
        <v/>
      </c>
      <c r="C581" s="21"/>
      <c r="D581" s="21"/>
      <c r="E581" s="7" t="str">
        <f>IF(Plantilla_SCAN_EQ3_COUNT_2[[#This Row],[ID MATERIAL]]="","",VLOOKUP(Plantilla_SCAN_EQ3_COUNT_2[[#This Row],[ID MATERIAL]],INVENTARIO!$A:$D,2,FALSE))</f>
        <v/>
      </c>
      <c r="F581" s="7" t="str">
        <f>IF(Plantilla_SCAN_EQ3_COUNT_2[[#This Row],[ID MATERIAL]]="","",IF(Plantilla_SCAN_EQ3_COUNT_2[[#This Row],[No. Empaques]]="",1,Plantilla_SCAN_EQ3_COUNT_2[[#This Row],[No. Empaques]]*1))</f>
        <v/>
      </c>
      <c r="G581" s="7" t="str">
        <f>IF(Plantilla_SCAN_EQ3_COUNT_2[[#This Row],[ID MATERIAL]]="","","PZ")</f>
        <v/>
      </c>
      <c r="H581" s="7" t="str">
        <f>IF(Plantilla_SCAN_EQ3_COUNT_2[[#This Row],[ID MATERIAL]]="","",$B$13)</f>
        <v/>
      </c>
      <c r="I581" s="7" t="str">
        <f>IF(Plantilla_SCAN_EQ3_COUNT_2[[#This Row],[ID MATERIAL]]="","","Segundo Conteo")</f>
        <v/>
      </c>
    </row>
    <row r="582" spans="1:9" s="7" customFormat="1" ht="15" x14ac:dyDescent="0.2">
      <c r="A582" s="7" t="str">
        <f>IF(Plantilla_SCAN_EQ3_COUNT_2[[#This Row],[ID MATERIAL]]="","",SIGN(Plantilla_SCAN_EQ3_COUNT_2[[#This Row],[Cantidad]])+A581)</f>
        <v/>
      </c>
      <c r="B582" s="21" t="str">
        <f>IF(Plantilla_SCAN_EQ3_COUNT_2[[#This Row],[ID MATERIAL]]="","",B581)</f>
        <v/>
      </c>
      <c r="C582" s="21"/>
      <c r="D582" s="21"/>
      <c r="E582" s="7" t="str">
        <f>IF(Plantilla_SCAN_EQ3_COUNT_2[[#This Row],[ID MATERIAL]]="","",VLOOKUP(Plantilla_SCAN_EQ3_COUNT_2[[#This Row],[ID MATERIAL]],INVENTARIO!$A:$D,2,FALSE))</f>
        <v/>
      </c>
      <c r="F582" s="7" t="str">
        <f>IF(Plantilla_SCAN_EQ3_COUNT_2[[#This Row],[ID MATERIAL]]="","",IF(Plantilla_SCAN_EQ3_COUNT_2[[#This Row],[No. Empaques]]="",1,Plantilla_SCAN_EQ3_COUNT_2[[#This Row],[No. Empaques]]*1))</f>
        <v/>
      </c>
      <c r="G582" s="7" t="str">
        <f>IF(Plantilla_SCAN_EQ3_COUNT_2[[#This Row],[ID MATERIAL]]="","","PZ")</f>
        <v/>
      </c>
      <c r="H582" s="7" t="str">
        <f>IF(Plantilla_SCAN_EQ3_COUNT_2[[#This Row],[ID MATERIAL]]="","",$B$13)</f>
        <v/>
      </c>
      <c r="I582" s="7" t="str">
        <f>IF(Plantilla_SCAN_EQ3_COUNT_2[[#This Row],[ID MATERIAL]]="","","Segundo Conteo")</f>
        <v/>
      </c>
    </row>
    <row r="583" spans="1:9" s="7" customFormat="1" ht="15" x14ac:dyDescent="0.2">
      <c r="A583" s="7" t="str">
        <f>IF(Plantilla_SCAN_EQ3_COUNT_2[[#This Row],[ID MATERIAL]]="","",SIGN(Plantilla_SCAN_EQ3_COUNT_2[[#This Row],[Cantidad]])+A582)</f>
        <v/>
      </c>
      <c r="B583" s="21" t="str">
        <f>IF(Plantilla_SCAN_EQ3_COUNT_2[[#This Row],[ID MATERIAL]]="","",B582)</f>
        <v/>
      </c>
      <c r="C583" s="21"/>
      <c r="D583" s="21"/>
      <c r="E583" s="7" t="str">
        <f>IF(Plantilla_SCAN_EQ3_COUNT_2[[#This Row],[ID MATERIAL]]="","",VLOOKUP(Plantilla_SCAN_EQ3_COUNT_2[[#This Row],[ID MATERIAL]],INVENTARIO!$A:$D,2,FALSE))</f>
        <v/>
      </c>
      <c r="F583" s="7" t="str">
        <f>IF(Plantilla_SCAN_EQ3_COUNT_2[[#This Row],[ID MATERIAL]]="","",IF(Plantilla_SCAN_EQ3_COUNT_2[[#This Row],[No. Empaques]]="",1,Plantilla_SCAN_EQ3_COUNT_2[[#This Row],[No. Empaques]]*1))</f>
        <v/>
      </c>
      <c r="G583" s="7" t="str">
        <f>IF(Plantilla_SCAN_EQ3_COUNT_2[[#This Row],[ID MATERIAL]]="","","PZ")</f>
        <v/>
      </c>
      <c r="H583" s="7" t="str">
        <f>IF(Plantilla_SCAN_EQ3_COUNT_2[[#This Row],[ID MATERIAL]]="","",$B$13)</f>
        <v/>
      </c>
      <c r="I583" s="7" t="str">
        <f>IF(Plantilla_SCAN_EQ3_COUNT_2[[#This Row],[ID MATERIAL]]="","","Segundo Conteo")</f>
        <v/>
      </c>
    </row>
    <row r="584" spans="1:9" s="7" customFormat="1" ht="15" x14ac:dyDescent="0.2">
      <c r="A584" s="7" t="str">
        <f>IF(Plantilla_SCAN_EQ3_COUNT_2[[#This Row],[ID MATERIAL]]="","",SIGN(Plantilla_SCAN_EQ3_COUNT_2[[#This Row],[Cantidad]])+A583)</f>
        <v/>
      </c>
      <c r="B584" s="21" t="str">
        <f>IF(Plantilla_SCAN_EQ3_COUNT_2[[#This Row],[ID MATERIAL]]="","",B583)</f>
        <v/>
      </c>
      <c r="C584" s="21"/>
      <c r="D584" s="21"/>
      <c r="E584" s="7" t="str">
        <f>IF(Plantilla_SCAN_EQ3_COUNT_2[[#This Row],[ID MATERIAL]]="","",VLOOKUP(Plantilla_SCAN_EQ3_COUNT_2[[#This Row],[ID MATERIAL]],INVENTARIO!$A:$D,2,FALSE))</f>
        <v/>
      </c>
      <c r="F584" s="7" t="str">
        <f>IF(Plantilla_SCAN_EQ3_COUNT_2[[#This Row],[ID MATERIAL]]="","",IF(Plantilla_SCAN_EQ3_COUNT_2[[#This Row],[No. Empaques]]="",1,Plantilla_SCAN_EQ3_COUNT_2[[#This Row],[No. Empaques]]*1))</f>
        <v/>
      </c>
      <c r="G584" s="7" t="str">
        <f>IF(Plantilla_SCAN_EQ3_COUNT_2[[#This Row],[ID MATERIAL]]="","","PZ")</f>
        <v/>
      </c>
      <c r="H584" s="7" t="str">
        <f>IF(Plantilla_SCAN_EQ3_COUNT_2[[#This Row],[ID MATERIAL]]="","",$B$13)</f>
        <v/>
      </c>
      <c r="I584" s="7" t="str">
        <f>IF(Plantilla_SCAN_EQ3_COUNT_2[[#This Row],[ID MATERIAL]]="","","Segundo Conteo")</f>
        <v/>
      </c>
    </row>
    <row r="585" spans="1:9" s="7" customFormat="1" ht="15" x14ac:dyDescent="0.2">
      <c r="A585" s="7" t="str">
        <f>IF(Plantilla_SCAN_EQ3_COUNT_2[[#This Row],[ID MATERIAL]]="","",SIGN(Plantilla_SCAN_EQ3_COUNT_2[[#This Row],[Cantidad]])+A584)</f>
        <v/>
      </c>
      <c r="B585" s="21" t="str">
        <f>IF(Plantilla_SCAN_EQ3_COUNT_2[[#This Row],[ID MATERIAL]]="","",B584)</f>
        <v/>
      </c>
      <c r="C585" s="21"/>
      <c r="D585" s="21"/>
      <c r="E585" s="7" t="str">
        <f>IF(Plantilla_SCAN_EQ3_COUNT_2[[#This Row],[ID MATERIAL]]="","",VLOOKUP(Plantilla_SCAN_EQ3_COUNT_2[[#This Row],[ID MATERIAL]],INVENTARIO!$A:$D,2,FALSE))</f>
        <v/>
      </c>
      <c r="F585" s="7" t="str">
        <f>IF(Plantilla_SCAN_EQ3_COUNT_2[[#This Row],[ID MATERIAL]]="","",IF(Plantilla_SCAN_EQ3_COUNT_2[[#This Row],[No. Empaques]]="",1,Plantilla_SCAN_EQ3_COUNT_2[[#This Row],[No. Empaques]]*1))</f>
        <v/>
      </c>
      <c r="G585" s="7" t="str">
        <f>IF(Plantilla_SCAN_EQ3_COUNT_2[[#This Row],[ID MATERIAL]]="","","PZ")</f>
        <v/>
      </c>
      <c r="H585" s="7" t="str">
        <f>IF(Plantilla_SCAN_EQ3_COUNT_2[[#This Row],[ID MATERIAL]]="","",$B$13)</f>
        <v/>
      </c>
      <c r="I585" s="7" t="str">
        <f>IF(Plantilla_SCAN_EQ3_COUNT_2[[#This Row],[ID MATERIAL]]="","","Segundo Conteo")</f>
        <v/>
      </c>
    </row>
    <row r="586" spans="1:9" s="7" customFormat="1" ht="15" x14ac:dyDescent="0.2">
      <c r="A586" s="7" t="str">
        <f>IF(Plantilla_SCAN_EQ3_COUNT_2[[#This Row],[ID MATERIAL]]="","",SIGN(Plantilla_SCAN_EQ3_COUNT_2[[#This Row],[Cantidad]])+A585)</f>
        <v/>
      </c>
      <c r="B586" s="21" t="str">
        <f>IF(Plantilla_SCAN_EQ3_COUNT_2[[#This Row],[ID MATERIAL]]="","",B585)</f>
        <v/>
      </c>
      <c r="C586" s="21"/>
      <c r="D586" s="21"/>
      <c r="E586" s="7" t="str">
        <f>IF(Plantilla_SCAN_EQ3_COUNT_2[[#This Row],[ID MATERIAL]]="","",VLOOKUP(Plantilla_SCAN_EQ3_COUNT_2[[#This Row],[ID MATERIAL]],INVENTARIO!$A:$D,2,FALSE))</f>
        <v/>
      </c>
      <c r="F586" s="7" t="str">
        <f>IF(Plantilla_SCAN_EQ3_COUNT_2[[#This Row],[ID MATERIAL]]="","",IF(Plantilla_SCAN_EQ3_COUNT_2[[#This Row],[No. Empaques]]="",1,Plantilla_SCAN_EQ3_COUNT_2[[#This Row],[No. Empaques]]*1))</f>
        <v/>
      </c>
      <c r="G586" s="7" t="str">
        <f>IF(Plantilla_SCAN_EQ3_COUNT_2[[#This Row],[ID MATERIAL]]="","","PZ")</f>
        <v/>
      </c>
      <c r="H586" s="7" t="str">
        <f>IF(Plantilla_SCAN_EQ3_COUNT_2[[#This Row],[ID MATERIAL]]="","",$B$13)</f>
        <v/>
      </c>
      <c r="I586" s="7" t="str">
        <f>IF(Plantilla_SCAN_EQ3_COUNT_2[[#This Row],[ID MATERIAL]]="","","Segundo Conteo")</f>
        <v/>
      </c>
    </row>
    <row r="587" spans="1:9" s="7" customFormat="1" ht="15" x14ac:dyDescent="0.2">
      <c r="A587" s="7" t="str">
        <f>IF(Plantilla_SCAN_EQ3_COUNT_2[[#This Row],[ID MATERIAL]]="","",SIGN(Plantilla_SCAN_EQ3_COUNT_2[[#This Row],[Cantidad]])+A586)</f>
        <v/>
      </c>
      <c r="B587" s="21" t="str">
        <f>IF(Plantilla_SCAN_EQ3_COUNT_2[[#This Row],[ID MATERIAL]]="","",B586)</f>
        <v/>
      </c>
      <c r="C587" s="21"/>
      <c r="D587" s="21"/>
      <c r="E587" s="7" t="str">
        <f>IF(Plantilla_SCAN_EQ3_COUNT_2[[#This Row],[ID MATERIAL]]="","",VLOOKUP(Plantilla_SCAN_EQ3_COUNT_2[[#This Row],[ID MATERIAL]],INVENTARIO!$A:$D,2,FALSE))</f>
        <v/>
      </c>
      <c r="F587" s="7" t="str">
        <f>IF(Plantilla_SCAN_EQ3_COUNT_2[[#This Row],[ID MATERIAL]]="","",IF(Plantilla_SCAN_EQ3_COUNT_2[[#This Row],[No. Empaques]]="",1,Plantilla_SCAN_EQ3_COUNT_2[[#This Row],[No. Empaques]]*1))</f>
        <v/>
      </c>
      <c r="G587" s="7" t="str">
        <f>IF(Plantilla_SCAN_EQ3_COUNT_2[[#This Row],[ID MATERIAL]]="","","PZ")</f>
        <v/>
      </c>
      <c r="H587" s="7" t="str">
        <f>IF(Plantilla_SCAN_EQ3_COUNT_2[[#This Row],[ID MATERIAL]]="","",$B$13)</f>
        <v/>
      </c>
      <c r="I587" s="7" t="str">
        <f>IF(Plantilla_SCAN_EQ3_COUNT_2[[#This Row],[ID MATERIAL]]="","","Segundo Conteo")</f>
        <v/>
      </c>
    </row>
    <row r="588" spans="1:9" s="7" customFormat="1" ht="15" x14ac:dyDescent="0.2">
      <c r="A588" s="7" t="str">
        <f>IF(Plantilla_SCAN_EQ3_COUNT_2[[#This Row],[ID MATERIAL]]="","",SIGN(Plantilla_SCAN_EQ3_COUNT_2[[#This Row],[Cantidad]])+A587)</f>
        <v/>
      </c>
      <c r="B588" s="21" t="str">
        <f>IF(Plantilla_SCAN_EQ3_COUNT_2[[#This Row],[ID MATERIAL]]="","",B587)</f>
        <v/>
      </c>
      <c r="C588" s="21"/>
      <c r="D588" s="21"/>
      <c r="E588" s="7" t="str">
        <f>IF(Plantilla_SCAN_EQ3_COUNT_2[[#This Row],[ID MATERIAL]]="","",VLOOKUP(Plantilla_SCAN_EQ3_COUNT_2[[#This Row],[ID MATERIAL]],INVENTARIO!$A:$D,2,FALSE))</f>
        <v/>
      </c>
      <c r="F588" s="7" t="str">
        <f>IF(Plantilla_SCAN_EQ3_COUNT_2[[#This Row],[ID MATERIAL]]="","",IF(Plantilla_SCAN_EQ3_COUNT_2[[#This Row],[No. Empaques]]="",1,Plantilla_SCAN_EQ3_COUNT_2[[#This Row],[No. Empaques]]*1))</f>
        <v/>
      </c>
      <c r="G588" s="7" t="str">
        <f>IF(Plantilla_SCAN_EQ3_COUNT_2[[#This Row],[ID MATERIAL]]="","","PZ")</f>
        <v/>
      </c>
      <c r="H588" s="7" t="str">
        <f>IF(Plantilla_SCAN_EQ3_COUNT_2[[#This Row],[ID MATERIAL]]="","",$B$13)</f>
        <v/>
      </c>
      <c r="I588" s="7" t="str">
        <f>IF(Plantilla_SCAN_EQ3_COUNT_2[[#This Row],[ID MATERIAL]]="","","Segundo Conteo")</f>
        <v/>
      </c>
    </row>
    <row r="589" spans="1:9" s="7" customFormat="1" ht="15" x14ac:dyDescent="0.2">
      <c r="A589" s="7" t="str">
        <f>IF(Plantilla_SCAN_EQ3_COUNT_2[[#This Row],[ID MATERIAL]]="","",SIGN(Plantilla_SCAN_EQ3_COUNT_2[[#This Row],[Cantidad]])+A588)</f>
        <v/>
      </c>
      <c r="B589" s="21" t="str">
        <f>IF(Plantilla_SCAN_EQ3_COUNT_2[[#This Row],[ID MATERIAL]]="","",B588)</f>
        <v/>
      </c>
      <c r="C589" s="21"/>
      <c r="D589" s="21"/>
      <c r="E589" s="7" t="str">
        <f>IF(Plantilla_SCAN_EQ3_COUNT_2[[#This Row],[ID MATERIAL]]="","",VLOOKUP(Plantilla_SCAN_EQ3_COUNT_2[[#This Row],[ID MATERIAL]],INVENTARIO!$A:$D,2,FALSE))</f>
        <v/>
      </c>
      <c r="F589" s="7" t="str">
        <f>IF(Plantilla_SCAN_EQ3_COUNT_2[[#This Row],[ID MATERIAL]]="","",IF(Plantilla_SCAN_EQ3_COUNT_2[[#This Row],[No. Empaques]]="",1,Plantilla_SCAN_EQ3_COUNT_2[[#This Row],[No. Empaques]]*1))</f>
        <v/>
      </c>
      <c r="G589" s="7" t="str">
        <f>IF(Plantilla_SCAN_EQ3_COUNT_2[[#This Row],[ID MATERIAL]]="","","PZ")</f>
        <v/>
      </c>
      <c r="H589" s="7" t="str">
        <f>IF(Plantilla_SCAN_EQ3_COUNT_2[[#This Row],[ID MATERIAL]]="","",$B$13)</f>
        <v/>
      </c>
      <c r="I589" s="7" t="str">
        <f>IF(Plantilla_SCAN_EQ3_COUNT_2[[#This Row],[ID MATERIAL]]="","","Segundo Conteo")</f>
        <v/>
      </c>
    </row>
    <row r="590" spans="1:9" s="7" customFormat="1" ht="15" x14ac:dyDescent="0.2">
      <c r="A590" s="7" t="str">
        <f>IF(Plantilla_SCAN_EQ3_COUNT_2[[#This Row],[ID MATERIAL]]="","",SIGN(Plantilla_SCAN_EQ3_COUNT_2[[#This Row],[Cantidad]])+A589)</f>
        <v/>
      </c>
      <c r="B590" s="21" t="str">
        <f>IF(Plantilla_SCAN_EQ3_COUNT_2[[#This Row],[ID MATERIAL]]="","",B589)</f>
        <v/>
      </c>
      <c r="C590" s="21"/>
      <c r="D590" s="21"/>
      <c r="E590" s="7" t="str">
        <f>IF(Plantilla_SCAN_EQ3_COUNT_2[[#This Row],[ID MATERIAL]]="","",VLOOKUP(Plantilla_SCAN_EQ3_COUNT_2[[#This Row],[ID MATERIAL]],INVENTARIO!$A:$D,2,FALSE))</f>
        <v/>
      </c>
      <c r="F590" s="7" t="str">
        <f>IF(Plantilla_SCAN_EQ3_COUNT_2[[#This Row],[ID MATERIAL]]="","",IF(Plantilla_SCAN_EQ3_COUNT_2[[#This Row],[No. Empaques]]="",1,Plantilla_SCAN_EQ3_COUNT_2[[#This Row],[No. Empaques]]*1))</f>
        <v/>
      </c>
      <c r="G590" s="7" t="str">
        <f>IF(Plantilla_SCAN_EQ3_COUNT_2[[#This Row],[ID MATERIAL]]="","","PZ")</f>
        <v/>
      </c>
      <c r="H590" s="7" t="str">
        <f>IF(Plantilla_SCAN_EQ3_COUNT_2[[#This Row],[ID MATERIAL]]="","",$B$13)</f>
        <v/>
      </c>
      <c r="I590" s="7" t="str">
        <f>IF(Plantilla_SCAN_EQ3_COUNT_2[[#This Row],[ID MATERIAL]]="","","Segundo Conteo")</f>
        <v/>
      </c>
    </row>
    <row r="591" spans="1:9" s="7" customFormat="1" ht="15" x14ac:dyDescent="0.2">
      <c r="A591" s="7" t="str">
        <f>IF(Plantilla_SCAN_EQ3_COUNT_2[[#This Row],[ID MATERIAL]]="","",SIGN(Plantilla_SCAN_EQ3_COUNT_2[[#This Row],[Cantidad]])+A590)</f>
        <v/>
      </c>
      <c r="B591" s="21" t="str">
        <f>IF(Plantilla_SCAN_EQ3_COUNT_2[[#This Row],[ID MATERIAL]]="","",B590)</f>
        <v/>
      </c>
      <c r="C591" s="21"/>
      <c r="D591" s="21"/>
      <c r="E591" s="7" t="str">
        <f>IF(Plantilla_SCAN_EQ3_COUNT_2[[#This Row],[ID MATERIAL]]="","",VLOOKUP(Plantilla_SCAN_EQ3_COUNT_2[[#This Row],[ID MATERIAL]],INVENTARIO!$A:$D,2,FALSE))</f>
        <v/>
      </c>
      <c r="F591" s="7" t="str">
        <f>IF(Plantilla_SCAN_EQ3_COUNT_2[[#This Row],[ID MATERIAL]]="","",IF(Plantilla_SCAN_EQ3_COUNT_2[[#This Row],[No. Empaques]]="",1,Plantilla_SCAN_EQ3_COUNT_2[[#This Row],[No. Empaques]]*1))</f>
        <v/>
      </c>
      <c r="G591" s="7" t="str">
        <f>IF(Plantilla_SCAN_EQ3_COUNT_2[[#This Row],[ID MATERIAL]]="","","PZ")</f>
        <v/>
      </c>
      <c r="H591" s="7" t="str">
        <f>IF(Plantilla_SCAN_EQ3_COUNT_2[[#This Row],[ID MATERIAL]]="","",$B$13)</f>
        <v/>
      </c>
      <c r="I591" s="7" t="str">
        <f>IF(Plantilla_SCAN_EQ3_COUNT_2[[#This Row],[ID MATERIAL]]="","","Segundo Conteo")</f>
        <v/>
      </c>
    </row>
    <row r="592" spans="1:9" s="7" customFormat="1" ht="15" x14ac:dyDescent="0.2">
      <c r="A592" s="7" t="str">
        <f>IF(Plantilla_SCAN_EQ3_COUNT_2[[#This Row],[ID MATERIAL]]="","",SIGN(Plantilla_SCAN_EQ3_COUNT_2[[#This Row],[Cantidad]])+A591)</f>
        <v/>
      </c>
      <c r="B592" s="21" t="str">
        <f>IF(Plantilla_SCAN_EQ3_COUNT_2[[#This Row],[ID MATERIAL]]="","",B591)</f>
        <v/>
      </c>
      <c r="C592" s="21"/>
      <c r="D592" s="21"/>
      <c r="E592" s="7" t="str">
        <f>IF(Plantilla_SCAN_EQ3_COUNT_2[[#This Row],[ID MATERIAL]]="","",VLOOKUP(Plantilla_SCAN_EQ3_COUNT_2[[#This Row],[ID MATERIAL]],INVENTARIO!$A:$D,2,FALSE))</f>
        <v/>
      </c>
      <c r="F592" s="7" t="str">
        <f>IF(Plantilla_SCAN_EQ3_COUNT_2[[#This Row],[ID MATERIAL]]="","",IF(Plantilla_SCAN_EQ3_COUNT_2[[#This Row],[No. Empaques]]="",1,Plantilla_SCAN_EQ3_COUNT_2[[#This Row],[No. Empaques]]*1))</f>
        <v/>
      </c>
      <c r="G592" s="7" t="str">
        <f>IF(Plantilla_SCAN_EQ3_COUNT_2[[#This Row],[ID MATERIAL]]="","","PZ")</f>
        <v/>
      </c>
      <c r="H592" s="7" t="str">
        <f>IF(Plantilla_SCAN_EQ3_COUNT_2[[#This Row],[ID MATERIAL]]="","",$B$13)</f>
        <v/>
      </c>
      <c r="I592" s="7" t="str">
        <f>IF(Plantilla_SCAN_EQ3_COUNT_2[[#This Row],[ID MATERIAL]]="","","Segundo Conteo")</f>
        <v/>
      </c>
    </row>
    <row r="593" spans="1:9" s="7" customFormat="1" ht="15" x14ac:dyDescent="0.2">
      <c r="A593" s="7" t="str">
        <f>IF(Plantilla_SCAN_EQ3_COUNT_2[[#This Row],[ID MATERIAL]]="","",SIGN(Plantilla_SCAN_EQ3_COUNT_2[[#This Row],[Cantidad]])+A592)</f>
        <v/>
      </c>
      <c r="B593" s="21" t="str">
        <f>IF(Plantilla_SCAN_EQ3_COUNT_2[[#This Row],[ID MATERIAL]]="","",B592)</f>
        <v/>
      </c>
      <c r="C593" s="21"/>
      <c r="D593" s="21"/>
      <c r="E593" s="7" t="str">
        <f>IF(Plantilla_SCAN_EQ3_COUNT_2[[#This Row],[ID MATERIAL]]="","",VLOOKUP(Plantilla_SCAN_EQ3_COUNT_2[[#This Row],[ID MATERIAL]],INVENTARIO!$A:$D,2,FALSE))</f>
        <v/>
      </c>
      <c r="F593" s="7" t="str">
        <f>IF(Plantilla_SCAN_EQ3_COUNT_2[[#This Row],[ID MATERIAL]]="","",IF(Plantilla_SCAN_EQ3_COUNT_2[[#This Row],[No. Empaques]]="",1,Plantilla_SCAN_EQ3_COUNT_2[[#This Row],[No. Empaques]]*1))</f>
        <v/>
      </c>
      <c r="G593" s="7" t="str">
        <f>IF(Plantilla_SCAN_EQ3_COUNT_2[[#This Row],[ID MATERIAL]]="","","PZ")</f>
        <v/>
      </c>
      <c r="H593" s="7" t="str">
        <f>IF(Plantilla_SCAN_EQ3_COUNT_2[[#This Row],[ID MATERIAL]]="","",$B$13)</f>
        <v/>
      </c>
      <c r="I593" s="7" t="str">
        <f>IF(Plantilla_SCAN_EQ3_COUNT_2[[#This Row],[ID MATERIAL]]="","","Segundo Conteo")</f>
        <v/>
      </c>
    </row>
    <row r="594" spans="1:9" s="7" customFormat="1" ht="15" x14ac:dyDescent="0.2">
      <c r="A594" s="7" t="str">
        <f>IF(Plantilla_SCAN_EQ3_COUNT_2[[#This Row],[ID MATERIAL]]="","",SIGN(Plantilla_SCAN_EQ3_COUNT_2[[#This Row],[Cantidad]])+A593)</f>
        <v/>
      </c>
      <c r="B594" s="21" t="str">
        <f>IF(Plantilla_SCAN_EQ3_COUNT_2[[#This Row],[ID MATERIAL]]="","",B593)</f>
        <v/>
      </c>
      <c r="C594" s="21"/>
      <c r="D594" s="21"/>
      <c r="E594" s="7" t="str">
        <f>IF(Plantilla_SCAN_EQ3_COUNT_2[[#This Row],[ID MATERIAL]]="","",VLOOKUP(Plantilla_SCAN_EQ3_COUNT_2[[#This Row],[ID MATERIAL]],INVENTARIO!$A:$D,2,FALSE))</f>
        <v/>
      </c>
      <c r="F594" s="7" t="str">
        <f>IF(Plantilla_SCAN_EQ3_COUNT_2[[#This Row],[ID MATERIAL]]="","",IF(Plantilla_SCAN_EQ3_COUNT_2[[#This Row],[No. Empaques]]="",1,Plantilla_SCAN_EQ3_COUNT_2[[#This Row],[No. Empaques]]*1))</f>
        <v/>
      </c>
      <c r="G594" s="7" t="str">
        <f>IF(Plantilla_SCAN_EQ3_COUNT_2[[#This Row],[ID MATERIAL]]="","","PZ")</f>
        <v/>
      </c>
      <c r="H594" s="7" t="str">
        <f>IF(Plantilla_SCAN_EQ3_COUNT_2[[#This Row],[ID MATERIAL]]="","",$B$13)</f>
        <v/>
      </c>
      <c r="I594" s="7" t="str">
        <f>IF(Plantilla_SCAN_EQ3_COUNT_2[[#This Row],[ID MATERIAL]]="","","Segundo Conteo")</f>
        <v/>
      </c>
    </row>
    <row r="595" spans="1:9" s="7" customFormat="1" ht="15" x14ac:dyDescent="0.2">
      <c r="A595" s="7" t="str">
        <f>IF(Plantilla_SCAN_EQ3_COUNT_2[[#This Row],[ID MATERIAL]]="","",SIGN(Plantilla_SCAN_EQ3_COUNT_2[[#This Row],[Cantidad]])+A594)</f>
        <v/>
      </c>
      <c r="B595" s="21" t="str">
        <f>IF(Plantilla_SCAN_EQ3_COUNT_2[[#This Row],[ID MATERIAL]]="","",B594)</f>
        <v/>
      </c>
      <c r="C595" s="21"/>
      <c r="D595" s="21"/>
      <c r="E595" s="7" t="str">
        <f>IF(Plantilla_SCAN_EQ3_COUNT_2[[#This Row],[ID MATERIAL]]="","",VLOOKUP(Plantilla_SCAN_EQ3_COUNT_2[[#This Row],[ID MATERIAL]],INVENTARIO!$A:$D,2,FALSE))</f>
        <v/>
      </c>
      <c r="F595" s="7" t="str">
        <f>IF(Plantilla_SCAN_EQ3_COUNT_2[[#This Row],[ID MATERIAL]]="","",IF(Plantilla_SCAN_EQ3_COUNT_2[[#This Row],[No. Empaques]]="",1,Plantilla_SCAN_EQ3_COUNT_2[[#This Row],[No. Empaques]]*1))</f>
        <v/>
      </c>
      <c r="G595" s="7" t="str">
        <f>IF(Plantilla_SCAN_EQ3_COUNT_2[[#This Row],[ID MATERIAL]]="","","PZ")</f>
        <v/>
      </c>
      <c r="H595" s="7" t="str">
        <f>IF(Plantilla_SCAN_EQ3_COUNT_2[[#This Row],[ID MATERIAL]]="","",$B$13)</f>
        <v/>
      </c>
      <c r="I595" s="7" t="str">
        <f>IF(Plantilla_SCAN_EQ3_COUNT_2[[#This Row],[ID MATERIAL]]="","","Segundo Conteo")</f>
        <v/>
      </c>
    </row>
    <row r="596" spans="1:9" s="7" customFormat="1" ht="15" x14ac:dyDescent="0.2">
      <c r="A596" s="7" t="str">
        <f>IF(Plantilla_SCAN_EQ3_COUNT_2[[#This Row],[ID MATERIAL]]="","",SIGN(Plantilla_SCAN_EQ3_COUNT_2[[#This Row],[Cantidad]])+A595)</f>
        <v/>
      </c>
      <c r="B596" s="21" t="str">
        <f>IF(Plantilla_SCAN_EQ3_COUNT_2[[#This Row],[ID MATERIAL]]="","",B595)</f>
        <v/>
      </c>
      <c r="C596" s="21"/>
      <c r="D596" s="21"/>
      <c r="E596" s="7" t="str">
        <f>IF(Plantilla_SCAN_EQ3_COUNT_2[[#This Row],[ID MATERIAL]]="","",VLOOKUP(Plantilla_SCAN_EQ3_COUNT_2[[#This Row],[ID MATERIAL]],INVENTARIO!$A:$D,2,FALSE))</f>
        <v/>
      </c>
      <c r="F596" s="7" t="str">
        <f>IF(Plantilla_SCAN_EQ3_COUNT_2[[#This Row],[ID MATERIAL]]="","",IF(Plantilla_SCAN_EQ3_COUNT_2[[#This Row],[No. Empaques]]="",1,Plantilla_SCAN_EQ3_COUNT_2[[#This Row],[No. Empaques]]*1))</f>
        <v/>
      </c>
      <c r="G596" s="7" t="str">
        <f>IF(Plantilla_SCAN_EQ3_COUNT_2[[#This Row],[ID MATERIAL]]="","","PZ")</f>
        <v/>
      </c>
      <c r="H596" s="7" t="str">
        <f>IF(Plantilla_SCAN_EQ3_COUNT_2[[#This Row],[ID MATERIAL]]="","",$B$13)</f>
        <v/>
      </c>
      <c r="I596" s="7" t="str">
        <f>IF(Plantilla_SCAN_EQ3_COUNT_2[[#This Row],[ID MATERIAL]]="","","Segundo Conteo")</f>
        <v/>
      </c>
    </row>
    <row r="597" spans="1:9" s="7" customFormat="1" ht="15" x14ac:dyDescent="0.2">
      <c r="A597" s="7" t="str">
        <f>IF(Plantilla_SCAN_EQ3_COUNT_2[[#This Row],[ID MATERIAL]]="","",SIGN(Plantilla_SCAN_EQ3_COUNT_2[[#This Row],[Cantidad]])+A596)</f>
        <v/>
      </c>
      <c r="B597" s="21" t="str">
        <f>IF(Plantilla_SCAN_EQ3_COUNT_2[[#This Row],[ID MATERIAL]]="","",B596)</f>
        <v/>
      </c>
      <c r="C597" s="21"/>
      <c r="D597" s="21"/>
      <c r="E597" s="7" t="str">
        <f>IF(Plantilla_SCAN_EQ3_COUNT_2[[#This Row],[ID MATERIAL]]="","",VLOOKUP(Plantilla_SCAN_EQ3_COUNT_2[[#This Row],[ID MATERIAL]],INVENTARIO!$A:$D,2,FALSE))</f>
        <v/>
      </c>
      <c r="F597" s="7" t="str">
        <f>IF(Plantilla_SCAN_EQ3_COUNT_2[[#This Row],[ID MATERIAL]]="","",IF(Plantilla_SCAN_EQ3_COUNT_2[[#This Row],[No. Empaques]]="",1,Plantilla_SCAN_EQ3_COUNT_2[[#This Row],[No. Empaques]]*1))</f>
        <v/>
      </c>
      <c r="G597" s="7" t="str">
        <f>IF(Plantilla_SCAN_EQ3_COUNT_2[[#This Row],[ID MATERIAL]]="","","PZ")</f>
        <v/>
      </c>
      <c r="H597" s="7" t="str">
        <f>IF(Plantilla_SCAN_EQ3_COUNT_2[[#This Row],[ID MATERIAL]]="","",$B$13)</f>
        <v/>
      </c>
      <c r="I597" s="7" t="str">
        <f>IF(Plantilla_SCAN_EQ3_COUNT_2[[#This Row],[ID MATERIAL]]="","","Segundo Conteo")</f>
        <v/>
      </c>
    </row>
    <row r="598" spans="1:9" s="7" customFormat="1" ht="15" x14ac:dyDescent="0.2">
      <c r="A598" s="7" t="str">
        <f>IF(Plantilla_SCAN_EQ3_COUNT_2[[#This Row],[ID MATERIAL]]="","",SIGN(Plantilla_SCAN_EQ3_COUNT_2[[#This Row],[Cantidad]])+A597)</f>
        <v/>
      </c>
      <c r="B598" s="21" t="str">
        <f>IF(Plantilla_SCAN_EQ3_COUNT_2[[#This Row],[ID MATERIAL]]="","",B597)</f>
        <v/>
      </c>
      <c r="C598" s="21"/>
      <c r="D598" s="21"/>
      <c r="E598" s="7" t="str">
        <f>IF(Plantilla_SCAN_EQ3_COUNT_2[[#This Row],[ID MATERIAL]]="","",VLOOKUP(Plantilla_SCAN_EQ3_COUNT_2[[#This Row],[ID MATERIAL]],INVENTARIO!$A:$D,2,FALSE))</f>
        <v/>
      </c>
      <c r="F598" s="7" t="str">
        <f>IF(Plantilla_SCAN_EQ3_COUNT_2[[#This Row],[ID MATERIAL]]="","",IF(Plantilla_SCAN_EQ3_COUNT_2[[#This Row],[No. Empaques]]="",1,Plantilla_SCAN_EQ3_COUNT_2[[#This Row],[No. Empaques]]*1))</f>
        <v/>
      </c>
      <c r="G598" s="7" t="str">
        <f>IF(Plantilla_SCAN_EQ3_COUNT_2[[#This Row],[ID MATERIAL]]="","","PZ")</f>
        <v/>
      </c>
      <c r="H598" s="7" t="str">
        <f>IF(Plantilla_SCAN_EQ3_COUNT_2[[#This Row],[ID MATERIAL]]="","",$B$13)</f>
        <v/>
      </c>
      <c r="I598" s="7" t="str">
        <f>IF(Plantilla_SCAN_EQ3_COUNT_2[[#This Row],[ID MATERIAL]]="","","Segundo Conteo")</f>
        <v/>
      </c>
    </row>
    <row r="599" spans="1:9" s="7" customFormat="1" ht="15" x14ac:dyDescent="0.2">
      <c r="A599" s="7" t="str">
        <f>IF(Plantilla_SCAN_EQ3_COUNT_2[[#This Row],[ID MATERIAL]]="","",SIGN(Plantilla_SCAN_EQ3_COUNT_2[[#This Row],[Cantidad]])+A598)</f>
        <v/>
      </c>
      <c r="B599" s="21" t="str">
        <f>IF(Plantilla_SCAN_EQ3_COUNT_2[[#This Row],[ID MATERIAL]]="","",B598)</f>
        <v/>
      </c>
      <c r="C599" s="21"/>
      <c r="D599" s="21"/>
      <c r="E599" s="7" t="str">
        <f>IF(Plantilla_SCAN_EQ3_COUNT_2[[#This Row],[ID MATERIAL]]="","",VLOOKUP(Plantilla_SCAN_EQ3_COUNT_2[[#This Row],[ID MATERIAL]],INVENTARIO!$A:$D,2,FALSE))</f>
        <v/>
      </c>
      <c r="F599" s="7" t="str">
        <f>IF(Plantilla_SCAN_EQ3_COUNT_2[[#This Row],[ID MATERIAL]]="","",IF(Plantilla_SCAN_EQ3_COUNT_2[[#This Row],[No. Empaques]]="",1,Plantilla_SCAN_EQ3_COUNT_2[[#This Row],[No. Empaques]]*1))</f>
        <v/>
      </c>
      <c r="G599" s="7" t="str">
        <f>IF(Plantilla_SCAN_EQ3_COUNT_2[[#This Row],[ID MATERIAL]]="","","PZ")</f>
        <v/>
      </c>
      <c r="H599" s="7" t="str">
        <f>IF(Plantilla_SCAN_EQ3_COUNT_2[[#This Row],[ID MATERIAL]]="","",$B$13)</f>
        <v/>
      </c>
      <c r="I599" s="7" t="str">
        <f>IF(Plantilla_SCAN_EQ3_COUNT_2[[#This Row],[ID MATERIAL]]="","","Segundo Conteo")</f>
        <v/>
      </c>
    </row>
    <row r="600" spans="1:9" s="7" customFormat="1" ht="15" x14ac:dyDescent="0.2">
      <c r="A600" s="7" t="str">
        <f>IF(Plantilla_SCAN_EQ3_COUNT_2[[#This Row],[ID MATERIAL]]="","",SIGN(Plantilla_SCAN_EQ3_COUNT_2[[#This Row],[Cantidad]])+A599)</f>
        <v/>
      </c>
      <c r="B600" s="21" t="str">
        <f>IF(Plantilla_SCAN_EQ3_COUNT_2[[#This Row],[ID MATERIAL]]="","",B599)</f>
        <v/>
      </c>
      <c r="C600" s="21"/>
      <c r="D600" s="21"/>
      <c r="E600" s="7" t="str">
        <f>IF(Plantilla_SCAN_EQ3_COUNT_2[[#This Row],[ID MATERIAL]]="","",VLOOKUP(Plantilla_SCAN_EQ3_COUNT_2[[#This Row],[ID MATERIAL]],INVENTARIO!$A:$D,2,FALSE))</f>
        <v/>
      </c>
      <c r="F600" s="7" t="str">
        <f>IF(Plantilla_SCAN_EQ3_COUNT_2[[#This Row],[ID MATERIAL]]="","",IF(Plantilla_SCAN_EQ3_COUNT_2[[#This Row],[No. Empaques]]="",1,Plantilla_SCAN_EQ3_COUNT_2[[#This Row],[No. Empaques]]*1))</f>
        <v/>
      </c>
      <c r="G600" s="7" t="str">
        <f>IF(Plantilla_SCAN_EQ3_COUNT_2[[#This Row],[ID MATERIAL]]="","","PZ")</f>
        <v/>
      </c>
      <c r="H600" s="7" t="str">
        <f>IF(Plantilla_SCAN_EQ3_COUNT_2[[#This Row],[ID MATERIAL]]="","",$B$13)</f>
        <v/>
      </c>
      <c r="I600" s="7" t="str">
        <f>IF(Plantilla_SCAN_EQ3_COUNT_2[[#This Row],[ID MATERIAL]]="","","Segundo Conteo")</f>
        <v/>
      </c>
    </row>
    <row r="601" spans="1:9" s="7" customFormat="1" ht="15" x14ac:dyDescent="0.2">
      <c r="A601" s="7" t="str">
        <f>IF(Plantilla_SCAN_EQ3_COUNT_2[[#This Row],[ID MATERIAL]]="","",SIGN(Plantilla_SCAN_EQ3_COUNT_2[[#This Row],[Cantidad]])+A600)</f>
        <v/>
      </c>
      <c r="B601" s="21" t="str">
        <f>IF(Plantilla_SCAN_EQ3_COUNT_2[[#This Row],[ID MATERIAL]]="","",B600)</f>
        <v/>
      </c>
      <c r="C601" s="21"/>
      <c r="D601" s="21"/>
      <c r="E601" s="7" t="str">
        <f>IF(Plantilla_SCAN_EQ3_COUNT_2[[#This Row],[ID MATERIAL]]="","",VLOOKUP(Plantilla_SCAN_EQ3_COUNT_2[[#This Row],[ID MATERIAL]],INVENTARIO!$A:$D,2,FALSE))</f>
        <v/>
      </c>
      <c r="F601" s="7" t="str">
        <f>IF(Plantilla_SCAN_EQ3_COUNT_2[[#This Row],[ID MATERIAL]]="","",IF(Plantilla_SCAN_EQ3_COUNT_2[[#This Row],[No. Empaques]]="",1,Plantilla_SCAN_EQ3_COUNT_2[[#This Row],[No. Empaques]]*1))</f>
        <v/>
      </c>
      <c r="G601" s="7" t="str">
        <f>IF(Plantilla_SCAN_EQ3_COUNT_2[[#This Row],[ID MATERIAL]]="","","PZ")</f>
        <v/>
      </c>
      <c r="H601" s="7" t="str">
        <f>IF(Plantilla_SCAN_EQ3_COUNT_2[[#This Row],[ID MATERIAL]]="","",$B$13)</f>
        <v/>
      </c>
      <c r="I601" s="7" t="str">
        <f>IF(Plantilla_SCAN_EQ3_COUNT_2[[#This Row],[ID MATERIAL]]="","","Segundo Conteo")</f>
        <v/>
      </c>
    </row>
    <row r="602" spans="1:9" s="7" customFormat="1" ht="15" x14ac:dyDescent="0.2">
      <c r="A602" s="7" t="str">
        <f>IF(Plantilla_SCAN_EQ3_COUNT_2[[#This Row],[ID MATERIAL]]="","",SIGN(Plantilla_SCAN_EQ3_COUNT_2[[#This Row],[Cantidad]])+A601)</f>
        <v/>
      </c>
      <c r="B602" s="21" t="str">
        <f>IF(Plantilla_SCAN_EQ3_COUNT_2[[#This Row],[ID MATERIAL]]="","",B601)</f>
        <v/>
      </c>
      <c r="C602" s="21"/>
      <c r="D602" s="21"/>
      <c r="E602" s="7" t="str">
        <f>IF(Plantilla_SCAN_EQ3_COUNT_2[[#This Row],[ID MATERIAL]]="","",VLOOKUP(Plantilla_SCAN_EQ3_COUNT_2[[#This Row],[ID MATERIAL]],INVENTARIO!$A:$D,2,FALSE))</f>
        <v/>
      </c>
      <c r="F602" s="7" t="str">
        <f>IF(Plantilla_SCAN_EQ3_COUNT_2[[#This Row],[ID MATERIAL]]="","",IF(Plantilla_SCAN_EQ3_COUNT_2[[#This Row],[No. Empaques]]="",1,Plantilla_SCAN_EQ3_COUNT_2[[#This Row],[No. Empaques]]*1))</f>
        <v/>
      </c>
      <c r="G602" s="7" t="str">
        <f>IF(Plantilla_SCAN_EQ3_COUNT_2[[#This Row],[ID MATERIAL]]="","","PZ")</f>
        <v/>
      </c>
      <c r="H602" s="7" t="str">
        <f>IF(Plantilla_SCAN_EQ3_COUNT_2[[#This Row],[ID MATERIAL]]="","",$B$13)</f>
        <v/>
      </c>
      <c r="I602" s="7" t="str">
        <f>IF(Plantilla_SCAN_EQ3_COUNT_2[[#This Row],[ID MATERIAL]]="","","Segundo Conteo")</f>
        <v/>
      </c>
    </row>
    <row r="603" spans="1:9" s="7" customFormat="1" ht="15" x14ac:dyDescent="0.2">
      <c r="A603" s="7" t="str">
        <f>IF(Plantilla_SCAN_EQ3_COUNT_2[[#This Row],[ID MATERIAL]]="","",SIGN(Plantilla_SCAN_EQ3_COUNT_2[[#This Row],[Cantidad]])+A602)</f>
        <v/>
      </c>
      <c r="B603" s="21" t="str">
        <f>IF(Plantilla_SCAN_EQ3_COUNT_2[[#This Row],[ID MATERIAL]]="","",B602)</f>
        <v/>
      </c>
      <c r="C603" s="21"/>
      <c r="D603" s="21"/>
      <c r="E603" s="7" t="str">
        <f>IF(Plantilla_SCAN_EQ3_COUNT_2[[#This Row],[ID MATERIAL]]="","",VLOOKUP(Plantilla_SCAN_EQ3_COUNT_2[[#This Row],[ID MATERIAL]],INVENTARIO!$A:$D,2,FALSE))</f>
        <v/>
      </c>
      <c r="F603" s="7" t="str">
        <f>IF(Plantilla_SCAN_EQ3_COUNT_2[[#This Row],[ID MATERIAL]]="","",IF(Plantilla_SCAN_EQ3_COUNT_2[[#This Row],[No. Empaques]]="",1,Plantilla_SCAN_EQ3_COUNT_2[[#This Row],[No. Empaques]]*1))</f>
        <v/>
      </c>
      <c r="G603" s="7" t="str">
        <f>IF(Plantilla_SCAN_EQ3_COUNT_2[[#This Row],[ID MATERIAL]]="","","PZ")</f>
        <v/>
      </c>
      <c r="H603" s="7" t="str">
        <f>IF(Plantilla_SCAN_EQ3_COUNT_2[[#This Row],[ID MATERIAL]]="","",$B$13)</f>
        <v/>
      </c>
      <c r="I603" s="7" t="str">
        <f>IF(Plantilla_SCAN_EQ3_COUNT_2[[#This Row],[ID MATERIAL]]="","","Segundo Conteo")</f>
        <v/>
      </c>
    </row>
    <row r="604" spans="1:9" s="7" customFormat="1" ht="15" x14ac:dyDescent="0.2">
      <c r="A604" s="7" t="str">
        <f>IF(Plantilla_SCAN_EQ3_COUNT_2[[#This Row],[ID MATERIAL]]="","",SIGN(Plantilla_SCAN_EQ3_COUNT_2[[#This Row],[Cantidad]])+A603)</f>
        <v/>
      </c>
      <c r="B604" s="21" t="str">
        <f>IF(Plantilla_SCAN_EQ3_COUNT_2[[#This Row],[ID MATERIAL]]="","",B603)</f>
        <v/>
      </c>
      <c r="C604" s="21"/>
      <c r="D604" s="21"/>
      <c r="E604" s="7" t="str">
        <f>IF(Plantilla_SCAN_EQ3_COUNT_2[[#This Row],[ID MATERIAL]]="","",VLOOKUP(Plantilla_SCAN_EQ3_COUNT_2[[#This Row],[ID MATERIAL]],INVENTARIO!$A:$D,2,FALSE))</f>
        <v/>
      </c>
      <c r="F604" s="7" t="str">
        <f>IF(Plantilla_SCAN_EQ3_COUNT_2[[#This Row],[ID MATERIAL]]="","",IF(Plantilla_SCAN_EQ3_COUNT_2[[#This Row],[No. Empaques]]="",1,Plantilla_SCAN_EQ3_COUNT_2[[#This Row],[No. Empaques]]*1))</f>
        <v/>
      </c>
      <c r="G604" s="7" t="str">
        <f>IF(Plantilla_SCAN_EQ3_COUNT_2[[#This Row],[ID MATERIAL]]="","","PZ")</f>
        <v/>
      </c>
      <c r="H604" s="7" t="str">
        <f>IF(Plantilla_SCAN_EQ3_COUNT_2[[#This Row],[ID MATERIAL]]="","",$B$13)</f>
        <v/>
      </c>
      <c r="I604" s="7" t="str">
        <f>IF(Plantilla_SCAN_EQ3_COUNT_2[[#This Row],[ID MATERIAL]]="","","Segundo Conteo")</f>
        <v/>
      </c>
    </row>
    <row r="605" spans="1:9" s="7" customFormat="1" ht="15" x14ac:dyDescent="0.2">
      <c r="A605" s="7" t="str">
        <f>IF(Plantilla_SCAN_EQ3_COUNT_2[[#This Row],[ID MATERIAL]]="","",SIGN(Plantilla_SCAN_EQ3_COUNT_2[[#This Row],[Cantidad]])+A604)</f>
        <v/>
      </c>
      <c r="B605" s="21" t="str">
        <f>IF(Plantilla_SCAN_EQ3_COUNT_2[[#This Row],[ID MATERIAL]]="","",B604)</f>
        <v/>
      </c>
      <c r="C605" s="21"/>
      <c r="D605" s="21"/>
      <c r="E605" s="7" t="str">
        <f>IF(Plantilla_SCAN_EQ3_COUNT_2[[#This Row],[ID MATERIAL]]="","",VLOOKUP(Plantilla_SCAN_EQ3_COUNT_2[[#This Row],[ID MATERIAL]],INVENTARIO!$A:$D,2,FALSE))</f>
        <v/>
      </c>
      <c r="F605" s="7" t="str">
        <f>IF(Plantilla_SCAN_EQ3_COUNT_2[[#This Row],[ID MATERIAL]]="","",IF(Plantilla_SCAN_EQ3_COUNT_2[[#This Row],[No. Empaques]]="",1,Plantilla_SCAN_EQ3_COUNT_2[[#This Row],[No. Empaques]]*1))</f>
        <v/>
      </c>
      <c r="G605" s="7" t="str">
        <f>IF(Plantilla_SCAN_EQ3_COUNT_2[[#This Row],[ID MATERIAL]]="","","PZ")</f>
        <v/>
      </c>
      <c r="H605" s="7" t="str">
        <f>IF(Plantilla_SCAN_EQ3_COUNT_2[[#This Row],[ID MATERIAL]]="","",$B$13)</f>
        <v/>
      </c>
      <c r="I605" s="7" t="str">
        <f>IF(Plantilla_SCAN_EQ3_COUNT_2[[#This Row],[ID MATERIAL]]="","","Segundo Conteo")</f>
        <v/>
      </c>
    </row>
    <row r="606" spans="1:9" s="7" customFormat="1" ht="15" x14ac:dyDescent="0.2">
      <c r="A606" s="7" t="str">
        <f>IF(Plantilla_SCAN_EQ3_COUNT_2[[#This Row],[ID MATERIAL]]="","",SIGN(Plantilla_SCAN_EQ3_COUNT_2[[#This Row],[Cantidad]])+A605)</f>
        <v/>
      </c>
      <c r="B606" s="21" t="str">
        <f>IF(Plantilla_SCAN_EQ3_COUNT_2[[#This Row],[ID MATERIAL]]="","",B605)</f>
        <v/>
      </c>
      <c r="C606" s="21"/>
      <c r="D606" s="21"/>
      <c r="E606" s="7" t="str">
        <f>IF(Plantilla_SCAN_EQ3_COUNT_2[[#This Row],[ID MATERIAL]]="","",VLOOKUP(Plantilla_SCAN_EQ3_COUNT_2[[#This Row],[ID MATERIAL]],INVENTARIO!$A:$D,2,FALSE))</f>
        <v/>
      </c>
      <c r="F606" s="7" t="str">
        <f>IF(Plantilla_SCAN_EQ3_COUNT_2[[#This Row],[ID MATERIAL]]="","",IF(Plantilla_SCAN_EQ3_COUNT_2[[#This Row],[No. Empaques]]="",1,Plantilla_SCAN_EQ3_COUNT_2[[#This Row],[No. Empaques]]*1))</f>
        <v/>
      </c>
      <c r="G606" s="7" t="str">
        <f>IF(Plantilla_SCAN_EQ3_COUNT_2[[#This Row],[ID MATERIAL]]="","","PZ")</f>
        <v/>
      </c>
      <c r="H606" s="7" t="str">
        <f>IF(Plantilla_SCAN_EQ3_COUNT_2[[#This Row],[ID MATERIAL]]="","",$B$13)</f>
        <v/>
      </c>
      <c r="I606" s="7" t="str">
        <f>IF(Plantilla_SCAN_EQ3_COUNT_2[[#This Row],[ID MATERIAL]]="","","Segundo Conteo")</f>
        <v/>
      </c>
    </row>
    <row r="607" spans="1:9" s="7" customFormat="1" ht="15" x14ac:dyDescent="0.2">
      <c r="A607" s="7" t="str">
        <f>IF(Plantilla_SCAN_EQ3_COUNT_2[[#This Row],[ID MATERIAL]]="","",SIGN(Plantilla_SCAN_EQ3_COUNT_2[[#This Row],[Cantidad]])+A606)</f>
        <v/>
      </c>
      <c r="B607" s="21" t="str">
        <f>IF(Plantilla_SCAN_EQ3_COUNT_2[[#This Row],[ID MATERIAL]]="","",B606)</f>
        <v/>
      </c>
      <c r="C607" s="21"/>
      <c r="D607" s="21"/>
      <c r="E607" s="7" t="str">
        <f>IF(Plantilla_SCAN_EQ3_COUNT_2[[#This Row],[ID MATERIAL]]="","",VLOOKUP(Plantilla_SCAN_EQ3_COUNT_2[[#This Row],[ID MATERIAL]],INVENTARIO!$A:$D,2,FALSE))</f>
        <v/>
      </c>
      <c r="F607" s="7" t="str">
        <f>IF(Plantilla_SCAN_EQ3_COUNT_2[[#This Row],[ID MATERIAL]]="","",IF(Plantilla_SCAN_EQ3_COUNT_2[[#This Row],[No. Empaques]]="",1,Plantilla_SCAN_EQ3_COUNT_2[[#This Row],[No. Empaques]]*1))</f>
        <v/>
      </c>
      <c r="G607" s="7" t="str">
        <f>IF(Plantilla_SCAN_EQ3_COUNT_2[[#This Row],[ID MATERIAL]]="","","PZ")</f>
        <v/>
      </c>
      <c r="H607" s="7" t="str">
        <f>IF(Plantilla_SCAN_EQ3_COUNT_2[[#This Row],[ID MATERIAL]]="","",$B$13)</f>
        <v/>
      </c>
      <c r="I607" s="7" t="str">
        <f>IF(Plantilla_SCAN_EQ3_COUNT_2[[#This Row],[ID MATERIAL]]="","","Segundo Conteo")</f>
        <v/>
      </c>
    </row>
    <row r="608" spans="1:9" s="7" customFormat="1" ht="15" x14ac:dyDescent="0.2">
      <c r="A608" s="7" t="str">
        <f>IF(Plantilla_SCAN_EQ3_COUNT_2[[#This Row],[ID MATERIAL]]="","",SIGN(Plantilla_SCAN_EQ3_COUNT_2[[#This Row],[Cantidad]])+A607)</f>
        <v/>
      </c>
      <c r="B608" s="21" t="str">
        <f>IF(Plantilla_SCAN_EQ3_COUNT_2[[#This Row],[ID MATERIAL]]="","",B607)</f>
        <v/>
      </c>
      <c r="C608" s="21"/>
      <c r="D608" s="21"/>
      <c r="E608" s="7" t="str">
        <f>IF(Plantilla_SCAN_EQ3_COUNT_2[[#This Row],[ID MATERIAL]]="","",VLOOKUP(Plantilla_SCAN_EQ3_COUNT_2[[#This Row],[ID MATERIAL]],INVENTARIO!$A:$D,2,FALSE))</f>
        <v/>
      </c>
      <c r="F608" s="7" t="str">
        <f>IF(Plantilla_SCAN_EQ3_COUNT_2[[#This Row],[ID MATERIAL]]="","",IF(Plantilla_SCAN_EQ3_COUNT_2[[#This Row],[No. Empaques]]="",1,Plantilla_SCAN_EQ3_COUNT_2[[#This Row],[No. Empaques]]*1))</f>
        <v/>
      </c>
      <c r="G608" s="7" t="str">
        <f>IF(Plantilla_SCAN_EQ3_COUNT_2[[#This Row],[ID MATERIAL]]="","","PZ")</f>
        <v/>
      </c>
      <c r="H608" s="7" t="str">
        <f>IF(Plantilla_SCAN_EQ3_COUNT_2[[#This Row],[ID MATERIAL]]="","",$B$13)</f>
        <v/>
      </c>
      <c r="I608" s="7" t="str">
        <f>IF(Plantilla_SCAN_EQ3_COUNT_2[[#This Row],[ID MATERIAL]]="","","Segundo Conteo")</f>
        <v/>
      </c>
    </row>
    <row r="609" spans="1:9" s="7" customFormat="1" ht="15" x14ac:dyDescent="0.2">
      <c r="A609" s="7" t="str">
        <f>IF(Plantilla_SCAN_EQ3_COUNT_2[[#This Row],[ID MATERIAL]]="","",SIGN(Plantilla_SCAN_EQ3_COUNT_2[[#This Row],[Cantidad]])+A608)</f>
        <v/>
      </c>
      <c r="B609" s="21" t="str">
        <f>IF(Plantilla_SCAN_EQ3_COUNT_2[[#This Row],[ID MATERIAL]]="","",B608)</f>
        <v/>
      </c>
      <c r="C609" s="21"/>
      <c r="D609" s="21"/>
      <c r="E609" s="7" t="str">
        <f>IF(Plantilla_SCAN_EQ3_COUNT_2[[#This Row],[ID MATERIAL]]="","",VLOOKUP(Plantilla_SCAN_EQ3_COUNT_2[[#This Row],[ID MATERIAL]],INVENTARIO!$A:$D,2,FALSE))</f>
        <v/>
      </c>
      <c r="F609" s="7" t="str">
        <f>IF(Plantilla_SCAN_EQ3_COUNT_2[[#This Row],[ID MATERIAL]]="","",IF(Plantilla_SCAN_EQ3_COUNT_2[[#This Row],[No. Empaques]]="",1,Plantilla_SCAN_EQ3_COUNT_2[[#This Row],[No. Empaques]]*1))</f>
        <v/>
      </c>
      <c r="G609" s="7" t="str">
        <f>IF(Plantilla_SCAN_EQ3_COUNT_2[[#This Row],[ID MATERIAL]]="","","PZ")</f>
        <v/>
      </c>
      <c r="H609" s="7" t="str">
        <f>IF(Plantilla_SCAN_EQ3_COUNT_2[[#This Row],[ID MATERIAL]]="","",$B$13)</f>
        <v/>
      </c>
      <c r="I609" s="7" t="str">
        <f>IF(Plantilla_SCAN_EQ3_COUNT_2[[#This Row],[ID MATERIAL]]="","","Segundo Conteo")</f>
        <v/>
      </c>
    </row>
    <row r="610" spans="1:9" s="7" customFormat="1" ht="15" x14ac:dyDescent="0.2">
      <c r="A610" s="7" t="str">
        <f>IF(Plantilla_SCAN_EQ3_COUNT_2[[#This Row],[ID MATERIAL]]="","",SIGN(Plantilla_SCAN_EQ3_COUNT_2[[#This Row],[Cantidad]])+A609)</f>
        <v/>
      </c>
      <c r="B610" s="21" t="str">
        <f>IF(Plantilla_SCAN_EQ3_COUNT_2[[#This Row],[ID MATERIAL]]="","",B609)</f>
        <v/>
      </c>
      <c r="C610" s="21"/>
      <c r="D610" s="21"/>
      <c r="E610" s="7" t="str">
        <f>IF(Plantilla_SCAN_EQ3_COUNT_2[[#This Row],[ID MATERIAL]]="","",VLOOKUP(Plantilla_SCAN_EQ3_COUNT_2[[#This Row],[ID MATERIAL]],INVENTARIO!$A:$D,2,FALSE))</f>
        <v/>
      </c>
      <c r="F610" s="7" t="str">
        <f>IF(Plantilla_SCAN_EQ3_COUNT_2[[#This Row],[ID MATERIAL]]="","",IF(Plantilla_SCAN_EQ3_COUNT_2[[#This Row],[No. Empaques]]="",1,Plantilla_SCAN_EQ3_COUNT_2[[#This Row],[No. Empaques]]*1))</f>
        <v/>
      </c>
      <c r="G610" s="7" t="str">
        <f>IF(Plantilla_SCAN_EQ3_COUNT_2[[#This Row],[ID MATERIAL]]="","","PZ")</f>
        <v/>
      </c>
      <c r="H610" s="7" t="str">
        <f>IF(Plantilla_SCAN_EQ3_COUNT_2[[#This Row],[ID MATERIAL]]="","",$B$13)</f>
        <v/>
      </c>
      <c r="I610" s="7" t="str">
        <f>IF(Plantilla_SCAN_EQ3_COUNT_2[[#This Row],[ID MATERIAL]]="","","Segundo Conteo")</f>
        <v/>
      </c>
    </row>
    <row r="611" spans="1:9" s="7" customFormat="1" ht="15" x14ac:dyDescent="0.2">
      <c r="A611" s="7" t="str">
        <f>IF(Plantilla_SCAN_EQ3_COUNT_2[[#This Row],[ID MATERIAL]]="","",SIGN(Plantilla_SCAN_EQ3_COUNT_2[[#This Row],[Cantidad]])+A610)</f>
        <v/>
      </c>
      <c r="B611" s="21" t="str">
        <f>IF(Plantilla_SCAN_EQ3_COUNT_2[[#This Row],[ID MATERIAL]]="","",B610)</f>
        <v/>
      </c>
      <c r="C611" s="21"/>
      <c r="D611" s="21"/>
      <c r="E611" s="7" t="str">
        <f>IF(Plantilla_SCAN_EQ3_COUNT_2[[#This Row],[ID MATERIAL]]="","",VLOOKUP(Plantilla_SCAN_EQ3_COUNT_2[[#This Row],[ID MATERIAL]],INVENTARIO!$A:$D,2,FALSE))</f>
        <v/>
      </c>
      <c r="F611" s="7" t="str">
        <f>IF(Plantilla_SCAN_EQ3_COUNT_2[[#This Row],[ID MATERIAL]]="","",IF(Plantilla_SCAN_EQ3_COUNT_2[[#This Row],[No. Empaques]]="",1,Plantilla_SCAN_EQ3_COUNT_2[[#This Row],[No. Empaques]]*1))</f>
        <v/>
      </c>
      <c r="G611" s="7" t="str">
        <f>IF(Plantilla_SCAN_EQ3_COUNT_2[[#This Row],[ID MATERIAL]]="","","PZ")</f>
        <v/>
      </c>
      <c r="H611" s="7" t="str">
        <f>IF(Plantilla_SCAN_EQ3_COUNT_2[[#This Row],[ID MATERIAL]]="","",$B$13)</f>
        <v/>
      </c>
      <c r="I611" s="7" t="str">
        <f>IF(Plantilla_SCAN_EQ3_COUNT_2[[#This Row],[ID MATERIAL]]="","","Segundo Conteo")</f>
        <v/>
      </c>
    </row>
    <row r="612" spans="1:9" s="7" customFormat="1" ht="15" x14ac:dyDescent="0.2">
      <c r="A612" s="7" t="str">
        <f>IF(Plantilla_SCAN_EQ3_COUNT_2[[#This Row],[ID MATERIAL]]="","",SIGN(Plantilla_SCAN_EQ3_COUNT_2[[#This Row],[Cantidad]])+A611)</f>
        <v/>
      </c>
      <c r="B612" s="21" t="str">
        <f>IF(Plantilla_SCAN_EQ3_COUNT_2[[#This Row],[ID MATERIAL]]="","",B611)</f>
        <v/>
      </c>
      <c r="C612" s="21"/>
      <c r="D612" s="21"/>
      <c r="E612" s="7" t="str">
        <f>IF(Plantilla_SCAN_EQ3_COUNT_2[[#This Row],[ID MATERIAL]]="","",VLOOKUP(Plantilla_SCAN_EQ3_COUNT_2[[#This Row],[ID MATERIAL]],INVENTARIO!$A:$D,2,FALSE))</f>
        <v/>
      </c>
      <c r="F612" s="7" t="str">
        <f>IF(Plantilla_SCAN_EQ3_COUNT_2[[#This Row],[ID MATERIAL]]="","",IF(Plantilla_SCAN_EQ3_COUNT_2[[#This Row],[No. Empaques]]="",1,Plantilla_SCAN_EQ3_COUNT_2[[#This Row],[No. Empaques]]*1))</f>
        <v/>
      </c>
      <c r="G612" s="7" t="str">
        <f>IF(Plantilla_SCAN_EQ3_COUNT_2[[#This Row],[ID MATERIAL]]="","","PZ")</f>
        <v/>
      </c>
      <c r="H612" s="7" t="str">
        <f>IF(Plantilla_SCAN_EQ3_COUNT_2[[#This Row],[ID MATERIAL]]="","",$B$13)</f>
        <v/>
      </c>
      <c r="I612" s="7" t="str">
        <f>IF(Plantilla_SCAN_EQ3_COUNT_2[[#This Row],[ID MATERIAL]]="","","Segundo Conteo")</f>
        <v/>
      </c>
    </row>
    <row r="613" spans="1:9" s="7" customFormat="1" ht="15" x14ac:dyDescent="0.2">
      <c r="A613" s="7" t="str">
        <f>IF(Plantilla_SCAN_EQ3_COUNT_2[[#This Row],[ID MATERIAL]]="","",SIGN(Plantilla_SCAN_EQ3_COUNT_2[[#This Row],[Cantidad]])+A612)</f>
        <v/>
      </c>
      <c r="B613" s="21" t="str">
        <f>IF(Plantilla_SCAN_EQ3_COUNT_2[[#This Row],[ID MATERIAL]]="","",B612)</f>
        <v/>
      </c>
      <c r="C613" s="21"/>
      <c r="D613" s="21"/>
      <c r="E613" s="7" t="str">
        <f>IF(Plantilla_SCAN_EQ3_COUNT_2[[#This Row],[ID MATERIAL]]="","",VLOOKUP(Plantilla_SCAN_EQ3_COUNT_2[[#This Row],[ID MATERIAL]],INVENTARIO!$A:$D,2,FALSE))</f>
        <v/>
      </c>
      <c r="F613" s="7" t="str">
        <f>IF(Plantilla_SCAN_EQ3_COUNT_2[[#This Row],[ID MATERIAL]]="","",IF(Plantilla_SCAN_EQ3_COUNT_2[[#This Row],[No. Empaques]]="",1,Plantilla_SCAN_EQ3_COUNT_2[[#This Row],[No. Empaques]]*1))</f>
        <v/>
      </c>
      <c r="G613" s="7" t="str">
        <f>IF(Plantilla_SCAN_EQ3_COUNT_2[[#This Row],[ID MATERIAL]]="","","PZ")</f>
        <v/>
      </c>
      <c r="H613" s="7" t="str">
        <f>IF(Plantilla_SCAN_EQ3_COUNT_2[[#This Row],[ID MATERIAL]]="","",$B$13)</f>
        <v/>
      </c>
      <c r="I613" s="7" t="str">
        <f>IF(Plantilla_SCAN_EQ3_COUNT_2[[#This Row],[ID MATERIAL]]="","","Segundo Conteo")</f>
        <v/>
      </c>
    </row>
    <row r="614" spans="1:9" s="7" customFormat="1" ht="15" x14ac:dyDescent="0.2">
      <c r="A614" s="7" t="str">
        <f>IF(Plantilla_SCAN_EQ3_COUNT_2[[#This Row],[ID MATERIAL]]="","",SIGN(Plantilla_SCAN_EQ3_COUNT_2[[#This Row],[Cantidad]])+A613)</f>
        <v/>
      </c>
      <c r="B614" s="21" t="str">
        <f>IF(Plantilla_SCAN_EQ3_COUNT_2[[#This Row],[ID MATERIAL]]="","",B613)</f>
        <v/>
      </c>
      <c r="C614" s="21"/>
      <c r="D614" s="21"/>
      <c r="E614" s="7" t="str">
        <f>IF(Plantilla_SCAN_EQ3_COUNT_2[[#This Row],[ID MATERIAL]]="","",VLOOKUP(Plantilla_SCAN_EQ3_COUNT_2[[#This Row],[ID MATERIAL]],INVENTARIO!$A:$D,2,FALSE))</f>
        <v/>
      </c>
      <c r="F614" s="7" t="str">
        <f>IF(Plantilla_SCAN_EQ3_COUNT_2[[#This Row],[ID MATERIAL]]="","",IF(Plantilla_SCAN_EQ3_COUNT_2[[#This Row],[No. Empaques]]="",1,Plantilla_SCAN_EQ3_COUNT_2[[#This Row],[No. Empaques]]*1))</f>
        <v/>
      </c>
      <c r="G614" s="7" t="str">
        <f>IF(Plantilla_SCAN_EQ3_COUNT_2[[#This Row],[ID MATERIAL]]="","","PZ")</f>
        <v/>
      </c>
      <c r="H614" s="7" t="str">
        <f>IF(Plantilla_SCAN_EQ3_COUNT_2[[#This Row],[ID MATERIAL]]="","",$B$13)</f>
        <v/>
      </c>
      <c r="I614" s="7" t="str">
        <f>IF(Plantilla_SCAN_EQ3_COUNT_2[[#This Row],[ID MATERIAL]]="","","Segundo Conteo")</f>
        <v/>
      </c>
    </row>
    <row r="615" spans="1:9" s="7" customFormat="1" ht="15" x14ac:dyDescent="0.2">
      <c r="A615" s="7" t="str">
        <f>IF(Plantilla_SCAN_EQ3_COUNT_2[[#This Row],[ID MATERIAL]]="","",SIGN(Plantilla_SCAN_EQ3_COUNT_2[[#This Row],[Cantidad]])+A614)</f>
        <v/>
      </c>
      <c r="B615" s="21" t="str">
        <f>IF(Plantilla_SCAN_EQ3_COUNT_2[[#This Row],[ID MATERIAL]]="","",B614)</f>
        <v/>
      </c>
      <c r="C615" s="21"/>
      <c r="D615" s="21"/>
      <c r="E615" s="7" t="str">
        <f>IF(Plantilla_SCAN_EQ3_COUNT_2[[#This Row],[ID MATERIAL]]="","",VLOOKUP(Plantilla_SCAN_EQ3_COUNT_2[[#This Row],[ID MATERIAL]],INVENTARIO!$A:$D,2,FALSE))</f>
        <v/>
      </c>
      <c r="F615" s="7" t="str">
        <f>IF(Plantilla_SCAN_EQ3_COUNT_2[[#This Row],[ID MATERIAL]]="","",IF(Plantilla_SCAN_EQ3_COUNT_2[[#This Row],[No. Empaques]]="",1,Plantilla_SCAN_EQ3_COUNT_2[[#This Row],[No. Empaques]]*1))</f>
        <v/>
      </c>
      <c r="G615" s="7" t="str">
        <f>IF(Plantilla_SCAN_EQ3_COUNT_2[[#This Row],[ID MATERIAL]]="","","PZ")</f>
        <v/>
      </c>
      <c r="H615" s="7" t="str">
        <f>IF(Plantilla_SCAN_EQ3_COUNT_2[[#This Row],[ID MATERIAL]]="","",$B$13)</f>
        <v/>
      </c>
      <c r="I615" s="7" t="str">
        <f>IF(Plantilla_SCAN_EQ3_COUNT_2[[#This Row],[ID MATERIAL]]="","","Segundo Conteo")</f>
        <v/>
      </c>
    </row>
    <row r="616" spans="1:9" s="7" customFormat="1" ht="15" x14ac:dyDescent="0.2">
      <c r="A616" s="7" t="str">
        <f>IF(Plantilla_SCAN_EQ3_COUNT_2[[#This Row],[ID MATERIAL]]="","",SIGN(Plantilla_SCAN_EQ3_COUNT_2[[#This Row],[Cantidad]])+A615)</f>
        <v/>
      </c>
      <c r="B616" s="21" t="str">
        <f>IF(Plantilla_SCAN_EQ3_COUNT_2[[#This Row],[ID MATERIAL]]="","",B615)</f>
        <v/>
      </c>
      <c r="C616" s="21"/>
      <c r="D616" s="21"/>
      <c r="E616" s="7" t="str">
        <f>IF(Plantilla_SCAN_EQ3_COUNT_2[[#This Row],[ID MATERIAL]]="","",VLOOKUP(Plantilla_SCAN_EQ3_COUNT_2[[#This Row],[ID MATERIAL]],INVENTARIO!$A:$D,2,FALSE))</f>
        <v/>
      </c>
      <c r="F616" s="7" t="str">
        <f>IF(Plantilla_SCAN_EQ3_COUNT_2[[#This Row],[ID MATERIAL]]="","",IF(Plantilla_SCAN_EQ3_COUNT_2[[#This Row],[No. Empaques]]="",1,Plantilla_SCAN_EQ3_COUNT_2[[#This Row],[No. Empaques]]*1))</f>
        <v/>
      </c>
      <c r="G616" s="7" t="str">
        <f>IF(Plantilla_SCAN_EQ3_COUNT_2[[#This Row],[ID MATERIAL]]="","","PZ")</f>
        <v/>
      </c>
      <c r="H616" s="7" t="str">
        <f>IF(Plantilla_SCAN_EQ3_COUNT_2[[#This Row],[ID MATERIAL]]="","",$B$13)</f>
        <v/>
      </c>
      <c r="I616" s="7" t="str">
        <f>IF(Plantilla_SCAN_EQ3_COUNT_2[[#This Row],[ID MATERIAL]]="","","Segundo Conteo")</f>
        <v/>
      </c>
    </row>
    <row r="617" spans="1:9" s="7" customFormat="1" ht="15" x14ac:dyDescent="0.2">
      <c r="A617" s="7" t="str">
        <f>IF(Plantilla_SCAN_EQ3_COUNT_2[[#This Row],[ID MATERIAL]]="","",SIGN(Plantilla_SCAN_EQ3_COUNT_2[[#This Row],[Cantidad]])+A616)</f>
        <v/>
      </c>
      <c r="B617" s="21" t="str">
        <f>IF(Plantilla_SCAN_EQ3_COUNT_2[[#This Row],[ID MATERIAL]]="","",B616)</f>
        <v/>
      </c>
      <c r="C617" s="21"/>
      <c r="D617" s="21"/>
      <c r="E617" s="7" t="str">
        <f>IF(Plantilla_SCAN_EQ3_COUNT_2[[#This Row],[ID MATERIAL]]="","",VLOOKUP(Plantilla_SCAN_EQ3_COUNT_2[[#This Row],[ID MATERIAL]],INVENTARIO!$A:$D,2,FALSE))</f>
        <v/>
      </c>
      <c r="F617" s="7" t="str">
        <f>IF(Plantilla_SCAN_EQ3_COUNT_2[[#This Row],[ID MATERIAL]]="","",IF(Plantilla_SCAN_EQ3_COUNT_2[[#This Row],[No. Empaques]]="",1,Plantilla_SCAN_EQ3_COUNT_2[[#This Row],[No. Empaques]]*1))</f>
        <v/>
      </c>
      <c r="G617" s="7" t="str">
        <f>IF(Plantilla_SCAN_EQ3_COUNT_2[[#This Row],[ID MATERIAL]]="","","PZ")</f>
        <v/>
      </c>
      <c r="H617" s="7" t="str">
        <f>IF(Plantilla_SCAN_EQ3_COUNT_2[[#This Row],[ID MATERIAL]]="","",$B$13)</f>
        <v/>
      </c>
      <c r="I617" s="7" t="str">
        <f>IF(Plantilla_SCAN_EQ3_COUNT_2[[#This Row],[ID MATERIAL]]="","","Segundo Conteo")</f>
        <v/>
      </c>
    </row>
    <row r="618" spans="1:9" s="7" customFormat="1" ht="15" x14ac:dyDescent="0.2">
      <c r="A618" s="7" t="str">
        <f>IF(Plantilla_SCAN_EQ3_COUNT_2[[#This Row],[ID MATERIAL]]="","",SIGN(Plantilla_SCAN_EQ3_COUNT_2[[#This Row],[Cantidad]])+A617)</f>
        <v/>
      </c>
      <c r="B618" s="21" t="str">
        <f>IF(Plantilla_SCAN_EQ3_COUNT_2[[#This Row],[ID MATERIAL]]="","",B617)</f>
        <v/>
      </c>
      <c r="C618" s="21"/>
      <c r="D618" s="21"/>
      <c r="E618" s="7" t="str">
        <f>IF(Plantilla_SCAN_EQ3_COUNT_2[[#This Row],[ID MATERIAL]]="","",VLOOKUP(Plantilla_SCAN_EQ3_COUNT_2[[#This Row],[ID MATERIAL]],INVENTARIO!$A:$D,2,FALSE))</f>
        <v/>
      </c>
      <c r="F618" s="7" t="str">
        <f>IF(Plantilla_SCAN_EQ3_COUNT_2[[#This Row],[ID MATERIAL]]="","",IF(Plantilla_SCAN_EQ3_COUNT_2[[#This Row],[No. Empaques]]="",1,Plantilla_SCAN_EQ3_COUNT_2[[#This Row],[No. Empaques]]*1))</f>
        <v/>
      </c>
      <c r="G618" s="7" t="str">
        <f>IF(Plantilla_SCAN_EQ3_COUNT_2[[#This Row],[ID MATERIAL]]="","","PZ")</f>
        <v/>
      </c>
      <c r="H618" s="7" t="str">
        <f>IF(Plantilla_SCAN_EQ3_COUNT_2[[#This Row],[ID MATERIAL]]="","",$B$13)</f>
        <v/>
      </c>
      <c r="I618" s="7" t="str">
        <f>IF(Plantilla_SCAN_EQ3_COUNT_2[[#This Row],[ID MATERIAL]]="","","Segundo Conteo")</f>
        <v/>
      </c>
    </row>
    <row r="619" spans="1:9" s="7" customFormat="1" ht="15" x14ac:dyDescent="0.2">
      <c r="A619" s="7" t="str">
        <f>IF(Plantilla_SCAN_EQ3_COUNT_2[[#This Row],[ID MATERIAL]]="","",SIGN(Plantilla_SCAN_EQ3_COUNT_2[[#This Row],[Cantidad]])+A618)</f>
        <v/>
      </c>
      <c r="B619" s="21" t="str">
        <f>IF(Plantilla_SCAN_EQ3_COUNT_2[[#This Row],[ID MATERIAL]]="","",B618)</f>
        <v/>
      </c>
      <c r="C619" s="21"/>
      <c r="D619" s="21"/>
      <c r="E619" s="7" t="str">
        <f>IF(Plantilla_SCAN_EQ3_COUNT_2[[#This Row],[ID MATERIAL]]="","",VLOOKUP(Plantilla_SCAN_EQ3_COUNT_2[[#This Row],[ID MATERIAL]],INVENTARIO!$A:$D,2,FALSE))</f>
        <v/>
      </c>
      <c r="F619" s="7" t="str">
        <f>IF(Plantilla_SCAN_EQ3_COUNT_2[[#This Row],[ID MATERIAL]]="","",IF(Plantilla_SCAN_EQ3_COUNT_2[[#This Row],[No. Empaques]]="",1,Plantilla_SCAN_EQ3_COUNT_2[[#This Row],[No. Empaques]]*1))</f>
        <v/>
      </c>
      <c r="G619" s="7" t="str">
        <f>IF(Plantilla_SCAN_EQ3_COUNT_2[[#This Row],[ID MATERIAL]]="","","PZ")</f>
        <v/>
      </c>
      <c r="H619" s="7" t="str">
        <f>IF(Plantilla_SCAN_EQ3_COUNT_2[[#This Row],[ID MATERIAL]]="","",$B$13)</f>
        <v/>
      </c>
      <c r="I619" s="7" t="str">
        <f>IF(Plantilla_SCAN_EQ3_COUNT_2[[#This Row],[ID MATERIAL]]="","","Segundo Conteo")</f>
        <v/>
      </c>
    </row>
    <row r="620" spans="1:9" s="7" customFormat="1" ht="15" x14ac:dyDescent="0.2">
      <c r="A620" s="7" t="str">
        <f>IF(Plantilla_SCAN_EQ3_COUNT_2[[#This Row],[ID MATERIAL]]="","",SIGN(Plantilla_SCAN_EQ3_COUNT_2[[#This Row],[Cantidad]])+A619)</f>
        <v/>
      </c>
      <c r="B620" s="21" t="str">
        <f>IF(Plantilla_SCAN_EQ3_COUNT_2[[#This Row],[ID MATERIAL]]="","",B619)</f>
        <v/>
      </c>
      <c r="C620" s="21"/>
      <c r="D620" s="21"/>
      <c r="E620" s="7" t="str">
        <f>IF(Plantilla_SCAN_EQ3_COUNT_2[[#This Row],[ID MATERIAL]]="","",VLOOKUP(Plantilla_SCAN_EQ3_COUNT_2[[#This Row],[ID MATERIAL]],INVENTARIO!$A:$D,2,FALSE))</f>
        <v/>
      </c>
      <c r="F620" s="7" t="str">
        <f>IF(Plantilla_SCAN_EQ3_COUNT_2[[#This Row],[ID MATERIAL]]="","",IF(Plantilla_SCAN_EQ3_COUNT_2[[#This Row],[No. Empaques]]="",1,Plantilla_SCAN_EQ3_COUNT_2[[#This Row],[No. Empaques]]*1))</f>
        <v/>
      </c>
      <c r="G620" s="7" t="str">
        <f>IF(Plantilla_SCAN_EQ3_COUNT_2[[#This Row],[ID MATERIAL]]="","","PZ")</f>
        <v/>
      </c>
      <c r="H620" s="7" t="str">
        <f>IF(Plantilla_SCAN_EQ3_COUNT_2[[#This Row],[ID MATERIAL]]="","",$B$13)</f>
        <v/>
      </c>
      <c r="I620" s="7" t="str">
        <f>IF(Plantilla_SCAN_EQ3_COUNT_2[[#This Row],[ID MATERIAL]]="","","Segundo Conteo")</f>
        <v/>
      </c>
    </row>
    <row r="621" spans="1:9" s="7" customFormat="1" ht="15" x14ac:dyDescent="0.2">
      <c r="A621" s="7" t="str">
        <f>IF(Plantilla_SCAN_EQ3_COUNT_2[[#This Row],[ID MATERIAL]]="","",SIGN(Plantilla_SCAN_EQ3_COUNT_2[[#This Row],[Cantidad]])+A620)</f>
        <v/>
      </c>
      <c r="B621" s="21" t="str">
        <f>IF(Plantilla_SCAN_EQ3_COUNT_2[[#This Row],[ID MATERIAL]]="","",B620)</f>
        <v/>
      </c>
      <c r="C621" s="21"/>
      <c r="D621" s="21"/>
      <c r="E621" s="7" t="str">
        <f>IF(Plantilla_SCAN_EQ3_COUNT_2[[#This Row],[ID MATERIAL]]="","",VLOOKUP(Plantilla_SCAN_EQ3_COUNT_2[[#This Row],[ID MATERIAL]],INVENTARIO!$A:$D,2,FALSE))</f>
        <v/>
      </c>
      <c r="F621" s="7" t="str">
        <f>IF(Plantilla_SCAN_EQ3_COUNT_2[[#This Row],[ID MATERIAL]]="","",IF(Plantilla_SCAN_EQ3_COUNT_2[[#This Row],[No. Empaques]]="",1,Plantilla_SCAN_EQ3_COUNT_2[[#This Row],[No. Empaques]]*1))</f>
        <v/>
      </c>
      <c r="G621" s="7" t="str">
        <f>IF(Plantilla_SCAN_EQ3_COUNT_2[[#This Row],[ID MATERIAL]]="","","PZ")</f>
        <v/>
      </c>
      <c r="H621" s="7" t="str">
        <f>IF(Plantilla_SCAN_EQ3_COUNT_2[[#This Row],[ID MATERIAL]]="","",$B$13)</f>
        <v/>
      </c>
      <c r="I621" s="7" t="str">
        <f>IF(Plantilla_SCAN_EQ3_COUNT_2[[#This Row],[ID MATERIAL]]="","","Segundo Conteo")</f>
        <v/>
      </c>
    </row>
    <row r="622" spans="1:9" s="7" customFormat="1" ht="15" x14ac:dyDescent="0.2">
      <c r="A622" s="7" t="str">
        <f>IF(Plantilla_SCAN_EQ3_COUNT_2[[#This Row],[ID MATERIAL]]="","",SIGN(Plantilla_SCAN_EQ3_COUNT_2[[#This Row],[Cantidad]])+A621)</f>
        <v/>
      </c>
      <c r="B622" s="21" t="str">
        <f>IF(Plantilla_SCAN_EQ3_COUNT_2[[#This Row],[ID MATERIAL]]="","",B621)</f>
        <v/>
      </c>
      <c r="C622" s="21"/>
      <c r="D622" s="21"/>
      <c r="E622" s="7" t="str">
        <f>IF(Plantilla_SCAN_EQ3_COUNT_2[[#This Row],[ID MATERIAL]]="","",VLOOKUP(Plantilla_SCAN_EQ3_COUNT_2[[#This Row],[ID MATERIAL]],INVENTARIO!$A:$D,2,FALSE))</f>
        <v/>
      </c>
      <c r="F622" s="7" t="str">
        <f>IF(Plantilla_SCAN_EQ3_COUNT_2[[#This Row],[ID MATERIAL]]="","",IF(Plantilla_SCAN_EQ3_COUNT_2[[#This Row],[No. Empaques]]="",1,Plantilla_SCAN_EQ3_COUNT_2[[#This Row],[No. Empaques]]*1))</f>
        <v/>
      </c>
      <c r="G622" s="7" t="str">
        <f>IF(Plantilla_SCAN_EQ3_COUNT_2[[#This Row],[ID MATERIAL]]="","","PZ")</f>
        <v/>
      </c>
      <c r="H622" s="7" t="str">
        <f>IF(Plantilla_SCAN_EQ3_COUNT_2[[#This Row],[ID MATERIAL]]="","",$B$13)</f>
        <v/>
      </c>
      <c r="I622" s="7" t="str">
        <f>IF(Plantilla_SCAN_EQ3_COUNT_2[[#This Row],[ID MATERIAL]]="","","Segundo Conteo")</f>
        <v/>
      </c>
    </row>
    <row r="623" spans="1:9" s="7" customFormat="1" ht="15" x14ac:dyDescent="0.2">
      <c r="A623" s="7" t="str">
        <f>IF(Plantilla_SCAN_EQ3_COUNT_2[[#This Row],[ID MATERIAL]]="","",SIGN(Plantilla_SCAN_EQ3_COUNT_2[[#This Row],[Cantidad]])+A622)</f>
        <v/>
      </c>
      <c r="B623" s="21" t="str">
        <f>IF(Plantilla_SCAN_EQ3_COUNT_2[[#This Row],[ID MATERIAL]]="","",B622)</f>
        <v/>
      </c>
      <c r="C623" s="21"/>
      <c r="D623" s="21"/>
      <c r="E623" s="7" t="str">
        <f>IF(Plantilla_SCAN_EQ3_COUNT_2[[#This Row],[ID MATERIAL]]="","",VLOOKUP(Plantilla_SCAN_EQ3_COUNT_2[[#This Row],[ID MATERIAL]],INVENTARIO!$A:$D,2,FALSE))</f>
        <v/>
      </c>
      <c r="F623" s="7" t="str">
        <f>IF(Plantilla_SCAN_EQ3_COUNT_2[[#This Row],[ID MATERIAL]]="","",IF(Plantilla_SCAN_EQ3_COUNT_2[[#This Row],[No. Empaques]]="",1,Plantilla_SCAN_EQ3_COUNT_2[[#This Row],[No. Empaques]]*1))</f>
        <v/>
      </c>
      <c r="G623" s="7" t="str">
        <f>IF(Plantilla_SCAN_EQ3_COUNT_2[[#This Row],[ID MATERIAL]]="","","PZ")</f>
        <v/>
      </c>
      <c r="H623" s="7" t="str">
        <f>IF(Plantilla_SCAN_EQ3_COUNT_2[[#This Row],[ID MATERIAL]]="","",$B$13)</f>
        <v/>
      </c>
      <c r="I623" s="7" t="str">
        <f>IF(Plantilla_SCAN_EQ3_COUNT_2[[#This Row],[ID MATERIAL]]="","","Segundo Conteo")</f>
        <v/>
      </c>
    </row>
    <row r="624" spans="1:9" s="7" customFormat="1" ht="15" x14ac:dyDescent="0.2">
      <c r="A624" s="7" t="str">
        <f>IF(Plantilla_SCAN_EQ3_COUNT_2[[#This Row],[ID MATERIAL]]="","",SIGN(Plantilla_SCAN_EQ3_COUNT_2[[#This Row],[Cantidad]])+A623)</f>
        <v/>
      </c>
      <c r="B624" s="21" t="str">
        <f>IF(Plantilla_SCAN_EQ3_COUNT_2[[#This Row],[ID MATERIAL]]="","",B623)</f>
        <v/>
      </c>
      <c r="C624" s="21"/>
      <c r="D624" s="21"/>
      <c r="E624" s="7" t="str">
        <f>IF(Plantilla_SCAN_EQ3_COUNT_2[[#This Row],[ID MATERIAL]]="","",VLOOKUP(Plantilla_SCAN_EQ3_COUNT_2[[#This Row],[ID MATERIAL]],INVENTARIO!$A:$D,2,FALSE))</f>
        <v/>
      </c>
      <c r="F624" s="7" t="str">
        <f>IF(Plantilla_SCAN_EQ3_COUNT_2[[#This Row],[ID MATERIAL]]="","",IF(Plantilla_SCAN_EQ3_COUNT_2[[#This Row],[No. Empaques]]="",1,Plantilla_SCAN_EQ3_COUNT_2[[#This Row],[No. Empaques]]*1))</f>
        <v/>
      </c>
      <c r="G624" s="7" t="str">
        <f>IF(Plantilla_SCAN_EQ3_COUNT_2[[#This Row],[ID MATERIAL]]="","","PZ")</f>
        <v/>
      </c>
      <c r="H624" s="7" t="str">
        <f>IF(Plantilla_SCAN_EQ3_COUNT_2[[#This Row],[ID MATERIAL]]="","",$B$13)</f>
        <v/>
      </c>
      <c r="I624" s="7" t="str">
        <f>IF(Plantilla_SCAN_EQ3_COUNT_2[[#This Row],[ID MATERIAL]]="","","Segundo Conteo")</f>
        <v/>
      </c>
    </row>
    <row r="625" spans="1:9" s="7" customFormat="1" ht="15" x14ac:dyDescent="0.2">
      <c r="A625" s="7" t="str">
        <f>IF(Plantilla_SCAN_EQ3_COUNT_2[[#This Row],[ID MATERIAL]]="","",SIGN(Plantilla_SCAN_EQ3_COUNT_2[[#This Row],[Cantidad]])+A624)</f>
        <v/>
      </c>
      <c r="B625" s="21" t="str">
        <f>IF(Plantilla_SCAN_EQ3_COUNT_2[[#This Row],[ID MATERIAL]]="","",B624)</f>
        <v/>
      </c>
      <c r="C625" s="21"/>
      <c r="D625" s="21"/>
      <c r="E625" s="7" t="str">
        <f>IF(Plantilla_SCAN_EQ3_COUNT_2[[#This Row],[ID MATERIAL]]="","",VLOOKUP(Plantilla_SCAN_EQ3_COUNT_2[[#This Row],[ID MATERIAL]],INVENTARIO!$A:$D,2,FALSE))</f>
        <v/>
      </c>
      <c r="F625" s="7" t="str">
        <f>IF(Plantilla_SCAN_EQ3_COUNT_2[[#This Row],[ID MATERIAL]]="","",IF(Plantilla_SCAN_EQ3_COUNT_2[[#This Row],[No. Empaques]]="",1,Plantilla_SCAN_EQ3_COUNT_2[[#This Row],[No. Empaques]]*1))</f>
        <v/>
      </c>
      <c r="G625" s="7" t="str">
        <f>IF(Plantilla_SCAN_EQ3_COUNT_2[[#This Row],[ID MATERIAL]]="","","PZ")</f>
        <v/>
      </c>
      <c r="H625" s="7" t="str">
        <f>IF(Plantilla_SCAN_EQ3_COUNT_2[[#This Row],[ID MATERIAL]]="","",$B$13)</f>
        <v/>
      </c>
      <c r="I625" s="7" t="str">
        <f>IF(Plantilla_SCAN_EQ3_COUNT_2[[#This Row],[ID MATERIAL]]="","","Segundo Conteo")</f>
        <v/>
      </c>
    </row>
    <row r="626" spans="1:9" s="7" customFormat="1" ht="15" x14ac:dyDescent="0.2">
      <c r="A626" s="7" t="str">
        <f>IF(Plantilla_SCAN_EQ3_COUNT_2[[#This Row],[ID MATERIAL]]="","",SIGN(Plantilla_SCAN_EQ3_COUNT_2[[#This Row],[Cantidad]])+A625)</f>
        <v/>
      </c>
      <c r="B626" s="21" t="str">
        <f>IF(Plantilla_SCAN_EQ3_COUNT_2[[#This Row],[ID MATERIAL]]="","",B625)</f>
        <v/>
      </c>
      <c r="C626" s="21"/>
      <c r="D626" s="21"/>
      <c r="E626" s="7" t="str">
        <f>IF(Plantilla_SCAN_EQ3_COUNT_2[[#This Row],[ID MATERIAL]]="","",VLOOKUP(Plantilla_SCAN_EQ3_COUNT_2[[#This Row],[ID MATERIAL]],INVENTARIO!$A:$D,2,FALSE))</f>
        <v/>
      </c>
      <c r="F626" s="7" t="str">
        <f>IF(Plantilla_SCAN_EQ3_COUNT_2[[#This Row],[ID MATERIAL]]="","",IF(Plantilla_SCAN_EQ3_COUNT_2[[#This Row],[No. Empaques]]="",1,Plantilla_SCAN_EQ3_COUNT_2[[#This Row],[No. Empaques]]*1))</f>
        <v/>
      </c>
      <c r="G626" s="7" t="str">
        <f>IF(Plantilla_SCAN_EQ3_COUNT_2[[#This Row],[ID MATERIAL]]="","","PZ")</f>
        <v/>
      </c>
      <c r="H626" s="7" t="str">
        <f>IF(Plantilla_SCAN_EQ3_COUNT_2[[#This Row],[ID MATERIAL]]="","",$B$13)</f>
        <v/>
      </c>
      <c r="I626" s="7" t="str">
        <f>IF(Plantilla_SCAN_EQ3_COUNT_2[[#This Row],[ID MATERIAL]]="","","Segundo Conteo")</f>
        <v/>
      </c>
    </row>
    <row r="627" spans="1:9" s="7" customFormat="1" ht="15" x14ac:dyDescent="0.2">
      <c r="A627" s="7" t="str">
        <f>IF(Plantilla_SCAN_EQ3_COUNT_2[[#This Row],[ID MATERIAL]]="","",SIGN(Plantilla_SCAN_EQ3_COUNT_2[[#This Row],[Cantidad]])+A626)</f>
        <v/>
      </c>
      <c r="B627" s="21" t="str">
        <f>IF(Plantilla_SCAN_EQ3_COUNT_2[[#This Row],[ID MATERIAL]]="","",B626)</f>
        <v/>
      </c>
      <c r="C627" s="21"/>
      <c r="D627" s="21"/>
      <c r="E627" s="7" t="str">
        <f>IF(Plantilla_SCAN_EQ3_COUNT_2[[#This Row],[ID MATERIAL]]="","",VLOOKUP(Plantilla_SCAN_EQ3_COUNT_2[[#This Row],[ID MATERIAL]],INVENTARIO!$A:$D,2,FALSE))</f>
        <v/>
      </c>
      <c r="F627" s="7" t="str">
        <f>IF(Plantilla_SCAN_EQ3_COUNT_2[[#This Row],[ID MATERIAL]]="","",IF(Plantilla_SCAN_EQ3_COUNT_2[[#This Row],[No. Empaques]]="",1,Plantilla_SCAN_EQ3_COUNT_2[[#This Row],[No. Empaques]]*1))</f>
        <v/>
      </c>
      <c r="G627" s="7" t="str">
        <f>IF(Plantilla_SCAN_EQ3_COUNT_2[[#This Row],[ID MATERIAL]]="","","PZ")</f>
        <v/>
      </c>
      <c r="H627" s="7" t="str">
        <f>IF(Plantilla_SCAN_EQ3_COUNT_2[[#This Row],[ID MATERIAL]]="","",$B$13)</f>
        <v/>
      </c>
      <c r="I627" s="7" t="str">
        <f>IF(Plantilla_SCAN_EQ3_COUNT_2[[#This Row],[ID MATERIAL]]="","","Segundo Conteo")</f>
        <v/>
      </c>
    </row>
    <row r="628" spans="1:9" s="7" customFormat="1" ht="15" x14ac:dyDescent="0.2">
      <c r="A628" s="7" t="str">
        <f>IF(Plantilla_SCAN_EQ3_COUNT_2[[#This Row],[ID MATERIAL]]="","",SIGN(Plantilla_SCAN_EQ3_COUNT_2[[#This Row],[Cantidad]])+A627)</f>
        <v/>
      </c>
      <c r="B628" s="21" t="str">
        <f>IF(Plantilla_SCAN_EQ3_COUNT_2[[#This Row],[ID MATERIAL]]="","",B627)</f>
        <v/>
      </c>
      <c r="C628" s="21"/>
      <c r="D628" s="21"/>
      <c r="E628" s="7" t="str">
        <f>IF(Plantilla_SCAN_EQ3_COUNT_2[[#This Row],[ID MATERIAL]]="","",VLOOKUP(Plantilla_SCAN_EQ3_COUNT_2[[#This Row],[ID MATERIAL]],INVENTARIO!$A:$D,2,FALSE))</f>
        <v/>
      </c>
      <c r="F628" s="7" t="str">
        <f>IF(Plantilla_SCAN_EQ3_COUNT_2[[#This Row],[ID MATERIAL]]="","",IF(Plantilla_SCAN_EQ3_COUNT_2[[#This Row],[No. Empaques]]="",1,Plantilla_SCAN_EQ3_COUNT_2[[#This Row],[No. Empaques]]*1))</f>
        <v/>
      </c>
      <c r="G628" s="7" t="str">
        <f>IF(Plantilla_SCAN_EQ3_COUNT_2[[#This Row],[ID MATERIAL]]="","","PZ")</f>
        <v/>
      </c>
      <c r="H628" s="7" t="str">
        <f>IF(Plantilla_SCAN_EQ3_COUNT_2[[#This Row],[ID MATERIAL]]="","",$B$13)</f>
        <v/>
      </c>
      <c r="I628" s="7" t="str">
        <f>IF(Plantilla_SCAN_EQ3_COUNT_2[[#This Row],[ID MATERIAL]]="","","Segundo Conteo")</f>
        <v/>
      </c>
    </row>
    <row r="629" spans="1:9" s="7" customFormat="1" ht="15" x14ac:dyDescent="0.2">
      <c r="A629" s="7" t="str">
        <f>IF(Plantilla_SCAN_EQ3_COUNT_2[[#This Row],[ID MATERIAL]]="","",SIGN(Plantilla_SCAN_EQ3_COUNT_2[[#This Row],[Cantidad]])+A628)</f>
        <v/>
      </c>
      <c r="B629" s="21" t="str">
        <f>IF(Plantilla_SCAN_EQ3_COUNT_2[[#This Row],[ID MATERIAL]]="","",B628)</f>
        <v/>
      </c>
      <c r="C629" s="21"/>
      <c r="D629" s="21"/>
      <c r="E629" s="7" t="str">
        <f>IF(Plantilla_SCAN_EQ3_COUNT_2[[#This Row],[ID MATERIAL]]="","",VLOOKUP(Plantilla_SCAN_EQ3_COUNT_2[[#This Row],[ID MATERIAL]],INVENTARIO!$A:$D,2,FALSE))</f>
        <v/>
      </c>
      <c r="F629" s="7" t="str">
        <f>IF(Plantilla_SCAN_EQ3_COUNT_2[[#This Row],[ID MATERIAL]]="","",IF(Plantilla_SCAN_EQ3_COUNT_2[[#This Row],[No. Empaques]]="",1,Plantilla_SCAN_EQ3_COUNT_2[[#This Row],[No. Empaques]]*1))</f>
        <v/>
      </c>
      <c r="G629" s="7" t="str">
        <f>IF(Plantilla_SCAN_EQ3_COUNT_2[[#This Row],[ID MATERIAL]]="","","PZ")</f>
        <v/>
      </c>
      <c r="H629" s="7" t="str">
        <f>IF(Plantilla_SCAN_EQ3_COUNT_2[[#This Row],[ID MATERIAL]]="","",$B$13)</f>
        <v/>
      </c>
      <c r="I629" s="7" t="str">
        <f>IF(Plantilla_SCAN_EQ3_COUNT_2[[#This Row],[ID MATERIAL]]="","","Segundo Conteo")</f>
        <v/>
      </c>
    </row>
    <row r="630" spans="1:9" s="7" customFormat="1" ht="15" x14ac:dyDescent="0.2">
      <c r="A630" s="7" t="str">
        <f>IF(Plantilla_SCAN_EQ3_COUNT_2[[#This Row],[ID MATERIAL]]="","",SIGN(Plantilla_SCAN_EQ3_COUNT_2[[#This Row],[Cantidad]])+A629)</f>
        <v/>
      </c>
      <c r="B630" s="21" t="str">
        <f>IF(Plantilla_SCAN_EQ3_COUNT_2[[#This Row],[ID MATERIAL]]="","",B629)</f>
        <v/>
      </c>
      <c r="C630" s="21"/>
      <c r="D630" s="21"/>
      <c r="E630" s="7" t="str">
        <f>IF(Plantilla_SCAN_EQ3_COUNT_2[[#This Row],[ID MATERIAL]]="","",VLOOKUP(Plantilla_SCAN_EQ3_COUNT_2[[#This Row],[ID MATERIAL]],INVENTARIO!$A:$D,2,FALSE))</f>
        <v/>
      </c>
      <c r="F630" s="7" t="str">
        <f>IF(Plantilla_SCAN_EQ3_COUNT_2[[#This Row],[ID MATERIAL]]="","",IF(Plantilla_SCAN_EQ3_COUNT_2[[#This Row],[No. Empaques]]="",1,Plantilla_SCAN_EQ3_COUNT_2[[#This Row],[No. Empaques]]*1))</f>
        <v/>
      </c>
      <c r="G630" s="7" t="str">
        <f>IF(Plantilla_SCAN_EQ3_COUNT_2[[#This Row],[ID MATERIAL]]="","","PZ")</f>
        <v/>
      </c>
      <c r="H630" s="7" t="str">
        <f>IF(Plantilla_SCAN_EQ3_COUNT_2[[#This Row],[ID MATERIAL]]="","",$B$13)</f>
        <v/>
      </c>
      <c r="I630" s="7" t="str">
        <f>IF(Plantilla_SCAN_EQ3_COUNT_2[[#This Row],[ID MATERIAL]]="","","Segundo Conteo")</f>
        <v/>
      </c>
    </row>
    <row r="631" spans="1:9" s="7" customFormat="1" ht="15" x14ac:dyDescent="0.2">
      <c r="A631" s="7" t="str">
        <f>IF(Plantilla_SCAN_EQ3_COUNT_2[[#This Row],[ID MATERIAL]]="","",SIGN(Plantilla_SCAN_EQ3_COUNT_2[[#This Row],[Cantidad]])+A630)</f>
        <v/>
      </c>
      <c r="B631" s="21" t="str">
        <f>IF(Plantilla_SCAN_EQ3_COUNT_2[[#This Row],[ID MATERIAL]]="","",B630)</f>
        <v/>
      </c>
      <c r="C631" s="21"/>
      <c r="D631" s="21"/>
      <c r="E631" s="7" t="str">
        <f>IF(Plantilla_SCAN_EQ3_COUNT_2[[#This Row],[ID MATERIAL]]="","",VLOOKUP(Plantilla_SCAN_EQ3_COUNT_2[[#This Row],[ID MATERIAL]],INVENTARIO!$A:$D,2,FALSE))</f>
        <v/>
      </c>
      <c r="F631" s="7" t="str">
        <f>IF(Plantilla_SCAN_EQ3_COUNT_2[[#This Row],[ID MATERIAL]]="","",IF(Plantilla_SCAN_EQ3_COUNT_2[[#This Row],[No. Empaques]]="",1,Plantilla_SCAN_EQ3_COUNT_2[[#This Row],[No. Empaques]]*1))</f>
        <v/>
      </c>
      <c r="G631" s="7" t="str">
        <f>IF(Plantilla_SCAN_EQ3_COUNT_2[[#This Row],[ID MATERIAL]]="","","PZ")</f>
        <v/>
      </c>
      <c r="H631" s="7" t="str">
        <f>IF(Plantilla_SCAN_EQ3_COUNT_2[[#This Row],[ID MATERIAL]]="","",$B$13)</f>
        <v/>
      </c>
      <c r="I631" s="7" t="str">
        <f>IF(Plantilla_SCAN_EQ3_COUNT_2[[#This Row],[ID MATERIAL]]="","","Segundo Conteo")</f>
        <v/>
      </c>
    </row>
    <row r="632" spans="1:9" s="7" customFormat="1" ht="15" x14ac:dyDescent="0.2">
      <c r="A632" s="7" t="str">
        <f>IF(Plantilla_SCAN_EQ3_COUNT_2[[#This Row],[ID MATERIAL]]="","",SIGN(Plantilla_SCAN_EQ3_COUNT_2[[#This Row],[Cantidad]])+A631)</f>
        <v/>
      </c>
      <c r="B632" s="21" t="str">
        <f>IF(Plantilla_SCAN_EQ3_COUNT_2[[#This Row],[ID MATERIAL]]="","",B631)</f>
        <v/>
      </c>
      <c r="C632" s="21"/>
      <c r="D632" s="21"/>
      <c r="E632" s="7" t="str">
        <f>IF(Plantilla_SCAN_EQ3_COUNT_2[[#This Row],[ID MATERIAL]]="","",VLOOKUP(Plantilla_SCAN_EQ3_COUNT_2[[#This Row],[ID MATERIAL]],INVENTARIO!$A:$D,2,FALSE))</f>
        <v/>
      </c>
      <c r="F632" s="7" t="str">
        <f>IF(Plantilla_SCAN_EQ3_COUNT_2[[#This Row],[ID MATERIAL]]="","",IF(Plantilla_SCAN_EQ3_COUNT_2[[#This Row],[No. Empaques]]="",1,Plantilla_SCAN_EQ3_COUNT_2[[#This Row],[No. Empaques]]*1))</f>
        <v/>
      </c>
      <c r="G632" s="7" t="str">
        <f>IF(Plantilla_SCAN_EQ3_COUNT_2[[#This Row],[ID MATERIAL]]="","","PZ")</f>
        <v/>
      </c>
      <c r="H632" s="7" t="str">
        <f>IF(Plantilla_SCAN_EQ3_COUNT_2[[#This Row],[ID MATERIAL]]="","",$B$13)</f>
        <v/>
      </c>
      <c r="I632" s="7" t="str">
        <f>IF(Plantilla_SCAN_EQ3_COUNT_2[[#This Row],[ID MATERIAL]]="","","Segundo Conteo")</f>
        <v/>
      </c>
    </row>
    <row r="633" spans="1:9" s="7" customFormat="1" ht="15" x14ac:dyDescent="0.2">
      <c r="A633" s="7" t="str">
        <f>IF(Plantilla_SCAN_EQ3_COUNT_2[[#This Row],[ID MATERIAL]]="","",SIGN(Plantilla_SCAN_EQ3_COUNT_2[[#This Row],[Cantidad]])+A632)</f>
        <v/>
      </c>
      <c r="B633" s="21" t="str">
        <f>IF(Plantilla_SCAN_EQ3_COUNT_2[[#This Row],[ID MATERIAL]]="","",B632)</f>
        <v/>
      </c>
      <c r="C633" s="21"/>
      <c r="D633" s="21"/>
      <c r="E633" s="7" t="str">
        <f>IF(Plantilla_SCAN_EQ3_COUNT_2[[#This Row],[ID MATERIAL]]="","",VLOOKUP(Plantilla_SCAN_EQ3_COUNT_2[[#This Row],[ID MATERIAL]],INVENTARIO!$A:$D,2,FALSE))</f>
        <v/>
      </c>
      <c r="F633" s="7" t="str">
        <f>IF(Plantilla_SCAN_EQ3_COUNT_2[[#This Row],[ID MATERIAL]]="","",IF(Plantilla_SCAN_EQ3_COUNT_2[[#This Row],[No. Empaques]]="",1,Plantilla_SCAN_EQ3_COUNT_2[[#This Row],[No. Empaques]]*1))</f>
        <v/>
      </c>
      <c r="G633" s="7" t="str">
        <f>IF(Plantilla_SCAN_EQ3_COUNT_2[[#This Row],[ID MATERIAL]]="","","PZ")</f>
        <v/>
      </c>
      <c r="H633" s="7" t="str">
        <f>IF(Plantilla_SCAN_EQ3_COUNT_2[[#This Row],[ID MATERIAL]]="","",$B$13)</f>
        <v/>
      </c>
      <c r="I633" s="7" t="str">
        <f>IF(Plantilla_SCAN_EQ3_COUNT_2[[#This Row],[ID MATERIAL]]="","","Segundo Conteo")</f>
        <v/>
      </c>
    </row>
    <row r="634" spans="1:9" s="7" customFormat="1" ht="15" x14ac:dyDescent="0.2">
      <c r="A634" s="7" t="str">
        <f>IF(Plantilla_SCAN_EQ3_COUNT_2[[#This Row],[ID MATERIAL]]="","",SIGN(Plantilla_SCAN_EQ3_COUNT_2[[#This Row],[Cantidad]])+A633)</f>
        <v/>
      </c>
      <c r="B634" s="21" t="str">
        <f>IF(Plantilla_SCAN_EQ3_COUNT_2[[#This Row],[ID MATERIAL]]="","",B633)</f>
        <v/>
      </c>
      <c r="C634" s="21"/>
      <c r="D634" s="21"/>
      <c r="E634" s="7" t="str">
        <f>IF(Plantilla_SCAN_EQ3_COUNT_2[[#This Row],[ID MATERIAL]]="","",VLOOKUP(Plantilla_SCAN_EQ3_COUNT_2[[#This Row],[ID MATERIAL]],INVENTARIO!$A:$D,2,FALSE))</f>
        <v/>
      </c>
      <c r="F634" s="7" t="str">
        <f>IF(Plantilla_SCAN_EQ3_COUNT_2[[#This Row],[ID MATERIAL]]="","",IF(Plantilla_SCAN_EQ3_COUNT_2[[#This Row],[No. Empaques]]="",1,Plantilla_SCAN_EQ3_COUNT_2[[#This Row],[No. Empaques]]*1))</f>
        <v/>
      </c>
      <c r="G634" s="7" t="str">
        <f>IF(Plantilla_SCAN_EQ3_COUNT_2[[#This Row],[ID MATERIAL]]="","","PZ")</f>
        <v/>
      </c>
      <c r="H634" s="7" t="str">
        <f>IF(Plantilla_SCAN_EQ3_COUNT_2[[#This Row],[ID MATERIAL]]="","",$B$13)</f>
        <v/>
      </c>
      <c r="I634" s="7" t="str">
        <f>IF(Plantilla_SCAN_EQ3_COUNT_2[[#This Row],[ID MATERIAL]]="","","Segundo Conteo")</f>
        <v/>
      </c>
    </row>
    <row r="635" spans="1:9" s="7" customFormat="1" ht="15" x14ac:dyDescent="0.2">
      <c r="A635" s="7" t="str">
        <f>IF(Plantilla_SCAN_EQ3_COUNT_2[[#This Row],[ID MATERIAL]]="","",SIGN(Plantilla_SCAN_EQ3_COUNT_2[[#This Row],[Cantidad]])+A634)</f>
        <v/>
      </c>
      <c r="B635" s="21" t="str">
        <f>IF(Plantilla_SCAN_EQ3_COUNT_2[[#This Row],[ID MATERIAL]]="","",B634)</f>
        <v/>
      </c>
      <c r="C635" s="21"/>
      <c r="D635" s="21"/>
      <c r="E635" s="7" t="str">
        <f>IF(Plantilla_SCAN_EQ3_COUNT_2[[#This Row],[ID MATERIAL]]="","",VLOOKUP(Plantilla_SCAN_EQ3_COUNT_2[[#This Row],[ID MATERIAL]],INVENTARIO!$A:$D,2,FALSE))</f>
        <v/>
      </c>
      <c r="F635" s="7" t="str">
        <f>IF(Plantilla_SCAN_EQ3_COUNT_2[[#This Row],[ID MATERIAL]]="","",IF(Plantilla_SCAN_EQ3_COUNT_2[[#This Row],[No. Empaques]]="",1,Plantilla_SCAN_EQ3_COUNT_2[[#This Row],[No. Empaques]]*1))</f>
        <v/>
      </c>
      <c r="G635" s="7" t="str">
        <f>IF(Plantilla_SCAN_EQ3_COUNT_2[[#This Row],[ID MATERIAL]]="","","PZ")</f>
        <v/>
      </c>
      <c r="H635" s="7" t="str">
        <f>IF(Plantilla_SCAN_EQ3_COUNT_2[[#This Row],[ID MATERIAL]]="","",$B$13)</f>
        <v/>
      </c>
      <c r="I635" s="7" t="str">
        <f>IF(Plantilla_SCAN_EQ3_COUNT_2[[#This Row],[ID MATERIAL]]="","","Segundo Conteo")</f>
        <v/>
      </c>
    </row>
    <row r="636" spans="1:9" s="7" customFormat="1" ht="15" x14ac:dyDescent="0.2">
      <c r="A636" s="7" t="str">
        <f>IF(Plantilla_SCAN_EQ3_COUNT_2[[#This Row],[ID MATERIAL]]="","",SIGN(Plantilla_SCAN_EQ3_COUNT_2[[#This Row],[Cantidad]])+A635)</f>
        <v/>
      </c>
      <c r="B636" s="21" t="str">
        <f>IF(Plantilla_SCAN_EQ3_COUNT_2[[#This Row],[ID MATERIAL]]="","",B635)</f>
        <v/>
      </c>
      <c r="C636" s="21"/>
      <c r="D636" s="21"/>
      <c r="E636" s="7" t="str">
        <f>IF(Plantilla_SCAN_EQ3_COUNT_2[[#This Row],[ID MATERIAL]]="","",VLOOKUP(Plantilla_SCAN_EQ3_COUNT_2[[#This Row],[ID MATERIAL]],INVENTARIO!$A:$D,2,FALSE))</f>
        <v/>
      </c>
      <c r="F636" s="7" t="str">
        <f>IF(Plantilla_SCAN_EQ3_COUNT_2[[#This Row],[ID MATERIAL]]="","",IF(Plantilla_SCAN_EQ3_COUNT_2[[#This Row],[No. Empaques]]="",1,Plantilla_SCAN_EQ3_COUNT_2[[#This Row],[No. Empaques]]*1))</f>
        <v/>
      </c>
      <c r="G636" s="7" t="str">
        <f>IF(Plantilla_SCAN_EQ3_COUNT_2[[#This Row],[ID MATERIAL]]="","","PZ")</f>
        <v/>
      </c>
      <c r="H636" s="7" t="str">
        <f>IF(Plantilla_SCAN_EQ3_COUNT_2[[#This Row],[ID MATERIAL]]="","",$B$13)</f>
        <v/>
      </c>
      <c r="I636" s="7" t="str">
        <f>IF(Plantilla_SCAN_EQ3_COUNT_2[[#This Row],[ID MATERIAL]]="","","Segundo Conteo")</f>
        <v/>
      </c>
    </row>
    <row r="637" spans="1:9" s="7" customFormat="1" ht="15" x14ac:dyDescent="0.2">
      <c r="A637" s="7" t="str">
        <f>IF(Plantilla_SCAN_EQ3_COUNT_2[[#This Row],[ID MATERIAL]]="","",SIGN(Plantilla_SCAN_EQ3_COUNT_2[[#This Row],[Cantidad]])+A636)</f>
        <v/>
      </c>
      <c r="B637" s="21" t="str">
        <f>IF(Plantilla_SCAN_EQ3_COUNT_2[[#This Row],[ID MATERIAL]]="","",B636)</f>
        <v/>
      </c>
      <c r="C637" s="21"/>
      <c r="D637" s="21"/>
      <c r="E637" s="7" t="str">
        <f>IF(Plantilla_SCAN_EQ3_COUNT_2[[#This Row],[ID MATERIAL]]="","",VLOOKUP(Plantilla_SCAN_EQ3_COUNT_2[[#This Row],[ID MATERIAL]],INVENTARIO!$A:$D,2,FALSE))</f>
        <v/>
      </c>
      <c r="F637" s="7" t="str">
        <f>IF(Plantilla_SCAN_EQ3_COUNT_2[[#This Row],[ID MATERIAL]]="","",IF(Plantilla_SCAN_EQ3_COUNT_2[[#This Row],[No. Empaques]]="",1,Plantilla_SCAN_EQ3_COUNT_2[[#This Row],[No. Empaques]]*1))</f>
        <v/>
      </c>
      <c r="G637" s="7" t="str">
        <f>IF(Plantilla_SCAN_EQ3_COUNT_2[[#This Row],[ID MATERIAL]]="","","PZ")</f>
        <v/>
      </c>
      <c r="H637" s="7" t="str">
        <f>IF(Plantilla_SCAN_EQ3_COUNT_2[[#This Row],[ID MATERIAL]]="","",$B$13)</f>
        <v/>
      </c>
      <c r="I637" s="7" t="str">
        <f>IF(Plantilla_SCAN_EQ3_COUNT_2[[#This Row],[ID MATERIAL]]="","","Segundo Conteo")</f>
        <v/>
      </c>
    </row>
    <row r="638" spans="1:9" s="7" customFormat="1" ht="15" x14ac:dyDescent="0.2">
      <c r="A638" s="7" t="str">
        <f>IF(Plantilla_SCAN_EQ3_COUNT_2[[#This Row],[ID MATERIAL]]="","",SIGN(Plantilla_SCAN_EQ3_COUNT_2[[#This Row],[Cantidad]])+A637)</f>
        <v/>
      </c>
      <c r="B638" s="21" t="str">
        <f>IF(Plantilla_SCAN_EQ3_COUNT_2[[#This Row],[ID MATERIAL]]="","",B637)</f>
        <v/>
      </c>
      <c r="C638" s="21"/>
      <c r="D638" s="21"/>
      <c r="E638" s="7" t="str">
        <f>IF(Plantilla_SCAN_EQ3_COUNT_2[[#This Row],[ID MATERIAL]]="","",VLOOKUP(Plantilla_SCAN_EQ3_COUNT_2[[#This Row],[ID MATERIAL]],INVENTARIO!$A:$D,2,FALSE))</f>
        <v/>
      </c>
      <c r="F638" s="7" t="str">
        <f>IF(Plantilla_SCAN_EQ3_COUNT_2[[#This Row],[ID MATERIAL]]="","",IF(Plantilla_SCAN_EQ3_COUNT_2[[#This Row],[No. Empaques]]="",1,Plantilla_SCAN_EQ3_COUNT_2[[#This Row],[No. Empaques]]*1))</f>
        <v/>
      </c>
      <c r="G638" s="7" t="str">
        <f>IF(Plantilla_SCAN_EQ3_COUNT_2[[#This Row],[ID MATERIAL]]="","","PZ")</f>
        <v/>
      </c>
      <c r="H638" s="7" t="str">
        <f>IF(Plantilla_SCAN_EQ3_COUNT_2[[#This Row],[ID MATERIAL]]="","",$B$13)</f>
        <v/>
      </c>
      <c r="I638" s="7" t="str">
        <f>IF(Plantilla_SCAN_EQ3_COUNT_2[[#This Row],[ID MATERIAL]]="","","Segundo Conteo")</f>
        <v/>
      </c>
    </row>
    <row r="639" spans="1:9" s="7" customFormat="1" ht="15" x14ac:dyDescent="0.2">
      <c r="A639" s="7" t="str">
        <f>IF(Plantilla_SCAN_EQ3_COUNT_2[[#This Row],[ID MATERIAL]]="","",SIGN(Plantilla_SCAN_EQ3_COUNT_2[[#This Row],[Cantidad]])+A638)</f>
        <v/>
      </c>
      <c r="B639" s="21" t="str">
        <f>IF(Plantilla_SCAN_EQ3_COUNT_2[[#This Row],[ID MATERIAL]]="","",B638)</f>
        <v/>
      </c>
      <c r="C639" s="21"/>
      <c r="D639" s="21"/>
      <c r="E639" s="7" t="str">
        <f>IF(Plantilla_SCAN_EQ3_COUNT_2[[#This Row],[ID MATERIAL]]="","",VLOOKUP(Plantilla_SCAN_EQ3_COUNT_2[[#This Row],[ID MATERIAL]],INVENTARIO!$A:$D,2,FALSE))</f>
        <v/>
      </c>
      <c r="F639" s="7" t="str">
        <f>IF(Plantilla_SCAN_EQ3_COUNT_2[[#This Row],[ID MATERIAL]]="","",IF(Plantilla_SCAN_EQ3_COUNT_2[[#This Row],[No. Empaques]]="",1,Plantilla_SCAN_EQ3_COUNT_2[[#This Row],[No. Empaques]]*1))</f>
        <v/>
      </c>
      <c r="G639" s="7" t="str">
        <f>IF(Plantilla_SCAN_EQ3_COUNT_2[[#This Row],[ID MATERIAL]]="","","PZ")</f>
        <v/>
      </c>
      <c r="H639" s="7" t="str">
        <f>IF(Plantilla_SCAN_EQ3_COUNT_2[[#This Row],[ID MATERIAL]]="","",$B$13)</f>
        <v/>
      </c>
      <c r="I639" s="7" t="str">
        <f>IF(Plantilla_SCAN_EQ3_COUNT_2[[#This Row],[ID MATERIAL]]="","","Segundo Conteo")</f>
        <v/>
      </c>
    </row>
    <row r="640" spans="1:9" s="7" customFormat="1" ht="15" x14ac:dyDescent="0.2">
      <c r="A640" s="7" t="str">
        <f>IF(Plantilla_SCAN_EQ3_COUNT_2[[#This Row],[ID MATERIAL]]="","",SIGN(Plantilla_SCAN_EQ3_COUNT_2[[#This Row],[Cantidad]])+A639)</f>
        <v/>
      </c>
      <c r="B640" s="21" t="str">
        <f>IF(Plantilla_SCAN_EQ3_COUNT_2[[#This Row],[ID MATERIAL]]="","",B639)</f>
        <v/>
      </c>
      <c r="C640" s="21"/>
      <c r="D640" s="21"/>
      <c r="E640" s="7" t="str">
        <f>IF(Plantilla_SCAN_EQ3_COUNT_2[[#This Row],[ID MATERIAL]]="","",VLOOKUP(Plantilla_SCAN_EQ3_COUNT_2[[#This Row],[ID MATERIAL]],INVENTARIO!$A:$D,2,FALSE))</f>
        <v/>
      </c>
      <c r="F640" s="7" t="str">
        <f>IF(Plantilla_SCAN_EQ3_COUNT_2[[#This Row],[ID MATERIAL]]="","",IF(Plantilla_SCAN_EQ3_COUNT_2[[#This Row],[No. Empaques]]="",1,Plantilla_SCAN_EQ3_COUNT_2[[#This Row],[No. Empaques]]*1))</f>
        <v/>
      </c>
      <c r="G640" s="7" t="str">
        <f>IF(Plantilla_SCAN_EQ3_COUNT_2[[#This Row],[ID MATERIAL]]="","","PZ")</f>
        <v/>
      </c>
      <c r="H640" s="7" t="str">
        <f>IF(Plantilla_SCAN_EQ3_COUNT_2[[#This Row],[ID MATERIAL]]="","",$B$13)</f>
        <v/>
      </c>
      <c r="I640" s="7" t="str">
        <f>IF(Plantilla_SCAN_EQ3_COUNT_2[[#This Row],[ID MATERIAL]]="","","Segundo Conteo")</f>
        <v/>
      </c>
    </row>
    <row r="641" spans="1:9" s="7" customFormat="1" ht="15" x14ac:dyDescent="0.2">
      <c r="A641" s="7" t="str">
        <f>IF(Plantilla_SCAN_EQ3_COUNT_2[[#This Row],[ID MATERIAL]]="","",SIGN(Plantilla_SCAN_EQ3_COUNT_2[[#This Row],[Cantidad]])+A640)</f>
        <v/>
      </c>
      <c r="B641" s="21" t="str">
        <f>IF(Plantilla_SCAN_EQ3_COUNT_2[[#This Row],[ID MATERIAL]]="","",B640)</f>
        <v/>
      </c>
      <c r="C641" s="21"/>
      <c r="D641" s="21"/>
      <c r="E641" s="7" t="str">
        <f>IF(Plantilla_SCAN_EQ3_COUNT_2[[#This Row],[ID MATERIAL]]="","",VLOOKUP(Plantilla_SCAN_EQ3_COUNT_2[[#This Row],[ID MATERIAL]],INVENTARIO!$A:$D,2,FALSE))</f>
        <v/>
      </c>
      <c r="F641" s="7" t="str">
        <f>IF(Plantilla_SCAN_EQ3_COUNT_2[[#This Row],[ID MATERIAL]]="","",IF(Plantilla_SCAN_EQ3_COUNT_2[[#This Row],[No. Empaques]]="",1,Plantilla_SCAN_EQ3_COUNT_2[[#This Row],[No. Empaques]]*1))</f>
        <v/>
      </c>
      <c r="G641" s="7" t="str">
        <f>IF(Plantilla_SCAN_EQ3_COUNT_2[[#This Row],[ID MATERIAL]]="","","PZ")</f>
        <v/>
      </c>
      <c r="H641" s="7" t="str">
        <f>IF(Plantilla_SCAN_EQ3_COUNT_2[[#This Row],[ID MATERIAL]]="","",$B$13)</f>
        <v/>
      </c>
      <c r="I641" s="7" t="str">
        <f>IF(Plantilla_SCAN_EQ3_COUNT_2[[#This Row],[ID MATERIAL]]="","","Segundo Conteo")</f>
        <v/>
      </c>
    </row>
    <row r="642" spans="1:9" s="7" customFormat="1" ht="15" x14ac:dyDescent="0.2">
      <c r="A642" s="7" t="str">
        <f>IF(Plantilla_SCAN_EQ3_COUNT_2[[#This Row],[ID MATERIAL]]="","",SIGN(Plantilla_SCAN_EQ3_COUNT_2[[#This Row],[Cantidad]])+A641)</f>
        <v/>
      </c>
      <c r="B642" s="21" t="str">
        <f>IF(Plantilla_SCAN_EQ3_COUNT_2[[#This Row],[ID MATERIAL]]="","",B641)</f>
        <v/>
      </c>
      <c r="C642" s="21"/>
      <c r="D642" s="21"/>
      <c r="E642" s="7" t="str">
        <f>IF(Plantilla_SCAN_EQ3_COUNT_2[[#This Row],[ID MATERIAL]]="","",VLOOKUP(Plantilla_SCAN_EQ3_COUNT_2[[#This Row],[ID MATERIAL]],INVENTARIO!$A:$D,2,FALSE))</f>
        <v/>
      </c>
      <c r="F642" s="7" t="str">
        <f>IF(Plantilla_SCAN_EQ3_COUNT_2[[#This Row],[ID MATERIAL]]="","",IF(Plantilla_SCAN_EQ3_COUNT_2[[#This Row],[No. Empaques]]="",1,Plantilla_SCAN_EQ3_COUNT_2[[#This Row],[No. Empaques]]*1))</f>
        <v/>
      </c>
      <c r="G642" s="7" t="str">
        <f>IF(Plantilla_SCAN_EQ3_COUNT_2[[#This Row],[ID MATERIAL]]="","","PZ")</f>
        <v/>
      </c>
      <c r="H642" s="7" t="str">
        <f>IF(Plantilla_SCAN_EQ3_COUNT_2[[#This Row],[ID MATERIAL]]="","",$B$13)</f>
        <v/>
      </c>
      <c r="I642" s="7" t="str">
        <f>IF(Plantilla_SCAN_EQ3_COUNT_2[[#This Row],[ID MATERIAL]]="","","Segundo Conteo")</f>
        <v/>
      </c>
    </row>
    <row r="643" spans="1:9" s="7" customFormat="1" ht="15" x14ac:dyDescent="0.2">
      <c r="A643" s="7" t="str">
        <f>IF(Plantilla_SCAN_EQ3_COUNT_2[[#This Row],[ID MATERIAL]]="","",SIGN(Plantilla_SCAN_EQ3_COUNT_2[[#This Row],[Cantidad]])+A642)</f>
        <v/>
      </c>
      <c r="B643" s="21" t="str">
        <f>IF(Plantilla_SCAN_EQ3_COUNT_2[[#This Row],[ID MATERIAL]]="","",B642)</f>
        <v/>
      </c>
      <c r="C643" s="21"/>
      <c r="D643" s="21"/>
      <c r="E643" s="7" t="str">
        <f>IF(Plantilla_SCAN_EQ3_COUNT_2[[#This Row],[ID MATERIAL]]="","",VLOOKUP(Plantilla_SCAN_EQ3_COUNT_2[[#This Row],[ID MATERIAL]],INVENTARIO!$A:$D,2,FALSE))</f>
        <v/>
      </c>
      <c r="F643" s="7" t="str">
        <f>IF(Plantilla_SCAN_EQ3_COUNT_2[[#This Row],[ID MATERIAL]]="","",IF(Plantilla_SCAN_EQ3_COUNT_2[[#This Row],[No. Empaques]]="",1,Plantilla_SCAN_EQ3_COUNT_2[[#This Row],[No. Empaques]]*1))</f>
        <v/>
      </c>
      <c r="G643" s="7" t="str">
        <f>IF(Plantilla_SCAN_EQ3_COUNT_2[[#This Row],[ID MATERIAL]]="","","PZ")</f>
        <v/>
      </c>
      <c r="H643" s="7" t="str">
        <f>IF(Plantilla_SCAN_EQ3_COUNT_2[[#This Row],[ID MATERIAL]]="","",$B$13)</f>
        <v/>
      </c>
      <c r="I643" s="7" t="str">
        <f>IF(Plantilla_SCAN_EQ3_COUNT_2[[#This Row],[ID MATERIAL]]="","","Segundo Conteo")</f>
        <v/>
      </c>
    </row>
    <row r="644" spans="1:9" s="7" customFormat="1" ht="15" x14ac:dyDescent="0.2">
      <c r="A644" s="7" t="str">
        <f>IF(Plantilla_SCAN_EQ3_COUNT_2[[#This Row],[ID MATERIAL]]="","",SIGN(Plantilla_SCAN_EQ3_COUNT_2[[#This Row],[Cantidad]])+A643)</f>
        <v/>
      </c>
      <c r="B644" s="21" t="str">
        <f>IF(Plantilla_SCAN_EQ3_COUNT_2[[#This Row],[ID MATERIAL]]="","",B643)</f>
        <v/>
      </c>
      <c r="C644" s="21"/>
      <c r="D644" s="21"/>
      <c r="E644" s="7" t="str">
        <f>IF(Plantilla_SCAN_EQ3_COUNT_2[[#This Row],[ID MATERIAL]]="","",VLOOKUP(Plantilla_SCAN_EQ3_COUNT_2[[#This Row],[ID MATERIAL]],INVENTARIO!$A:$D,2,FALSE))</f>
        <v/>
      </c>
      <c r="F644" s="7" t="str">
        <f>IF(Plantilla_SCAN_EQ3_COUNT_2[[#This Row],[ID MATERIAL]]="","",IF(Plantilla_SCAN_EQ3_COUNT_2[[#This Row],[No. Empaques]]="",1,Plantilla_SCAN_EQ3_COUNT_2[[#This Row],[No. Empaques]]*1))</f>
        <v/>
      </c>
      <c r="G644" s="7" t="str">
        <f>IF(Plantilla_SCAN_EQ3_COUNT_2[[#This Row],[ID MATERIAL]]="","","PZ")</f>
        <v/>
      </c>
      <c r="H644" s="7" t="str">
        <f>IF(Plantilla_SCAN_EQ3_COUNT_2[[#This Row],[ID MATERIAL]]="","",$B$13)</f>
        <v/>
      </c>
      <c r="I644" s="7" t="str">
        <f>IF(Plantilla_SCAN_EQ3_COUNT_2[[#This Row],[ID MATERIAL]]="","","Segundo Conteo")</f>
        <v/>
      </c>
    </row>
    <row r="645" spans="1:9" s="7" customFormat="1" ht="15" x14ac:dyDescent="0.2">
      <c r="A645" s="7" t="str">
        <f>IF(Plantilla_SCAN_EQ3_COUNT_2[[#This Row],[ID MATERIAL]]="","",SIGN(Plantilla_SCAN_EQ3_COUNT_2[[#This Row],[Cantidad]])+A644)</f>
        <v/>
      </c>
      <c r="B645" s="21" t="str">
        <f>IF(Plantilla_SCAN_EQ3_COUNT_2[[#This Row],[ID MATERIAL]]="","",B644)</f>
        <v/>
      </c>
      <c r="C645" s="21"/>
      <c r="D645" s="21"/>
      <c r="E645" s="7" t="str">
        <f>IF(Plantilla_SCAN_EQ3_COUNT_2[[#This Row],[ID MATERIAL]]="","",VLOOKUP(Plantilla_SCAN_EQ3_COUNT_2[[#This Row],[ID MATERIAL]],INVENTARIO!$A:$D,2,FALSE))</f>
        <v/>
      </c>
      <c r="F645" s="7" t="str">
        <f>IF(Plantilla_SCAN_EQ3_COUNT_2[[#This Row],[ID MATERIAL]]="","",IF(Plantilla_SCAN_EQ3_COUNT_2[[#This Row],[No. Empaques]]="",1,Plantilla_SCAN_EQ3_COUNT_2[[#This Row],[No. Empaques]]*1))</f>
        <v/>
      </c>
      <c r="G645" s="7" t="str">
        <f>IF(Plantilla_SCAN_EQ3_COUNT_2[[#This Row],[ID MATERIAL]]="","","PZ")</f>
        <v/>
      </c>
      <c r="H645" s="7" t="str">
        <f>IF(Plantilla_SCAN_EQ3_COUNT_2[[#This Row],[ID MATERIAL]]="","",$B$13)</f>
        <v/>
      </c>
      <c r="I645" s="7" t="str">
        <f>IF(Plantilla_SCAN_EQ3_COUNT_2[[#This Row],[ID MATERIAL]]="","","Segundo Conteo")</f>
        <v/>
      </c>
    </row>
    <row r="646" spans="1:9" s="7" customFormat="1" ht="15" x14ac:dyDescent="0.2">
      <c r="A646" s="7" t="str">
        <f>IF(Plantilla_SCAN_EQ3_COUNT_2[[#This Row],[ID MATERIAL]]="","",SIGN(Plantilla_SCAN_EQ3_COUNT_2[[#This Row],[Cantidad]])+A645)</f>
        <v/>
      </c>
      <c r="B646" s="21" t="str">
        <f>IF(Plantilla_SCAN_EQ3_COUNT_2[[#This Row],[ID MATERIAL]]="","",B645)</f>
        <v/>
      </c>
      <c r="C646" s="21"/>
      <c r="D646" s="21"/>
      <c r="E646" s="7" t="str">
        <f>IF(Plantilla_SCAN_EQ3_COUNT_2[[#This Row],[ID MATERIAL]]="","",VLOOKUP(Plantilla_SCAN_EQ3_COUNT_2[[#This Row],[ID MATERIAL]],INVENTARIO!$A:$D,2,FALSE))</f>
        <v/>
      </c>
      <c r="F646" s="7" t="str">
        <f>IF(Plantilla_SCAN_EQ3_COUNT_2[[#This Row],[ID MATERIAL]]="","",IF(Plantilla_SCAN_EQ3_COUNT_2[[#This Row],[No. Empaques]]="",1,Plantilla_SCAN_EQ3_COUNT_2[[#This Row],[No. Empaques]]*1))</f>
        <v/>
      </c>
      <c r="G646" s="7" t="str">
        <f>IF(Plantilla_SCAN_EQ3_COUNT_2[[#This Row],[ID MATERIAL]]="","","PZ")</f>
        <v/>
      </c>
      <c r="H646" s="7" t="str">
        <f>IF(Plantilla_SCAN_EQ3_COUNT_2[[#This Row],[ID MATERIAL]]="","",$B$13)</f>
        <v/>
      </c>
      <c r="I646" s="7" t="str">
        <f>IF(Plantilla_SCAN_EQ3_COUNT_2[[#This Row],[ID MATERIAL]]="","","Segundo Conteo")</f>
        <v/>
      </c>
    </row>
    <row r="647" spans="1:9" s="7" customFormat="1" ht="15" x14ac:dyDescent="0.2">
      <c r="A647" s="7" t="str">
        <f>IF(Plantilla_SCAN_EQ3_COUNT_2[[#This Row],[ID MATERIAL]]="","",SIGN(Plantilla_SCAN_EQ3_COUNT_2[[#This Row],[Cantidad]])+A646)</f>
        <v/>
      </c>
      <c r="B647" s="21" t="str">
        <f>IF(Plantilla_SCAN_EQ3_COUNT_2[[#This Row],[ID MATERIAL]]="","",B646)</f>
        <v/>
      </c>
      <c r="C647" s="21"/>
      <c r="D647" s="21"/>
      <c r="E647" s="7" t="str">
        <f>IF(Plantilla_SCAN_EQ3_COUNT_2[[#This Row],[ID MATERIAL]]="","",VLOOKUP(Plantilla_SCAN_EQ3_COUNT_2[[#This Row],[ID MATERIAL]],INVENTARIO!$A:$D,2,FALSE))</f>
        <v/>
      </c>
      <c r="F647" s="7" t="str">
        <f>IF(Plantilla_SCAN_EQ3_COUNT_2[[#This Row],[ID MATERIAL]]="","",IF(Plantilla_SCAN_EQ3_COUNT_2[[#This Row],[No. Empaques]]="",1,Plantilla_SCAN_EQ3_COUNT_2[[#This Row],[No. Empaques]]*1))</f>
        <v/>
      </c>
      <c r="G647" s="7" t="str">
        <f>IF(Plantilla_SCAN_EQ3_COUNT_2[[#This Row],[ID MATERIAL]]="","","PZ")</f>
        <v/>
      </c>
      <c r="H647" s="7" t="str">
        <f>IF(Plantilla_SCAN_EQ3_COUNT_2[[#This Row],[ID MATERIAL]]="","",$B$13)</f>
        <v/>
      </c>
      <c r="I647" s="7" t="str">
        <f>IF(Plantilla_SCAN_EQ3_COUNT_2[[#This Row],[ID MATERIAL]]="","","Segundo Conteo")</f>
        <v/>
      </c>
    </row>
    <row r="648" spans="1:9" s="7" customFormat="1" ht="15" x14ac:dyDescent="0.2">
      <c r="A648" s="7" t="str">
        <f>IF(Plantilla_SCAN_EQ3_COUNT_2[[#This Row],[ID MATERIAL]]="","",SIGN(Plantilla_SCAN_EQ3_COUNT_2[[#This Row],[Cantidad]])+A647)</f>
        <v/>
      </c>
      <c r="B648" s="21" t="str">
        <f>IF(Plantilla_SCAN_EQ3_COUNT_2[[#This Row],[ID MATERIAL]]="","",B647)</f>
        <v/>
      </c>
      <c r="C648" s="21"/>
      <c r="D648" s="21"/>
      <c r="E648" s="7" t="str">
        <f>IF(Plantilla_SCAN_EQ3_COUNT_2[[#This Row],[ID MATERIAL]]="","",VLOOKUP(Plantilla_SCAN_EQ3_COUNT_2[[#This Row],[ID MATERIAL]],INVENTARIO!$A:$D,2,FALSE))</f>
        <v/>
      </c>
      <c r="F648" s="7" t="str">
        <f>IF(Plantilla_SCAN_EQ3_COUNT_2[[#This Row],[ID MATERIAL]]="","",IF(Plantilla_SCAN_EQ3_COUNT_2[[#This Row],[No. Empaques]]="",1,Plantilla_SCAN_EQ3_COUNT_2[[#This Row],[No. Empaques]]*1))</f>
        <v/>
      </c>
      <c r="G648" s="7" t="str">
        <f>IF(Plantilla_SCAN_EQ3_COUNT_2[[#This Row],[ID MATERIAL]]="","","PZ")</f>
        <v/>
      </c>
      <c r="H648" s="7" t="str">
        <f>IF(Plantilla_SCAN_EQ3_COUNT_2[[#This Row],[ID MATERIAL]]="","",$B$13)</f>
        <v/>
      </c>
      <c r="I648" s="7" t="str">
        <f>IF(Plantilla_SCAN_EQ3_COUNT_2[[#This Row],[ID MATERIAL]]="","","Segundo Conteo")</f>
        <v/>
      </c>
    </row>
    <row r="649" spans="1:9" s="7" customFormat="1" ht="15" x14ac:dyDescent="0.2">
      <c r="A649" s="7" t="str">
        <f>IF(Plantilla_SCAN_EQ3_COUNT_2[[#This Row],[ID MATERIAL]]="","",SIGN(Plantilla_SCAN_EQ3_COUNT_2[[#This Row],[Cantidad]])+A648)</f>
        <v/>
      </c>
      <c r="B649" s="21" t="str">
        <f>IF(Plantilla_SCAN_EQ3_COUNT_2[[#This Row],[ID MATERIAL]]="","",B648)</f>
        <v/>
      </c>
      <c r="C649" s="21"/>
      <c r="D649" s="21"/>
      <c r="E649" s="7" t="str">
        <f>IF(Plantilla_SCAN_EQ3_COUNT_2[[#This Row],[ID MATERIAL]]="","",VLOOKUP(Plantilla_SCAN_EQ3_COUNT_2[[#This Row],[ID MATERIAL]],INVENTARIO!$A:$D,2,FALSE))</f>
        <v/>
      </c>
      <c r="F649" s="7" t="str">
        <f>IF(Plantilla_SCAN_EQ3_COUNT_2[[#This Row],[ID MATERIAL]]="","",IF(Plantilla_SCAN_EQ3_COUNT_2[[#This Row],[No. Empaques]]="",1,Plantilla_SCAN_EQ3_COUNT_2[[#This Row],[No. Empaques]]*1))</f>
        <v/>
      </c>
      <c r="G649" s="7" t="str">
        <f>IF(Plantilla_SCAN_EQ3_COUNT_2[[#This Row],[ID MATERIAL]]="","","PZ")</f>
        <v/>
      </c>
      <c r="H649" s="7" t="str">
        <f>IF(Plantilla_SCAN_EQ3_COUNT_2[[#This Row],[ID MATERIAL]]="","",$B$13)</f>
        <v/>
      </c>
      <c r="I649" s="7" t="str">
        <f>IF(Plantilla_SCAN_EQ3_COUNT_2[[#This Row],[ID MATERIAL]]="","","Segundo Conteo")</f>
        <v/>
      </c>
    </row>
    <row r="650" spans="1:9" s="7" customFormat="1" ht="15" x14ac:dyDescent="0.2">
      <c r="A650" s="7" t="str">
        <f>IF(Plantilla_SCAN_EQ3_COUNT_2[[#This Row],[ID MATERIAL]]="","",SIGN(Plantilla_SCAN_EQ3_COUNT_2[[#This Row],[Cantidad]])+A649)</f>
        <v/>
      </c>
      <c r="B650" s="21" t="str">
        <f>IF(Plantilla_SCAN_EQ3_COUNT_2[[#This Row],[ID MATERIAL]]="","",B649)</f>
        <v/>
      </c>
      <c r="C650" s="21"/>
      <c r="D650" s="21"/>
      <c r="E650" s="7" t="str">
        <f>IF(Plantilla_SCAN_EQ3_COUNT_2[[#This Row],[ID MATERIAL]]="","",VLOOKUP(Plantilla_SCAN_EQ3_COUNT_2[[#This Row],[ID MATERIAL]],INVENTARIO!$A:$D,2,FALSE))</f>
        <v/>
      </c>
      <c r="F650" s="7" t="str">
        <f>IF(Plantilla_SCAN_EQ3_COUNT_2[[#This Row],[ID MATERIAL]]="","",IF(Plantilla_SCAN_EQ3_COUNT_2[[#This Row],[No. Empaques]]="",1,Plantilla_SCAN_EQ3_COUNT_2[[#This Row],[No. Empaques]]*1))</f>
        <v/>
      </c>
      <c r="G650" s="7" t="str">
        <f>IF(Plantilla_SCAN_EQ3_COUNT_2[[#This Row],[ID MATERIAL]]="","","PZ")</f>
        <v/>
      </c>
      <c r="H650" s="7" t="str">
        <f>IF(Plantilla_SCAN_EQ3_COUNT_2[[#This Row],[ID MATERIAL]]="","",$B$13)</f>
        <v/>
      </c>
      <c r="I650" s="7" t="str">
        <f>IF(Plantilla_SCAN_EQ3_COUNT_2[[#This Row],[ID MATERIAL]]="","","Segundo Conteo")</f>
        <v/>
      </c>
    </row>
    <row r="651" spans="1:9" s="7" customFormat="1" ht="15" x14ac:dyDescent="0.2">
      <c r="A651" s="7" t="str">
        <f>IF(Plantilla_SCAN_EQ3_COUNT_2[[#This Row],[ID MATERIAL]]="","",SIGN(Plantilla_SCAN_EQ3_COUNT_2[[#This Row],[Cantidad]])+A650)</f>
        <v/>
      </c>
      <c r="B651" s="21" t="str">
        <f>IF(Plantilla_SCAN_EQ3_COUNT_2[[#This Row],[ID MATERIAL]]="","",B650)</f>
        <v/>
      </c>
      <c r="C651" s="21"/>
      <c r="D651" s="21"/>
      <c r="E651" s="7" t="str">
        <f>IF(Plantilla_SCAN_EQ3_COUNT_2[[#This Row],[ID MATERIAL]]="","",VLOOKUP(Plantilla_SCAN_EQ3_COUNT_2[[#This Row],[ID MATERIAL]],INVENTARIO!$A:$D,2,FALSE))</f>
        <v/>
      </c>
      <c r="F651" s="7" t="str">
        <f>IF(Plantilla_SCAN_EQ3_COUNT_2[[#This Row],[ID MATERIAL]]="","",IF(Plantilla_SCAN_EQ3_COUNT_2[[#This Row],[No. Empaques]]="",1,Plantilla_SCAN_EQ3_COUNT_2[[#This Row],[No. Empaques]]*1))</f>
        <v/>
      </c>
      <c r="G651" s="7" t="str">
        <f>IF(Plantilla_SCAN_EQ3_COUNT_2[[#This Row],[ID MATERIAL]]="","","PZ")</f>
        <v/>
      </c>
      <c r="H651" s="7" t="str">
        <f>IF(Plantilla_SCAN_EQ3_COUNT_2[[#This Row],[ID MATERIAL]]="","",$B$13)</f>
        <v/>
      </c>
      <c r="I651" s="7" t="str">
        <f>IF(Plantilla_SCAN_EQ3_COUNT_2[[#This Row],[ID MATERIAL]]="","","Segundo Conteo")</f>
        <v/>
      </c>
    </row>
    <row r="652" spans="1:9" s="7" customFormat="1" ht="15" x14ac:dyDescent="0.2">
      <c r="A652" s="7" t="str">
        <f>IF(Plantilla_SCAN_EQ3_COUNT_2[[#This Row],[ID MATERIAL]]="","",SIGN(Plantilla_SCAN_EQ3_COUNT_2[[#This Row],[Cantidad]])+A651)</f>
        <v/>
      </c>
      <c r="B652" s="21" t="str">
        <f>IF(Plantilla_SCAN_EQ3_COUNT_2[[#This Row],[ID MATERIAL]]="","",B651)</f>
        <v/>
      </c>
      <c r="C652" s="21"/>
      <c r="D652" s="21"/>
      <c r="E652" s="7" t="str">
        <f>IF(Plantilla_SCAN_EQ3_COUNT_2[[#This Row],[ID MATERIAL]]="","",VLOOKUP(Plantilla_SCAN_EQ3_COUNT_2[[#This Row],[ID MATERIAL]],INVENTARIO!$A:$D,2,FALSE))</f>
        <v/>
      </c>
      <c r="F652" s="7" t="str">
        <f>IF(Plantilla_SCAN_EQ3_COUNT_2[[#This Row],[ID MATERIAL]]="","",IF(Plantilla_SCAN_EQ3_COUNT_2[[#This Row],[No. Empaques]]="",1,Plantilla_SCAN_EQ3_COUNT_2[[#This Row],[No. Empaques]]*1))</f>
        <v/>
      </c>
      <c r="G652" s="7" t="str">
        <f>IF(Plantilla_SCAN_EQ3_COUNT_2[[#This Row],[ID MATERIAL]]="","","PZ")</f>
        <v/>
      </c>
      <c r="H652" s="7" t="str">
        <f>IF(Plantilla_SCAN_EQ3_COUNT_2[[#This Row],[ID MATERIAL]]="","",$B$13)</f>
        <v/>
      </c>
      <c r="I652" s="7" t="str">
        <f>IF(Plantilla_SCAN_EQ3_COUNT_2[[#This Row],[ID MATERIAL]]="","","Segundo Conteo")</f>
        <v/>
      </c>
    </row>
    <row r="653" spans="1:9" s="7" customFormat="1" ht="15" x14ac:dyDescent="0.2">
      <c r="A653" s="7" t="str">
        <f>IF(Plantilla_SCAN_EQ3_COUNT_2[[#This Row],[ID MATERIAL]]="","",SIGN(Plantilla_SCAN_EQ3_COUNT_2[[#This Row],[Cantidad]])+A652)</f>
        <v/>
      </c>
      <c r="B653" s="21" t="str">
        <f>IF(Plantilla_SCAN_EQ3_COUNT_2[[#This Row],[ID MATERIAL]]="","",B652)</f>
        <v/>
      </c>
      <c r="C653" s="21"/>
      <c r="D653" s="21"/>
      <c r="E653" s="7" t="str">
        <f>IF(Plantilla_SCAN_EQ3_COUNT_2[[#This Row],[ID MATERIAL]]="","",VLOOKUP(Plantilla_SCAN_EQ3_COUNT_2[[#This Row],[ID MATERIAL]],INVENTARIO!$A:$D,2,FALSE))</f>
        <v/>
      </c>
      <c r="F653" s="7" t="str">
        <f>IF(Plantilla_SCAN_EQ3_COUNT_2[[#This Row],[ID MATERIAL]]="","",IF(Plantilla_SCAN_EQ3_COUNT_2[[#This Row],[No. Empaques]]="",1,Plantilla_SCAN_EQ3_COUNT_2[[#This Row],[No. Empaques]]*1))</f>
        <v/>
      </c>
      <c r="G653" s="7" t="str">
        <f>IF(Plantilla_SCAN_EQ3_COUNT_2[[#This Row],[ID MATERIAL]]="","","PZ")</f>
        <v/>
      </c>
      <c r="H653" s="7" t="str">
        <f>IF(Plantilla_SCAN_EQ3_COUNT_2[[#This Row],[ID MATERIAL]]="","",$B$13)</f>
        <v/>
      </c>
      <c r="I653" s="7" t="str">
        <f>IF(Plantilla_SCAN_EQ3_COUNT_2[[#This Row],[ID MATERIAL]]="","","Segundo Conteo")</f>
        <v/>
      </c>
    </row>
    <row r="654" spans="1:9" s="7" customFormat="1" ht="15" x14ac:dyDescent="0.2">
      <c r="A654" s="7" t="str">
        <f>IF(Plantilla_SCAN_EQ3_COUNT_2[[#This Row],[ID MATERIAL]]="","",SIGN(Plantilla_SCAN_EQ3_COUNT_2[[#This Row],[Cantidad]])+A653)</f>
        <v/>
      </c>
      <c r="B654" s="21" t="str">
        <f>IF(Plantilla_SCAN_EQ3_COUNT_2[[#This Row],[ID MATERIAL]]="","",B653)</f>
        <v/>
      </c>
      <c r="C654" s="21"/>
      <c r="D654" s="21"/>
      <c r="E654" s="7" t="str">
        <f>IF(Plantilla_SCAN_EQ3_COUNT_2[[#This Row],[ID MATERIAL]]="","",VLOOKUP(Plantilla_SCAN_EQ3_COUNT_2[[#This Row],[ID MATERIAL]],INVENTARIO!$A:$D,2,FALSE))</f>
        <v/>
      </c>
      <c r="F654" s="7" t="str">
        <f>IF(Plantilla_SCAN_EQ3_COUNT_2[[#This Row],[ID MATERIAL]]="","",IF(Plantilla_SCAN_EQ3_COUNT_2[[#This Row],[No. Empaques]]="",1,Plantilla_SCAN_EQ3_COUNT_2[[#This Row],[No. Empaques]]*1))</f>
        <v/>
      </c>
      <c r="G654" s="7" t="str">
        <f>IF(Plantilla_SCAN_EQ3_COUNT_2[[#This Row],[ID MATERIAL]]="","","PZ")</f>
        <v/>
      </c>
      <c r="H654" s="7" t="str">
        <f>IF(Plantilla_SCAN_EQ3_COUNT_2[[#This Row],[ID MATERIAL]]="","",$B$13)</f>
        <v/>
      </c>
      <c r="I654" s="7" t="str">
        <f>IF(Plantilla_SCAN_EQ3_COUNT_2[[#This Row],[ID MATERIAL]]="","","Segundo Conteo")</f>
        <v/>
      </c>
    </row>
    <row r="655" spans="1:9" s="7" customFormat="1" ht="15" x14ac:dyDescent="0.2">
      <c r="A655" s="7" t="str">
        <f>IF(Plantilla_SCAN_EQ3_COUNT_2[[#This Row],[ID MATERIAL]]="","",SIGN(Plantilla_SCAN_EQ3_COUNT_2[[#This Row],[Cantidad]])+A654)</f>
        <v/>
      </c>
      <c r="B655" s="21" t="str">
        <f>IF(Plantilla_SCAN_EQ3_COUNT_2[[#This Row],[ID MATERIAL]]="","",B654)</f>
        <v/>
      </c>
      <c r="C655" s="21"/>
      <c r="D655" s="21"/>
      <c r="E655" s="7" t="str">
        <f>IF(Plantilla_SCAN_EQ3_COUNT_2[[#This Row],[ID MATERIAL]]="","",VLOOKUP(Plantilla_SCAN_EQ3_COUNT_2[[#This Row],[ID MATERIAL]],INVENTARIO!$A:$D,2,FALSE))</f>
        <v/>
      </c>
      <c r="F655" s="7" t="str">
        <f>IF(Plantilla_SCAN_EQ3_COUNT_2[[#This Row],[ID MATERIAL]]="","",IF(Plantilla_SCAN_EQ3_COUNT_2[[#This Row],[No. Empaques]]="",1,Plantilla_SCAN_EQ3_COUNT_2[[#This Row],[No. Empaques]]*1))</f>
        <v/>
      </c>
      <c r="G655" s="7" t="str">
        <f>IF(Plantilla_SCAN_EQ3_COUNT_2[[#This Row],[ID MATERIAL]]="","","PZ")</f>
        <v/>
      </c>
      <c r="H655" s="7" t="str">
        <f>IF(Plantilla_SCAN_EQ3_COUNT_2[[#This Row],[ID MATERIAL]]="","",$B$13)</f>
        <v/>
      </c>
      <c r="I655" s="7" t="str">
        <f>IF(Plantilla_SCAN_EQ3_COUNT_2[[#This Row],[ID MATERIAL]]="","","Segundo Conteo")</f>
        <v/>
      </c>
    </row>
    <row r="656" spans="1:9" s="7" customFormat="1" ht="15" x14ac:dyDescent="0.2">
      <c r="A656" s="7" t="str">
        <f>IF(Plantilla_SCAN_EQ3_COUNT_2[[#This Row],[ID MATERIAL]]="","",SIGN(Plantilla_SCAN_EQ3_COUNT_2[[#This Row],[Cantidad]])+A655)</f>
        <v/>
      </c>
      <c r="B656" s="21" t="str">
        <f>IF(Plantilla_SCAN_EQ3_COUNT_2[[#This Row],[ID MATERIAL]]="","",B655)</f>
        <v/>
      </c>
      <c r="C656" s="21"/>
      <c r="D656" s="21"/>
      <c r="E656" s="7" t="str">
        <f>IF(Plantilla_SCAN_EQ3_COUNT_2[[#This Row],[ID MATERIAL]]="","",VLOOKUP(Plantilla_SCAN_EQ3_COUNT_2[[#This Row],[ID MATERIAL]],INVENTARIO!$A:$D,2,FALSE))</f>
        <v/>
      </c>
      <c r="F656" s="7" t="str">
        <f>IF(Plantilla_SCAN_EQ3_COUNT_2[[#This Row],[ID MATERIAL]]="","",IF(Plantilla_SCAN_EQ3_COUNT_2[[#This Row],[No. Empaques]]="",1,Plantilla_SCAN_EQ3_COUNT_2[[#This Row],[No. Empaques]]*1))</f>
        <v/>
      </c>
      <c r="G656" s="7" t="str">
        <f>IF(Plantilla_SCAN_EQ3_COUNT_2[[#This Row],[ID MATERIAL]]="","","PZ")</f>
        <v/>
      </c>
      <c r="H656" s="7" t="str">
        <f>IF(Plantilla_SCAN_EQ3_COUNT_2[[#This Row],[ID MATERIAL]]="","",$B$13)</f>
        <v/>
      </c>
      <c r="I656" s="7" t="str">
        <f>IF(Plantilla_SCAN_EQ3_COUNT_2[[#This Row],[ID MATERIAL]]="","","Segundo Conteo")</f>
        <v/>
      </c>
    </row>
    <row r="657" spans="1:9" s="7" customFormat="1" ht="15" x14ac:dyDescent="0.2">
      <c r="A657" s="7" t="str">
        <f>IF(Plantilla_SCAN_EQ3_COUNT_2[[#This Row],[ID MATERIAL]]="","",SIGN(Plantilla_SCAN_EQ3_COUNT_2[[#This Row],[Cantidad]])+A656)</f>
        <v/>
      </c>
      <c r="B657" s="21" t="str">
        <f>IF(Plantilla_SCAN_EQ3_COUNT_2[[#This Row],[ID MATERIAL]]="","",B656)</f>
        <v/>
      </c>
      <c r="C657" s="21"/>
      <c r="D657" s="21"/>
      <c r="E657" s="7" t="str">
        <f>IF(Plantilla_SCAN_EQ3_COUNT_2[[#This Row],[ID MATERIAL]]="","",VLOOKUP(Plantilla_SCAN_EQ3_COUNT_2[[#This Row],[ID MATERIAL]],INVENTARIO!$A:$D,2,FALSE))</f>
        <v/>
      </c>
      <c r="F657" s="7" t="str">
        <f>IF(Plantilla_SCAN_EQ3_COUNT_2[[#This Row],[ID MATERIAL]]="","",IF(Plantilla_SCAN_EQ3_COUNT_2[[#This Row],[No. Empaques]]="",1,Plantilla_SCAN_EQ3_COUNT_2[[#This Row],[No. Empaques]]*1))</f>
        <v/>
      </c>
      <c r="G657" s="7" t="str">
        <f>IF(Plantilla_SCAN_EQ3_COUNT_2[[#This Row],[ID MATERIAL]]="","","PZ")</f>
        <v/>
      </c>
      <c r="H657" s="7" t="str">
        <f>IF(Plantilla_SCAN_EQ3_COUNT_2[[#This Row],[ID MATERIAL]]="","",$B$13)</f>
        <v/>
      </c>
      <c r="I657" s="7" t="str">
        <f>IF(Plantilla_SCAN_EQ3_COUNT_2[[#This Row],[ID MATERIAL]]="","","Segundo Conteo")</f>
        <v/>
      </c>
    </row>
    <row r="658" spans="1:9" s="7" customFormat="1" ht="15" x14ac:dyDescent="0.2">
      <c r="A658" s="7" t="str">
        <f>IF(Plantilla_SCAN_EQ3_COUNT_2[[#This Row],[ID MATERIAL]]="","",SIGN(Plantilla_SCAN_EQ3_COUNT_2[[#This Row],[Cantidad]])+A657)</f>
        <v/>
      </c>
      <c r="B658" s="21" t="str">
        <f>IF(Plantilla_SCAN_EQ3_COUNT_2[[#This Row],[ID MATERIAL]]="","",B657)</f>
        <v/>
      </c>
      <c r="C658" s="21"/>
      <c r="D658" s="21"/>
      <c r="E658" s="7" t="str">
        <f>IF(Plantilla_SCAN_EQ3_COUNT_2[[#This Row],[ID MATERIAL]]="","",VLOOKUP(Plantilla_SCAN_EQ3_COUNT_2[[#This Row],[ID MATERIAL]],INVENTARIO!$A:$D,2,FALSE))</f>
        <v/>
      </c>
      <c r="F658" s="7" t="str">
        <f>IF(Plantilla_SCAN_EQ3_COUNT_2[[#This Row],[ID MATERIAL]]="","",IF(Plantilla_SCAN_EQ3_COUNT_2[[#This Row],[No. Empaques]]="",1,Plantilla_SCAN_EQ3_COUNT_2[[#This Row],[No. Empaques]]*1))</f>
        <v/>
      </c>
      <c r="G658" s="7" t="str">
        <f>IF(Plantilla_SCAN_EQ3_COUNT_2[[#This Row],[ID MATERIAL]]="","","PZ")</f>
        <v/>
      </c>
      <c r="H658" s="7" t="str">
        <f>IF(Plantilla_SCAN_EQ3_COUNT_2[[#This Row],[ID MATERIAL]]="","",$B$13)</f>
        <v/>
      </c>
      <c r="I658" s="7" t="str">
        <f>IF(Plantilla_SCAN_EQ3_COUNT_2[[#This Row],[ID MATERIAL]]="","","Segundo Conteo")</f>
        <v/>
      </c>
    </row>
    <row r="659" spans="1:9" s="7" customFormat="1" ht="15" x14ac:dyDescent="0.2">
      <c r="A659" s="7" t="str">
        <f>IF(Plantilla_SCAN_EQ3_COUNT_2[[#This Row],[ID MATERIAL]]="","",SIGN(Plantilla_SCAN_EQ3_COUNT_2[[#This Row],[Cantidad]])+A658)</f>
        <v/>
      </c>
      <c r="B659" s="21" t="str">
        <f>IF(Plantilla_SCAN_EQ3_COUNT_2[[#This Row],[ID MATERIAL]]="","",B658)</f>
        <v/>
      </c>
      <c r="C659" s="21"/>
      <c r="D659" s="21"/>
      <c r="E659" s="7" t="str">
        <f>IF(Plantilla_SCAN_EQ3_COUNT_2[[#This Row],[ID MATERIAL]]="","",VLOOKUP(Plantilla_SCAN_EQ3_COUNT_2[[#This Row],[ID MATERIAL]],INVENTARIO!$A:$D,2,FALSE))</f>
        <v/>
      </c>
      <c r="F659" s="7" t="str">
        <f>IF(Plantilla_SCAN_EQ3_COUNT_2[[#This Row],[ID MATERIAL]]="","",IF(Plantilla_SCAN_EQ3_COUNT_2[[#This Row],[No. Empaques]]="",1,Plantilla_SCAN_EQ3_COUNT_2[[#This Row],[No. Empaques]]*1))</f>
        <v/>
      </c>
      <c r="G659" s="7" t="str">
        <f>IF(Plantilla_SCAN_EQ3_COUNT_2[[#This Row],[ID MATERIAL]]="","","PZ")</f>
        <v/>
      </c>
      <c r="H659" s="7" t="str">
        <f>IF(Plantilla_SCAN_EQ3_COUNT_2[[#This Row],[ID MATERIAL]]="","",$B$13)</f>
        <v/>
      </c>
      <c r="I659" s="7" t="str">
        <f>IF(Plantilla_SCAN_EQ3_COUNT_2[[#This Row],[ID MATERIAL]]="","","Segundo Conteo")</f>
        <v/>
      </c>
    </row>
    <row r="660" spans="1:9" s="7" customFormat="1" ht="15" x14ac:dyDescent="0.2">
      <c r="A660" s="7" t="str">
        <f>IF(Plantilla_SCAN_EQ3_COUNT_2[[#This Row],[ID MATERIAL]]="","",SIGN(Plantilla_SCAN_EQ3_COUNT_2[[#This Row],[Cantidad]])+A659)</f>
        <v/>
      </c>
      <c r="B660" s="21" t="str">
        <f>IF(Plantilla_SCAN_EQ3_COUNT_2[[#This Row],[ID MATERIAL]]="","",B659)</f>
        <v/>
      </c>
      <c r="C660" s="21"/>
      <c r="D660" s="21"/>
      <c r="E660" s="7" t="str">
        <f>IF(Plantilla_SCAN_EQ3_COUNT_2[[#This Row],[ID MATERIAL]]="","",VLOOKUP(Plantilla_SCAN_EQ3_COUNT_2[[#This Row],[ID MATERIAL]],INVENTARIO!$A:$D,2,FALSE))</f>
        <v/>
      </c>
      <c r="F660" s="7" t="str">
        <f>IF(Plantilla_SCAN_EQ3_COUNT_2[[#This Row],[ID MATERIAL]]="","",IF(Plantilla_SCAN_EQ3_COUNT_2[[#This Row],[No. Empaques]]="",1,Plantilla_SCAN_EQ3_COUNT_2[[#This Row],[No. Empaques]]*1))</f>
        <v/>
      </c>
      <c r="G660" s="7" t="str">
        <f>IF(Plantilla_SCAN_EQ3_COUNT_2[[#This Row],[ID MATERIAL]]="","","PZ")</f>
        <v/>
      </c>
      <c r="H660" s="7" t="str">
        <f>IF(Plantilla_SCAN_EQ3_COUNT_2[[#This Row],[ID MATERIAL]]="","",$B$13)</f>
        <v/>
      </c>
      <c r="I660" s="7" t="str">
        <f>IF(Plantilla_SCAN_EQ3_COUNT_2[[#This Row],[ID MATERIAL]]="","","Segundo Conteo")</f>
        <v/>
      </c>
    </row>
    <row r="661" spans="1:9" s="7" customFormat="1" ht="15" x14ac:dyDescent="0.2">
      <c r="A661" s="7" t="str">
        <f>IF(Plantilla_SCAN_EQ3_COUNT_2[[#This Row],[ID MATERIAL]]="","",SIGN(Plantilla_SCAN_EQ3_COUNT_2[[#This Row],[Cantidad]])+A660)</f>
        <v/>
      </c>
      <c r="B661" s="21" t="str">
        <f>IF(Plantilla_SCAN_EQ3_COUNT_2[[#This Row],[ID MATERIAL]]="","",B660)</f>
        <v/>
      </c>
      <c r="C661" s="21"/>
      <c r="D661" s="21"/>
      <c r="E661" s="7" t="str">
        <f>IF(Plantilla_SCAN_EQ3_COUNT_2[[#This Row],[ID MATERIAL]]="","",VLOOKUP(Plantilla_SCAN_EQ3_COUNT_2[[#This Row],[ID MATERIAL]],INVENTARIO!$A:$D,2,FALSE))</f>
        <v/>
      </c>
      <c r="F661" s="7" t="str">
        <f>IF(Plantilla_SCAN_EQ3_COUNT_2[[#This Row],[ID MATERIAL]]="","",IF(Plantilla_SCAN_EQ3_COUNT_2[[#This Row],[No. Empaques]]="",1,Plantilla_SCAN_EQ3_COUNT_2[[#This Row],[No. Empaques]]*1))</f>
        <v/>
      </c>
      <c r="G661" s="7" t="str">
        <f>IF(Plantilla_SCAN_EQ3_COUNT_2[[#This Row],[ID MATERIAL]]="","","PZ")</f>
        <v/>
      </c>
      <c r="H661" s="7" t="str">
        <f>IF(Plantilla_SCAN_EQ3_COUNT_2[[#This Row],[ID MATERIAL]]="","",$B$13)</f>
        <v/>
      </c>
      <c r="I661" s="7" t="str">
        <f>IF(Plantilla_SCAN_EQ3_COUNT_2[[#This Row],[ID MATERIAL]]="","","Segundo Conteo")</f>
        <v/>
      </c>
    </row>
    <row r="662" spans="1:9" s="7" customFormat="1" ht="15" x14ac:dyDescent="0.2">
      <c r="A662" s="7" t="str">
        <f>IF(Plantilla_SCAN_EQ3_COUNT_2[[#This Row],[ID MATERIAL]]="","",SIGN(Plantilla_SCAN_EQ3_COUNT_2[[#This Row],[Cantidad]])+A661)</f>
        <v/>
      </c>
      <c r="B662" s="21" t="str">
        <f>IF(Plantilla_SCAN_EQ3_COUNT_2[[#This Row],[ID MATERIAL]]="","",B661)</f>
        <v/>
      </c>
      <c r="C662" s="21"/>
      <c r="D662" s="21"/>
      <c r="E662" s="7" t="str">
        <f>IF(Plantilla_SCAN_EQ3_COUNT_2[[#This Row],[ID MATERIAL]]="","",VLOOKUP(Plantilla_SCAN_EQ3_COUNT_2[[#This Row],[ID MATERIAL]],INVENTARIO!$A:$D,2,FALSE))</f>
        <v/>
      </c>
      <c r="F662" s="7" t="str">
        <f>IF(Plantilla_SCAN_EQ3_COUNT_2[[#This Row],[ID MATERIAL]]="","",IF(Plantilla_SCAN_EQ3_COUNT_2[[#This Row],[No. Empaques]]="",1,Plantilla_SCAN_EQ3_COUNT_2[[#This Row],[No. Empaques]]*1))</f>
        <v/>
      </c>
      <c r="G662" s="7" t="str">
        <f>IF(Plantilla_SCAN_EQ3_COUNT_2[[#This Row],[ID MATERIAL]]="","","PZ")</f>
        <v/>
      </c>
      <c r="H662" s="7" t="str">
        <f>IF(Plantilla_SCAN_EQ3_COUNT_2[[#This Row],[ID MATERIAL]]="","",$B$13)</f>
        <v/>
      </c>
      <c r="I662" s="7" t="str">
        <f>IF(Plantilla_SCAN_EQ3_COUNT_2[[#This Row],[ID MATERIAL]]="","","Segundo Conteo")</f>
        <v/>
      </c>
    </row>
    <row r="663" spans="1:9" s="7" customFormat="1" ht="15" x14ac:dyDescent="0.2">
      <c r="A663" s="7" t="str">
        <f>IF(Plantilla_SCAN_EQ3_COUNT_2[[#This Row],[ID MATERIAL]]="","",SIGN(Plantilla_SCAN_EQ3_COUNT_2[[#This Row],[Cantidad]])+A662)</f>
        <v/>
      </c>
      <c r="B663" s="21" t="str">
        <f>IF(Plantilla_SCAN_EQ3_COUNT_2[[#This Row],[ID MATERIAL]]="","",B662)</f>
        <v/>
      </c>
      <c r="C663" s="21"/>
      <c r="D663" s="21"/>
      <c r="E663" s="7" t="str">
        <f>IF(Plantilla_SCAN_EQ3_COUNT_2[[#This Row],[ID MATERIAL]]="","",VLOOKUP(Plantilla_SCAN_EQ3_COUNT_2[[#This Row],[ID MATERIAL]],INVENTARIO!$A:$D,2,FALSE))</f>
        <v/>
      </c>
      <c r="F663" s="7" t="str">
        <f>IF(Plantilla_SCAN_EQ3_COUNT_2[[#This Row],[ID MATERIAL]]="","",IF(Plantilla_SCAN_EQ3_COUNT_2[[#This Row],[No. Empaques]]="",1,Plantilla_SCAN_EQ3_COUNT_2[[#This Row],[No. Empaques]]*1))</f>
        <v/>
      </c>
      <c r="G663" s="7" t="str">
        <f>IF(Plantilla_SCAN_EQ3_COUNT_2[[#This Row],[ID MATERIAL]]="","","PZ")</f>
        <v/>
      </c>
      <c r="H663" s="7" t="str">
        <f>IF(Plantilla_SCAN_EQ3_COUNT_2[[#This Row],[ID MATERIAL]]="","",$B$13)</f>
        <v/>
      </c>
      <c r="I663" s="7" t="str">
        <f>IF(Plantilla_SCAN_EQ3_COUNT_2[[#This Row],[ID MATERIAL]]="","","Segundo Conteo")</f>
        <v/>
      </c>
    </row>
    <row r="664" spans="1:9" s="7" customFormat="1" ht="15" x14ac:dyDescent="0.2">
      <c r="A664" s="7" t="str">
        <f>IF(Plantilla_SCAN_EQ3_COUNT_2[[#This Row],[ID MATERIAL]]="","",SIGN(Plantilla_SCAN_EQ3_COUNT_2[[#This Row],[Cantidad]])+A663)</f>
        <v/>
      </c>
      <c r="B664" s="21" t="str">
        <f>IF(Plantilla_SCAN_EQ3_COUNT_2[[#This Row],[ID MATERIAL]]="","",B663)</f>
        <v/>
      </c>
      <c r="C664" s="21"/>
      <c r="D664" s="21"/>
      <c r="E664" s="7" t="str">
        <f>IF(Plantilla_SCAN_EQ3_COUNT_2[[#This Row],[ID MATERIAL]]="","",VLOOKUP(Plantilla_SCAN_EQ3_COUNT_2[[#This Row],[ID MATERIAL]],INVENTARIO!$A:$D,2,FALSE))</f>
        <v/>
      </c>
      <c r="F664" s="7" t="str">
        <f>IF(Plantilla_SCAN_EQ3_COUNT_2[[#This Row],[ID MATERIAL]]="","",IF(Plantilla_SCAN_EQ3_COUNT_2[[#This Row],[No. Empaques]]="",1,Plantilla_SCAN_EQ3_COUNT_2[[#This Row],[No. Empaques]]*1))</f>
        <v/>
      </c>
      <c r="G664" s="7" t="str">
        <f>IF(Plantilla_SCAN_EQ3_COUNT_2[[#This Row],[ID MATERIAL]]="","","PZ")</f>
        <v/>
      </c>
      <c r="H664" s="7" t="str">
        <f>IF(Plantilla_SCAN_EQ3_COUNT_2[[#This Row],[ID MATERIAL]]="","",$B$13)</f>
        <v/>
      </c>
      <c r="I664" s="7" t="str">
        <f>IF(Plantilla_SCAN_EQ3_COUNT_2[[#This Row],[ID MATERIAL]]="","","Segundo Conteo")</f>
        <v/>
      </c>
    </row>
    <row r="665" spans="1:9" s="7" customFormat="1" ht="15" x14ac:dyDescent="0.2">
      <c r="A665" s="7" t="str">
        <f>IF(Plantilla_SCAN_EQ3_COUNT_2[[#This Row],[ID MATERIAL]]="","",SIGN(Plantilla_SCAN_EQ3_COUNT_2[[#This Row],[Cantidad]])+A664)</f>
        <v/>
      </c>
      <c r="B665" s="21" t="str">
        <f>IF(Plantilla_SCAN_EQ3_COUNT_2[[#This Row],[ID MATERIAL]]="","",B664)</f>
        <v/>
      </c>
      <c r="C665" s="21"/>
      <c r="D665" s="21"/>
      <c r="E665" s="7" t="str">
        <f>IF(Plantilla_SCAN_EQ3_COUNT_2[[#This Row],[ID MATERIAL]]="","",VLOOKUP(Plantilla_SCAN_EQ3_COUNT_2[[#This Row],[ID MATERIAL]],INVENTARIO!$A:$D,2,FALSE))</f>
        <v/>
      </c>
      <c r="F665" s="7" t="str">
        <f>IF(Plantilla_SCAN_EQ3_COUNT_2[[#This Row],[ID MATERIAL]]="","",IF(Plantilla_SCAN_EQ3_COUNT_2[[#This Row],[No. Empaques]]="",1,Plantilla_SCAN_EQ3_COUNT_2[[#This Row],[No. Empaques]]*1))</f>
        <v/>
      </c>
      <c r="G665" s="7" t="str">
        <f>IF(Plantilla_SCAN_EQ3_COUNT_2[[#This Row],[ID MATERIAL]]="","","PZ")</f>
        <v/>
      </c>
      <c r="H665" s="7" t="str">
        <f>IF(Plantilla_SCAN_EQ3_COUNT_2[[#This Row],[ID MATERIAL]]="","",$B$13)</f>
        <v/>
      </c>
      <c r="I665" s="7" t="str">
        <f>IF(Plantilla_SCAN_EQ3_COUNT_2[[#This Row],[ID MATERIAL]]="","","Segundo Conteo")</f>
        <v/>
      </c>
    </row>
    <row r="666" spans="1:9" s="7" customFormat="1" ht="15" x14ac:dyDescent="0.2">
      <c r="A666" s="7" t="str">
        <f>IF(Plantilla_SCAN_EQ3_COUNT_2[[#This Row],[ID MATERIAL]]="","",SIGN(Plantilla_SCAN_EQ3_COUNT_2[[#This Row],[Cantidad]])+A665)</f>
        <v/>
      </c>
      <c r="B666" s="21" t="str">
        <f>IF(Plantilla_SCAN_EQ3_COUNT_2[[#This Row],[ID MATERIAL]]="","",B665)</f>
        <v/>
      </c>
      <c r="C666" s="21"/>
      <c r="D666" s="21"/>
      <c r="E666" s="7" t="str">
        <f>IF(Plantilla_SCAN_EQ3_COUNT_2[[#This Row],[ID MATERIAL]]="","",VLOOKUP(Plantilla_SCAN_EQ3_COUNT_2[[#This Row],[ID MATERIAL]],INVENTARIO!$A:$D,2,FALSE))</f>
        <v/>
      </c>
      <c r="F666" s="7" t="str">
        <f>IF(Plantilla_SCAN_EQ3_COUNT_2[[#This Row],[ID MATERIAL]]="","",IF(Plantilla_SCAN_EQ3_COUNT_2[[#This Row],[No. Empaques]]="",1,Plantilla_SCAN_EQ3_COUNT_2[[#This Row],[No. Empaques]]*1))</f>
        <v/>
      </c>
      <c r="G666" s="7" t="str">
        <f>IF(Plantilla_SCAN_EQ3_COUNT_2[[#This Row],[ID MATERIAL]]="","","PZ")</f>
        <v/>
      </c>
      <c r="H666" s="7" t="str">
        <f>IF(Plantilla_SCAN_EQ3_COUNT_2[[#This Row],[ID MATERIAL]]="","",$B$13)</f>
        <v/>
      </c>
      <c r="I666" s="7" t="str">
        <f>IF(Plantilla_SCAN_EQ3_COUNT_2[[#This Row],[ID MATERIAL]]="","","Segundo Conteo")</f>
        <v/>
      </c>
    </row>
    <row r="667" spans="1:9" s="7" customFormat="1" ht="15" x14ac:dyDescent="0.2">
      <c r="A667" s="7" t="str">
        <f>IF(Plantilla_SCAN_EQ3_COUNT_2[[#This Row],[ID MATERIAL]]="","",SIGN(Plantilla_SCAN_EQ3_COUNT_2[[#This Row],[Cantidad]])+A666)</f>
        <v/>
      </c>
      <c r="B667" s="21" t="str">
        <f>IF(Plantilla_SCAN_EQ3_COUNT_2[[#This Row],[ID MATERIAL]]="","",B666)</f>
        <v/>
      </c>
      <c r="C667" s="21"/>
      <c r="D667" s="21"/>
      <c r="E667" s="7" t="str">
        <f>IF(Plantilla_SCAN_EQ3_COUNT_2[[#This Row],[ID MATERIAL]]="","",VLOOKUP(Plantilla_SCAN_EQ3_COUNT_2[[#This Row],[ID MATERIAL]],INVENTARIO!$A:$D,2,FALSE))</f>
        <v/>
      </c>
      <c r="F667" s="7" t="str">
        <f>IF(Plantilla_SCAN_EQ3_COUNT_2[[#This Row],[ID MATERIAL]]="","",IF(Plantilla_SCAN_EQ3_COUNT_2[[#This Row],[No. Empaques]]="",1,Plantilla_SCAN_EQ3_COUNT_2[[#This Row],[No. Empaques]]*1))</f>
        <v/>
      </c>
      <c r="G667" s="7" t="str">
        <f>IF(Plantilla_SCAN_EQ3_COUNT_2[[#This Row],[ID MATERIAL]]="","","PZ")</f>
        <v/>
      </c>
      <c r="H667" s="7" t="str">
        <f>IF(Plantilla_SCAN_EQ3_COUNT_2[[#This Row],[ID MATERIAL]]="","",$B$13)</f>
        <v/>
      </c>
      <c r="I667" s="7" t="str">
        <f>IF(Plantilla_SCAN_EQ3_COUNT_2[[#This Row],[ID MATERIAL]]="","","Segundo Conteo")</f>
        <v/>
      </c>
    </row>
    <row r="668" spans="1:9" s="7" customFormat="1" ht="15" x14ac:dyDescent="0.2">
      <c r="A668" s="7" t="str">
        <f>IF(Plantilla_SCAN_EQ3_COUNT_2[[#This Row],[ID MATERIAL]]="","",SIGN(Plantilla_SCAN_EQ3_COUNT_2[[#This Row],[Cantidad]])+A667)</f>
        <v/>
      </c>
      <c r="B668" s="21" t="str">
        <f>IF(Plantilla_SCAN_EQ3_COUNT_2[[#This Row],[ID MATERIAL]]="","",B667)</f>
        <v/>
      </c>
      <c r="C668" s="21"/>
      <c r="D668" s="21"/>
      <c r="E668" s="7" t="str">
        <f>IF(Plantilla_SCAN_EQ3_COUNT_2[[#This Row],[ID MATERIAL]]="","",VLOOKUP(Plantilla_SCAN_EQ3_COUNT_2[[#This Row],[ID MATERIAL]],INVENTARIO!$A:$D,2,FALSE))</f>
        <v/>
      </c>
      <c r="F668" s="7" t="str">
        <f>IF(Plantilla_SCAN_EQ3_COUNT_2[[#This Row],[ID MATERIAL]]="","",IF(Plantilla_SCAN_EQ3_COUNT_2[[#This Row],[No. Empaques]]="",1,Plantilla_SCAN_EQ3_COUNT_2[[#This Row],[No. Empaques]]*1))</f>
        <v/>
      </c>
      <c r="G668" s="7" t="str">
        <f>IF(Plantilla_SCAN_EQ3_COUNT_2[[#This Row],[ID MATERIAL]]="","","PZ")</f>
        <v/>
      </c>
      <c r="H668" s="7" t="str">
        <f>IF(Plantilla_SCAN_EQ3_COUNT_2[[#This Row],[ID MATERIAL]]="","",$B$13)</f>
        <v/>
      </c>
      <c r="I668" s="7" t="str">
        <f>IF(Plantilla_SCAN_EQ3_COUNT_2[[#This Row],[ID MATERIAL]]="","","Segundo Conteo")</f>
        <v/>
      </c>
    </row>
    <row r="669" spans="1:9" s="7" customFormat="1" ht="15" x14ac:dyDescent="0.2">
      <c r="A669" s="7" t="str">
        <f>IF(Plantilla_SCAN_EQ3_COUNT_2[[#This Row],[ID MATERIAL]]="","",SIGN(Plantilla_SCAN_EQ3_COUNT_2[[#This Row],[Cantidad]])+A668)</f>
        <v/>
      </c>
      <c r="B669" s="21" t="str">
        <f>IF(Plantilla_SCAN_EQ3_COUNT_2[[#This Row],[ID MATERIAL]]="","",B668)</f>
        <v/>
      </c>
      <c r="C669" s="21"/>
      <c r="D669" s="21"/>
      <c r="E669" s="7" t="str">
        <f>IF(Plantilla_SCAN_EQ3_COUNT_2[[#This Row],[ID MATERIAL]]="","",VLOOKUP(Plantilla_SCAN_EQ3_COUNT_2[[#This Row],[ID MATERIAL]],INVENTARIO!$A:$D,2,FALSE))</f>
        <v/>
      </c>
      <c r="F669" s="7" t="str">
        <f>IF(Plantilla_SCAN_EQ3_COUNT_2[[#This Row],[ID MATERIAL]]="","",IF(Plantilla_SCAN_EQ3_COUNT_2[[#This Row],[No. Empaques]]="",1,Plantilla_SCAN_EQ3_COUNT_2[[#This Row],[No. Empaques]]*1))</f>
        <v/>
      </c>
      <c r="G669" s="7" t="str">
        <f>IF(Plantilla_SCAN_EQ3_COUNT_2[[#This Row],[ID MATERIAL]]="","","PZ")</f>
        <v/>
      </c>
      <c r="H669" s="7" t="str">
        <f>IF(Plantilla_SCAN_EQ3_COUNT_2[[#This Row],[ID MATERIAL]]="","",$B$13)</f>
        <v/>
      </c>
      <c r="I669" s="7" t="str">
        <f>IF(Plantilla_SCAN_EQ3_COUNT_2[[#This Row],[ID MATERIAL]]="","","Segundo Conteo")</f>
        <v/>
      </c>
    </row>
    <row r="670" spans="1:9" s="7" customFormat="1" ht="15" x14ac:dyDescent="0.2">
      <c r="A670" s="7" t="str">
        <f>IF(Plantilla_SCAN_EQ3_COUNT_2[[#This Row],[ID MATERIAL]]="","",SIGN(Plantilla_SCAN_EQ3_COUNT_2[[#This Row],[Cantidad]])+A669)</f>
        <v/>
      </c>
      <c r="B670" s="21" t="str">
        <f>IF(Plantilla_SCAN_EQ3_COUNT_2[[#This Row],[ID MATERIAL]]="","",B669)</f>
        <v/>
      </c>
      <c r="C670" s="21"/>
      <c r="D670" s="21"/>
      <c r="E670" s="7" t="str">
        <f>IF(Plantilla_SCAN_EQ3_COUNT_2[[#This Row],[ID MATERIAL]]="","",VLOOKUP(Plantilla_SCAN_EQ3_COUNT_2[[#This Row],[ID MATERIAL]],INVENTARIO!$A:$D,2,FALSE))</f>
        <v/>
      </c>
      <c r="F670" s="7" t="str">
        <f>IF(Plantilla_SCAN_EQ3_COUNT_2[[#This Row],[ID MATERIAL]]="","",IF(Plantilla_SCAN_EQ3_COUNT_2[[#This Row],[No. Empaques]]="",1,Plantilla_SCAN_EQ3_COUNT_2[[#This Row],[No. Empaques]]*1))</f>
        <v/>
      </c>
      <c r="G670" s="7" t="str">
        <f>IF(Plantilla_SCAN_EQ3_COUNT_2[[#This Row],[ID MATERIAL]]="","","PZ")</f>
        <v/>
      </c>
      <c r="H670" s="7" t="str">
        <f>IF(Plantilla_SCAN_EQ3_COUNT_2[[#This Row],[ID MATERIAL]]="","",$B$13)</f>
        <v/>
      </c>
      <c r="I670" s="7" t="str">
        <f>IF(Plantilla_SCAN_EQ3_COUNT_2[[#This Row],[ID MATERIAL]]="","","Segundo Conteo")</f>
        <v/>
      </c>
    </row>
    <row r="671" spans="1:9" s="7" customFormat="1" ht="15" x14ac:dyDescent="0.2">
      <c r="A671" s="7" t="str">
        <f>IF(Plantilla_SCAN_EQ3_COUNT_2[[#This Row],[ID MATERIAL]]="","",SIGN(Plantilla_SCAN_EQ3_COUNT_2[[#This Row],[Cantidad]])+A670)</f>
        <v/>
      </c>
      <c r="B671" s="21" t="str">
        <f>IF(Plantilla_SCAN_EQ3_COUNT_2[[#This Row],[ID MATERIAL]]="","",B670)</f>
        <v/>
      </c>
      <c r="C671" s="21"/>
      <c r="D671" s="21"/>
      <c r="E671" s="7" t="str">
        <f>IF(Plantilla_SCAN_EQ3_COUNT_2[[#This Row],[ID MATERIAL]]="","",VLOOKUP(Plantilla_SCAN_EQ3_COUNT_2[[#This Row],[ID MATERIAL]],INVENTARIO!$A:$D,2,FALSE))</f>
        <v/>
      </c>
      <c r="F671" s="7" t="str">
        <f>IF(Plantilla_SCAN_EQ3_COUNT_2[[#This Row],[ID MATERIAL]]="","",IF(Plantilla_SCAN_EQ3_COUNT_2[[#This Row],[No. Empaques]]="",1,Plantilla_SCAN_EQ3_COUNT_2[[#This Row],[No. Empaques]]*1))</f>
        <v/>
      </c>
      <c r="G671" s="7" t="str">
        <f>IF(Plantilla_SCAN_EQ3_COUNT_2[[#This Row],[ID MATERIAL]]="","","PZ")</f>
        <v/>
      </c>
      <c r="H671" s="7" t="str">
        <f>IF(Plantilla_SCAN_EQ3_COUNT_2[[#This Row],[ID MATERIAL]]="","",$B$13)</f>
        <v/>
      </c>
      <c r="I671" s="7" t="str">
        <f>IF(Plantilla_SCAN_EQ3_COUNT_2[[#This Row],[ID MATERIAL]]="","","Segundo Conteo")</f>
        <v/>
      </c>
    </row>
    <row r="672" spans="1:9" s="7" customFormat="1" ht="15" x14ac:dyDescent="0.2">
      <c r="A672" s="7" t="str">
        <f>IF(Plantilla_SCAN_EQ3_COUNT_2[[#This Row],[ID MATERIAL]]="","",SIGN(Plantilla_SCAN_EQ3_COUNT_2[[#This Row],[Cantidad]])+A671)</f>
        <v/>
      </c>
      <c r="B672" s="21" t="str">
        <f>IF(Plantilla_SCAN_EQ3_COUNT_2[[#This Row],[ID MATERIAL]]="","",B671)</f>
        <v/>
      </c>
      <c r="C672" s="21"/>
      <c r="D672" s="21"/>
      <c r="E672" s="7" t="str">
        <f>IF(Plantilla_SCAN_EQ3_COUNT_2[[#This Row],[ID MATERIAL]]="","",VLOOKUP(Plantilla_SCAN_EQ3_COUNT_2[[#This Row],[ID MATERIAL]],INVENTARIO!$A:$D,2,FALSE))</f>
        <v/>
      </c>
      <c r="F672" s="7" t="str">
        <f>IF(Plantilla_SCAN_EQ3_COUNT_2[[#This Row],[ID MATERIAL]]="","",IF(Plantilla_SCAN_EQ3_COUNT_2[[#This Row],[No. Empaques]]="",1,Plantilla_SCAN_EQ3_COUNT_2[[#This Row],[No. Empaques]]*1))</f>
        <v/>
      </c>
      <c r="G672" s="7" t="str">
        <f>IF(Plantilla_SCAN_EQ3_COUNT_2[[#This Row],[ID MATERIAL]]="","","PZ")</f>
        <v/>
      </c>
      <c r="H672" s="7" t="str">
        <f>IF(Plantilla_SCAN_EQ3_COUNT_2[[#This Row],[ID MATERIAL]]="","",$B$13)</f>
        <v/>
      </c>
      <c r="I672" s="7" t="str">
        <f>IF(Plantilla_SCAN_EQ3_COUNT_2[[#This Row],[ID MATERIAL]]="","","Segundo Conteo")</f>
        <v/>
      </c>
    </row>
    <row r="673" spans="1:9" s="7" customFormat="1" ht="15" x14ac:dyDescent="0.2">
      <c r="A673" s="7" t="str">
        <f>IF(Plantilla_SCAN_EQ3_COUNT_2[[#This Row],[ID MATERIAL]]="","",SIGN(Plantilla_SCAN_EQ3_COUNT_2[[#This Row],[Cantidad]])+A672)</f>
        <v/>
      </c>
      <c r="B673" s="21" t="str">
        <f>IF(Plantilla_SCAN_EQ3_COUNT_2[[#This Row],[ID MATERIAL]]="","",B672)</f>
        <v/>
      </c>
      <c r="C673" s="21"/>
      <c r="D673" s="21"/>
      <c r="E673" s="7" t="str">
        <f>IF(Plantilla_SCAN_EQ3_COUNT_2[[#This Row],[ID MATERIAL]]="","",VLOOKUP(Plantilla_SCAN_EQ3_COUNT_2[[#This Row],[ID MATERIAL]],INVENTARIO!$A:$D,2,FALSE))</f>
        <v/>
      </c>
      <c r="F673" s="7" t="str">
        <f>IF(Plantilla_SCAN_EQ3_COUNT_2[[#This Row],[ID MATERIAL]]="","",IF(Plantilla_SCAN_EQ3_COUNT_2[[#This Row],[No. Empaques]]="",1,Plantilla_SCAN_EQ3_COUNT_2[[#This Row],[No. Empaques]]*1))</f>
        <v/>
      </c>
      <c r="G673" s="7" t="str">
        <f>IF(Plantilla_SCAN_EQ3_COUNT_2[[#This Row],[ID MATERIAL]]="","","PZ")</f>
        <v/>
      </c>
      <c r="H673" s="7" t="str">
        <f>IF(Plantilla_SCAN_EQ3_COUNT_2[[#This Row],[ID MATERIAL]]="","",$B$13)</f>
        <v/>
      </c>
      <c r="I673" s="7" t="str">
        <f>IF(Plantilla_SCAN_EQ3_COUNT_2[[#This Row],[ID MATERIAL]]="","","Segundo Conteo")</f>
        <v/>
      </c>
    </row>
    <row r="674" spans="1:9" s="7" customFormat="1" ht="15" x14ac:dyDescent="0.2">
      <c r="A674" s="7" t="str">
        <f>IF(Plantilla_SCAN_EQ3_COUNT_2[[#This Row],[ID MATERIAL]]="","",SIGN(Plantilla_SCAN_EQ3_COUNT_2[[#This Row],[Cantidad]])+A673)</f>
        <v/>
      </c>
      <c r="B674" s="21" t="str">
        <f>IF(Plantilla_SCAN_EQ3_COUNT_2[[#This Row],[ID MATERIAL]]="","",B673)</f>
        <v/>
      </c>
      <c r="C674" s="21"/>
      <c r="D674" s="21"/>
      <c r="E674" s="7" t="str">
        <f>IF(Plantilla_SCAN_EQ3_COUNT_2[[#This Row],[ID MATERIAL]]="","",VLOOKUP(Plantilla_SCAN_EQ3_COUNT_2[[#This Row],[ID MATERIAL]],INVENTARIO!$A:$D,2,FALSE))</f>
        <v/>
      </c>
      <c r="F674" s="7" t="str">
        <f>IF(Plantilla_SCAN_EQ3_COUNT_2[[#This Row],[ID MATERIAL]]="","",IF(Plantilla_SCAN_EQ3_COUNT_2[[#This Row],[No. Empaques]]="",1,Plantilla_SCAN_EQ3_COUNT_2[[#This Row],[No. Empaques]]*1))</f>
        <v/>
      </c>
      <c r="G674" s="7" t="str">
        <f>IF(Plantilla_SCAN_EQ3_COUNT_2[[#This Row],[ID MATERIAL]]="","","PZ")</f>
        <v/>
      </c>
      <c r="H674" s="7" t="str">
        <f>IF(Plantilla_SCAN_EQ3_COUNT_2[[#This Row],[ID MATERIAL]]="","",$B$13)</f>
        <v/>
      </c>
      <c r="I674" s="7" t="str">
        <f>IF(Plantilla_SCAN_EQ3_COUNT_2[[#This Row],[ID MATERIAL]]="","","Segundo Conteo")</f>
        <v/>
      </c>
    </row>
    <row r="675" spans="1:9" s="7" customFormat="1" ht="15" x14ac:dyDescent="0.2">
      <c r="A675" s="7" t="str">
        <f>IF(Plantilla_SCAN_EQ3_COUNT_2[[#This Row],[ID MATERIAL]]="","",SIGN(Plantilla_SCAN_EQ3_COUNT_2[[#This Row],[Cantidad]])+A674)</f>
        <v/>
      </c>
      <c r="B675" s="21" t="str">
        <f>IF(Plantilla_SCAN_EQ3_COUNT_2[[#This Row],[ID MATERIAL]]="","",B674)</f>
        <v/>
      </c>
      <c r="C675" s="21"/>
      <c r="D675" s="21"/>
      <c r="E675" s="7" t="str">
        <f>IF(Plantilla_SCAN_EQ3_COUNT_2[[#This Row],[ID MATERIAL]]="","",VLOOKUP(Plantilla_SCAN_EQ3_COUNT_2[[#This Row],[ID MATERIAL]],INVENTARIO!$A:$D,2,FALSE))</f>
        <v/>
      </c>
      <c r="F675" s="7" t="str">
        <f>IF(Plantilla_SCAN_EQ3_COUNT_2[[#This Row],[ID MATERIAL]]="","",IF(Plantilla_SCAN_EQ3_COUNT_2[[#This Row],[No. Empaques]]="",1,Plantilla_SCAN_EQ3_COUNT_2[[#This Row],[No. Empaques]]*1))</f>
        <v/>
      </c>
      <c r="G675" s="7" t="str">
        <f>IF(Plantilla_SCAN_EQ3_COUNT_2[[#This Row],[ID MATERIAL]]="","","PZ")</f>
        <v/>
      </c>
      <c r="H675" s="7" t="str">
        <f>IF(Plantilla_SCAN_EQ3_COUNT_2[[#This Row],[ID MATERIAL]]="","",$B$13)</f>
        <v/>
      </c>
      <c r="I675" s="7" t="str">
        <f>IF(Plantilla_SCAN_EQ3_COUNT_2[[#This Row],[ID MATERIAL]]="","","Segundo Conteo")</f>
        <v/>
      </c>
    </row>
    <row r="676" spans="1:9" s="7" customFormat="1" ht="15" x14ac:dyDescent="0.2">
      <c r="A676" s="7" t="str">
        <f>IF(Plantilla_SCAN_EQ3_COUNT_2[[#This Row],[ID MATERIAL]]="","",SIGN(Plantilla_SCAN_EQ3_COUNT_2[[#This Row],[Cantidad]])+A675)</f>
        <v/>
      </c>
      <c r="B676" s="21" t="str">
        <f>IF(Plantilla_SCAN_EQ3_COUNT_2[[#This Row],[ID MATERIAL]]="","",B675)</f>
        <v/>
      </c>
      <c r="C676" s="21"/>
      <c r="D676" s="21"/>
      <c r="E676" s="7" t="str">
        <f>IF(Plantilla_SCAN_EQ3_COUNT_2[[#This Row],[ID MATERIAL]]="","",VLOOKUP(Plantilla_SCAN_EQ3_COUNT_2[[#This Row],[ID MATERIAL]],INVENTARIO!$A:$D,2,FALSE))</f>
        <v/>
      </c>
      <c r="F676" s="7" t="str">
        <f>IF(Plantilla_SCAN_EQ3_COUNT_2[[#This Row],[ID MATERIAL]]="","",IF(Plantilla_SCAN_EQ3_COUNT_2[[#This Row],[No. Empaques]]="",1,Plantilla_SCAN_EQ3_COUNT_2[[#This Row],[No. Empaques]]*1))</f>
        <v/>
      </c>
      <c r="G676" s="7" t="str">
        <f>IF(Plantilla_SCAN_EQ3_COUNT_2[[#This Row],[ID MATERIAL]]="","","PZ")</f>
        <v/>
      </c>
      <c r="H676" s="7" t="str">
        <f>IF(Plantilla_SCAN_EQ3_COUNT_2[[#This Row],[ID MATERIAL]]="","",$B$13)</f>
        <v/>
      </c>
      <c r="I676" s="7" t="str">
        <f>IF(Plantilla_SCAN_EQ3_COUNT_2[[#This Row],[ID MATERIAL]]="","","Segundo Conteo")</f>
        <v/>
      </c>
    </row>
    <row r="677" spans="1:9" s="7" customFormat="1" ht="15" x14ac:dyDescent="0.2">
      <c r="A677" s="7" t="str">
        <f>IF(Plantilla_SCAN_EQ3_COUNT_2[[#This Row],[ID MATERIAL]]="","",SIGN(Plantilla_SCAN_EQ3_COUNT_2[[#This Row],[Cantidad]])+A676)</f>
        <v/>
      </c>
      <c r="B677" s="21" t="str">
        <f>IF(Plantilla_SCAN_EQ3_COUNT_2[[#This Row],[ID MATERIAL]]="","",B676)</f>
        <v/>
      </c>
      <c r="C677" s="21"/>
      <c r="D677" s="21"/>
      <c r="E677" s="7" t="str">
        <f>IF(Plantilla_SCAN_EQ3_COUNT_2[[#This Row],[ID MATERIAL]]="","",VLOOKUP(Plantilla_SCAN_EQ3_COUNT_2[[#This Row],[ID MATERIAL]],INVENTARIO!$A:$D,2,FALSE))</f>
        <v/>
      </c>
      <c r="F677" s="7" t="str">
        <f>IF(Plantilla_SCAN_EQ3_COUNT_2[[#This Row],[ID MATERIAL]]="","",IF(Plantilla_SCAN_EQ3_COUNT_2[[#This Row],[No. Empaques]]="",1,Plantilla_SCAN_EQ3_COUNT_2[[#This Row],[No. Empaques]]*1))</f>
        <v/>
      </c>
      <c r="G677" s="7" t="str">
        <f>IF(Plantilla_SCAN_EQ3_COUNT_2[[#This Row],[ID MATERIAL]]="","","PZ")</f>
        <v/>
      </c>
      <c r="H677" s="7" t="str">
        <f>IF(Plantilla_SCAN_EQ3_COUNT_2[[#This Row],[ID MATERIAL]]="","",$B$13)</f>
        <v/>
      </c>
      <c r="I677" s="7" t="str">
        <f>IF(Plantilla_SCAN_EQ3_COUNT_2[[#This Row],[ID MATERIAL]]="","","Segundo Conteo")</f>
        <v/>
      </c>
    </row>
    <row r="678" spans="1:9" s="7" customFormat="1" ht="15" x14ac:dyDescent="0.2">
      <c r="A678" s="7" t="str">
        <f>IF(Plantilla_SCAN_EQ3_COUNT_2[[#This Row],[ID MATERIAL]]="","",SIGN(Plantilla_SCAN_EQ3_COUNT_2[[#This Row],[Cantidad]])+A677)</f>
        <v/>
      </c>
      <c r="B678" s="21" t="str">
        <f>IF(Plantilla_SCAN_EQ3_COUNT_2[[#This Row],[ID MATERIAL]]="","",B677)</f>
        <v/>
      </c>
      <c r="C678" s="21"/>
      <c r="D678" s="21"/>
      <c r="E678" s="7" t="str">
        <f>IF(Plantilla_SCAN_EQ3_COUNT_2[[#This Row],[ID MATERIAL]]="","",VLOOKUP(Plantilla_SCAN_EQ3_COUNT_2[[#This Row],[ID MATERIAL]],INVENTARIO!$A:$D,2,FALSE))</f>
        <v/>
      </c>
      <c r="F678" s="7" t="str">
        <f>IF(Plantilla_SCAN_EQ3_COUNT_2[[#This Row],[ID MATERIAL]]="","",IF(Plantilla_SCAN_EQ3_COUNT_2[[#This Row],[No. Empaques]]="",1,Plantilla_SCAN_EQ3_COUNT_2[[#This Row],[No. Empaques]]*1))</f>
        <v/>
      </c>
      <c r="G678" s="7" t="str">
        <f>IF(Plantilla_SCAN_EQ3_COUNT_2[[#This Row],[ID MATERIAL]]="","","PZ")</f>
        <v/>
      </c>
      <c r="H678" s="7" t="str">
        <f>IF(Plantilla_SCAN_EQ3_COUNT_2[[#This Row],[ID MATERIAL]]="","",$B$13)</f>
        <v/>
      </c>
      <c r="I678" s="7" t="str">
        <f>IF(Plantilla_SCAN_EQ3_COUNT_2[[#This Row],[ID MATERIAL]]="","","Segundo Conteo")</f>
        <v/>
      </c>
    </row>
    <row r="679" spans="1:9" s="7" customFormat="1" ht="15" x14ac:dyDescent="0.2">
      <c r="A679" s="7" t="str">
        <f>IF(Plantilla_SCAN_EQ3_COUNT_2[[#This Row],[ID MATERIAL]]="","",SIGN(Plantilla_SCAN_EQ3_COUNT_2[[#This Row],[Cantidad]])+A678)</f>
        <v/>
      </c>
      <c r="B679" s="21" t="str">
        <f>IF(Plantilla_SCAN_EQ3_COUNT_2[[#This Row],[ID MATERIAL]]="","",B678)</f>
        <v/>
      </c>
      <c r="C679" s="21"/>
      <c r="D679" s="21"/>
      <c r="E679" s="7" t="str">
        <f>IF(Plantilla_SCAN_EQ3_COUNT_2[[#This Row],[ID MATERIAL]]="","",VLOOKUP(Plantilla_SCAN_EQ3_COUNT_2[[#This Row],[ID MATERIAL]],INVENTARIO!$A:$D,2,FALSE))</f>
        <v/>
      </c>
      <c r="F679" s="7" t="str">
        <f>IF(Plantilla_SCAN_EQ3_COUNT_2[[#This Row],[ID MATERIAL]]="","",IF(Plantilla_SCAN_EQ3_COUNT_2[[#This Row],[No. Empaques]]="",1,Plantilla_SCAN_EQ3_COUNT_2[[#This Row],[No. Empaques]]*1))</f>
        <v/>
      </c>
      <c r="G679" s="7" t="str">
        <f>IF(Plantilla_SCAN_EQ3_COUNT_2[[#This Row],[ID MATERIAL]]="","","PZ")</f>
        <v/>
      </c>
      <c r="H679" s="7" t="str">
        <f>IF(Plantilla_SCAN_EQ3_COUNT_2[[#This Row],[ID MATERIAL]]="","",$B$13)</f>
        <v/>
      </c>
      <c r="I679" s="7" t="str">
        <f>IF(Plantilla_SCAN_EQ3_COUNT_2[[#This Row],[ID MATERIAL]]="","","Segundo Conteo")</f>
        <v/>
      </c>
    </row>
    <row r="680" spans="1:9" s="7" customFormat="1" ht="15" x14ac:dyDescent="0.2">
      <c r="A680" s="7" t="str">
        <f>IF(Plantilla_SCAN_EQ3_COUNT_2[[#This Row],[ID MATERIAL]]="","",SIGN(Plantilla_SCAN_EQ3_COUNT_2[[#This Row],[Cantidad]])+A679)</f>
        <v/>
      </c>
      <c r="B680" s="21" t="str">
        <f>IF(Plantilla_SCAN_EQ3_COUNT_2[[#This Row],[ID MATERIAL]]="","",B679)</f>
        <v/>
      </c>
      <c r="C680" s="21"/>
      <c r="D680" s="21"/>
      <c r="E680" s="7" t="str">
        <f>IF(Plantilla_SCAN_EQ3_COUNT_2[[#This Row],[ID MATERIAL]]="","",VLOOKUP(Plantilla_SCAN_EQ3_COUNT_2[[#This Row],[ID MATERIAL]],INVENTARIO!$A:$D,2,FALSE))</f>
        <v/>
      </c>
      <c r="F680" s="7" t="str">
        <f>IF(Plantilla_SCAN_EQ3_COUNT_2[[#This Row],[ID MATERIAL]]="","",IF(Plantilla_SCAN_EQ3_COUNT_2[[#This Row],[No. Empaques]]="",1,Plantilla_SCAN_EQ3_COUNT_2[[#This Row],[No. Empaques]]*1))</f>
        <v/>
      </c>
      <c r="G680" s="7" t="str">
        <f>IF(Plantilla_SCAN_EQ3_COUNT_2[[#This Row],[ID MATERIAL]]="","","PZ")</f>
        <v/>
      </c>
      <c r="H680" s="7" t="str">
        <f>IF(Plantilla_SCAN_EQ3_COUNT_2[[#This Row],[ID MATERIAL]]="","",$B$13)</f>
        <v/>
      </c>
      <c r="I680" s="7" t="str">
        <f>IF(Plantilla_SCAN_EQ3_COUNT_2[[#This Row],[ID MATERIAL]]="","","Segundo Conteo")</f>
        <v/>
      </c>
    </row>
    <row r="681" spans="1:9" s="7" customFormat="1" ht="15" x14ac:dyDescent="0.2">
      <c r="A681" s="7" t="str">
        <f>IF(Plantilla_SCAN_EQ3_COUNT_2[[#This Row],[ID MATERIAL]]="","",SIGN(Plantilla_SCAN_EQ3_COUNT_2[[#This Row],[Cantidad]])+A680)</f>
        <v/>
      </c>
      <c r="B681" s="21" t="str">
        <f>IF(Plantilla_SCAN_EQ3_COUNT_2[[#This Row],[ID MATERIAL]]="","",B680)</f>
        <v/>
      </c>
      <c r="C681" s="21"/>
      <c r="D681" s="21"/>
      <c r="E681" s="7" t="str">
        <f>IF(Plantilla_SCAN_EQ3_COUNT_2[[#This Row],[ID MATERIAL]]="","",VLOOKUP(Plantilla_SCAN_EQ3_COUNT_2[[#This Row],[ID MATERIAL]],INVENTARIO!$A:$D,2,FALSE))</f>
        <v/>
      </c>
      <c r="F681" s="7" t="str">
        <f>IF(Plantilla_SCAN_EQ3_COUNT_2[[#This Row],[ID MATERIAL]]="","",IF(Plantilla_SCAN_EQ3_COUNT_2[[#This Row],[No. Empaques]]="",1,Plantilla_SCAN_EQ3_COUNT_2[[#This Row],[No. Empaques]]*1))</f>
        <v/>
      </c>
      <c r="G681" s="7" t="str">
        <f>IF(Plantilla_SCAN_EQ3_COUNT_2[[#This Row],[ID MATERIAL]]="","","PZ")</f>
        <v/>
      </c>
      <c r="H681" s="7" t="str">
        <f>IF(Plantilla_SCAN_EQ3_COUNT_2[[#This Row],[ID MATERIAL]]="","",$B$13)</f>
        <v/>
      </c>
      <c r="I681" s="7" t="str">
        <f>IF(Plantilla_SCAN_EQ3_COUNT_2[[#This Row],[ID MATERIAL]]="","","Segundo Conteo")</f>
        <v/>
      </c>
    </row>
    <row r="682" spans="1:9" s="7" customFormat="1" ht="15" x14ac:dyDescent="0.2">
      <c r="A682" s="7" t="str">
        <f>IF(Plantilla_SCAN_EQ3_COUNT_2[[#This Row],[ID MATERIAL]]="","",SIGN(Plantilla_SCAN_EQ3_COUNT_2[[#This Row],[Cantidad]])+A681)</f>
        <v/>
      </c>
      <c r="B682" s="21" t="str">
        <f>IF(Plantilla_SCAN_EQ3_COUNT_2[[#This Row],[ID MATERIAL]]="","",B681)</f>
        <v/>
      </c>
      <c r="C682" s="21"/>
      <c r="D682" s="21"/>
      <c r="E682" s="7" t="str">
        <f>IF(Plantilla_SCAN_EQ3_COUNT_2[[#This Row],[ID MATERIAL]]="","",VLOOKUP(Plantilla_SCAN_EQ3_COUNT_2[[#This Row],[ID MATERIAL]],INVENTARIO!$A:$D,2,FALSE))</f>
        <v/>
      </c>
      <c r="F682" s="7" t="str">
        <f>IF(Plantilla_SCAN_EQ3_COUNT_2[[#This Row],[ID MATERIAL]]="","",IF(Plantilla_SCAN_EQ3_COUNT_2[[#This Row],[No. Empaques]]="",1,Plantilla_SCAN_EQ3_COUNT_2[[#This Row],[No. Empaques]]*1))</f>
        <v/>
      </c>
      <c r="G682" s="7" t="str">
        <f>IF(Plantilla_SCAN_EQ3_COUNT_2[[#This Row],[ID MATERIAL]]="","","PZ")</f>
        <v/>
      </c>
      <c r="H682" s="7" t="str">
        <f>IF(Plantilla_SCAN_EQ3_COUNT_2[[#This Row],[ID MATERIAL]]="","",$B$13)</f>
        <v/>
      </c>
      <c r="I682" s="7" t="str">
        <f>IF(Plantilla_SCAN_EQ3_COUNT_2[[#This Row],[ID MATERIAL]]="","","Segundo Conteo")</f>
        <v/>
      </c>
    </row>
    <row r="683" spans="1:9" s="7" customFormat="1" ht="15" x14ac:dyDescent="0.2">
      <c r="A683" s="7" t="str">
        <f>IF(Plantilla_SCAN_EQ3_COUNT_2[[#This Row],[ID MATERIAL]]="","",SIGN(Plantilla_SCAN_EQ3_COUNT_2[[#This Row],[Cantidad]])+A682)</f>
        <v/>
      </c>
      <c r="B683" s="21" t="str">
        <f>IF(Plantilla_SCAN_EQ3_COUNT_2[[#This Row],[ID MATERIAL]]="","",B682)</f>
        <v/>
      </c>
      <c r="C683" s="21"/>
      <c r="D683" s="21"/>
      <c r="E683" s="7" t="str">
        <f>IF(Plantilla_SCAN_EQ3_COUNT_2[[#This Row],[ID MATERIAL]]="","",VLOOKUP(Plantilla_SCAN_EQ3_COUNT_2[[#This Row],[ID MATERIAL]],INVENTARIO!$A:$D,2,FALSE))</f>
        <v/>
      </c>
      <c r="F683" s="7" t="str">
        <f>IF(Plantilla_SCAN_EQ3_COUNT_2[[#This Row],[ID MATERIAL]]="","",IF(Plantilla_SCAN_EQ3_COUNT_2[[#This Row],[No. Empaques]]="",1,Plantilla_SCAN_EQ3_COUNT_2[[#This Row],[No. Empaques]]*1))</f>
        <v/>
      </c>
      <c r="G683" s="7" t="str">
        <f>IF(Plantilla_SCAN_EQ3_COUNT_2[[#This Row],[ID MATERIAL]]="","","PZ")</f>
        <v/>
      </c>
      <c r="H683" s="7" t="str">
        <f>IF(Plantilla_SCAN_EQ3_COUNT_2[[#This Row],[ID MATERIAL]]="","",$B$13)</f>
        <v/>
      </c>
      <c r="I683" s="7" t="str">
        <f>IF(Plantilla_SCAN_EQ3_COUNT_2[[#This Row],[ID MATERIAL]]="","","Segundo Conteo")</f>
        <v/>
      </c>
    </row>
    <row r="684" spans="1:9" s="7" customFormat="1" ht="15" x14ac:dyDescent="0.2">
      <c r="A684" s="7" t="str">
        <f>IF(Plantilla_SCAN_EQ3_COUNT_2[[#This Row],[ID MATERIAL]]="","",SIGN(Plantilla_SCAN_EQ3_COUNT_2[[#This Row],[Cantidad]])+A683)</f>
        <v/>
      </c>
      <c r="B684" s="21" t="str">
        <f>IF(Plantilla_SCAN_EQ3_COUNT_2[[#This Row],[ID MATERIAL]]="","",B683)</f>
        <v/>
      </c>
      <c r="C684" s="21"/>
      <c r="D684" s="21"/>
      <c r="E684" s="7" t="str">
        <f>IF(Plantilla_SCAN_EQ3_COUNT_2[[#This Row],[ID MATERIAL]]="","",VLOOKUP(Plantilla_SCAN_EQ3_COUNT_2[[#This Row],[ID MATERIAL]],INVENTARIO!$A:$D,2,FALSE))</f>
        <v/>
      </c>
      <c r="F684" s="7" t="str">
        <f>IF(Plantilla_SCAN_EQ3_COUNT_2[[#This Row],[ID MATERIAL]]="","",IF(Plantilla_SCAN_EQ3_COUNT_2[[#This Row],[No. Empaques]]="",1,Plantilla_SCAN_EQ3_COUNT_2[[#This Row],[No. Empaques]]*1))</f>
        <v/>
      </c>
      <c r="G684" s="7" t="str">
        <f>IF(Plantilla_SCAN_EQ3_COUNT_2[[#This Row],[ID MATERIAL]]="","","PZ")</f>
        <v/>
      </c>
      <c r="H684" s="7" t="str">
        <f>IF(Plantilla_SCAN_EQ3_COUNT_2[[#This Row],[ID MATERIAL]]="","",$B$13)</f>
        <v/>
      </c>
      <c r="I684" s="7" t="str">
        <f>IF(Plantilla_SCAN_EQ3_COUNT_2[[#This Row],[ID MATERIAL]]="","","Segundo Conteo")</f>
        <v/>
      </c>
    </row>
    <row r="685" spans="1:9" s="7" customFormat="1" ht="15" x14ac:dyDescent="0.2">
      <c r="A685" s="7" t="str">
        <f>IF(Plantilla_SCAN_EQ3_COUNT_2[[#This Row],[ID MATERIAL]]="","",SIGN(Plantilla_SCAN_EQ3_COUNT_2[[#This Row],[Cantidad]])+A684)</f>
        <v/>
      </c>
      <c r="B685" s="21" t="str">
        <f>IF(Plantilla_SCAN_EQ3_COUNT_2[[#This Row],[ID MATERIAL]]="","",B684)</f>
        <v/>
      </c>
      <c r="C685" s="21"/>
      <c r="D685" s="21"/>
      <c r="E685" s="7" t="str">
        <f>IF(Plantilla_SCAN_EQ3_COUNT_2[[#This Row],[ID MATERIAL]]="","",VLOOKUP(Plantilla_SCAN_EQ3_COUNT_2[[#This Row],[ID MATERIAL]],INVENTARIO!$A:$D,2,FALSE))</f>
        <v/>
      </c>
      <c r="F685" s="7" t="str">
        <f>IF(Plantilla_SCAN_EQ3_COUNT_2[[#This Row],[ID MATERIAL]]="","",IF(Plantilla_SCAN_EQ3_COUNT_2[[#This Row],[No. Empaques]]="",1,Plantilla_SCAN_EQ3_COUNT_2[[#This Row],[No. Empaques]]*1))</f>
        <v/>
      </c>
      <c r="G685" s="7" t="str">
        <f>IF(Plantilla_SCAN_EQ3_COUNT_2[[#This Row],[ID MATERIAL]]="","","PZ")</f>
        <v/>
      </c>
      <c r="H685" s="7" t="str">
        <f>IF(Plantilla_SCAN_EQ3_COUNT_2[[#This Row],[ID MATERIAL]]="","",$B$13)</f>
        <v/>
      </c>
      <c r="I685" s="7" t="str">
        <f>IF(Plantilla_SCAN_EQ3_COUNT_2[[#This Row],[ID MATERIAL]]="","","Segundo Conteo")</f>
        <v/>
      </c>
    </row>
    <row r="686" spans="1:9" s="7" customFormat="1" ht="15" x14ac:dyDescent="0.2">
      <c r="A686" s="7" t="str">
        <f>IF(Plantilla_SCAN_EQ3_COUNT_2[[#This Row],[ID MATERIAL]]="","",SIGN(Plantilla_SCAN_EQ3_COUNT_2[[#This Row],[Cantidad]])+A685)</f>
        <v/>
      </c>
      <c r="B686" s="21" t="str">
        <f>IF(Plantilla_SCAN_EQ3_COUNT_2[[#This Row],[ID MATERIAL]]="","",B685)</f>
        <v/>
      </c>
      <c r="C686" s="21"/>
      <c r="D686" s="21"/>
      <c r="E686" s="7" t="str">
        <f>IF(Plantilla_SCAN_EQ3_COUNT_2[[#This Row],[ID MATERIAL]]="","",VLOOKUP(Plantilla_SCAN_EQ3_COUNT_2[[#This Row],[ID MATERIAL]],INVENTARIO!$A:$D,2,FALSE))</f>
        <v/>
      </c>
      <c r="F686" s="7" t="str">
        <f>IF(Plantilla_SCAN_EQ3_COUNT_2[[#This Row],[ID MATERIAL]]="","",IF(Plantilla_SCAN_EQ3_COUNT_2[[#This Row],[No. Empaques]]="",1,Plantilla_SCAN_EQ3_COUNT_2[[#This Row],[No. Empaques]]*1))</f>
        <v/>
      </c>
      <c r="G686" s="7" t="str">
        <f>IF(Plantilla_SCAN_EQ3_COUNT_2[[#This Row],[ID MATERIAL]]="","","PZ")</f>
        <v/>
      </c>
      <c r="H686" s="7" t="str">
        <f>IF(Plantilla_SCAN_EQ3_COUNT_2[[#This Row],[ID MATERIAL]]="","",$B$13)</f>
        <v/>
      </c>
      <c r="I686" s="7" t="str">
        <f>IF(Plantilla_SCAN_EQ3_COUNT_2[[#This Row],[ID MATERIAL]]="","","Segundo Conteo")</f>
        <v/>
      </c>
    </row>
    <row r="687" spans="1:9" s="7" customFormat="1" ht="15" x14ac:dyDescent="0.2">
      <c r="A687" s="7" t="str">
        <f>IF(Plantilla_SCAN_EQ3_COUNT_2[[#This Row],[ID MATERIAL]]="","",SIGN(Plantilla_SCAN_EQ3_COUNT_2[[#This Row],[Cantidad]])+A686)</f>
        <v/>
      </c>
      <c r="B687" s="21" t="str">
        <f>IF(Plantilla_SCAN_EQ3_COUNT_2[[#This Row],[ID MATERIAL]]="","",B686)</f>
        <v/>
      </c>
      <c r="C687" s="21"/>
      <c r="D687" s="21"/>
      <c r="E687" s="7" t="str">
        <f>IF(Plantilla_SCAN_EQ3_COUNT_2[[#This Row],[ID MATERIAL]]="","",VLOOKUP(Plantilla_SCAN_EQ3_COUNT_2[[#This Row],[ID MATERIAL]],INVENTARIO!$A:$D,2,FALSE))</f>
        <v/>
      </c>
      <c r="F687" s="7" t="str">
        <f>IF(Plantilla_SCAN_EQ3_COUNT_2[[#This Row],[ID MATERIAL]]="","",IF(Plantilla_SCAN_EQ3_COUNT_2[[#This Row],[No. Empaques]]="",1,Plantilla_SCAN_EQ3_COUNT_2[[#This Row],[No. Empaques]]*1))</f>
        <v/>
      </c>
      <c r="G687" s="7" t="str">
        <f>IF(Plantilla_SCAN_EQ3_COUNT_2[[#This Row],[ID MATERIAL]]="","","PZ")</f>
        <v/>
      </c>
      <c r="H687" s="7" t="str">
        <f>IF(Plantilla_SCAN_EQ3_COUNT_2[[#This Row],[ID MATERIAL]]="","",$B$13)</f>
        <v/>
      </c>
      <c r="I687" s="7" t="str">
        <f>IF(Plantilla_SCAN_EQ3_COUNT_2[[#This Row],[ID MATERIAL]]="","","Segundo Conteo")</f>
        <v/>
      </c>
    </row>
    <row r="688" spans="1:9" s="7" customFormat="1" ht="15" x14ac:dyDescent="0.2">
      <c r="A688" s="7" t="str">
        <f>IF(Plantilla_SCAN_EQ3_COUNT_2[[#This Row],[ID MATERIAL]]="","",SIGN(Plantilla_SCAN_EQ3_COUNT_2[[#This Row],[Cantidad]])+A687)</f>
        <v/>
      </c>
      <c r="B688" s="21" t="str">
        <f>IF(Plantilla_SCAN_EQ3_COUNT_2[[#This Row],[ID MATERIAL]]="","",B687)</f>
        <v/>
      </c>
      <c r="C688" s="21"/>
      <c r="D688" s="21"/>
      <c r="E688" s="7" t="str">
        <f>IF(Plantilla_SCAN_EQ3_COUNT_2[[#This Row],[ID MATERIAL]]="","",VLOOKUP(Plantilla_SCAN_EQ3_COUNT_2[[#This Row],[ID MATERIAL]],INVENTARIO!$A:$D,2,FALSE))</f>
        <v/>
      </c>
      <c r="F688" s="7" t="str">
        <f>IF(Plantilla_SCAN_EQ3_COUNT_2[[#This Row],[ID MATERIAL]]="","",IF(Plantilla_SCAN_EQ3_COUNT_2[[#This Row],[No. Empaques]]="",1,Plantilla_SCAN_EQ3_COUNT_2[[#This Row],[No. Empaques]]*1))</f>
        <v/>
      </c>
      <c r="G688" s="7" t="str">
        <f>IF(Plantilla_SCAN_EQ3_COUNT_2[[#This Row],[ID MATERIAL]]="","","PZ")</f>
        <v/>
      </c>
      <c r="H688" s="7" t="str">
        <f>IF(Plantilla_SCAN_EQ3_COUNT_2[[#This Row],[ID MATERIAL]]="","",$B$13)</f>
        <v/>
      </c>
      <c r="I688" s="7" t="str">
        <f>IF(Plantilla_SCAN_EQ3_COUNT_2[[#This Row],[ID MATERIAL]]="","","Segundo Conteo")</f>
        <v/>
      </c>
    </row>
    <row r="689" spans="1:9" s="7" customFormat="1" ht="15" x14ac:dyDescent="0.2">
      <c r="A689" s="7" t="str">
        <f>IF(Plantilla_SCAN_EQ3_COUNT_2[[#This Row],[ID MATERIAL]]="","",SIGN(Plantilla_SCAN_EQ3_COUNT_2[[#This Row],[Cantidad]])+A688)</f>
        <v/>
      </c>
      <c r="B689" s="21" t="str">
        <f>IF(Plantilla_SCAN_EQ3_COUNT_2[[#This Row],[ID MATERIAL]]="","",B688)</f>
        <v/>
      </c>
      <c r="C689" s="21"/>
      <c r="D689" s="21"/>
      <c r="E689" s="7" t="str">
        <f>IF(Plantilla_SCAN_EQ3_COUNT_2[[#This Row],[ID MATERIAL]]="","",VLOOKUP(Plantilla_SCAN_EQ3_COUNT_2[[#This Row],[ID MATERIAL]],INVENTARIO!$A:$D,2,FALSE))</f>
        <v/>
      </c>
      <c r="F689" s="7" t="str">
        <f>IF(Plantilla_SCAN_EQ3_COUNT_2[[#This Row],[ID MATERIAL]]="","",IF(Plantilla_SCAN_EQ3_COUNT_2[[#This Row],[No. Empaques]]="",1,Plantilla_SCAN_EQ3_COUNT_2[[#This Row],[No. Empaques]]*1))</f>
        <v/>
      </c>
      <c r="G689" s="7" t="str">
        <f>IF(Plantilla_SCAN_EQ3_COUNT_2[[#This Row],[ID MATERIAL]]="","","PZ")</f>
        <v/>
      </c>
      <c r="H689" s="7" t="str">
        <f>IF(Plantilla_SCAN_EQ3_COUNT_2[[#This Row],[ID MATERIAL]]="","",$B$13)</f>
        <v/>
      </c>
      <c r="I689" s="7" t="str">
        <f>IF(Plantilla_SCAN_EQ3_COUNT_2[[#This Row],[ID MATERIAL]]="","","Segundo Conteo")</f>
        <v/>
      </c>
    </row>
    <row r="690" spans="1:9" s="7" customFormat="1" ht="15" x14ac:dyDescent="0.2">
      <c r="A690" s="7" t="str">
        <f>IF(Plantilla_SCAN_EQ3_COUNT_2[[#This Row],[ID MATERIAL]]="","",SIGN(Plantilla_SCAN_EQ3_COUNT_2[[#This Row],[Cantidad]])+A689)</f>
        <v/>
      </c>
      <c r="B690" s="21" t="str">
        <f>IF(Plantilla_SCAN_EQ3_COUNT_2[[#This Row],[ID MATERIAL]]="","",B689)</f>
        <v/>
      </c>
      <c r="C690" s="21"/>
      <c r="D690" s="21"/>
      <c r="E690" s="7" t="str">
        <f>IF(Plantilla_SCAN_EQ3_COUNT_2[[#This Row],[ID MATERIAL]]="","",VLOOKUP(Plantilla_SCAN_EQ3_COUNT_2[[#This Row],[ID MATERIAL]],INVENTARIO!$A:$D,2,FALSE))</f>
        <v/>
      </c>
      <c r="F690" s="7" t="str">
        <f>IF(Plantilla_SCAN_EQ3_COUNT_2[[#This Row],[ID MATERIAL]]="","",IF(Plantilla_SCAN_EQ3_COUNT_2[[#This Row],[No. Empaques]]="",1,Plantilla_SCAN_EQ3_COUNT_2[[#This Row],[No. Empaques]]*1))</f>
        <v/>
      </c>
      <c r="G690" s="7" t="str">
        <f>IF(Plantilla_SCAN_EQ3_COUNT_2[[#This Row],[ID MATERIAL]]="","","PZ")</f>
        <v/>
      </c>
      <c r="H690" s="7" t="str">
        <f>IF(Plantilla_SCAN_EQ3_COUNT_2[[#This Row],[ID MATERIAL]]="","",$B$13)</f>
        <v/>
      </c>
      <c r="I690" s="7" t="str">
        <f>IF(Plantilla_SCAN_EQ3_COUNT_2[[#This Row],[ID MATERIAL]]="","","Segundo Conteo")</f>
        <v/>
      </c>
    </row>
    <row r="691" spans="1:9" s="7" customFormat="1" ht="15" x14ac:dyDescent="0.2">
      <c r="A691" s="7" t="str">
        <f>IF(Plantilla_SCAN_EQ3_COUNT_2[[#This Row],[ID MATERIAL]]="","",SIGN(Plantilla_SCAN_EQ3_COUNT_2[[#This Row],[Cantidad]])+A690)</f>
        <v/>
      </c>
      <c r="B691" s="21" t="str">
        <f>IF(Plantilla_SCAN_EQ3_COUNT_2[[#This Row],[ID MATERIAL]]="","",B690)</f>
        <v/>
      </c>
      <c r="C691" s="21"/>
      <c r="D691" s="21"/>
      <c r="E691" s="7" t="str">
        <f>IF(Plantilla_SCAN_EQ3_COUNT_2[[#This Row],[ID MATERIAL]]="","",VLOOKUP(Plantilla_SCAN_EQ3_COUNT_2[[#This Row],[ID MATERIAL]],INVENTARIO!$A:$D,2,FALSE))</f>
        <v/>
      </c>
      <c r="F691" s="7" t="str">
        <f>IF(Plantilla_SCAN_EQ3_COUNT_2[[#This Row],[ID MATERIAL]]="","",IF(Plantilla_SCAN_EQ3_COUNT_2[[#This Row],[No. Empaques]]="",1,Plantilla_SCAN_EQ3_COUNT_2[[#This Row],[No. Empaques]]*1))</f>
        <v/>
      </c>
      <c r="G691" s="7" t="str">
        <f>IF(Plantilla_SCAN_EQ3_COUNT_2[[#This Row],[ID MATERIAL]]="","","PZ")</f>
        <v/>
      </c>
      <c r="H691" s="7" t="str">
        <f>IF(Plantilla_SCAN_EQ3_COUNT_2[[#This Row],[ID MATERIAL]]="","",$B$13)</f>
        <v/>
      </c>
      <c r="I691" s="7" t="str">
        <f>IF(Plantilla_SCAN_EQ3_COUNT_2[[#This Row],[ID MATERIAL]]="","","Segundo Conteo")</f>
        <v/>
      </c>
    </row>
    <row r="692" spans="1:9" s="7" customFormat="1" ht="15" x14ac:dyDescent="0.2">
      <c r="A692" s="7" t="str">
        <f>IF(Plantilla_SCAN_EQ3_COUNT_2[[#This Row],[ID MATERIAL]]="","",SIGN(Plantilla_SCAN_EQ3_COUNT_2[[#This Row],[Cantidad]])+A691)</f>
        <v/>
      </c>
      <c r="B692" s="21" t="str">
        <f>IF(Plantilla_SCAN_EQ3_COUNT_2[[#This Row],[ID MATERIAL]]="","",B691)</f>
        <v/>
      </c>
      <c r="C692" s="21"/>
      <c r="D692" s="21"/>
      <c r="E692" s="7" t="str">
        <f>IF(Plantilla_SCAN_EQ3_COUNT_2[[#This Row],[ID MATERIAL]]="","",VLOOKUP(Plantilla_SCAN_EQ3_COUNT_2[[#This Row],[ID MATERIAL]],INVENTARIO!$A:$D,2,FALSE))</f>
        <v/>
      </c>
      <c r="F692" s="7" t="str">
        <f>IF(Plantilla_SCAN_EQ3_COUNT_2[[#This Row],[ID MATERIAL]]="","",IF(Plantilla_SCAN_EQ3_COUNT_2[[#This Row],[No. Empaques]]="",1,Plantilla_SCAN_EQ3_COUNT_2[[#This Row],[No. Empaques]]*1))</f>
        <v/>
      </c>
      <c r="G692" s="7" t="str">
        <f>IF(Plantilla_SCAN_EQ3_COUNT_2[[#This Row],[ID MATERIAL]]="","","PZ")</f>
        <v/>
      </c>
      <c r="H692" s="7" t="str">
        <f>IF(Plantilla_SCAN_EQ3_COUNT_2[[#This Row],[ID MATERIAL]]="","",$B$13)</f>
        <v/>
      </c>
      <c r="I692" s="7" t="str">
        <f>IF(Plantilla_SCAN_EQ3_COUNT_2[[#This Row],[ID MATERIAL]]="","","Segundo Conteo")</f>
        <v/>
      </c>
    </row>
    <row r="693" spans="1:9" s="7" customFormat="1" ht="15" x14ac:dyDescent="0.2">
      <c r="A693" s="7" t="str">
        <f>IF(Plantilla_SCAN_EQ3_COUNT_2[[#This Row],[ID MATERIAL]]="","",SIGN(Plantilla_SCAN_EQ3_COUNT_2[[#This Row],[Cantidad]])+A692)</f>
        <v/>
      </c>
      <c r="B693" s="21" t="str">
        <f>IF(Plantilla_SCAN_EQ3_COUNT_2[[#This Row],[ID MATERIAL]]="","",B692)</f>
        <v/>
      </c>
      <c r="C693" s="21"/>
      <c r="D693" s="21"/>
      <c r="E693" s="7" t="str">
        <f>IF(Plantilla_SCAN_EQ3_COUNT_2[[#This Row],[ID MATERIAL]]="","",VLOOKUP(Plantilla_SCAN_EQ3_COUNT_2[[#This Row],[ID MATERIAL]],INVENTARIO!$A:$D,2,FALSE))</f>
        <v/>
      </c>
      <c r="F693" s="7" t="str">
        <f>IF(Plantilla_SCAN_EQ3_COUNT_2[[#This Row],[ID MATERIAL]]="","",IF(Plantilla_SCAN_EQ3_COUNT_2[[#This Row],[No. Empaques]]="",1,Plantilla_SCAN_EQ3_COUNT_2[[#This Row],[No. Empaques]]*1))</f>
        <v/>
      </c>
      <c r="G693" s="7" t="str">
        <f>IF(Plantilla_SCAN_EQ3_COUNT_2[[#This Row],[ID MATERIAL]]="","","PZ")</f>
        <v/>
      </c>
      <c r="H693" s="7" t="str">
        <f>IF(Plantilla_SCAN_EQ3_COUNT_2[[#This Row],[ID MATERIAL]]="","",$B$13)</f>
        <v/>
      </c>
      <c r="I693" s="7" t="str">
        <f>IF(Plantilla_SCAN_EQ3_COUNT_2[[#This Row],[ID MATERIAL]]="","","Segundo Conteo")</f>
        <v/>
      </c>
    </row>
    <row r="694" spans="1:9" s="7" customFormat="1" ht="15" x14ac:dyDescent="0.2">
      <c r="A694" s="7" t="str">
        <f>IF(Plantilla_SCAN_EQ3_COUNT_2[[#This Row],[ID MATERIAL]]="","",SIGN(Plantilla_SCAN_EQ3_COUNT_2[[#This Row],[Cantidad]])+A693)</f>
        <v/>
      </c>
      <c r="B694" s="21" t="str">
        <f>IF(Plantilla_SCAN_EQ3_COUNT_2[[#This Row],[ID MATERIAL]]="","",B693)</f>
        <v/>
      </c>
      <c r="C694" s="21"/>
      <c r="D694" s="21"/>
      <c r="E694" s="7" t="str">
        <f>IF(Plantilla_SCAN_EQ3_COUNT_2[[#This Row],[ID MATERIAL]]="","",VLOOKUP(Plantilla_SCAN_EQ3_COUNT_2[[#This Row],[ID MATERIAL]],INVENTARIO!$A:$D,2,FALSE))</f>
        <v/>
      </c>
      <c r="F694" s="7" t="str">
        <f>IF(Plantilla_SCAN_EQ3_COUNT_2[[#This Row],[ID MATERIAL]]="","",IF(Plantilla_SCAN_EQ3_COUNT_2[[#This Row],[No. Empaques]]="",1,Plantilla_SCAN_EQ3_COUNT_2[[#This Row],[No. Empaques]]*1))</f>
        <v/>
      </c>
      <c r="G694" s="7" t="str">
        <f>IF(Plantilla_SCAN_EQ3_COUNT_2[[#This Row],[ID MATERIAL]]="","","PZ")</f>
        <v/>
      </c>
      <c r="H694" s="7" t="str">
        <f>IF(Plantilla_SCAN_EQ3_COUNT_2[[#This Row],[ID MATERIAL]]="","",$B$13)</f>
        <v/>
      </c>
      <c r="I694" s="7" t="str">
        <f>IF(Plantilla_SCAN_EQ3_COUNT_2[[#This Row],[ID MATERIAL]]="","","Segundo Conteo")</f>
        <v/>
      </c>
    </row>
    <row r="695" spans="1:9" s="7" customFormat="1" ht="15" x14ac:dyDescent="0.2">
      <c r="A695" s="7" t="str">
        <f>IF(Plantilla_SCAN_EQ3_COUNT_2[[#This Row],[ID MATERIAL]]="","",SIGN(Plantilla_SCAN_EQ3_COUNT_2[[#This Row],[Cantidad]])+A694)</f>
        <v/>
      </c>
      <c r="B695" s="21" t="str">
        <f>IF(Plantilla_SCAN_EQ3_COUNT_2[[#This Row],[ID MATERIAL]]="","",B694)</f>
        <v/>
      </c>
      <c r="C695" s="21"/>
      <c r="D695" s="21"/>
      <c r="E695" s="7" t="str">
        <f>IF(Plantilla_SCAN_EQ3_COUNT_2[[#This Row],[ID MATERIAL]]="","",VLOOKUP(Plantilla_SCAN_EQ3_COUNT_2[[#This Row],[ID MATERIAL]],INVENTARIO!$A:$D,2,FALSE))</f>
        <v/>
      </c>
      <c r="F695" s="7" t="str">
        <f>IF(Plantilla_SCAN_EQ3_COUNT_2[[#This Row],[ID MATERIAL]]="","",IF(Plantilla_SCAN_EQ3_COUNT_2[[#This Row],[No. Empaques]]="",1,Plantilla_SCAN_EQ3_COUNT_2[[#This Row],[No. Empaques]]*1))</f>
        <v/>
      </c>
      <c r="G695" s="7" t="str">
        <f>IF(Plantilla_SCAN_EQ3_COUNT_2[[#This Row],[ID MATERIAL]]="","","PZ")</f>
        <v/>
      </c>
      <c r="H695" s="7" t="str">
        <f>IF(Plantilla_SCAN_EQ3_COUNT_2[[#This Row],[ID MATERIAL]]="","",$B$13)</f>
        <v/>
      </c>
      <c r="I695" s="7" t="str">
        <f>IF(Plantilla_SCAN_EQ3_COUNT_2[[#This Row],[ID MATERIAL]]="","","Segundo Conteo")</f>
        <v/>
      </c>
    </row>
    <row r="696" spans="1:9" s="7" customFormat="1" ht="15" x14ac:dyDescent="0.2">
      <c r="A696" s="7" t="str">
        <f>IF(Plantilla_SCAN_EQ3_COUNT_2[[#This Row],[ID MATERIAL]]="","",SIGN(Plantilla_SCAN_EQ3_COUNT_2[[#This Row],[Cantidad]])+A695)</f>
        <v/>
      </c>
      <c r="B696" s="21" t="str">
        <f>IF(Plantilla_SCAN_EQ3_COUNT_2[[#This Row],[ID MATERIAL]]="","",B695)</f>
        <v/>
      </c>
      <c r="C696" s="21"/>
      <c r="D696" s="21"/>
      <c r="E696" s="7" t="str">
        <f>IF(Plantilla_SCAN_EQ3_COUNT_2[[#This Row],[ID MATERIAL]]="","",VLOOKUP(Plantilla_SCAN_EQ3_COUNT_2[[#This Row],[ID MATERIAL]],INVENTARIO!$A:$D,2,FALSE))</f>
        <v/>
      </c>
      <c r="F696" s="7" t="str">
        <f>IF(Plantilla_SCAN_EQ3_COUNT_2[[#This Row],[ID MATERIAL]]="","",IF(Plantilla_SCAN_EQ3_COUNT_2[[#This Row],[No. Empaques]]="",1,Plantilla_SCAN_EQ3_COUNT_2[[#This Row],[No. Empaques]]*1))</f>
        <v/>
      </c>
      <c r="G696" s="7" t="str">
        <f>IF(Plantilla_SCAN_EQ3_COUNT_2[[#This Row],[ID MATERIAL]]="","","PZ")</f>
        <v/>
      </c>
      <c r="H696" s="7" t="str">
        <f>IF(Plantilla_SCAN_EQ3_COUNT_2[[#This Row],[ID MATERIAL]]="","",$B$13)</f>
        <v/>
      </c>
      <c r="I696" s="7" t="str">
        <f>IF(Plantilla_SCAN_EQ3_COUNT_2[[#This Row],[ID MATERIAL]]="","","Segundo Conteo")</f>
        <v/>
      </c>
    </row>
    <row r="697" spans="1:9" s="7" customFormat="1" ht="15" x14ac:dyDescent="0.2">
      <c r="A697" s="7" t="str">
        <f>IF(Plantilla_SCAN_EQ3_COUNT_2[[#This Row],[ID MATERIAL]]="","",SIGN(Plantilla_SCAN_EQ3_COUNT_2[[#This Row],[Cantidad]])+A696)</f>
        <v/>
      </c>
      <c r="B697" s="21" t="str">
        <f>IF(Plantilla_SCAN_EQ3_COUNT_2[[#This Row],[ID MATERIAL]]="","",B696)</f>
        <v/>
      </c>
      <c r="C697" s="21"/>
      <c r="D697" s="21"/>
      <c r="E697" s="7" t="str">
        <f>IF(Plantilla_SCAN_EQ3_COUNT_2[[#This Row],[ID MATERIAL]]="","",VLOOKUP(Plantilla_SCAN_EQ3_COUNT_2[[#This Row],[ID MATERIAL]],INVENTARIO!$A:$D,2,FALSE))</f>
        <v/>
      </c>
      <c r="F697" s="7" t="str">
        <f>IF(Plantilla_SCAN_EQ3_COUNT_2[[#This Row],[ID MATERIAL]]="","",IF(Plantilla_SCAN_EQ3_COUNT_2[[#This Row],[No. Empaques]]="",1,Plantilla_SCAN_EQ3_COUNT_2[[#This Row],[No. Empaques]]*1))</f>
        <v/>
      </c>
      <c r="G697" s="7" t="str">
        <f>IF(Plantilla_SCAN_EQ3_COUNT_2[[#This Row],[ID MATERIAL]]="","","PZ")</f>
        <v/>
      </c>
      <c r="H697" s="7" t="str">
        <f>IF(Plantilla_SCAN_EQ3_COUNT_2[[#This Row],[ID MATERIAL]]="","",$B$13)</f>
        <v/>
      </c>
      <c r="I697" s="7" t="str">
        <f>IF(Plantilla_SCAN_EQ3_COUNT_2[[#This Row],[ID MATERIAL]]="","","Segundo Conteo")</f>
        <v/>
      </c>
    </row>
    <row r="698" spans="1:9" s="7" customFormat="1" ht="15" x14ac:dyDescent="0.2">
      <c r="A698" s="7" t="str">
        <f>IF(Plantilla_SCAN_EQ3_COUNT_2[[#This Row],[ID MATERIAL]]="","",SIGN(Plantilla_SCAN_EQ3_COUNT_2[[#This Row],[Cantidad]])+A697)</f>
        <v/>
      </c>
      <c r="B698" s="21" t="str">
        <f>IF(Plantilla_SCAN_EQ3_COUNT_2[[#This Row],[ID MATERIAL]]="","",B697)</f>
        <v/>
      </c>
      <c r="C698" s="21"/>
      <c r="D698" s="21"/>
      <c r="E698" s="7" t="str">
        <f>IF(Plantilla_SCAN_EQ3_COUNT_2[[#This Row],[ID MATERIAL]]="","",VLOOKUP(Plantilla_SCAN_EQ3_COUNT_2[[#This Row],[ID MATERIAL]],INVENTARIO!$A:$D,2,FALSE))</f>
        <v/>
      </c>
      <c r="F698" s="7" t="str">
        <f>IF(Plantilla_SCAN_EQ3_COUNT_2[[#This Row],[ID MATERIAL]]="","",IF(Plantilla_SCAN_EQ3_COUNT_2[[#This Row],[No. Empaques]]="",1,Plantilla_SCAN_EQ3_COUNT_2[[#This Row],[No. Empaques]]*1))</f>
        <v/>
      </c>
      <c r="G698" s="7" t="str">
        <f>IF(Plantilla_SCAN_EQ3_COUNT_2[[#This Row],[ID MATERIAL]]="","","PZ")</f>
        <v/>
      </c>
      <c r="H698" s="7" t="str">
        <f>IF(Plantilla_SCAN_EQ3_COUNT_2[[#This Row],[ID MATERIAL]]="","",$B$13)</f>
        <v/>
      </c>
      <c r="I698" s="7" t="str">
        <f>IF(Plantilla_SCAN_EQ3_COUNT_2[[#This Row],[ID MATERIAL]]="","","Segundo Conteo")</f>
        <v/>
      </c>
    </row>
    <row r="699" spans="1:9" s="7" customFormat="1" ht="15" x14ac:dyDescent="0.2">
      <c r="A699" s="7" t="str">
        <f>IF(Plantilla_SCAN_EQ3_COUNT_2[[#This Row],[ID MATERIAL]]="","",SIGN(Plantilla_SCAN_EQ3_COUNT_2[[#This Row],[Cantidad]])+A698)</f>
        <v/>
      </c>
      <c r="B699" s="21" t="str">
        <f>IF(Plantilla_SCAN_EQ3_COUNT_2[[#This Row],[ID MATERIAL]]="","",B698)</f>
        <v/>
      </c>
      <c r="C699" s="21"/>
      <c r="D699" s="21"/>
      <c r="E699" s="7" t="str">
        <f>IF(Plantilla_SCAN_EQ3_COUNT_2[[#This Row],[ID MATERIAL]]="","",VLOOKUP(Plantilla_SCAN_EQ3_COUNT_2[[#This Row],[ID MATERIAL]],INVENTARIO!$A:$D,2,FALSE))</f>
        <v/>
      </c>
      <c r="F699" s="7" t="str">
        <f>IF(Plantilla_SCAN_EQ3_COUNT_2[[#This Row],[ID MATERIAL]]="","",IF(Plantilla_SCAN_EQ3_COUNT_2[[#This Row],[No. Empaques]]="",1,Plantilla_SCAN_EQ3_COUNT_2[[#This Row],[No. Empaques]]*1))</f>
        <v/>
      </c>
      <c r="G699" s="7" t="str">
        <f>IF(Plantilla_SCAN_EQ3_COUNT_2[[#This Row],[ID MATERIAL]]="","","PZ")</f>
        <v/>
      </c>
      <c r="H699" s="7" t="str">
        <f>IF(Plantilla_SCAN_EQ3_COUNT_2[[#This Row],[ID MATERIAL]]="","",$B$13)</f>
        <v/>
      </c>
      <c r="I699" s="7" t="str">
        <f>IF(Plantilla_SCAN_EQ3_COUNT_2[[#This Row],[ID MATERIAL]]="","","Segundo Conteo")</f>
        <v/>
      </c>
    </row>
    <row r="700" spans="1:9" s="7" customFormat="1" ht="15" x14ac:dyDescent="0.2">
      <c r="A700" s="7" t="str">
        <f>IF(Plantilla_SCAN_EQ3_COUNT_2[[#This Row],[ID MATERIAL]]="","",SIGN(Plantilla_SCAN_EQ3_COUNT_2[[#This Row],[Cantidad]])+A699)</f>
        <v/>
      </c>
      <c r="B700" s="21" t="str">
        <f>IF(Plantilla_SCAN_EQ3_COUNT_2[[#This Row],[ID MATERIAL]]="","",B699)</f>
        <v/>
      </c>
      <c r="C700" s="21"/>
      <c r="D700" s="21"/>
      <c r="E700" s="7" t="str">
        <f>IF(Plantilla_SCAN_EQ3_COUNT_2[[#This Row],[ID MATERIAL]]="","",VLOOKUP(Plantilla_SCAN_EQ3_COUNT_2[[#This Row],[ID MATERIAL]],INVENTARIO!$A:$D,2,FALSE))</f>
        <v/>
      </c>
      <c r="F700" s="7" t="str">
        <f>IF(Plantilla_SCAN_EQ3_COUNT_2[[#This Row],[ID MATERIAL]]="","",IF(Plantilla_SCAN_EQ3_COUNT_2[[#This Row],[No. Empaques]]="",1,Plantilla_SCAN_EQ3_COUNT_2[[#This Row],[No. Empaques]]*1))</f>
        <v/>
      </c>
      <c r="G700" s="7" t="str">
        <f>IF(Plantilla_SCAN_EQ3_COUNT_2[[#This Row],[ID MATERIAL]]="","","PZ")</f>
        <v/>
      </c>
      <c r="H700" s="7" t="str">
        <f>IF(Plantilla_SCAN_EQ3_COUNT_2[[#This Row],[ID MATERIAL]]="","",$B$13)</f>
        <v/>
      </c>
      <c r="I700" s="7" t="str">
        <f>IF(Plantilla_SCAN_EQ3_COUNT_2[[#This Row],[ID MATERIAL]]="","","Segundo Conteo")</f>
        <v/>
      </c>
    </row>
    <row r="701" spans="1:9" s="7" customFormat="1" ht="15" x14ac:dyDescent="0.2">
      <c r="A701" s="7" t="str">
        <f>IF(Plantilla_SCAN_EQ3_COUNT_2[[#This Row],[ID MATERIAL]]="","",SIGN(Plantilla_SCAN_EQ3_COUNT_2[[#This Row],[Cantidad]])+A700)</f>
        <v/>
      </c>
      <c r="B701" s="21" t="str">
        <f>IF(Plantilla_SCAN_EQ3_COUNT_2[[#This Row],[ID MATERIAL]]="","",B700)</f>
        <v/>
      </c>
      <c r="C701" s="21"/>
      <c r="D701" s="21"/>
      <c r="E701" s="7" t="str">
        <f>IF(Plantilla_SCAN_EQ3_COUNT_2[[#This Row],[ID MATERIAL]]="","",VLOOKUP(Plantilla_SCAN_EQ3_COUNT_2[[#This Row],[ID MATERIAL]],INVENTARIO!$A:$D,2,FALSE))</f>
        <v/>
      </c>
      <c r="F701" s="7" t="str">
        <f>IF(Plantilla_SCAN_EQ3_COUNT_2[[#This Row],[ID MATERIAL]]="","",IF(Plantilla_SCAN_EQ3_COUNT_2[[#This Row],[No. Empaques]]="",1,Plantilla_SCAN_EQ3_COUNT_2[[#This Row],[No. Empaques]]*1))</f>
        <v/>
      </c>
      <c r="G701" s="7" t="str">
        <f>IF(Plantilla_SCAN_EQ3_COUNT_2[[#This Row],[ID MATERIAL]]="","","PZ")</f>
        <v/>
      </c>
      <c r="H701" s="7" t="str">
        <f>IF(Plantilla_SCAN_EQ3_COUNT_2[[#This Row],[ID MATERIAL]]="","",$B$13)</f>
        <v/>
      </c>
      <c r="I701" s="7" t="str">
        <f>IF(Plantilla_SCAN_EQ3_COUNT_2[[#This Row],[ID MATERIAL]]="","","Segundo Conteo")</f>
        <v/>
      </c>
    </row>
    <row r="702" spans="1:9" s="7" customFormat="1" ht="15" x14ac:dyDescent="0.2">
      <c r="A702" s="7" t="str">
        <f>IF(Plantilla_SCAN_EQ3_COUNT_2[[#This Row],[ID MATERIAL]]="","",SIGN(Plantilla_SCAN_EQ3_COUNT_2[[#This Row],[Cantidad]])+A701)</f>
        <v/>
      </c>
      <c r="B702" s="21" t="str">
        <f>IF(Plantilla_SCAN_EQ3_COUNT_2[[#This Row],[ID MATERIAL]]="","",B701)</f>
        <v/>
      </c>
      <c r="C702" s="21"/>
      <c r="D702" s="21"/>
      <c r="E702" s="7" t="str">
        <f>IF(Plantilla_SCAN_EQ3_COUNT_2[[#This Row],[ID MATERIAL]]="","",VLOOKUP(Plantilla_SCAN_EQ3_COUNT_2[[#This Row],[ID MATERIAL]],INVENTARIO!$A:$D,2,FALSE))</f>
        <v/>
      </c>
      <c r="F702" s="7" t="str">
        <f>IF(Plantilla_SCAN_EQ3_COUNT_2[[#This Row],[ID MATERIAL]]="","",IF(Plantilla_SCAN_EQ3_COUNT_2[[#This Row],[No. Empaques]]="",1,Plantilla_SCAN_EQ3_COUNT_2[[#This Row],[No. Empaques]]*1))</f>
        <v/>
      </c>
      <c r="G702" s="7" t="str">
        <f>IF(Plantilla_SCAN_EQ3_COUNT_2[[#This Row],[ID MATERIAL]]="","","PZ")</f>
        <v/>
      </c>
      <c r="H702" s="7" t="str">
        <f>IF(Plantilla_SCAN_EQ3_COUNT_2[[#This Row],[ID MATERIAL]]="","",$B$13)</f>
        <v/>
      </c>
      <c r="I702" s="7" t="str">
        <f>IF(Plantilla_SCAN_EQ3_COUNT_2[[#This Row],[ID MATERIAL]]="","","Segundo Conteo")</f>
        <v/>
      </c>
    </row>
    <row r="703" spans="1:9" s="7" customFormat="1" ht="15" x14ac:dyDescent="0.2">
      <c r="A703" s="7" t="str">
        <f>IF(Plantilla_SCAN_EQ3_COUNT_2[[#This Row],[ID MATERIAL]]="","",SIGN(Plantilla_SCAN_EQ3_COUNT_2[[#This Row],[Cantidad]])+A702)</f>
        <v/>
      </c>
      <c r="B703" s="21" t="str">
        <f>IF(Plantilla_SCAN_EQ3_COUNT_2[[#This Row],[ID MATERIAL]]="","",B702)</f>
        <v/>
      </c>
      <c r="C703" s="21"/>
      <c r="D703" s="21"/>
      <c r="E703" s="7" t="str">
        <f>IF(Plantilla_SCAN_EQ3_COUNT_2[[#This Row],[ID MATERIAL]]="","",VLOOKUP(Plantilla_SCAN_EQ3_COUNT_2[[#This Row],[ID MATERIAL]],INVENTARIO!$A:$D,2,FALSE))</f>
        <v/>
      </c>
      <c r="F703" s="7" t="str">
        <f>IF(Plantilla_SCAN_EQ3_COUNT_2[[#This Row],[ID MATERIAL]]="","",IF(Plantilla_SCAN_EQ3_COUNT_2[[#This Row],[No. Empaques]]="",1,Plantilla_SCAN_EQ3_COUNT_2[[#This Row],[No. Empaques]]*1))</f>
        <v/>
      </c>
      <c r="G703" s="7" t="str">
        <f>IF(Plantilla_SCAN_EQ3_COUNT_2[[#This Row],[ID MATERIAL]]="","","PZ")</f>
        <v/>
      </c>
      <c r="H703" s="7" t="str">
        <f>IF(Plantilla_SCAN_EQ3_COUNT_2[[#This Row],[ID MATERIAL]]="","",$B$13)</f>
        <v/>
      </c>
      <c r="I703" s="7" t="str">
        <f>IF(Plantilla_SCAN_EQ3_COUNT_2[[#This Row],[ID MATERIAL]]="","","Segundo Conteo")</f>
        <v/>
      </c>
    </row>
    <row r="704" spans="1:9" s="7" customFormat="1" ht="15" x14ac:dyDescent="0.2">
      <c r="A704" s="7" t="str">
        <f>IF(Plantilla_SCAN_EQ3_COUNT_2[[#This Row],[ID MATERIAL]]="","",SIGN(Plantilla_SCAN_EQ3_COUNT_2[[#This Row],[Cantidad]])+A703)</f>
        <v/>
      </c>
      <c r="B704" s="21" t="str">
        <f>IF(Plantilla_SCAN_EQ3_COUNT_2[[#This Row],[ID MATERIAL]]="","",B703)</f>
        <v/>
      </c>
      <c r="C704" s="21"/>
      <c r="D704" s="21"/>
      <c r="E704" s="7" t="str">
        <f>IF(Plantilla_SCAN_EQ3_COUNT_2[[#This Row],[ID MATERIAL]]="","",VLOOKUP(Plantilla_SCAN_EQ3_COUNT_2[[#This Row],[ID MATERIAL]],INVENTARIO!$A:$D,2,FALSE))</f>
        <v/>
      </c>
      <c r="F704" s="7" t="str">
        <f>IF(Plantilla_SCAN_EQ3_COUNT_2[[#This Row],[ID MATERIAL]]="","",IF(Plantilla_SCAN_EQ3_COUNT_2[[#This Row],[No. Empaques]]="",1,Plantilla_SCAN_EQ3_COUNT_2[[#This Row],[No. Empaques]]*1))</f>
        <v/>
      </c>
      <c r="G704" s="7" t="str">
        <f>IF(Plantilla_SCAN_EQ3_COUNT_2[[#This Row],[ID MATERIAL]]="","","PZ")</f>
        <v/>
      </c>
      <c r="H704" s="7" t="str">
        <f>IF(Plantilla_SCAN_EQ3_COUNT_2[[#This Row],[ID MATERIAL]]="","",$B$13)</f>
        <v/>
      </c>
      <c r="I704" s="7" t="str">
        <f>IF(Plantilla_SCAN_EQ3_COUNT_2[[#This Row],[ID MATERIAL]]="","","Segundo Conteo")</f>
        <v/>
      </c>
    </row>
    <row r="705" spans="1:9" s="7" customFormat="1" ht="15" x14ac:dyDescent="0.2">
      <c r="A705" s="7" t="str">
        <f>IF(Plantilla_SCAN_EQ3_COUNT_2[[#This Row],[ID MATERIAL]]="","",SIGN(Plantilla_SCAN_EQ3_COUNT_2[[#This Row],[Cantidad]])+A704)</f>
        <v/>
      </c>
      <c r="B705" s="21" t="str">
        <f>IF(Plantilla_SCAN_EQ3_COUNT_2[[#This Row],[ID MATERIAL]]="","",B704)</f>
        <v/>
      </c>
      <c r="C705" s="21"/>
      <c r="D705" s="21"/>
      <c r="E705" s="7" t="str">
        <f>IF(Plantilla_SCAN_EQ3_COUNT_2[[#This Row],[ID MATERIAL]]="","",VLOOKUP(Plantilla_SCAN_EQ3_COUNT_2[[#This Row],[ID MATERIAL]],INVENTARIO!$A:$D,2,FALSE))</f>
        <v/>
      </c>
      <c r="F705" s="7" t="str">
        <f>IF(Plantilla_SCAN_EQ3_COUNT_2[[#This Row],[ID MATERIAL]]="","",IF(Plantilla_SCAN_EQ3_COUNT_2[[#This Row],[No. Empaques]]="",1,Plantilla_SCAN_EQ3_COUNT_2[[#This Row],[No. Empaques]]*1))</f>
        <v/>
      </c>
      <c r="G705" s="7" t="str">
        <f>IF(Plantilla_SCAN_EQ3_COUNT_2[[#This Row],[ID MATERIAL]]="","","PZ")</f>
        <v/>
      </c>
      <c r="H705" s="7" t="str">
        <f>IF(Plantilla_SCAN_EQ3_COUNT_2[[#This Row],[ID MATERIAL]]="","",$B$13)</f>
        <v/>
      </c>
      <c r="I705" s="7" t="str">
        <f>IF(Plantilla_SCAN_EQ3_COUNT_2[[#This Row],[ID MATERIAL]]="","","Segundo Conteo")</f>
        <v/>
      </c>
    </row>
    <row r="706" spans="1:9" s="7" customFormat="1" ht="15" x14ac:dyDescent="0.2">
      <c r="A706" s="7" t="str">
        <f>IF(Plantilla_SCAN_EQ3_COUNT_2[[#This Row],[ID MATERIAL]]="","",SIGN(Plantilla_SCAN_EQ3_COUNT_2[[#This Row],[Cantidad]])+A705)</f>
        <v/>
      </c>
      <c r="B706" s="21" t="str">
        <f>IF(Plantilla_SCAN_EQ3_COUNT_2[[#This Row],[ID MATERIAL]]="","",B705)</f>
        <v/>
      </c>
      <c r="C706" s="21"/>
      <c r="D706" s="21"/>
      <c r="E706" s="7" t="str">
        <f>IF(Plantilla_SCAN_EQ3_COUNT_2[[#This Row],[ID MATERIAL]]="","",VLOOKUP(Plantilla_SCAN_EQ3_COUNT_2[[#This Row],[ID MATERIAL]],INVENTARIO!$A:$D,2,FALSE))</f>
        <v/>
      </c>
      <c r="F706" s="7" t="str">
        <f>IF(Plantilla_SCAN_EQ3_COUNT_2[[#This Row],[ID MATERIAL]]="","",IF(Plantilla_SCAN_EQ3_COUNT_2[[#This Row],[No. Empaques]]="",1,Plantilla_SCAN_EQ3_COUNT_2[[#This Row],[No. Empaques]]*1))</f>
        <v/>
      </c>
      <c r="G706" s="7" t="str">
        <f>IF(Plantilla_SCAN_EQ3_COUNT_2[[#This Row],[ID MATERIAL]]="","","PZ")</f>
        <v/>
      </c>
      <c r="H706" s="7" t="str">
        <f>IF(Plantilla_SCAN_EQ3_COUNT_2[[#This Row],[ID MATERIAL]]="","",$B$13)</f>
        <v/>
      </c>
      <c r="I706" s="7" t="str">
        <f>IF(Plantilla_SCAN_EQ3_COUNT_2[[#This Row],[ID MATERIAL]]="","","Segundo Conteo")</f>
        <v/>
      </c>
    </row>
    <row r="707" spans="1:9" s="7" customFormat="1" ht="15" x14ac:dyDescent="0.2">
      <c r="A707" s="7" t="str">
        <f>IF(Plantilla_SCAN_EQ3_COUNT_2[[#This Row],[ID MATERIAL]]="","",SIGN(Plantilla_SCAN_EQ3_COUNT_2[[#This Row],[Cantidad]])+A706)</f>
        <v/>
      </c>
      <c r="B707" s="21" t="str">
        <f>IF(Plantilla_SCAN_EQ3_COUNT_2[[#This Row],[ID MATERIAL]]="","",B706)</f>
        <v/>
      </c>
      <c r="C707" s="21"/>
      <c r="D707" s="21"/>
      <c r="E707" s="7" t="str">
        <f>IF(Plantilla_SCAN_EQ3_COUNT_2[[#This Row],[ID MATERIAL]]="","",VLOOKUP(Plantilla_SCAN_EQ3_COUNT_2[[#This Row],[ID MATERIAL]],INVENTARIO!$A:$D,2,FALSE))</f>
        <v/>
      </c>
      <c r="F707" s="7" t="str">
        <f>IF(Plantilla_SCAN_EQ3_COUNT_2[[#This Row],[ID MATERIAL]]="","",IF(Plantilla_SCAN_EQ3_COUNT_2[[#This Row],[No. Empaques]]="",1,Plantilla_SCAN_EQ3_COUNT_2[[#This Row],[No. Empaques]]*1))</f>
        <v/>
      </c>
      <c r="G707" s="7" t="str">
        <f>IF(Plantilla_SCAN_EQ3_COUNT_2[[#This Row],[ID MATERIAL]]="","","PZ")</f>
        <v/>
      </c>
      <c r="H707" s="7" t="str">
        <f>IF(Plantilla_SCAN_EQ3_COUNT_2[[#This Row],[ID MATERIAL]]="","",$B$13)</f>
        <v/>
      </c>
      <c r="I707" s="7" t="str">
        <f>IF(Plantilla_SCAN_EQ3_COUNT_2[[#This Row],[ID MATERIAL]]="","","Segundo Conteo")</f>
        <v/>
      </c>
    </row>
    <row r="708" spans="1:9" s="7" customFormat="1" ht="15" x14ac:dyDescent="0.2">
      <c r="A708" s="7" t="str">
        <f>IF(Plantilla_SCAN_EQ3_COUNT_2[[#This Row],[ID MATERIAL]]="","",SIGN(Plantilla_SCAN_EQ3_COUNT_2[[#This Row],[Cantidad]])+A707)</f>
        <v/>
      </c>
      <c r="B708" s="21" t="str">
        <f>IF(Plantilla_SCAN_EQ3_COUNT_2[[#This Row],[ID MATERIAL]]="","",B707)</f>
        <v/>
      </c>
      <c r="C708" s="21"/>
      <c r="D708" s="21"/>
      <c r="E708" s="7" t="str">
        <f>IF(Plantilla_SCAN_EQ3_COUNT_2[[#This Row],[ID MATERIAL]]="","",VLOOKUP(Plantilla_SCAN_EQ3_COUNT_2[[#This Row],[ID MATERIAL]],INVENTARIO!$A:$D,2,FALSE))</f>
        <v/>
      </c>
      <c r="F708" s="7" t="str">
        <f>IF(Plantilla_SCAN_EQ3_COUNT_2[[#This Row],[ID MATERIAL]]="","",IF(Plantilla_SCAN_EQ3_COUNT_2[[#This Row],[No. Empaques]]="",1,Plantilla_SCAN_EQ3_COUNT_2[[#This Row],[No. Empaques]]*1))</f>
        <v/>
      </c>
      <c r="G708" s="7" t="str">
        <f>IF(Plantilla_SCAN_EQ3_COUNT_2[[#This Row],[ID MATERIAL]]="","","PZ")</f>
        <v/>
      </c>
      <c r="H708" s="7" t="str">
        <f>IF(Plantilla_SCAN_EQ3_COUNT_2[[#This Row],[ID MATERIAL]]="","",$B$13)</f>
        <v/>
      </c>
      <c r="I708" s="7" t="str">
        <f>IF(Plantilla_SCAN_EQ3_COUNT_2[[#This Row],[ID MATERIAL]]="","","Segundo Conteo")</f>
        <v/>
      </c>
    </row>
    <row r="709" spans="1:9" s="7" customFormat="1" ht="15" x14ac:dyDescent="0.2">
      <c r="A709" s="7" t="str">
        <f>IF(Plantilla_SCAN_EQ3_COUNT_2[[#This Row],[ID MATERIAL]]="","",SIGN(Plantilla_SCAN_EQ3_COUNT_2[[#This Row],[Cantidad]])+A708)</f>
        <v/>
      </c>
      <c r="B709" s="21" t="str">
        <f>IF(Plantilla_SCAN_EQ3_COUNT_2[[#This Row],[ID MATERIAL]]="","",B708)</f>
        <v/>
      </c>
      <c r="C709" s="21"/>
      <c r="D709" s="21"/>
      <c r="E709" s="7" t="str">
        <f>IF(Plantilla_SCAN_EQ3_COUNT_2[[#This Row],[ID MATERIAL]]="","",VLOOKUP(Plantilla_SCAN_EQ3_COUNT_2[[#This Row],[ID MATERIAL]],INVENTARIO!$A:$D,2,FALSE))</f>
        <v/>
      </c>
      <c r="F709" s="7" t="str">
        <f>IF(Plantilla_SCAN_EQ3_COUNT_2[[#This Row],[ID MATERIAL]]="","",IF(Plantilla_SCAN_EQ3_COUNT_2[[#This Row],[No. Empaques]]="",1,Plantilla_SCAN_EQ3_COUNT_2[[#This Row],[No. Empaques]]*1))</f>
        <v/>
      </c>
      <c r="G709" s="7" t="str">
        <f>IF(Plantilla_SCAN_EQ3_COUNT_2[[#This Row],[ID MATERIAL]]="","","PZ")</f>
        <v/>
      </c>
      <c r="H709" s="7" t="str">
        <f>IF(Plantilla_SCAN_EQ3_COUNT_2[[#This Row],[ID MATERIAL]]="","",$B$13)</f>
        <v/>
      </c>
      <c r="I709" s="7" t="str">
        <f>IF(Plantilla_SCAN_EQ3_COUNT_2[[#This Row],[ID MATERIAL]]="","","Segundo Conteo")</f>
        <v/>
      </c>
    </row>
    <row r="710" spans="1:9" s="7" customFormat="1" ht="15" x14ac:dyDescent="0.2">
      <c r="A710" s="7" t="str">
        <f>IF(Plantilla_SCAN_EQ3_COUNT_2[[#This Row],[ID MATERIAL]]="","",SIGN(Plantilla_SCAN_EQ3_COUNT_2[[#This Row],[Cantidad]])+A709)</f>
        <v/>
      </c>
      <c r="B710" s="21" t="str">
        <f>IF(Plantilla_SCAN_EQ3_COUNT_2[[#This Row],[ID MATERIAL]]="","",B709)</f>
        <v/>
      </c>
      <c r="C710" s="21"/>
      <c r="D710" s="21"/>
      <c r="E710" s="7" t="str">
        <f>IF(Plantilla_SCAN_EQ3_COUNT_2[[#This Row],[ID MATERIAL]]="","",VLOOKUP(Plantilla_SCAN_EQ3_COUNT_2[[#This Row],[ID MATERIAL]],INVENTARIO!$A:$D,2,FALSE))</f>
        <v/>
      </c>
      <c r="F710" s="7" t="str">
        <f>IF(Plantilla_SCAN_EQ3_COUNT_2[[#This Row],[ID MATERIAL]]="","",IF(Plantilla_SCAN_EQ3_COUNT_2[[#This Row],[No. Empaques]]="",1,Plantilla_SCAN_EQ3_COUNT_2[[#This Row],[No. Empaques]]*1))</f>
        <v/>
      </c>
      <c r="G710" s="7" t="str">
        <f>IF(Plantilla_SCAN_EQ3_COUNT_2[[#This Row],[ID MATERIAL]]="","","PZ")</f>
        <v/>
      </c>
      <c r="H710" s="7" t="str">
        <f>IF(Plantilla_SCAN_EQ3_COUNT_2[[#This Row],[ID MATERIAL]]="","",$B$13)</f>
        <v/>
      </c>
      <c r="I710" s="7" t="str">
        <f>IF(Plantilla_SCAN_EQ3_COUNT_2[[#This Row],[ID MATERIAL]]="","","Segundo Conteo")</f>
        <v/>
      </c>
    </row>
    <row r="711" spans="1:9" s="7" customFormat="1" ht="15" x14ac:dyDescent="0.2">
      <c r="A711" s="7" t="str">
        <f>IF(Plantilla_SCAN_EQ3_COUNT_2[[#This Row],[ID MATERIAL]]="","",SIGN(Plantilla_SCAN_EQ3_COUNT_2[[#This Row],[Cantidad]])+A710)</f>
        <v/>
      </c>
      <c r="B711" s="21" t="str">
        <f>IF(Plantilla_SCAN_EQ3_COUNT_2[[#This Row],[ID MATERIAL]]="","",B710)</f>
        <v/>
      </c>
      <c r="C711" s="21"/>
      <c r="D711" s="21"/>
      <c r="E711" s="7" t="str">
        <f>IF(Plantilla_SCAN_EQ3_COUNT_2[[#This Row],[ID MATERIAL]]="","",VLOOKUP(Plantilla_SCAN_EQ3_COUNT_2[[#This Row],[ID MATERIAL]],INVENTARIO!$A:$D,2,FALSE))</f>
        <v/>
      </c>
      <c r="F711" s="7" t="str">
        <f>IF(Plantilla_SCAN_EQ3_COUNT_2[[#This Row],[ID MATERIAL]]="","",IF(Plantilla_SCAN_EQ3_COUNT_2[[#This Row],[No. Empaques]]="",1,Plantilla_SCAN_EQ3_COUNT_2[[#This Row],[No. Empaques]]*1))</f>
        <v/>
      </c>
      <c r="G711" s="7" t="str">
        <f>IF(Plantilla_SCAN_EQ3_COUNT_2[[#This Row],[ID MATERIAL]]="","","PZ")</f>
        <v/>
      </c>
      <c r="H711" s="7" t="str">
        <f>IF(Plantilla_SCAN_EQ3_COUNT_2[[#This Row],[ID MATERIAL]]="","",$B$13)</f>
        <v/>
      </c>
      <c r="I711" s="7" t="str">
        <f>IF(Plantilla_SCAN_EQ3_COUNT_2[[#This Row],[ID MATERIAL]]="","","Segundo Conteo")</f>
        <v/>
      </c>
    </row>
    <row r="712" spans="1:9" s="7" customFormat="1" ht="15" x14ac:dyDescent="0.2">
      <c r="A712" s="7" t="str">
        <f>IF(Plantilla_SCAN_EQ3_COUNT_2[[#This Row],[ID MATERIAL]]="","",SIGN(Plantilla_SCAN_EQ3_COUNT_2[[#This Row],[Cantidad]])+A711)</f>
        <v/>
      </c>
      <c r="B712" s="21" t="str">
        <f>IF(Plantilla_SCAN_EQ3_COUNT_2[[#This Row],[ID MATERIAL]]="","",B711)</f>
        <v/>
      </c>
      <c r="C712" s="21"/>
      <c r="D712" s="21"/>
      <c r="E712" s="7" t="str">
        <f>IF(Plantilla_SCAN_EQ3_COUNT_2[[#This Row],[ID MATERIAL]]="","",VLOOKUP(Plantilla_SCAN_EQ3_COUNT_2[[#This Row],[ID MATERIAL]],INVENTARIO!$A:$D,2,FALSE))</f>
        <v/>
      </c>
      <c r="F712" s="7" t="str">
        <f>IF(Plantilla_SCAN_EQ3_COUNT_2[[#This Row],[ID MATERIAL]]="","",IF(Plantilla_SCAN_EQ3_COUNT_2[[#This Row],[No. Empaques]]="",1,Plantilla_SCAN_EQ3_COUNT_2[[#This Row],[No. Empaques]]*1))</f>
        <v/>
      </c>
      <c r="G712" s="7" t="str">
        <f>IF(Plantilla_SCAN_EQ3_COUNT_2[[#This Row],[ID MATERIAL]]="","","PZ")</f>
        <v/>
      </c>
      <c r="H712" s="7" t="str">
        <f>IF(Plantilla_SCAN_EQ3_COUNT_2[[#This Row],[ID MATERIAL]]="","",$B$13)</f>
        <v/>
      </c>
      <c r="I712" s="7" t="str">
        <f>IF(Plantilla_SCAN_EQ3_COUNT_2[[#This Row],[ID MATERIAL]]="","","Segundo Conteo")</f>
        <v/>
      </c>
    </row>
    <row r="713" spans="1:9" s="7" customFormat="1" ht="15" x14ac:dyDescent="0.2">
      <c r="A713" s="7" t="str">
        <f>IF(Plantilla_SCAN_EQ3_COUNT_2[[#This Row],[ID MATERIAL]]="","",SIGN(Plantilla_SCAN_EQ3_COUNT_2[[#This Row],[Cantidad]])+A712)</f>
        <v/>
      </c>
      <c r="B713" s="21" t="str">
        <f>IF(Plantilla_SCAN_EQ3_COUNT_2[[#This Row],[ID MATERIAL]]="","",B712)</f>
        <v/>
      </c>
      <c r="C713" s="21"/>
      <c r="D713" s="21"/>
      <c r="E713" s="7" t="str">
        <f>IF(Plantilla_SCAN_EQ3_COUNT_2[[#This Row],[ID MATERIAL]]="","",VLOOKUP(Plantilla_SCAN_EQ3_COUNT_2[[#This Row],[ID MATERIAL]],INVENTARIO!$A:$D,2,FALSE))</f>
        <v/>
      </c>
      <c r="F713" s="7" t="str">
        <f>IF(Plantilla_SCAN_EQ3_COUNT_2[[#This Row],[ID MATERIAL]]="","",IF(Plantilla_SCAN_EQ3_COUNT_2[[#This Row],[No. Empaques]]="",1,Plantilla_SCAN_EQ3_COUNT_2[[#This Row],[No. Empaques]]*1))</f>
        <v/>
      </c>
      <c r="G713" s="7" t="str">
        <f>IF(Plantilla_SCAN_EQ3_COUNT_2[[#This Row],[ID MATERIAL]]="","","PZ")</f>
        <v/>
      </c>
      <c r="H713" s="7" t="str">
        <f>IF(Plantilla_SCAN_EQ3_COUNT_2[[#This Row],[ID MATERIAL]]="","",$B$13)</f>
        <v/>
      </c>
      <c r="I713" s="7" t="str">
        <f>IF(Plantilla_SCAN_EQ3_COUNT_2[[#This Row],[ID MATERIAL]]="","","Segundo Conteo")</f>
        <v/>
      </c>
    </row>
    <row r="714" spans="1:9" s="7" customFormat="1" ht="15" x14ac:dyDescent="0.2">
      <c r="A714" s="7" t="str">
        <f>IF(Plantilla_SCAN_EQ3_COUNT_2[[#This Row],[ID MATERIAL]]="","",SIGN(Plantilla_SCAN_EQ3_COUNT_2[[#This Row],[Cantidad]])+A713)</f>
        <v/>
      </c>
      <c r="B714" s="21" t="str">
        <f>IF(Plantilla_SCAN_EQ3_COUNT_2[[#This Row],[ID MATERIAL]]="","",B713)</f>
        <v/>
      </c>
      <c r="C714" s="21"/>
      <c r="D714" s="21"/>
      <c r="E714" s="7" t="str">
        <f>IF(Plantilla_SCAN_EQ3_COUNT_2[[#This Row],[ID MATERIAL]]="","",VLOOKUP(Plantilla_SCAN_EQ3_COUNT_2[[#This Row],[ID MATERIAL]],INVENTARIO!$A:$D,2,FALSE))</f>
        <v/>
      </c>
      <c r="F714" s="7" t="str">
        <f>IF(Plantilla_SCAN_EQ3_COUNT_2[[#This Row],[ID MATERIAL]]="","",IF(Plantilla_SCAN_EQ3_COUNT_2[[#This Row],[No. Empaques]]="",1,Plantilla_SCAN_EQ3_COUNT_2[[#This Row],[No. Empaques]]*1))</f>
        <v/>
      </c>
      <c r="G714" s="7" t="str">
        <f>IF(Plantilla_SCAN_EQ3_COUNT_2[[#This Row],[ID MATERIAL]]="","","PZ")</f>
        <v/>
      </c>
      <c r="H714" s="7" t="str">
        <f>IF(Plantilla_SCAN_EQ3_COUNT_2[[#This Row],[ID MATERIAL]]="","",$B$13)</f>
        <v/>
      </c>
      <c r="I714" s="7" t="str">
        <f>IF(Plantilla_SCAN_EQ3_COUNT_2[[#This Row],[ID MATERIAL]]="","","Segundo Conteo")</f>
        <v/>
      </c>
    </row>
    <row r="715" spans="1:9" s="7" customFormat="1" ht="15" x14ac:dyDescent="0.2">
      <c r="A715" s="7" t="str">
        <f>IF(Plantilla_SCAN_EQ3_COUNT_2[[#This Row],[ID MATERIAL]]="","",SIGN(Plantilla_SCAN_EQ3_COUNT_2[[#This Row],[Cantidad]])+A714)</f>
        <v/>
      </c>
      <c r="B715" s="21" t="str">
        <f>IF(Plantilla_SCAN_EQ3_COUNT_2[[#This Row],[ID MATERIAL]]="","",B714)</f>
        <v/>
      </c>
      <c r="C715" s="21"/>
      <c r="D715" s="21"/>
      <c r="E715" s="7" t="str">
        <f>IF(Plantilla_SCAN_EQ3_COUNT_2[[#This Row],[ID MATERIAL]]="","",VLOOKUP(Plantilla_SCAN_EQ3_COUNT_2[[#This Row],[ID MATERIAL]],INVENTARIO!$A:$D,2,FALSE))</f>
        <v/>
      </c>
      <c r="F715" s="7" t="str">
        <f>IF(Plantilla_SCAN_EQ3_COUNT_2[[#This Row],[ID MATERIAL]]="","",IF(Plantilla_SCAN_EQ3_COUNT_2[[#This Row],[No. Empaques]]="",1,Plantilla_SCAN_EQ3_COUNT_2[[#This Row],[No. Empaques]]*1))</f>
        <v/>
      </c>
      <c r="G715" s="7" t="str">
        <f>IF(Plantilla_SCAN_EQ3_COUNT_2[[#This Row],[ID MATERIAL]]="","","PZ")</f>
        <v/>
      </c>
      <c r="H715" s="7" t="str">
        <f>IF(Plantilla_SCAN_EQ3_COUNT_2[[#This Row],[ID MATERIAL]]="","",$B$13)</f>
        <v/>
      </c>
      <c r="I715" s="7" t="str">
        <f>IF(Plantilla_SCAN_EQ3_COUNT_2[[#This Row],[ID MATERIAL]]="","","Segundo Conteo")</f>
        <v/>
      </c>
    </row>
    <row r="716" spans="1:9" s="7" customFormat="1" ht="15" x14ac:dyDescent="0.2">
      <c r="A716" s="7" t="str">
        <f>IF(Plantilla_SCAN_EQ3_COUNT_2[[#This Row],[ID MATERIAL]]="","",SIGN(Plantilla_SCAN_EQ3_COUNT_2[[#This Row],[Cantidad]])+A715)</f>
        <v/>
      </c>
      <c r="B716" s="21" t="str">
        <f>IF(Plantilla_SCAN_EQ3_COUNT_2[[#This Row],[ID MATERIAL]]="","",B715)</f>
        <v/>
      </c>
      <c r="C716" s="21"/>
      <c r="D716" s="21"/>
      <c r="E716" s="7" t="str">
        <f>IF(Plantilla_SCAN_EQ3_COUNT_2[[#This Row],[ID MATERIAL]]="","",VLOOKUP(Plantilla_SCAN_EQ3_COUNT_2[[#This Row],[ID MATERIAL]],INVENTARIO!$A:$D,2,FALSE))</f>
        <v/>
      </c>
      <c r="F716" s="7" t="str">
        <f>IF(Plantilla_SCAN_EQ3_COUNT_2[[#This Row],[ID MATERIAL]]="","",IF(Plantilla_SCAN_EQ3_COUNT_2[[#This Row],[No. Empaques]]="",1,Plantilla_SCAN_EQ3_COUNT_2[[#This Row],[No. Empaques]]*1))</f>
        <v/>
      </c>
      <c r="G716" s="7" t="str">
        <f>IF(Plantilla_SCAN_EQ3_COUNT_2[[#This Row],[ID MATERIAL]]="","","PZ")</f>
        <v/>
      </c>
      <c r="H716" s="7" t="str">
        <f>IF(Plantilla_SCAN_EQ3_COUNT_2[[#This Row],[ID MATERIAL]]="","",$B$13)</f>
        <v/>
      </c>
      <c r="I716" s="7" t="str">
        <f>IF(Plantilla_SCAN_EQ3_COUNT_2[[#This Row],[ID MATERIAL]]="","","Segundo Conteo")</f>
        <v/>
      </c>
    </row>
    <row r="717" spans="1:9" s="7" customFormat="1" ht="15" x14ac:dyDescent="0.2">
      <c r="A717" s="7" t="str">
        <f>IF(Plantilla_SCAN_EQ3_COUNT_2[[#This Row],[ID MATERIAL]]="","",SIGN(Plantilla_SCAN_EQ3_COUNT_2[[#This Row],[Cantidad]])+A716)</f>
        <v/>
      </c>
      <c r="B717" s="21" t="str">
        <f>IF(Plantilla_SCAN_EQ3_COUNT_2[[#This Row],[ID MATERIAL]]="","",B716)</f>
        <v/>
      </c>
      <c r="C717" s="21"/>
      <c r="D717" s="21"/>
      <c r="E717" s="7" t="str">
        <f>IF(Plantilla_SCAN_EQ3_COUNT_2[[#This Row],[ID MATERIAL]]="","",VLOOKUP(Plantilla_SCAN_EQ3_COUNT_2[[#This Row],[ID MATERIAL]],INVENTARIO!$A:$D,2,FALSE))</f>
        <v/>
      </c>
      <c r="F717" s="7" t="str">
        <f>IF(Plantilla_SCAN_EQ3_COUNT_2[[#This Row],[ID MATERIAL]]="","",IF(Plantilla_SCAN_EQ3_COUNT_2[[#This Row],[No. Empaques]]="",1,Plantilla_SCAN_EQ3_COUNT_2[[#This Row],[No. Empaques]]*1))</f>
        <v/>
      </c>
      <c r="G717" s="7" t="str">
        <f>IF(Plantilla_SCAN_EQ3_COUNT_2[[#This Row],[ID MATERIAL]]="","","PZ")</f>
        <v/>
      </c>
      <c r="H717" s="7" t="str">
        <f>IF(Plantilla_SCAN_EQ3_COUNT_2[[#This Row],[ID MATERIAL]]="","",$B$13)</f>
        <v/>
      </c>
      <c r="I717" s="7" t="str">
        <f>IF(Plantilla_SCAN_EQ3_COUNT_2[[#This Row],[ID MATERIAL]]="","","Segundo Conteo")</f>
        <v/>
      </c>
    </row>
    <row r="718" spans="1:9" s="7" customFormat="1" ht="15" x14ac:dyDescent="0.2">
      <c r="A718" s="7" t="str">
        <f>IF(Plantilla_SCAN_EQ3_COUNT_2[[#This Row],[ID MATERIAL]]="","",SIGN(Plantilla_SCAN_EQ3_COUNT_2[[#This Row],[Cantidad]])+A717)</f>
        <v/>
      </c>
      <c r="B718" s="21" t="str">
        <f>IF(Plantilla_SCAN_EQ3_COUNT_2[[#This Row],[ID MATERIAL]]="","",B717)</f>
        <v/>
      </c>
      <c r="C718" s="21"/>
      <c r="D718" s="21"/>
      <c r="E718" s="7" t="str">
        <f>IF(Plantilla_SCAN_EQ3_COUNT_2[[#This Row],[ID MATERIAL]]="","",VLOOKUP(Plantilla_SCAN_EQ3_COUNT_2[[#This Row],[ID MATERIAL]],INVENTARIO!$A:$D,2,FALSE))</f>
        <v/>
      </c>
      <c r="F718" s="7" t="str">
        <f>IF(Plantilla_SCAN_EQ3_COUNT_2[[#This Row],[ID MATERIAL]]="","",IF(Plantilla_SCAN_EQ3_COUNT_2[[#This Row],[No. Empaques]]="",1,Plantilla_SCAN_EQ3_COUNT_2[[#This Row],[No. Empaques]]*1))</f>
        <v/>
      </c>
      <c r="G718" s="7" t="str">
        <f>IF(Plantilla_SCAN_EQ3_COUNT_2[[#This Row],[ID MATERIAL]]="","","PZ")</f>
        <v/>
      </c>
      <c r="H718" s="7" t="str">
        <f>IF(Plantilla_SCAN_EQ3_COUNT_2[[#This Row],[ID MATERIAL]]="","",$B$13)</f>
        <v/>
      </c>
      <c r="I718" s="7" t="str">
        <f>IF(Plantilla_SCAN_EQ3_COUNT_2[[#This Row],[ID MATERIAL]]="","","Segundo Conteo")</f>
        <v/>
      </c>
    </row>
    <row r="719" spans="1:9" s="7" customFormat="1" ht="15" x14ac:dyDescent="0.2">
      <c r="A719" s="7" t="str">
        <f>IF(Plantilla_SCAN_EQ3_COUNT_2[[#This Row],[ID MATERIAL]]="","",SIGN(Plantilla_SCAN_EQ3_COUNT_2[[#This Row],[Cantidad]])+A718)</f>
        <v/>
      </c>
      <c r="B719" s="21" t="str">
        <f>IF(Plantilla_SCAN_EQ3_COUNT_2[[#This Row],[ID MATERIAL]]="","",B718)</f>
        <v/>
      </c>
      <c r="C719" s="21"/>
      <c r="D719" s="21"/>
      <c r="E719" s="7" t="str">
        <f>IF(Plantilla_SCAN_EQ3_COUNT_2[[#This Row],[ID MATERIAL]]="","",VLOOKUP(Plantilla_SCAN_EQ3_COUNT_2[[#This Row],[ID MATERIAL]],INVENTARIO!$A:$D,2,FALSE))</f>
        <v/>
      </c>
      <c r="F719" s="7" t="str">
        <f>IF(Plantilla_SCAN_EQ3_COUNT_2[[#This Row],[ID MATERIAL]]="","",IF(Plantilla_SCAN_EQ3_COUNT_2[[#This Row],[No. Empaques]]="",1,Plantilla_SCAN_EQ3_COUNT_2[[#This Row],[No. Empaques]]*1))</f>
        <v/>
      </c>
      <c r="G719" s="7" t="str">
        <f>IF(Plantilla_SCAN_EQ3_COUNT_2[[#This Row],[ID MATERIAL]]="","","PZ")</f>
        <v/>
      </c>
      <c r="H719" s="7" t="str">
        <f>IF(Plantilla_SCAN_EQ3_COUNT_2[[#This Row],[ID MATERIAL]]="","",$B$13)</f>
        <v/>
      </c>
      <c r="I719" s="7" t="str">
        <f>IF(Plantilla_SCAN_EQ3_COUNT_2[[#This Row],[ID MATERIAL]]="","","Segundo Conteo")</f>
        <v/>
      </c>
    </row>
    <row r="720" spans="1:9" s="7" customFormat="1" ht="15" x14ac:dyDescent="0.2">
      <c r="A720" s="7" t="str">
        <f>IF(Plantilla_SCAN_EQ3_COUNT_2[[#This Row],[ID MATERIAL]]="","",SIGN(Plantilla_SCAN_EQ3_COUNT_2[[#This Row],[Cantidad]])+A719)</f>
        <v/>
      </c>
      <c r="B720" s="21" t="str">
        <f>IF(Plantilla_SCAN_EQ3_COUNT_2[[#This Row],[ID MATERIAL]]="","",B719)</f>
        <v/>
      </c>
      <c r="C720" s="21"/>
      <c r="D720" s="21"/>
      <c r="E720" s="7" t="str">
        <f>IF(Plantilla_SCAN_EQ3_COUNT_2[[#This Row],[ID MATERIAL]]="","",VLOOKUP(Plantilla_SCAN_EQ3_COUNT_2[[#This Row],[ID MATERIAL]],INVENTARIO!$A:$D,2,FALSE))</f>
        <v/>
      </c>
      <c r="F720" s="7" t="str">
        <f>IF(Plantilla_SCAN_EQ3_COUNT_2[[#This Row],[ID MATERIAL]]="","",IF(Plantilla_SCAN_EQ3_COUNT_2[[#This Row],[No. Empaques]]="",1,Plantilla_SCAN_EQ3_COUNT_2[[#This Row],[No. Empaques]]*1))</f>
        <v/>
      </c>
      <c r="G720" s="7" t="str">
        <f>IF(Plantilla_SCAN_EQ3_COUNT_2[[#This Row],[ID MATERIAL]]="","","PZ")</f>
        <v/>
      </c>
      <c r="H720" s="7" t="str">
        <f>IF(Plantilla_SCAN_EQ3_COUNT_2[[#This Row],[ID MATERIAL]]="","",$B$13)</f>
        <v/>
      </c>
      <c r="I720" s="7" t="str">
        <f>IF(Plantilla_SCAN_EQ3_COUNT_2[[#This Row],[ID MATERIAL]]="","","Segundo Conteo")</f>
        <v/>
      </c>
    </row>
    <row r="721" spans="1:9" s="7" customFormat="1" ht="15" x14ac:dyDescent="0.2">
      <c r="A721" s="7" t="str">
        <f>IF(Plantilla_SCAN_EQ3_COUNT_2[[#This Row],[ID MATERIAL]]="","",SIGN(Plantilla_SCAN_EQ3_COUNT_2[[#This Row],[Cantidad]])+A720)</f>
        <v/>
      </c>
      <c r="B721" s="21" t="str">
        <f>IF(Plantilla_SCAN_EQ3_COUNT_2[[#This Row],[ID MATERIAL]]="","",B720)</f>
        <v/>
      </c>
      <c r="C721" s="21"/>
      <c r="D721" s="21"/>
      <c r="E721" s="7" t="str">
        <f>IF(Plantilla_SCAN_EQ3_COUNT_2[[#This Row],[ID MATERIAL]]="","",VLOOKUP(Plantilla_SCAN_EQ3_COUNT_2[[#This Row],[ID MATERIAL]],INVENTARIO!$A:$D,2,FALSE))</f>
        <v/>
      </c>
      <c r="F721" s="7" t="str">
        <f>IF(Plantilla_SCAN_EQ3_COUNT_2[[#This Row],[ID MATERIAL]]="","",IF(Plantilla_SCAN_EQ3_COUNT_2[[#This Row],[No. Empaques]]="",1,Plantilla_SCAN_EQ3_COUNT_2[[#This Row],[No. Empaques]]*1))</f>
        <v/>
      </c>
      <c r="G721" s="7" t="str">
        <f>IF(Plantilla_SCAN_EQ3_COUNT_2[[#This Row],[ID MATERIAL]]="","","PZ")</f>
        <v/>
      </c>
      <c r="H721" s="7" t="str">
        <f>IF(Plantilla_SCAN_EQ3_COUNT_2[[#This Row],[ID MATERIAL]]="","",$B$13)</f>
        <v/>
      </c>
      <c r="I721" s="7" t="str">
        <f>IF(Plantilla_SCAN_EQ3_COUNT_2[[#This Row],[ID MATERIAL]]="","","Segundo Conteo")</f>
        <v/>
      </c>
    </row>
    <row r="722" spans="1:9" s="7" customFormat="1" ht="15" x14ac:dyDescent="0.2">
      <c r="A722" s="7" t="str">
        <f>IF(Plantilla_SCAN_EQ3_COUNT_2[[#This Row],[ID MATERIAL]]="","",SIGN(Plantilla_SCAN_EQ3_COUNT_2[[#This Row],[Cantidad]])+A721)</f>
        <v/>
      </c>
      <c r="B722" s="21" t="str">
        <f>IF(Plantilla_SCAN_EQ3_COUNT_2[[#This Row],[ID MATERIAL]]="","",B721)</f>
        <v/>
      </c>
      <c r="C722" s="21"/>
      <c r="D722" s="21"/>
      <c r="E722" s="7" t="str">
        <f>IF(Plantilla_SCAN_EQ3_COUNT_2[[#This Row],[ID MATERIAL]]="","",VLOOKUP(Plantilla_SCAN_EQ3_COUNT_2[[#This Row],[ID MATERIAL]],INVENTARIO!$A:$D,2,FALSE))</f>
        <v/>
      </c>
      <c r="F722" s="7" t="str">
        <f>IF(Plantilla_SCAN_EQ3_COUNT_2[[#This Row],[ID MATERIAL]]="","",IF(Plantilla_SCAN_EQ3_COUNT_2[[#This Row],[No. Empaques]]="",1,Plantilla_SCAN_EQ3_COUNT_2[[#This Row],[No. Empaques]]*1))</f>
        <v/>
      </c>
      <c r="G722" s="7" t="str">
        <f>IF(Plantilla_SCAN_EQ3_COUNT_2[[#This Row],[ID MATERIAL]]="","","PZ")</f>
        <v/>
      </c>
      <c r="H722" s="7" t="str">
        <f>IF(Plantilla_SCAN_EQ3_COUNT_2[[#This Row],[ID MATERIAL]]="","",$B$13)</f>
        <v/>
      </c>
      <c r="I722" s="7" t="str">
        <f>IF(Plantilla_SCAN_EQ3_COUNT_2[[#This Row],[ID MATERIAL]]="","","Segundo Conteo")</f>
        <v/>
      </c>
    </row>
    <row r="723" spans="1:9" s="7" customFormat="1" ht="15" x14ac:dyDescent="0.2">
      <c r="A723" s="7" t="str">
        <f>IF(Plantilla_SCAN_EQ3_COUNT_2[[#This Row],[ID MATERIAL]]="","",SIGN(Plantilla_SCAN_EQ3_COUNT_2[[#This Row],[Cantidad]])+A722)</f>
        <v/>
      </c>
      <c r="B723" s="21" t="str">
        <f>IF(Plantilla_SCAN_EQ3_COUNT_2[[#This Row],[ID MATERIAL]]="","",B722)</f>
        <v/>
      </c>
      <c r="C723" s="21"/>
      <c r="D723" s="21"/>
      <c r="E723" s="7" t="str">
        <f>IF(Plantilla_SCAN_EQ3_COUNT_2[[#This Row],[ID MATERIAL]]="","",VLOOKUP(Plantilla_SCAN_EQ3_COUNT_2[[#This Row],[ID MATERIAL]],INVENTARIO!$A:$D,2,FALSE))</f>
        <v/>
      </c>
      <c r="F723" s="7" t="str">
        <f>IF(Plantilla_SCAN_EQ3_COUNT_2[[#This Row],[ID MATERIAL]]="","",IF(Plantilla_SCAN_EQ3_COUNT_2[[#This Row],[No. Empaques]]="",1,Plantilla_SCAN_EQ3_COUNT_2[[#This Row],[No. Empaques]]*1))</f>
        <v/>
      </c>
      <c r="G723" s="7" t="str">
        <f>IF(Plantilla_SCAN_EQ3_COUNT_2[[#This Row],[ID MATERIAL]]="","","PZ")</f>
        <v/>
      </c>
      <c r="H723" s="7" t="str">
        <f>IF(Plantilla_SCAN_EQ3_COUNT_2[[#This Row],[ID MATERIAL]]="","",$B$13)</f>
        <v/>
      </c>
      <c r="I723" s="7" t="str">
        <f>IF(Plantilla_SCAN_EQ3_COUNT_2[[#This Row],[ID MATERIAL]]="","","Segundo Conteo")</f>
        <v/>
      </c>
    </row>
    <row r="724" spans="1:9" s="7" customFormat="1" ht="15" x14ac:dyDescent="0.2">
      <c r="A724" s="7" t="str">
        <f>IF(Plantilla_SCAN_EQ3_COUNT_2[[#This Row],[ID MATERIAL]]="","",SIGN(Plantilla_SCAN_EQ3_COUNT_2[[#This Row],[Cantidad]])+A723)</f>
        <v/>
      </c>
      <c r="B724" s="21" t="str">
        <f>IF(Plantilla_SCAN_EQ3_COUNT_2[[#This Row],[ID MATERIAL]]="","",B723)</f>
        <v/>
      </c>
      <c r="C724" s="21"/>
      <c r="D724" s="21"/>
      <c r="E724" s="7" t="str">
        <f>IF(Plantilla_SCAN_EQ3_COUNT_2[[#This Row],[ID MATERIAL]]="","",VLOOKUP(Plantilla_SCAN_EQ3_COUNT_2[[#This Row],[ID MATERIAL]],INVENTARIO!$A:$D,2,FALSE))</f>
        <v/>
      </c>
      <c r="F724" s="7" t="str">
        <f>IF(Plantilla_SCAN_EQ3_COUNT_2[[#This Row],[ID MATERIAL]]="","",IF(Plantilla_SCAN_EQ3_COUNT_2[[#This Row],[No. Empaques]]="",1,Plantilla_SCAN_EQ3_COUNT_2[[#This Row],[No. Empaques]]*1))</f>
        <v/>
      </c>
      <c r="G724" s="7" t="str">
        <f>IF(Plantilla_SCAN_EQ3_COUNT_2[[#This Row],[ID MATERIAL]]="","","PZ")</f>
        <v/>
      </c>
      <c r="H724" s="7" t="str">
        <f>IF(Plantilla_SCAN_EQ3_COUNT_2[[#This Row],[ID MATERIAL]]="","",$B$13)</f>
        <v/>
      </c>
      <c r="I724" s="7" t="str">
        <f>IF(Plantilla_SCAN_EQ3_COUNT_2[[#This Row],[ID MATERIAL]]="","","Segundo Conteo")</f>
        <v/>
      </c>
    </row>
    <row r="725" spans="1:9" s="7" customFormat="1" ht="15" x14ac:dyDescent="0.2">
      <c r="A725" s="7" t="str">
        <f>IF(Plantilla_SCAN_EQ3_COUNT_2[[#This Row],[ID MATERIAL]]="","",SIGN(Plantilla_SCAN_EQ3_COUNT_2[[#This Row],[Cantidad]])+A724)</f>
        <v/>
      </c>
      <c r="B725" s="21" t="str">
        <f>IF(Plantilla_SCAN_EQ3_COUNT_2[[#This Row],[ID MATERIAL]]="","",B724)</f>
        <v/>
      </c>
      <c r="C725" s="21"/>
      <c r="D725" s="21"/>
      <c r="E725" s="7" t="str">
        <f>IF(Plantilla_SCAN_EQ3_COUNT_2[[#This Row],[ID MATERIAL]]="","",VLOOKUP(Plantilla_SCAN_EQ3_COUNT_2[[#This Row],[ID MATERIAL]],INVENTARIO!$A:$D,2,FALSE))</f>
        <v/>
      </c>
      <c r="F725" s="7" t="str">
        <f>IF(Plantilla_SCAN_EQ3_COUNT_2[[#This Row],[ID MATERIAL]]="","",IF(Plantilla_SCAN_EQ3_COUNT_2[[#This Row],[No. Empaques]]="",1,Plantilla_SCAN_EQ3_COUNT_2[[#This Row],[No. Empaques]]*1))</f>
        <v/>
      </c>
      <c r="G725" s="7" t="str">
        <f>IF(Plantilla_SCAN_EQ3_COUNT_2[[#This Row],[ID MATERIAL]]="","","PZ")</f>
        <v/>
      </c>
      <c r="H725" s="7" t="str">
        <f>IF(Plantilla_SCAN_EQ3_COUNT_2[[#This Row],[ID MATERIAL]]="","",$B$13)</f>
        <v/>
      </c>
      <c r="I725" s="7" t="str">
        <f>IF(Plantilla_SCAN_EQ3_COUNT_2[[#This Row],[ID MATERIAL]]="","","Segundo Conteo")</f>
        <v/>
      </c>
    </row>
    <row r="726" spans="1:9" s="7" customFormat="1" ht="15" x14ac:dyDescent="0.2">
      <c r="A726" s="7" t="str">
        <f>IF(Plantilla_SCAN_EQ3_COUNT_2[[#This Row],[ID MATERIAL]]="","",SIGN(Plantilla_SCAN_EQ3_COUNT_2[[#This Row],[Cantidad]])+A725)</f>
        <v/>
      </c>
      <c r="B726" s="21" t="str">
        <f>IF(Plantilla_SCAN_EQ3_COUNT_2[[#This Row],[ID MATERIAL]]="","",B725)</f>
        <v/>
      </c>
      <c r="C726" s="21"/>
      <c r="D726" s="21"/>
      <c r="E726" s="7" t="str">
        <f>IF(Plantilla_SCAN_EQ3_COUNT_2[[#This Row],[ID MATERIAL]]="","",VLOOKUP(Plantilla_SCAN_EQ3_COUNT_2[[#This Row],[ID MATERIAL]],INVENTARIO!$A:$D,2,FALSE))</f>
        <v/>
      </c>
      <c r="F726" s="7" t="str">
        <f>IF(Plantilla_SCAN_EQ3_COUNT_2[[#This Row],[ID MATERIAL]]="","",IF(Plantilla_SCAN_EQ3_COUNT_2[[#This Row],[No. Empaques]]="",1,Plantilla_SCAN_EQ3_COUNT_2[[#This Row],[No. Empaques]]*1))</f>
        <v/>
      </c>
      <c r="G726" s="7" t="str">
        <f>IF(Plantilla_SCAN_EQ3_COUNT_2[[#This Row],[ID MATERIAL]]="","","PZ")</f>
        <v/>
      </c>
      <c r="H726" s="7" t="str">
        <f>IF(Plantilla_SCAN_EQ3_COUNT_2[[#This Row],[ID MATERIAL]]="","",$B$13)</f>
        <v/>
      </c>
      <c r="I726" s="7" t="str">
        <f>IF(Plantilla_SCAN_EQ3_COUNT_2[[#This Row],[ID MATERIAL]]="","","Segundo Conteo")</f>
        <v/>
      </c>
    </row>
    <row r="727" spans="1:9" s="7" customFormat="1" ht="15" x14ac:dyDescent="0.2">
      <c r="A727" s="7" t="str">
        <f>IF(Plantilla_SCAN_EQ3_COUNT_2[[#This Row],[ID MATERIAL]]="","",SIGN(Plantilla_SCAN_EQ3_COUNT_2[[#This Row],[Cantidad]])+A726)</f>
        <v/>
      </c>
      <c r="B727" s="21" t="str">
        <f>IF(Plantilla_SCAN_EQ3_COUNT_2[[#This Row],[ID MATERIAL]]="","",B726)</f>
        <v/>
      </c>
      <c r="C727" s="21"/>
      <c r="D727" s="21"/>
      <c r="E727" s="7" t="str">
        <f>IF(Plantilla_SCAN_EQ3_COUNT_2[[#This Row],[ID MATERIAL]]="","",VLOOKUP(Plantilla_SCAN_EQ3_COUNT_2[[#This Row],[ID MATERIAL]],INVENTARIO!$A:$D,2,FALSE))</f>
        <v/>
      </c>
      <c r="F727" s="7" t="str">
        <f>IF(Plantilla_SCAN_EQ3_COUNT_2[[#This Row],[ID MATERIAL]]="","",IF(Plantilla_SCAN_EQ3_COUNT_2[[#This Row],[No. Empaques]]="",1,Plantilla_SCAN_EQ3_COUNT_2[[#This Row],[No. Empaques]]*1))</f>
        <v/>
      </c>
      <c r="G727" s="7" t="str">
        <f>IF(Plantilla_SCAN_EQ3_COUNT_2[[#This Row],[ID MATERIAL]]="","","PZ")</f>
        <v/>
      </c>
      <c r="H727" s="7" t="str">
        <f>IF(Plantilla_SCAN_EQ3_COUNT_2[[#This Row],[ID MATERIAL]]="","",$B$13)</f>
        <v/>
      </c>
      <c r="I727" s="7" t="str">
        <f>IF(Plantilla_SCAN_EQ3_COUNT_2[[#This Row],[ID MATERIAL]]="","","Segundo Conteo")</f>
        <v/>
      </c>
    </row>
    <row r="728" spans="1:9" s="7" customFormat="1" ht="15" x14ac:dyDescent="0.2">
      <c r="A728" s="7" t="str">
        <f>IF(Plantilla_SCAN_EQ3_COUNT_2[[#This Row],[ID MATERIAL]]="","",SIGN(Plantilla_SCAN_EQ3_COUNT_2[[#This Row],[Cantidad]])+A727)</f>
        <v/>
      </c>
      <c r="B728" s="21" t="str">
        <f>IF(Plantilla_SCAN_EQ3_COUNT_2[[#This Row],[ID MATERIAL]]="","",B727)</f>
        <v/>
      </c>
      <c r="C728" s="21"/>
      <c r="D728" s="21"/>
      <c r="E728" s="7" t="str">
        <f>IF(Plantilla_SCAN_EQ3_COUNT_2[[#This Row],[ID MATERIAL]]="","",VLOOKUP(Plantilla_SCAN_EQ3_COUNT_2[[#This Row],[ID MATERIAL]],INVENTARIO!$A:$D,2,FALSE))</f>
        <v/>
      </c>
      <c r="F728" s="7" t="str">
        <f>IF(Plantilla_SCAN_EQ3_COUNT_2[[#This Row],[ID MATERIAL]]="","",IF(Plantilla_SCAN_EQ3_COUNT_2[[#This Row],[No. Empaques]]="",1,Plantilla_SCAN_EQ3_COUNT_2[[#This Row],[No. Empaques]]*1))</f>
        <v/>
      </c>
      <c r="G728" s="7" t="str">
        <f>IF(Plantilla_SCAN_EQ3_COUNT_2[[#This Row],[ID MATERIAL]]="","","PZ")</f>
        <v/>
      </c>
      <c r="H728" s="7" t="str">
        <f>IF(Plantilla_SCAN_EQ3_COUNT_2[[#This Row],[ID MATERIAL]]="","",$B$13)</f>
        <v/>
      </c>
      <c r="I728" s="7" t="str">
        <f>IF(Plantilla_SCAN_EQ3_COUNT_2[[#This Row],[ID MATERIAL]]="","","Segundo Conteo")</f>
        <v/>
      </c>
    </row>
    <row r="729" spans="1:9" s="7" customFormat="1" ht="15" x14ac:dyDescent="0.2">
      <c r="A729" s="7" t="str">
        <f>IF(Plantilla_SCAN_EQ3_COUNT_2[[#This Row],[ID MATERIAL]]="","",SIGN(Plantilla_SCAN_EQ3_COUNT_2[[#This Row],[Cantidad]])+A728)</f>
        <v/>
      </c>
      <c r="B729" s="21" t="str">
        <f>IF(Plantilla_SCAN_EQ3_COUNT_2[[#This Row],[ID MATERIAL]]="","",B728)</f>
        <v/>
      </c>
      <c r="C729" s="21"/>
      <c r="D729" s="21"/>
      <c r="E729" s="7" t="str">
        <f>IF(Plantilla_SCAN_EQ3_COUNT_2[[#This Row],[ID MATERIAL]]="","",VLOOKUP(Plantilla_SCAN_EQ3_COUNT_2[[#This Row],[ID MATERIAL]],INVENTARIO!$A:$D,2,FALSE))</f>
        <v/>
      </c>
      <c r="F729" s="7" t="str">
        <f>IF(Plantilla_SCAN_EQ3_COUNT_2[[#This Row],[ID MATERIAL]]="","",IF(Plantilla_SCAN_EQ3_COUNT_2[[#This Row],[No. Empaques]]="",1,Plantilla_SCAN_EQ3_COUNT_2[[#This Row],[No. Empaques]]*1))</f>
        <v/>
      </c>
      <c r="G729" s="7" t="str">
        <f>IF(Plantilla_SCAN_EQ3_COUNT_2[[#This Row],[ID MATERIAL]]="","","PZ")</f>
        <v/>
      </c>
      <c r="H729" s="7" t="str">
        <f>IF(Plantilla_SCAN_EQ3_COUNT_2[[#This Row],[ID MATERIAL]]="","",$B$13)</f>
        <v/>
      </c>
      <c r="I729" s="7" t="str">
        <f>IF(Plantilla_SCAN_EQ3_COUNT_2[[#This Row],[ID MATERIAL]]="","","Segundo Conteo")</f>
        <v/>
      </c>
    </row>
    <row r="730" spans="1:9" s="7" customFormat="1" ht="15" x14ac:dyDescent="0.2">
      <c r="A730" s="7" t="str">
        <f>IF(Plantilla_SCAN_EQ3_COUNT_2[[#This Row],[ID MATERIAL]]="","",SIGN(Plantilla_SCAN_EQ3_COUNT_2[[#This Row],[Cantidad]])+A729)</f>
        <v/>
      </c>
      <c r="B730" s="21" t="str">
        <f>IF(Plantilla_SCAN_EQ3_COUNT_2[[#This Row],[ID MATERIAL]]="","",B729)</f>
        <v/>
      </c>
      <c r="C730" s="21"/>
      <c r="D730" s="21"/>
      <c r="E730" s="7" t="str">
        <f>IF(Plantilla_SCAN_EQ3_COUNT_2[[#This Row],[ID MATERIAL]]="","",VLOOKUP(Plantilla_SCAN_EQ3_COUNT_2[[#This Row],[ID MATERIAL]],INVENTARIO!$A:$D,2,FALSE))</f>
        <v/>
      </c>
      <c r="F730" s="7" t="str">
        <f>IF(Plantilla_SCAN_EQ3_COUNT_2[[#This Row],[ID MATERIAL]]="","",IF(Plantilla_SCAN_EQ3_COUNT_2[[#This Row],[No. Empaques]]="",1,Plantilla_SCAN_EQ3_COUNT_2[[#This Row],[No. Empaques]]*1))</f>
        <v/>
      </c>
      <c r="G730" s="7" t="str">
        <f>IF(Plantilla_SCAN_EQ3_COUNT_2[[#This Row],[ID MATERIAL]]="","","PZ")</f>
        <v/>
      </c>
      <c r="H730" s="7" t="str">
        <f>IF(Plantilla_SCAN_EQ3_COUNT_2[[#This Row],[ID MATERIAL]]="","",$B$13)</f>
        <v/>
      </c>
      <c r="I730" s="7" t="str">
        <f>IF(Plantilla_SCAN_EQ3_COUNT_2[[#This Row],[ID MATERIAL]]="","","Segundo Conteo")</f>
        <v/>
      </c>
    </row>
    <row r="731" spans="1:9" s="7" customFormat="1" ht="15" x14ac:dyDescent="0.2">
      <c r="A731" s="7" t="str">
        <f>IF(Plantilla_SCAN_EQ3_COUNT_2[[#This Row],[ID MATERIAL]]="","",SIGN(Plantilla_SCAN_EQ3_COUNT_2[[#This Row],[Cantidad]])+A730)</f>
        <v/>
      </c>
      <c r="B731" s="21" t="str">
        <f>IF(Plantilla_SCAN_EQ3_COUNT_2[[#This Row],[ID MATERIAL]]="","",B730)</f>
        <v/>
      </c>
      <c r="C731" s="21"/>
      <c r="D731" s="21"/>
      <c r="E731" s="7" t="str">
        <f>IF(Plantilla_SCAN_EQ3_COUNT_2[[#This Row],[ID MATERIAL]]="","",VLOOKUP(Plantilla_SCAN_EQ3_COUNT_2[[#This Row],[ID MATERIAL]],INVENTARIO!$A:$D,2,FALSE))</f>
        <v/>
      </c>
      <c r="F731" s="7" t="str">
        <f>IF(Plantilla_SCAN_EQ3_COUNT_2[[#This Row],[ID MATERIAL]]="","",IF(Plantilla_SCAN_EQ3_COUNT_2[[#This Row],[No. Empaques]]="",1,Plantilla_SCAN_EQ3_COUNT_2[[#This Row],[No. Empaques]]*1))</f>
        <v/>
      </c>
      <c r="G731" s="7" t="str">
        <f>IF(Plantilla_SCAN_EQ3_COUNT_2[[#This Row],[ID MATERIAL]]="","","PZ")</f>
        <v/>
      </c>
      <c r="H731" s="7" t="str">
        <f>IF(Plantilla_SCAN_EQ3_COUNT_2[[#This Row],[ID MATERIAL]]="","",$B$13)</f>
        <v/>
      </c>
      <c r="I731" s="7" t="str">
        <f>IF(Plantilla_SCAN_EQ3_COUNT_2[[#This Row],[ID MATERIAL]]="","","Segundo Conteo")</f>
        <v/>
      </c>
    </row>
    <row r="732" spans="1:9" s="7" customFormat="1" ht="15" x14ac:dyDescent="0.2">
      <c r="A732" s="7" t="str">
        <f>IF(Plantilla_SCAN_EQ3_COUNT_2[[#This Row],[ID MATERIAL]]="","",SIGN(Plantilla_SCAN_EQ3_COUNT_2[[#This Row],[Cantidad]])+A731)</f>
        <v/>
      </c>
      <c r="B732" s="21" t="str">
        <f>IF(Plantilla_SCAN_EQ3_COUNT_2[[#This Row],[ID MATERIAL]]="","",B731)</f>
        <v/>
      </c>
      <c r="C732" s="21"/>
      <c r="D732" s="21"/>
      <c r="E732" s="7" t="str">
        <f>IF(Plantilla_SCAN_EQ3_COUNT_2[[#This Row],[ID MATERIAL]]="","",VLOOKUP(Plantilla_SCAN_EQ3_COUNT_2[[#This Row],[ID MATERIAL]],INVENTARIO!$A:$D,2,FALSE))</f>
        <v/>
      </c>
      <c r="F732" s="7" t="str">
        <f>IF(Plantilla_SCAN_EQ3_COUNT_2[[#This Row],[ID MATERIAL]]="","",IF(Plantilla_SCAN_EQ3_COUNT_2[[#This Row],[No. Empaques]]="",1,Plantilla_SCAN_EQ3_COUNT_2[[#This Row],[No. Empaques]]*1))</f>
        <v/>
      </c>
      <c r="G732" s="7" t="str">
        <f>IF(Plantilla_SCAN_EQ3_COUNT_2[[#This Row],[ID MATERIAL]]="","","PZ")</f>
        <v/>
      </c>
      <c r="H732" s="7" t="str">
        <f>IF(Plantilla_SCAN_EQ3_COUNT_2[[#This Row],[ID MATERIAL]]="","",$B$13)</f>
        <v/>
      </c>
      <c r="I732" s="7" t="str">
        <f>IF(Plantilla_SCAN_EQ3_COUNT_2[[#This Row],[ID MATERIAL]]="","","Segundo Conteo")</f>
        <v/>
      </c>
    </row>
    <row r="733" spans="1:9" s="7" customFormat="1" ht="15" x14ac:dyDescent="0.2">
      <c r="A733" s="7" t="str">
        <f>IF(Plantilla_SCAN_EQ3_COUNT_2[[#This Row],[ID MATERIAL]]="","",SIGN(Plantilla_SCAN_EQ3_COUNT_2[[#This Row],[Cantidad]])+A732)</f>
        <v/>
      </c>
      <c r="B733" s="21" t="str">
        <f>IF(Plantilla_SCAN_EQ3_COUNT_2[[#This Row],[ID MATERIAL]]="","",B732)</f>
        <v/>
      </c>
      <c r="C733" s="21"/>
      <c r="D733" s="21"/>
      <c r="E733" s="7" t="str">
        <f>IF(Plantilla_SCAN_EQ3_COUNT_2[[#This Row],[ID MATERIAL]]="","",VLOOKUP(Plantilla_SCAN_EQ3_COUNT_2[[#This Row],[ID MATERIAL]],INVENTARIO!$A:$D,2,FALSE))</f>
        <v/>
      </c>
      <c r="F733" s="7" t="str">
        <f>IF(Plantilla_SCAN_EQ3_COUNT_2[[#This Row],[ID MATERIAL]]="","",IF(Plantilla_SCAN_EQ3_COUNT_2[[#This Row],[No. Empaques]]="",1,Plantilla_SCAN_EQ3_COUNT_2[[#This Row],[No. Empaques]]*1))</f>
        <v/>
      </c>
      <c r="G733" s="7" t="str">
        <f>IF(Plantilla_SCAN_EQ3_COUNT_2[[#This Row],[ID MATERIAL]]="","","PZ")</f>
        <v/>
      </c>
      <c r="H733" s="7" t="str">
        <f>IF(Plantilla_SCAN_EQ3_COUNT_2[[#This Row],[ID MATERIAL]]="","",$B$13)</f>
        <v/>
      </c>
      <c r="I733" s="7" t="str">
        <f>IF(Plantilla_SCAN_EQ3_COUNT_2[[#This Row],[ID MATERIAL]]="","","Segundo Conteo")</f>
        <v/>
      </c>
    </row>
    <row r="734" spans="1:9" s="7" customFormat="1" ht="15" x14ac:dyDescent="0.2">
      <c r="A734" s="7" t="str">
        <f>IF(Plantilla_SCAN_EQ3_COUNT_2[[#This Row],[ID MATERIAL]]="","",SIGN(Plantilla_SCAN_EQ3_COUNT_2[[#This Row],[Cantidad]])+A733)</f>
        <v/>
      </c>
      <c r="B734" s="21" t="str">
        <f>IF(Plantilla_SCAN_EQ3_COUNT_2[[#This Row],[ID MATERIAL]]="","",B733)</f>
        <v/>
      </c>
      <c r="C734" s="21"/>
      <c r="D734" s="21"/>
      <c r="E734" s="7" t="str">
        <f>IF(Plantilla_SCAN_EQ3_COUNT_2[[#This Row],[ID MATERIAL]]="","",VLOOKUP(Plantilla_SCAN_EQ3_COUNT_2[[#This Row],[ID MATERIAL]],INVENTARIO!$A:$D,2,FALSE))</f>
        <v/>
      </c>
      <c r="F734" s="7" t="str">
        <f>IF(Plantilla_SCAN_EQ3_COUNT_2[[#This Row],[ID MATERIAL]]="","",IF(Plantilla_SCAN_EQ3_COUNT_2[[#This Row],[No. Empaques]]="",1,Plantilla_SCAN_EQ3_COUNT_2[[#This Row],[No. Empaques]]*1))</f>
        <v/>
      </c>
      <c r="G734" s="7" t="str">
        <f>IF(Plantilla_SCAN_EQ3_COUNT_2[[#This Row],[ID MATERIAL]]="","","PZ")</f>
        <v/>
      </c>
      <c r="H734" s="7" t="str">
        <f>IF(Plantilla_SCAN_EQ3_COUNT_2[[#This Row],[ID MATERIAL]]="","",$B$13)</f>
        <v/>
      </c>
      <c r="I734" s="7" t="str">
        <f>IF(Plantilla_SCAN_EQ3_COUNT_2[[#This Row],[ID MATERIAL]]="","","Segundo Conteo")</f>
        <v/>
      </c>
    </row>
    <row r="735" spans="1:9" s="7" customFormat="1" ht="15" x14ac:dyDescent="0.2">
      <c r="A735" s="7" t="str">
        <f>IF(Plantilla_SCAN_EQ3_COUNT_2[[#This Row],[ID MATERIAL]]="","",SIGN(Plantilla_SCAN_EQ3_COUNT_2[[#This Row],[Cantidad]])+A734)</f>
        <v/>
      </c>
      <c r="B735" s="21" t="str">
        <f>IF(Plantilla_SCAN_EQ3_COUNT_2[[#This Row],[ID MATERIAL]]="","",B734)</f>
        <v/>
      </c>
      <c r="C735" s="21"/>
      <c r="D735" s="21"/>
      <c r="E735" s="7" t="str">
        <f>IF(Plantilla_SCAN_EQ3_COUNT_2[[#This Row],[ID MATERIAL]]="","",VLOOKUP(Plantilla_SCAN_EQ3_COUNT_2[[#This Row],[ID MATERIAL]],INVENTARIO!$A:$D,2,FALSE))</f>
        <v/>
      </c>
      <c r="F735" s="7" t="str">
        <f>IF(Plantilla_SCAN_EQ3_COUNT_2[[#This Row],[ID MATERIAL]]="","",IF(Plantilla_SCAN_EQ3_COUNT_2[[#This Row],[No. Empaques]]="",1,Plantilla_SCAN_EQ3_COUNT_2[[#This Row],[No. Empaques]]*1))</f>
        <v/>
      </c>
      <c r="G735" s="7" t="str">
        <f>IF(Plantilla_SCAN_EQ3_COUNT_2[[#This Row],[ID MATERIAL]]="","","PZ")</f>
        <v/>
      </c>
      <c r="H735" s="7" t="str">
        <f>IF(Plantilla_SCAN_EQ3_COUNT_2[[#This Row],[ID MATERIAL]]="","",$B$13)</f>
        <v/>
      </c>
      <c r="I735" s="7" t="str">
        <f>IF(Plantilla_SCAN_EQ3_COUNT_2[[#This Row],[ID MATERIAL]]="","","Segundo Conteo")</f>
        <v/>
      </c>
    </row>
    <row r="736" spans="1:9" s="7" customFormat="1" ht="15" x14ac:dyDescent="0.2">
      <c r="A736" s="7" t="str">
        <f>IF(Plantilla_SCAN_EQ3_COUNT_2[[#This Row],[ID MATERIAL]]="","",SIGN(Plantilla_SCAN_EQ3_COUNT_2[[#This Row],[Cantidad]])+A735)</f>
        <v/>
      </c>
      <c r="B736" s="21" t="str">
        <f>IF(Plantilla_SCAN_EQ3_COUNT_2[[#This Row],[ID MATERIAL]]="","",B735)</f>
        <v/>
      </c>
      <c r="C736" s="21"/>
      <c r="D736" s="21"/>
      <c r="E736" s="7" t="str">
        <f>IF(Plantilla_SCAN_EQ3_COUNT_2[[#This Row],[ID MATERIAL]]="","",VLOOKUP(Plantilla_SCAN_EQ3_COUNT_2[[#This Row],[ID MATERIAL]],INVENTARIO!$A:$D,2,FALSE))</f>
        <v/>
      </c>
      <c r="F736" s="7" t="str">
        <f>IF(Plantilla_SCAN_EQ3_COUNT_2[[#This Row],[ID MATERIAL]]="","",IF(Plantilla_SCAN_EQ3_COUNT_2[[#This Row],[No. Empaques]]="",1,Plantilla_SCAN_EQ3_COUNT_2[[#This Row],[No. Empaques]]*1))</f>
        <v/>
      </c>
      <c r="G736" s="7" t="str">
        <f>IF(Plantilla_SCAN_EQ3_COUNT_2[[#This Row],[ID MATERIAL]]="","","PZ")</f>
        <v/>
      </c>
      <c r="H736" s="7" t="str">
        <f>IF(Plantilla_SCAN_EQ3_COUNT_2[[#This Row],[ID MATERIAL]]="","",$B$13)</f>
        <v/>
      </c>
      <c r="I736" s="7" t="str">
        <f>IF(Plantilla_SCAN_EQ3_COUNT_2[[#This Row],[ID MATERIAL]]="","","Segundo Conteo")</f>
        <v/>
      </c>
    </row>
    <row r="737" spans="1:9" s="7" customFormat="1" ht="15" x14ac:dyDescent="0.2">
      <c r="A737" s="7" t="str">
        <f>IF(Plantilla_SCAN_EQ3_COUNT_2[[#This Row],[ID MATERIAL]]="","",SIGN(Plantilla_SCAN_EQ3_COUNT_2[[#This Row],[Cantidad]])+A736)</f>
        <v/>
      </c>
      <c r="B737" s="21" t="str">
        <f>IF(Plantilla_SCAN_EQ3_COUNT_2[[#This Row],[ID MATERIAL]]="","",B736)</f>
        <v/>
      </c>
      <c r="C737" s="21"/>
      <c r="D737" s="21"/>
      <c r="E737" s="7" t="str">
        <f>IF(Plantilla_SCAN_EQ3_COUNT_2[[#This Row],[ID MATERIAL]]="","",VLOOKUP(Plantilla_SCAN_EQ3_COUNT_2[[#This Row],[ID MATERIAL]],INVENTARIO!$A:$D,2,FALSE))</f>
        <v/>
      </c>
      <c r="F737" s="7" t="str">
        <f>IF(Plantilla_SCAN_EQ3_COUNT_2[[#This Row],[ID MATERIAL]]="","",IF(Plantilla_SCAN_EQ3_COUNT_2[[#This Row],[No. Empaques]]="",1,Plantilla_SCAN_EQ3_COUNT_2[[#This Row],[No. Empaques]]*1))</f>
        <v/>
      </c>
      <c r="G737" s="7" t="str">
        <f>IF(Plantilla_SCAN_EQ3_COUNT_2[[#This Row],[ID MATERIAL]]="","","PZ")</f>
        <v/>
      </c>
      <c r="H737" s="7" t="str">
        <f>IF(Plantilla_SCAN_EQ3_COUNT_2[[#This Row],[ID MATERIAL]]="","",$B$13)</f>
        <v/>
      </c>
      <c r="I737" s="7" t="str">
        <f>IF(Plantilla_SCAN_EQ3_COUNT_2[[#This Row],[ID MATERIAL]]="","","Segundo Conteo")</f>
        <v/>
      </c>
    </row>
    <row r="738" spans="1:9" s="7" customFormat="1" ht="15" x14ac:dyDescent="0.2">
      <c r="A738" s="7" t="str">
        <f>IF(Plantilla_SCAN_EQ3_COUNT_2[[#This Row],[ID MATERIAL]]="","",SIGN(Plantilla_SCAN_EQ3_COUNT_2[[#This Row],[Cantidad]])+A737)</f>
        <v/>
      </c>
      <c r="B738" s="21" t="str">
        <f>IF(Plantilla_SCAN_EQ3_COUNT_2[[#This Row],[ID MATERIAL]]="","",B737)</f>
        <v/>
      </c>
      <c r="C738" s="21"/>
      <c r="D738" s="21"/>
      <c r="E738" s="7" t="str">
        <f>IF(Plantilla_SCAN_EQ3_COUNT_2[[#This Row],[ID MATERIAL]]="","",VLOOKUP(Plantilla_SCAN_EQ3_COUNT_2[[#This Row],[ID MATERIAL]],INVENTARIO!$A:$D,2,FALSE))</f>
        <v/>
      </c>
      <c r="F738" s="7" t="str">
        <f>IF(Plantilla_SCAN_EQ3_COUNT_2[[#This Row],[ID MATERIAL]]="","",IF(Plantilla_SCAN_EQ3_COUNT_2[[#This Row],[No. Empaques]]="",1,Plantilla_SCAN_EQ3_COUNT_2[[#This Row],[No. Empaques]]*1))</f>
        <v/>
      </c>
      <c r="G738" s="7" t="str">
        <f>IF(Plantilla_SCAN_EQ3_COUNT_2[[#This Row],[ID MATERIAL]]="","","PZ")</f>
        <v/>
      </c>
      <c r="H738" s="7" t="str">
        <f>IF(Plantilla_SCAN_EQ3_COUNT_2[[#This Row],[ID MATERIAL]]="","",$B$13)</f>
        <v/>
      </c>
      <c r="I738" s="7" t="str">
        <f>IF(Plantilla_SCAN_EQ3_COUNT_2[[#This Row],[ID MATERIAL]]="","","Segundo Conteo")</f>
        <v/>
      </c>
    </row>
    <row r="739" spans="1:9" s="7" customFormat="1" ht="15" x14ac:dyDescent="0.2">
      <c r="A739" s="7" t="str">
        <f>IF(Plantilla_SCAN_EQ3_COUNT_2[[#This Row],[ID MATERIAL]]="","",SIGN(Plantilla_SCAN_EQ3_COUNT_2[[#This Row],[Cantidad]])+A738)</f>
        <v/>
      </c>
      <c r="B739" s="21" t="str">
        <f>IF(Plantilla_SCAN_EQ3_COUNT_2[[#This Row],[ID MATERIAL]]="","",B738)</f>
        <v/>
      </c>
      <c r="C739" s="21"/>
      <c r="D739" s="21"/>
      <c r="E739" s="7" t="str">
        <f>IF(Plantilla_SCAN_EQ3_COUNT_2[[#This Row],[ID MATERIAL]]="","",VLOOKUP(Plantilla_SCAN_EQ3_COUNT_2[[#This Row],[ID MATERIAL]],INVENTARIO!$A:$D,2,FALSE))</f>
        <v/>
      </c>
      <c r="F739" s="7" t="str">
        <f>IF(Plantilla_SCAN_EQ3_COUNT_2[[#This Row],[ID MATERIAL]]="","",IF(Plantilla_SCAN_EQ3_COUNT_2[[#This Row],[No. Empaques]]="",1,Plantilla_SCAN_EQ3_COUNT_2[[#This Row],[No. Empaques]]*1))</f>
        <v/>
      </c>
      <c r="G739" s="7" t="str">
        <f>IF(Plantilla_SCAN_EQ3_COUNT_2[[#This Row],[ID MATERIAL]]="","","PZ")</f>
        <v/>
      </c>
      <c r="H739" s="7" t="str">
        <f>IF(Plantilla_SCAN_EQ3_COUNT_2[[#This Row],[ID MATERIAL]]="","",$B$13)</f>
        <v/>
      </c>
      <c r="I739" s="7" t="str">
        <f>IF(Plantilla_SCAN_EQ3_COUNT_2[[#This Row],[ID MATERIAL]]="","","Segundo Conteo")</f>
        <v/>
      </c>
    </row>
    <row r="740" spans="1:9" s="7" customFormat="1" ht="15" x14ac:dyDescent="0.2">
      <c r="A740" s="7" t="str">
        <f>IF(Plantilla_SCAN_EQ3_COUNT_2[[#This Row],[ID MATERIAL]]="","",SIGN(Plantilla_SCAN_EQ3_COUNT_2[[#This Row],[Cantidad]])+A739)</f>
        <v/>
      </c>
      <c r="B740" s="21" t="str">
        <f>IF(Plantilla_SCAN_EQ3_COUNT_2[[#This Row],[ID MATERIAL]]="","",B739)</f>
        <v/>
      </c>
      <c r="C740" s="21"/>
      <c r="D740" s="21"/>
      <c r="E740" s="7" t="str">
        <f>IF(Plantilla_SCAN_EQ3_COUNT_2[[#This Row],[ID MATERIAL]]="","",VLOOKUP(Plantilla_SCAN_EQ3_COUNT_2[[#This Row],[ID MATERIAL]],INVENTARIO!$A:$D,2,FALSE))</f>
        <v/>
      </c>
      <c r="F740" s="7" t="str">
        <f>IF(Plantilla_SCAN_EQ3_COUNT_2[[#This Row],[ID MATERIAL]]="","",IF(Plantilla_SCAN_EQ3_COUNT_2[[#This Row],[No. Empaques]]="",1,Plantilla_SCAN_EQ3_COUNT_2[[#This Row],[No. Empaques]]*1))</f>
        <v/>
      </c>
      <c r="G740" s="7" t="str">
        <f>IF(Plantilla_SCAN_EQ3_COUNT_2[[#This Row],[ID MATERIAL]]="","","PZ")</f>
        <v/>
      </c>
      <c r="H740" s="7" t="str">
        <f>IF(Plantilla_SCAN_EQ3_COUNT_2[[#This Row],[ID MATERIAL]]="","",$B$13)</f>
        <v/>
      </c>
      <c r="I740" s="7" t="str">
        <f>IF(Plantilla_SCAN_EQ3_COUNT_2[[#This Row],[ID MATERIAL]]="","","Segundo Conteo")</f>
        <v/>
      </c>
    </row>
    <row r="741" spans="1:9" s="7" customFormat="1" ht="15" x14ac:dyDescent="0.2">
      <c r="A741" s="7" t="str">
        <f>IF(Plantilla_SCAN_EQ3_COUNT_2[[#This Row],[ID MATERIAL]]="","",SIGN(Plantilla_SCAN_EQ3_COUNT_2[[#This Row],[Cantidad]])+A740)</f>
        <v/>
      </c>
      <c r="B741" s="21" t="str">
        <f>IF(Plantilla_SCAN_EQ3_COUNT_2[[#This Row],[ID MATERIAL]]="","",B740)</f>
        <v/>
      </c>
      <c r="C741" s="21"/>
      <c r="D741" s="21"/>
      <c r="E741" s="7" t="str">
        <f>IF(Plantilla_SCAN_EQ3_COUNT_2[[#This Row],[ID MATERIAL]]="","",VLOOKUP(Plantilla_SCAN_EQ3_COUNT_2[[#This Row],[ID MATERIAL]],INVENTARIO!$A:$D,2,FALSE))</f>
        <v/>
      </c>
      <c r="F741" s="7" t="str">
        <f>IF(Plantilla_SCAN_EQ3_COUNT_2[[#This Row],[ID MATERIAL]]="","",IF(Plantilla_SCAN_EQ3_COUNT_2[[#This Row],[No. Empaques]]="",1,Plantilla_SCAN_EQ3_COUNT_2[[#This Row],[No. Empaques]]*1))</f>
        <v/>
      </c>
      <c r="G741" s="7" t="str">
        <f>IF(Plantilla_SCAN_EQ3_COUNT_2[[#This Row],[ID MATERIAL]]="","","PZ")</f>
        <v/>
      </c>
      <c r="H741" s="7" t="str">
        <f>IF(Plantilla_SCAN_EQ3_COUNT_2[[#This Row],[ID MATERIAL]]="","",$B$13)</f>
        <v/>
      </c>
      <c r="I741" s="7" t="str">
        <f>IF(Plantilla_SCAN_EQ3_COUNT_2[[#This Row],[ID MATERIAL]]="","","Segundo Conteo")</f>
        <v/>
      </c>
    </row>
    <row r="742" spans="1:9" s="7" customFormat="1" ht="15" x14ac:dyDescent="0.2">
      <c r="A742" s="7" t="str">
        <f>IF(Plantilla_SCAN_EQ3_COUNT_2[[#This Row],[ID MATERIAL]]="","",SIGN(Plantilla_SCAN_EQ3_COUNT_2[[#This Row],[Cantidad]])+A741)</f>
        <v/>
      </c>
      <c r="B742" s="21" t="str">
        <f>IF(Plantilla_SCAN_EQ3_COUNT_2[[#This Row],[ID MATERIAL]]="","",B741)</f>
        <v/>
      </c>
      <c r="C742" s="21"/>
      <c r="D742" s="21"/>
      <c r="E742" s="7" t="str">
        <f>IF(Plantilla_SCAN_EQ3_COUNT_2[[#This Row],[ID MATERIAL]]="","",VLOOKUP(Plantilla_SCAN_EQ3_COUNT_2[[#This Row],[ID MATERIAL]],INVENTARIO!$A:$D,2,FALSE))</f>
        <v/>
      </c>
      <c r="F742" s="7" t="str">
        <f>IF(Plantilla_SCAN_EQ3_COUNT_2[[#This Row],[ID MATERIAL]]="","",IF(Plantilla_SCAN_EQ3_COUNT_2[[#This Row],[No. Empaques]]="",1,Plantilla_SCAN_EQ3_COUNT_2[[#This Row],[No. Empaques]]*1))</f>
        <v/>
      </c>
      <c r="G742" s="7" t="str">
        <f>IF(Plantilla_SCAN_EQ3_COUNT_2[[#This Row],[ID MATERIAL]]="","","PZ")</f>
        <v/>
      </c>
      <c r="H742" s="7" t="str">
        <f>IF(Plantilla_SCAN_EQ3_COUNT_2[[#This Row],[ID MATERIAL]]="","",$B$13)</f>
        <v/>
      </c>
      <c r="I742" s="7" t="str">
        <f>IF(Plantilla_SCAN_EQ3_COUNT_2[[#This Row],[ID MATERIAL]]="","","Segundo Conteo")</f>
        <v/>
      </c>
    </row>
    <row r="743" spans="1:9" s="7" customFormat="1" ht="15" x14ac:dyDescent="0.2">
      <c r="A743" s="7" t="str">
        <f>IF(Plantilla_SCAN_EQ3_COUNT_2[[#This Row],[ID MATERIAL]]="","",SIGN(Plantilla_SCAN_EQ3_COUNT_2[[#This Row],[Cantidad]])+A742)</f>
        <v/>
      </c>
      <c r="B743" s="21" t="str">
        <f>IF(Plantilla_SCAN_EQ3_COUNT_2[[#This Row],[ID MATERIAL]]="","",B742)</f>
        <v/>
      </c>
      <c r="C743" s="21"/>
      <c r="D743" s="21"/>
      <c r="E743" s="7" t="str">
        <f>IF(Plantilla_SCAN_EQ3_COUNT_2[[#This Row],[ID MATERIAL]]="","",VLOOKUP(Plantilla_SCAN_EQ3_COUNT_2[[#This Row],[ID MATERIAL]],INVENTARIO!$A:$D,2,FALSE))</f>
        <v/>
      </c>
      <c r="F743" s="7" t="str">
        <f>IF(Plantilla_SCAN_EQ3_COUNT_2[[#This Row],[ID MATERIAL]]="","",IF(Plantilla_SCAN_EQ3_COUNT_2[[#This Row],[No. Empaques]]="",1,Plantilla_SCAN_EQ3_COUNT_2[[#This Row],[No. Empaques]]*1))</f>
        <v/>
      </c>
      <c r="G743" s="7" t="str">
        <f>IF(Plantilla_SCAN_EQ3_COUNT_2[[#This Row],[ID MATERIAL]]="","","PZ")</f>
        <v/>
      </c>
      <c r="H743" s="7" t="str">
        <f>IF(Plantilla_SCAN_EQ3_COUNT_2[[#This Row],[ID MATERIAL]]="","",$B$13)</f>
        <v/>
      </c>
      <c r="I743" s="7" t="str">
        <f>IF(Plantilla_SCAN_EQ3_COUNT_2[[#This Row],[ID MATERIAL]]="","","Segundo Conteo")</f>
        <v/>
      </c>
    </row>
    <row r="744" spans="1:9" s="7" customFormat="1" ht="15" x14ac:dyDescent="0.2">
      <c r="A744" s="7" t="str">
        <f>IF(Plantilla_SCAN_EQ3_COUNT_2[[#This Row],[ID MATERIAL]]="","",SIGN(Plantilla_SCAN_EQ3_COUNT_2[[#This Row],[Cantidad]])+A743)</f>
        <v/>
      </c>
      <c r="B744" s="21" t="str">
        <f>IF(Plantilla_SCAN_EQ3_COUNT_2[[#This Row],[ID MATERIAL]]="","",B743)</f>
        <v/>
      </c>
      <c r="C744" s="21"/>
      <c r="D744" s="21"/>
      <c r="E744" s="7" t="str">
        <f>IF(Plantilla_SCAN_EQ3_COUNT_2[[#This Row],[ID MATERIAL]]="","",VLOOKUP(Plantilla_SCAN_EQ3_COUNT_2[[#This Row],[ID MATERIAL]],INVENTARIO!$A:$D,2,FALSE))</f>
        <v/>
      </c>
      <c r="F744" s="7" t="str">
        <f>IF(Plantilla_SCAN_EQ3_COUNT_2[[#This Row],[ID MATERIAL]]="","",IF(Plantilla_SCAN_EQ3_COUNT_2[[#This Row],[No. Empaques]]="",1,Plantilla_SCAN_EQ3_COUNT_2[[#This Row],[No. Empaques]]*1))</f>
        <v/>
      </c>
      <c r="G744" s="7" t="str">
        <f>IF(Plantilla_SCAN_EQ3_COUNT_2[[#This Row],[ID MATERIAL]]="","","PZ")</f>
        <v/>
      </c>
      <c r="H744" s="7" t="str">
        <f>IF(Plantilla_SCAN_EQ3_COUNT_2[[#This Row],[ID MATERIAL]]="","",$B$13)</f>
        <v/>
      </c>
      <c r="I744" s="7" t="str">
        <f>IF(Plantilla_SCAN_EQ3_COUNT_2[[#This Row],[ID MATERIAL]]="","","Segundo Conteo")</f>
        <v/>
      </c>
    </row>
    <row r="745" spans="1:9" s="7" customFormat="1" ht="15" x14ac:dyDescent="0.2">
      <c r="A745" s="7" t="str">
        <f>IF(Plantilla_SCAN_EQ3_COUNT_2[[#This Row],[ID MATERIAL]]="","",SIGN(Plantilla_SCAN_EQ3_COUNT_2[[#This Row],[Cantidad]])+A744)</f>
        <v/>
      </c>
      <c r="B745" s="21" t="str">
        <f>IF(Plantilla_SCAN_EQ3_COUNT_2[[#This Row],[ID MATERIAL]]="","",B744)</f>
        <v/>
      </c>
      <c r="C745" s="21"/>
      <c r="D745" s="21"/>
      <c r="E745" s="7" t="str">
        <f>IF(Plantilla_SCAN_EQ3_COUNT_2[[#This Row],[ID MATERIAL]]="","",VLOOKUP(Plantilla_SCAN_EQ3_COUNT_2[[#This Row],[ID MATERIAL]],INVENTARIO!$A:$D,2,FALSE))</f>
        <v/>
      </c>
      <c r="F745" s="7" t="str">
        <f>IF(Plantilla_SCAN_EQ3_COUNT_2[[#This Row],[ID MATERIAL]]="","",IF(Plantilla_SCAN_EQ3_COUNT_2[[#This Row],[No. Empaques]]="",1,Plantilla_SCAN_EQ3_COUNT_2[[#This Row],[No. Empaques]]*1))</f>
        <v/>
      </c>
      <c r="G745" s="7" t="str">
        <f>IF(Plantilla_SCAN_EQ3_COUNT_2[[#This Row],[ID MATERIAL]]="","","PZ")</f>
        <v/>
      </c>
      <c r="H745" s="7" t="str">
        <f>IF(Plantilla_SCAN_EQ3_COUNT_2[[#This Row],[ID MATERIAL]]="","",$B$13)</f>
        <v/>
      </c>
      <c r="I745" s="7" t="str">
        <f>IF(Plantilla_SCAN_EQ3_COUNT_2[[#This Row],[ID MATERIAL]]="","","Segundo Conteo")</f>
        <v/>
      </c>
    </row>
    <row r="746" spans="1:9" s="7" customFormat="1" ht="15" x14ac:dyDescent="0.2">
      <c r="A746" s="7" t="str">
        <f>IF(Plantilla_SCAN_EQ3_COUNT_2[[#This Row],[ID MATERIAL]]="","",SIGN(Plantilla_SCAN_EQ3_COUNT_2[[#This Row],[Cantidad]])+A745)</f>
        <v/>
      </c>
      <c r="B746" s="21" t="str">
        <f>IF(Plantilla_SCAN_EQ3_COUNT_2[[#This Row],[ID MATERIAL]]="","",B745)</f>
        <v/>
      </c>
      <c r="C746" s="21"/>
      <c r="D746" s="21"/>
      <c r="E746" s="7" t="str">
        <f>IF(Plantilla_SCAN_EQ3_COUNT_2[[#This Row],[ID MATERIAL]]="","",VLOOKUP(Plantilla_SCAN_EQ3_COUNT_2[[#This Row],[ID MATERIAL]],INVENTARIO!$A:$D,2,FALSE))</f>
        <v/>
      </c>
      <c r="F746" s="7" t="str">
        <f>IF(Plantilla_SCAN_EQ3_COUNT_2[[#This Row],[ID MATERIAL]]="","",IF(Plantilla_SCAN_EQ3_COUNT_2[[#This Row],[No. Empaques]]="",1,Plantilla_SCAN_EQ3_COUNT_2[[#This Row],[No. Empaques]]*1))</f>
        <v/>
      </c>
      <c r="G746" s="7" t="str">
        <f>IF(Plantilla_SCAN_EQ3_COUNT_2[[#This Row],[ID MATERIAL]]="","","PZ")</f>
        <v/>
      </c>
      <c r="H746" s="7" t="str">
        <f>IF(Plantilla_SCAN_EQ3_COUNT_2[[#This Row],[ID MATERIAL]]="","",$B$13)</f>
        <v/>
      </c>
      <c r="I746" s="7" t="str">
        <f>IF(Plantilla_SCAN_EQ3_COUNT_2[[#This Row],[ID MATERIAL]]="","","Segundo Conteo")</f>
        <v/>
      </c>
    </row>
    <row r="747" spans="1:9" s="7" customFormat="1" ht="15" x14ac:dyDescent="0.2">
      <c r="A747" s="7" t="str">
        <f>IF(Plantilla_SCAN_EQ3_COUNT_2[[#This Row],[ID MATERIAL]]="","",SIGN(Plantilla_SCAN_EQ3_COUNT_2[[#This Row],[Cantidad]])+A746)</f>
        <v/>
      </c>
      <c r="B747" s="21" t="str">
        <f>IF(Plantilla_SCAN_EQ3_COUNT_2[[#This Row],[ID MATERIAL]]="","",B746)</f>
        <v/>
      </c>
      <c r="C747" s="21"/>
      <c r="D747" s="21"/>
      <c r="E747" s="7" t="str">
        <f>IF(Plantilla_SCAN_EQ3_COUNT_2[[#This Row],[ID MATERIAL]]="","",VLOOKUP(Plantilla_SCAN_EQ3_COUNT_2[[#This Row],[ID MATERIAL]],INVENTARIO!$A:$D,2,FALSE))</f>
        <v/>
      </c>
      <c r="F747" s="7" t="str">
        <f>IF(Plantilla_SCAN_EQ3_COUNT_2[[#This Row],[ID MATERIAL]]="","",IF(Plantilla_SCAN_EQ3_COUNT_2[[#This Row],[No. Empaques]]="",1,Plantilla_SCAN_EQ3_COUNT_2[[#This Row],[No. Empaques]]*1))</f>
        <v/>
      </c>
      <c r="G747" s="7" t="str">
        <f>IF(Plantilla_SCAN_EQ3_COUNT_2[[#This Row],[ID MATERIAL]]="","","PZ")</f>
        <v/>
      </c>
      <c r="H747" s="7" t="str">
        <f>IF(Plantilla_SCAN_EQ3_COUNT_2[[#This Row],[ID MATERIAL]]="","",$B$13)</f>
        <v/>
      </c>
      <c r="I747" s="7" t="str">
        <f>IF(Plantilla_SCAN_EQ3_COUNT_2[[#This Row],[ID MATERIAL]]="","","Segundo Conteo")</f>
        <v/>
      </c>
    </row>
    <row r="748" spans="1:9" s="7" customFormat="1" ht="15" x14ac:dyDescent="0.2">
      <c r="A748" s="7" t="str">
        <f>IF(Plantilla_SCAN_EQ3_COUNT_2[[#This Row],[ID MATERIAL]]="","",SIGN(Plantilla_SCAN_EQ3_COUNT_2[[#This Row],[Cantidad]])+A747)</f>
        <v/>
      </c>
      <c r="B748" s="21" t="str">
        <f>IF(Plantilla_SCAN_EQ3_COUNT_2[[#This Row],[ID MATERIAL]]="","",B747)</f>
        <v/>
      </c>
      <c r="C748" s="21"/>
      <c r="D748" s="21"/>
      <c r="E748" s="7" t="str">
        <f>IF(Plantilla_SCAN_EQ3_COUNT_2[[#This Row],[ID MATERIAL]]="","",VLOOKUP(Plantilla_SCAN_EQ3_COUNT_2[[#This Row],[ID MATERIAL]],INVENTARIO!$A:$D,2,FALSE))</f>
        <v/>
      </c>
      <c r="F748" s="7" t="str">
        <f>IF(Plantilla_SCAN_EQ3_COUNT_2[[#This Row],[ID MATERIAL]]="","",IF(Plantilla_SCAN_EQ3_COUNT_2[[#This Row],[No. Empaques]]="",1,Plantilla_SCAN_EQ3_COUNT_2[[#This Row],[No. Empaques]]*1))</f>
        <v/>
      </c>
      <c r="G748" s="7" t="str">
        <f>IF(Plantilla_SCAN_EQ3_COUNT_2[[#This Row],[ID MATERIAL]]="","","PZ")</f>
        <v/>
      </c>
      <c r="H748" s="7" t="str">
        <f>IF(Plantilla_SCAN_EQ3_COUNT_2[[#This Row],[ID MATERIAL]]="","",$B$13)</f>
        <v/>
      </c>
      <c r="I748" s="7" t="str">
        <f>IF(Plantilla_SCAN_EQ3_COUNT_2[[#This Row],[ID MATERIAL]]="","","Segundo Conteo")</f>
        <v/>
      </c>
    </row>
    <row r="749" spans="1:9" s="7" customFormat="1" ht="15" x14ac:dyDescent="0.2">
      <c r="A749" s="7" t="str">
        <f>IF(Plantilla_SCAN_EQ3_COUNT_2[[#This Row],[ID MATERIAL]]="","",SIGN(Plantilla_SCAN_EQ3_COUNT_2[[#This Row],[Cantidad]])+A748)</f>
        <v/>
      </c>
      <c r="B749" s="21" t="str">
        <f>IF(Plantilla_SCAN_EQ3_COUNT_2[[#This Row],[ID MATERIAL]]="","",B748)</f>
        <v/>
      </c>
      <c r="C749" s="21"/>
      <c r="D749" s="21"/>
      <c r="E749" s="7" t="str">
        <f>IF(Plantilla_SCAN_EQ3_COUNT_2[[#This Row],[ID MATERIAL]]="","",VLOOKUP(Plantilla_SCAN_EQ3_COUNT_2[[#This Row],[ID MATERIAL]],INVENTARIO!$A:$D,2,FALSE))</f>
        <v/>
      </c>
      <c r="F749" s="7" t="str">
        <f>IF(Plantilla_SCAN_EQ3_COUNT_2[[#This Row],[ID MATERIAL]]="","",IF(Plantilla_SCAN_EQ3_COUNT_2[[#This Row],[No. Empaques]]="",1,Plantilla_SCAN_EQ3_COUNT_2[[#This Row],[No. Empaques]]*1))</f>
        <v/>
      </c>
      <c r="G749" s="7" t="str">
        <f>IF(Plantilla_SCAN_EQ3_COUNT_2[[#This Row],[ID MATERIAL]]="","","PZ")</f>
        <v/>
      </c>
      <c r="H749" s="7" t="str">
        <f>IF(Plantilla_SCAN_EQ3_COUNT_2[[#This Row],[ID MATERIAL]]="","",$B$13)</f>
        <v/>
      </c>
      <c r="I749" s="7" t="str">
        <f>IF(Plantilla_SCAN_EQ3_COUNT_2[[#This Row],[ID MATERIAL]]="","","Segundo Conteo")</f>
        <v/>
      </c>
    </row>
    <row r="750" spans="1:9" s="7" customFormat="1" ht="15" x14ac:dyDescent="0.2">
      <c r="A750" s="7" t="str">
        <f>IF(Plantilla_SCAN_EQ3_COUNT_2[[#This Row],[ID MATERIAL]]="","",SIGN(Plantilla_SCAN_EQ3_COUNT_2[[#This Row],[Cantidad]])+A749)</f>
        <v/>
      </c>
      <c r="B750" s="21" t="str">
        <f>IF(Plantilla_SCAN_EQ3_COUNT_2[[#This Row],[ID MATERIAL]]="","",B749)</f>
        <v/>
      </c>
      <c r="C750" s="21"/>
      <c r="D750" s="21"/>
      <c r="E750" s="7" t="str">
        <f>IF(Plantilla_SCAN_EQ3_COUNT_2[[#This Row],[ID MATERIAL]]="","",VLOOKUP(Plantilla_SCAN_EQ3_COUNT_2[[#This Row],[ID MATERIAL]],INVENTARIO!$A:$D,2,FALSE))</f>
        <v/>
      </c>
      <c r="F750" s="7" t="str">
        <f>IF(Plantilla_SCAN_EQ3_COUNT_2[[#This Row],[ID MATERIAL]]="","",IF(Plantilla_SCAN_EQ3_COUNT_2[[#This Row],[No. Empaques]]="",1,Plantilla_SCAN_EQ3_COUNT_2[[#This Row],[No. Empaques]]*1))</f>
        <v/>
      </c>
      <c r="G750" s="7" t="str">
        <f>IF(Plantilla_SCAN_EQ3_COUNT_2[[#This Row],[ID MATERIAL]]="","","PZ")</f>
        <v/>
      </c>
      <c r="H750" s="7" t="str">
        <f>IF(Plantilla_SCAN_EQ3_COUNT_2[[#This Row],[ID MATERIAL]]="","",$B$13)</f>
        <v/>
      </c>
      <c r="I750" s="7" t="str">
        <f>IF(Plantilla_SCAN_EQ3_COUNT_2[[#This Row],[ID MATERIAL]]="","","Segundo Conteo")</f>
        <v/>
      </c>
    </row>
    <row r="751" spans="1:9" s="7" customFormat="1" ht="15" x14ac:dyDescent="0.2">
      <c r="A751" s="7" t="str">
        <f>IF(Plantilla_SCAN_EQ3_COUNT_2[[#This Row],[ID MATERIAL]]="","",SIGN(Plantilla_SCAN_EQ3_COUNT_2[[#This Row],[Cantidad]])+A750)</f>
        <v/>
      </c>
      <c r="B751" s="21" t="str">
        <f>IF(Plantilla_SCAN_EQ3_COUNT_2[[#This Row],[ID MATERIAL]]="","",B750)</f>
        <v/>
      </c>
      <c r="C751" s="21"/>
      <c r="D751" s="21"/>
      <c r="E751" s="7" t="str">
        <f>IF(Plantilla_SCAN_EQ3_COUNT_2[[#This Row],[ID MATERIAL]]="","",VLOOKUP(Plantilla_SCAN_EQ3_COUNT_2[[#This Row],[ID MATERIAL]],INVENTARIO!$A:$D,2,FALSE))</f>
        <v/>
      </c>
      <c r="F751" s="7" t="str">
        <f>IF(Plantilla_SCAN_EQ3_COUNT_2[[#This Row],[ID MATERIAL]]="","",IF(Plantilla_SCAN_EQ3_COUNT_2[[#This Row],[No. Empaques]]="",1,Plantilla_SCAN_EQ3_COUNT_2[[#This Row],[No. Empaques]]*1))</f>
        <v/>
      </c>
      <c r="G751" s="7" t="str">
        <f>IF(Plantilla_SCAN_EQ3_COUNT_2[[#This Row],[ID MATERIAL]]="","","PZ")</f>
        <v/>
      </c>
      <c r="H751" s="7" t="str">
        <f>IF(Plantilla_SCAN_EQ3_COUNT_2[[#This Row],[ID MATERIAL]]="","",$B$13)</f>
        <v/>
      </c>
      <c r="I751" s="7" t="str">
        <f>IF(Plantilla_SCAN_EQ3_COUNT_2[[#This Row],[ID MATERIAL]]="","","Segundo Conteo")</f>
        <v/>
      </c>
    </row>
    <row r="752" spans="1:9" s="7" customFormat="1" ht="15" x14ac:dyDescent="0.2">
      <c r="A752" s="7" t="str">
        <f>IF(Plantilla_SCAN_EQ3_COUNT_2[[#This Row],[ID MATERIAL]]="","",SIGN(Plantilla_SCAN_EQ3_COUNT_2[[#This Row],[Cantidad]])+A751)</f>
        <v/>
      </c>
      <c r="B752" s="21" t="str">
        <f>IF(Plantilla_SCAN_EQ3_COUNT_2[[#This Row],[ID MATERIAL]]="","",B751)</f>
        <v/>
      </c>
      <c r="C752" s="21"/>
      <c r="D752" s="21"/>
      <c r="E752" s="7" t="str">
        <f>IF(Plantilla_SCAN_EQ3_COUNT_2[[#This Row],[ID MATERIAL]]="","",VLOOKUP(Plantilla_SCAN_EQ3_COUNT_2[[#This Row],[ID MATERIAL]],INVENTARIO!$A:$D,2,FALSE))</f>
        <v/>
      </c>
      <c r="F752" s="7" t="str">
        <f>IF(Plantilla_SCAN_EQ3_COUNT_2[[#This Row],[ID MATERIAL]]="","",IF(Plantilla_SCAN_EQ3_COUNT_2[[#This Row],[No. Empaques]]="",1,Plantilla_SCAN_EQ3_COUNT_2[[#This Row],[No. Empaques]]*1))</f>
        <v/>
      </c>
      <c r="G752" s="7" t="str">
        <f>IF(Plantilla_SCAN_EQ3_COUNT_2[[#This Row],[ID MATERIAL]]="","","PZ")</f>
        <v/>
      </c>
      <c r="H752" s="7" t="str">
        <f>IF(Plantilla_SCAN_EQ3_COUNT_2[[#This Row],[ID MATERIAL]]="","",$B$13)</f>
        <v/>
      </c>
      <c r="I752" s="7" t="str">
        <f>IF(Plantilla_SCAN_EQ3_COUNT_2[[#This Row],[ID MATERIAL]]="","","Segundo Conteo")</f>
        <v/>
      </c>
    </row>
    <row r="753" spans="1:9" s="7" customFormat="1" ht="15" x14ac:dyDescent="0.2">
      <c r="A753" s="7" t="str">
        <f>IF(Plantilla_SCAN_EQ3_COUNT_2[[#This Row],[ID MATERIAL]]="","",SIGN(Plantilla_SCAN_EQ3_COUNT_2[[#This Row],[Cantidad]])+A752)</f>
        <v/>
      </c>
      <c r="B753" s="21" t="str">
        <f>IF(Plantilla_SCAN_EQ3_COUNT_2[[#This Row],[ID MATERIAL]]="","",B752)</f>
        <v/>
      </c>
      <c r="C753" s="21"/>
      <c r="D753" s="21"/>
      <c r="E753" s="7" t="str">
        <f>IF(Plantilla_SCAN_EQ3_COUNT_2[[#This Row],[ID MATERIAL]]="","",VLOOKUP(Plantilla_SCAN_EQ3_COUNT_2[[#This Row],[ID MATERIAL]],INVENTARIO!$A:$D,2,FALSE))</f>
        <v/>
      </c>
      <c r="F753" s="7" t="str">
        <f>IF(Plantilla_SCAN_EQ3_COUNT_2[[#This Row],[ID MATERIAL]]="","",IF(Plantilla_SCAN_EQ3_COUNT_2[[#This Row],[No. Empaques]]="",1,Plantilla_SCAN_EQ3_COUNT_2[[#This Row],[No. Empaques]]*1))</f>
        <v/>
      </c>
      <c r="G753" s="7" t="str">
        <f>IF(Plantilla_SCAN_EQ3_COUNT_2[[#This Row],[ID MATERIAL]]="","","PZ")</f>
        <v/>
      </c>
      <c r="H753" s="7" t="str">
        <f>IF(Plantilla_SCAN_EQ3_COUNT_2[[#This Row],[ID MATERIAL]]="","",$B$13)</f>
        <v/>
      </c>
      <c r="I753" s="7" t="str">
        <f>IF(Plantilla_SCAN_EQ3_COUNT_2[[#This Row],[ID MATERIAL]]="","","Segundo Conteo")</f>
        <v/>
      </c>
    </row>
    <row r="754" spans="1:9" s="7" customFormat="1" ht="15" x14ac:dyDescent="0.2">
      <c r="A754" s="7" t="str">
        <f>IF(Plantilla_SCAN_EQ3_COUNT_2[[#This Row],[ID MATERIAL]]="","",SIGN(Plantilla_SCAN_EQ3_COUNT_2[[#This Row],[Cantidad]])+A753)</f>
        <v/>
      </c>
      <c r="B754" s="21" t="str">
        <f>IF(Plantilla_SCAN_EQ3_COUNT_2[[#This Row],[ID MATERIAL]]="","",B753)</f>
        <v/>
      </c>
      <c r="C754" s="21"/>
      <c r="D754" s="21"/>
      <c r="E754" s="7" t="str">
        <f>IF(Plantilla_SCAN_EQ3_COUNT_2[[#This Row],[ID MATERIAL]]="","",VLOOKUP(Plantilla_SCAN_EQ3_COUNT_2[[#This Row],[ID MATERIAL]],INVENTARIO!$A:$D,2,FALSE))</f>
        <v/>
      </c>
      <c r="F754" s="7" t="str">
        <f>IF(Plantilla_SCAN_EQ3_COUNT_2[[#This Row],[ID MATERIAL]]="","",IF(Plantilla_SCAN_EQ3_COUNT_2[[#This Row],[No. Empaques]]="",1,Plantilla_SCAN_EQ3_COUNT_2[[#This Row],[No. Empaques]]*1))</f>
        <v/>
      </c>
      <c r="G754" s="7" t="str">
        <f>IF(Plantilla_SCAN_EQ3_COUNT_2[[#This Row],[ID MATERIAL]]="","","PZ")</f>
        <v/>
      </c>
      <c r="H754" s="7" t="str">
        <f>IF(Plantilla_SCAN_EQ3_COUNT_2[[#This Row],[ID MATERIAL]]="","",$B$13)</f>
        <v/>
      </c>
      <c r="I754" s="7" t="str">
        <f>IF(Plantilla_SCAN_EQ3_COUNT_2[[#This Row],[ID MATERIAL]]="","","Segundo Conteo")</f>
        <v/>
      </c>
    </row>
    <row r="755" spans="1:9" s="7" customFormat="1" ht="15" x14ac:dyDescent="0.2">
      <c r="A755" s="7" t="str">
        <f>IF(Plantilla_SCAN_EQ3_COUNT_2[[#This Row],[ID MATERIAL]]="","",SIGN(Plantilla_SCAN_EQ3_COUNT_2[[#This Row],[Cantidad]])+A754)</f>
        <v/>
      </c>
      <c r="B755" s="21" t="str">
        <f>IF(Plantilla_SCAN_EQ3_COUNT_2[[#This Row],[ID MATERIAL]]="","",B754)</f>
        <v/>
      </c>
      <c r="C755" s="21"/>
      <c r="D755" s="21"/>
      <c r="E755" s="7" t="str">
        <f>IF(Plantilla_SCAN_EQ3_COUNT_2[[#This Row],[ID MATERIAL]]="","",VLOOKUP(Plantilla_SCAN_EQ3_COUNT_2[[#This Row],[ID MATERIAL]],INVENTARIO!$A:$D,2,FALSE))</f>
        <v/>
      </c>
      <c r="F755" s="7" t="str">
        <f>IF(Plantilla_SCAN_EQ3_COUNT_2[[#This Row],[ID MATERIAL]]="","",IF(Plantilla_SCAN_EQ3_COUNT_2[[#This Row],[No. Empaques]]="",1,Plantilla_SCAN_EQ3_COUNT_2[[#This Row],[No. Empaques]]*1))</f>
        <v/>
      </c>
      <c r="G755" s="7" t="str">
        <f>IF(Plantilla_SCAN_EQ3_COUNT_2[[#This Row],[ID MATERIAL]]="","","PZ")</f>
        <v/>
      </c>
      <c r="H755" s="7" t="str">
        <f>IF(Plantilla_SCAN_EQ3_COUNT_2[[#This Row],[ID MATERIAL]]="","",$B$13)</f>
        <v/>
      </c>
      <c r="I755" s="7" t="str">
        <f>IF(Plantilla_SCAN_EQ3_COUNT_2[[#This Row],[ID MATERIAL]]="","","Segundo Conteo")</f>
        <v/>
      </c>
    </row>
    <row r="756" spans="1:9" s="7" customFormat="1" ht="15" x14ac:dyDescent="0.2">
      <c r="A756" s="7" t="str">
        <f>IF(Plantilla_SCAN_EQ3_COUNT_2[[#This Row],[ID MATERIAL]]="","",SIGN(Plantilla_SCAN_EQ3_COUNT_2[[#This Row],[Cantidad]])+A755)</f>
        <v/>
      </c>
      <c r="B756" s="21" t="str">
        <f>IF(Plantilla_SCAN_EQ3_COUNT_2[[#This Row],[ID MATERIAL]]="","",B755)</f>
        <v/>
      </c>
      <c r="C756" s="21"/>
      <c r="D756" s="21"/>
      <c r="E756" s="7" t="str">
        <f>IF(Plantilla_SCAN_EQ3_COUNT_2[[#This Row],[ID MATERIAL]]="","",VLOOKUP(Plantilla_SCAN_EQ3_COUNT_2[[#This Row],[ID MATERIAL]],INVENTARIO!$A:$D,2,FALSE))</f>
        <v/>
      </c>
      <c r="F756" s="7" t="str">
        <f>IF(Plantilla_SCAN_EQ3_COUNT_2[[#This Row],[ID MATERIAL]]="","",IF(Plantilla_SCAN_EQ3_COUNT_2[[#This Row],[No. Empaques]]="",1,Plantilla_SCAN_EQ3_COUNT_2[[#This Row],[No. Empaques]]*1))</f>
        <v/>
      </c>
      <c r="G756" s="7" t="str">
        <f>IF(Plantilla_SCAN_EQ3_COUNT_2[[#This Row],[ID MATERIAL]]="","","PZ")</f>
        <v/>
      </c>
      <c r="H756" s="7" t="str">
        <f>IF(Plantilla_SCAN_EQ3_COUNT_2[[#This Row],[ID MATERIAL]]="","",$B$13)</f>
        <v/>
      </c>
      <c r="I756" s="7" t="str">
        <f>IF(Plantilla_SCAN_EQ3_COUNT_2[[#This Row],[ID MATERIAL]]="","","Segundo Conteo")</f>
        <v/>
      </c>
    </row>
    <row r="757" spans="1:9" s="7" customFormat="1" ht="15" x14ac:dyDescent="0.2">
      <c r="A757" s="7" t="str">
        <f>IF(Plantilla_SCAN_EQ3_COUNT_2[[#This Row],[ID MATERIAL]]="","",SIGN(Plantilla_SCAN_EQ3_COUNT_2[[#This Row],[Cantidad]])+A756)</f>
        <v/>
      </c>
      <c r="B757" s="21" t="str">
        <f>IF(Plantilla_SCAN_EQ3_COUNT_2[[#This Row],[ID MATERIAL]]="","",B756)</f>
        <v/>
      </c>
      <c r="C757" s="21"/>
      <c r="D757" s="21"/>
      <c r="E757" s="7" t="str">
        <f>IF(Plantilla_SCAN_EQ3_COUNT_2[[#This Row],[ID MATERIAL]]="","",VLOOKUP(Plantilla_SCAN_EQ3_COUNT_2[[#This Row],[ID MATERIAL]],INVENTARIO!$A:$D,2,FALSE))</f>
        <v/>
      </c>
      <c r="F757" s="7" t="str">
        <f>IF(Plantilla_SCAN_EQ3_COUNT_2[[#This Row],[ID MATERIAL]]="","",IF(Plantilla_SCAN_EQ3_COUNT_2[[#This Row],[No. Empaques]]="",1,Plantilla_SCAN_EQ3_COUNT_2[[#This Row],[No. Empaques]]*1))</f>
        <v/>
      </c>
      <c r="G757" s="7" t="str">
        <f>IF(Plantilla_SCAN_EQ3_COUNT_2[[#This Row],[ID MATERIAL]]="","","PZ")</f>
        <v/>
      </c>
      <c r="H757" s="7" t="str">
        <f>IF(Plantilla_SCAN_EQ3_COUNT_2[[#This Row],[ID MATERIAL]]="","",$B$13)</f>
        <v/>
      </c>
      <c r="I757" s="7" t="str">
        <f>IF(Plantilla_SCAN_EQ3_COUNT_2[[#This Row],[ID MATERIAL]]="","","Segundo Conteo")</f>
        <v/>
      </c>
    </row>
    <row r="758" spans="1:9" s="7" customFormat="1" ht="15" x14ac:dyDescent="0.2">
      <c r="A758" s="7" t="str">
        <f>IF(Plantilla_SCAN_EQ3_COUNT_2[[#This Row],[ID MATERIAL]]="","",SIGN(Plantilla_SCAN_EQ3_COUNT_2[[#This Row],[Cantidad]])+A757)</f>
        <v/>
      </c>
      <c r="B758" s="21" t="str">
        <f>IF(Plantilla_SCAN_EQ3_COUNT_2[[#This Row],[ID MATERIAL]]="","",B757)</f>
        <v/>
      </c>
      <c r="C758" s="21"/>
      <c r="D758" s="21"/>
      <c r="E758" s="7" t="str">
        <f>IF(Plantilla_SCAN_EQ3_COUNT_2[[#This Row],[ID MATERIAL]]="","",VLOOKUP(Plantilla_SCAN_EQ3_COUNT_2[[#This Row],[ID MATERIAL]],INVENTARIO!$A:$D,2,FALSE))</f>
        <v/>
      </c>
      <c r="F758" s="7" t="str">
        <f>IF(Plantilla_SCAN_EQ3_COUNT_2[[#This Row],[ID MATERIAL]]="","",IF(Plantilla_SCAN_EQ3_COUNT_2[[#This Row],[No. Empaques]]="",1,Plantilla_SCAN_EQ3_COUNT_2[[#This Row],[No. Empaques]]*1))</f>
        <v/>
      </c>
      <c r="G758" s="7" t="str">
        <f>IF(Plantilla_SCAN_EQ3_COUNT_2[[#This Row],[ID MATERIAL]]="","","PZ")</f>
        <v/>
      </c>
      <c r="H758" s="7" t="str">
        <f>IF(Plantilla_SCAN_EQ3_COUNT_2[[#This Row],[ID MATERIAL]]="","",$B$13)</f>
        <v/>
      </c>
      <c r="I758" s="7" t="str">
        <f>IF(Plantilla_SCAN_EQ3_COUNT_2[[#This Row],[ID MATERIAL]]="","","Segundo Conteo")</f>
        <v/>
      </c>
    </row>
    <row r="759" spans="1:9" s="7" customFormat="1" ht="15" x14ac:dyDescent="0.2">
      <c r="A759" s="7" t="str">
        <f>IF(Plantilla_SCAN_EQ3_COUNT_2[[#This Row],[ID MATERIAL]]="","",SIGN(Plantilla_SCAN_EQ3_COUNT_2[[#This Row],[Cantidad]])+A758)</f>
        <v/>
      </c>
      <c r="B759" s="21" t="str">
        <f>IF(Plantilla_SCAN_EQ3_COUNT_2[[#This Row],[ID MATERIAL]]="","",B758)</f>
        <v/>
      </c>
      <c r="C759" s="21"/>
      <c r="D759" s="21"/>
      <c r="E759" s="7" t="str">
        <f>IF(Plantilla_SCAN_EQ3_COUNT_2[[#This Row],[ID MATERIAL]]="","",VLOOKUP(Plantilla_SCAN_EQ3_COUNT_2[[#This Row],[ID MATERIAL]],INVENTARIO!$A:$D,2,FALSE))</f>
        <v/>
      </c>
      <c r="F759" s="7" t="str">
        <f>IF(Plantilla_SCAN_EQ3_COUNT_2[[#This Row],[ID MATERIAL]]="","",IF(Plantilla_SCAN_EQ3_COUNT_2[[#This Row],[No. Empaques]]="",1,Plantilla_SCAN_EQ3_COUNT_2[[#This Row],[No. Empaques]]*1))</f>
        <v/>
      </c>
      <c r="G759" s="7" t="str">
        <f>IF(Plantilla_SCAN_EQ3_COUNT_2[[#This Row],[ID MATERIAL]]="","","PZ")</f>
        <v/>
      </c>
      <c r="H759" s="7" t="str">
        <f>IF(Plantilla_SCAN_EQ3_COUNT_2[[#This Row],[ID MATERIAL]]="","",$B$13)</f>
        <v/>
      </c>
      <c r="I759" s="7" t="str">
        <f>IF(Plantilla_SCAN_EQ3_COUNT_2[[#This Row],[ID MATERIAL]]="","","Segundo Conteo")</f>
        <v/>
      </c>
    </row>
    <row r="760" spans="1:9" s="7" customFormat="1" ht="15" x14ac:dyDescent="0.2">
      <c r="A760" s="7" t="str">
        <f>IF(Plantilla_SCAN_EQ3_COUNT_2[[#This Row],[ID MATERIAL]]="","",SIGN(Plantilla_SCAN_EQ3_COUNT_2[[#This Row],[Cantidad]])+A759)</f>
        <v/>
      </c>
      <c r="B760" s="21" t="str">
        <f>IF(Plantilla_SCAN_EQ3_COUNT_2[[#This Row],[ID MATERIAL]]="","",B759)</f>
        <v/>
      </c>
      <c r="C760" s="21"/>
      <c r="D760" s="21"/>
      <c r="E760" s="7" t="str">
        <f>IF(Plantilla_SCAN_EQ3_COUNT_2[[#This Row],[ID MATERIAL]]="","",VLOOKUP(Plantilla_SCAN_EQ3_COUNT_2[[#This Row],[ID MATERIAL]],INVENTARIO!$A:$D,2,FALSE))</f>
        <v/>
      </c>
      <c r="F760" s="7" t="str">
        <f>IF(Plantilla_SCAN_EQ3_COUNT_2[[#This Row],[ID MATERIAL]]="","",IF(Plantilla_SCAN_EQ3_COUNT_2[[#This Row],[No. Empaques]]="",1,Plantilla_SCAN_EQ3_COUNT_2[[#This Row],[No. Empaques]]*1))</f>
        <v/>
      </c>
      <c r="G760" s="7" t="str">
        <f>IF(Plantilla_SCAN_EQ3_COUNT_2[[#This Row],[ID MATERIAL]]="","","PZ")</f>
        <v/>
      </c>
      <c r="H760" s="7" t="str">
        <f>IF(Plantilla_SCAN_EQ3_COUNT_2[[#This Row],[ID MATERIAL]]="","",$B$13)</f>
        <v/>
      </c>
      <c r="I760" s="7" t="str">
        <f>IF(Plantilla_SCAN_EQ3_COUNT_2[[#This Row],[ID MATERIAL]]="","","Segundo Conteo")</f>
        <v/>
      </c>
    </row>
    <row r="761" spans="1:9" s="7" customFormat="1" ht="15" x14ac:dyDescent="0.2">
      <c r="A761" s="7" t="str">
        <f>IF(Plantilla_SCAN_EQ3_COUNT_2[[#This Row],[ID MATERIAL]]="","",SIGN(Plantilla_SCAN_EQ3_COUNT_2[[#This Row],[Cantidad]])+A760)</f>
        <v/>
      </c>
      <c r="B761" s="21" t="str">
        <f>IF(Plantilla_SCAN_EQ3_COUNT_2[[#This Row],[ID MATERIAL]]="","",B760)</f>
        <v/>
      </c>
      <c r="C761" s="21"/>
      <c r="D761" s="21"/>
      <c r="E761" s="7" t="str">
        <f>IF(Plantilla_SCAN_EQ3_COUNT_2[[#This Row],[ID MATERIAL]]="","",VLOOKUP(Plantilla_SCAN_EQ3_COUNT_2[[#This Row],[ID MATERIAL]],INVENTARIO!$A:$D,2,FALSE))</f>
        <v/>
      </c>
      <c r="F761" s="7" t="str">
        <f>IF(Plantilla_SCAN_EQ3_COUNT_2[[#This Row],[ID MATERIAL]]="","",IF(Plantilla_SCAN_EQ3_COUNT_2[[#This Row],[No. Empaques]]="",1,Plantilla_SCAN_EQ3_COUNT_2[[#This Row],[No. Empaques]]*1))</f>
        <v/>
      </c>
      <c r="G761" s="7" t="str">
        <f>IF(Plantilla_SCAN_EQ3_COUNT_2[[#This Row],[ID MATERIAL]]="","","PZ")</f>
        <v/>
      </c>
      <c r="H761" s="7" t="str">
        <f>IF(Plantilla_SCAN_EQ3_COUNT_2[[#This Row],[ID MATERIAL]]="","",$B$13)</f>
        <v/>
      </c>
      <c r="I761" s="7" t="str">
        <f>IF(Plantilla_SCAN_EQ3_COUNT_2[[#This Row],[ID MATERIAL]]="","","Segundo Conteo")</f>
        <v/>
      </c>
    </row>
    <row r="762" spans="1:9" s="7" customFormat="1" ht="15" x14ac:dyDescent="0.2">
      <c r="A762" s="7" t="str">
        <f>IF(Plantilla_SCAN_EQ3_COUNT_2[[#This Row],[ID MATERIAL]]="","",SIGN(Plantilla_SCAN_EQ3_COUNT_2[[#This Row],[Cantidad]])+A761)</f>
        <v/>
      </c>
      <c r="B762" s="21" t="str">
        <f>IF(Plantilla_SCAN_EQ3_COUNT_2[[#This Row],[ID MATERIAL]]="","",B761)</f>
        <v/>
      </c>
      <c r="C762" s="21"/>
      <c r="D762" s="21"/>
      <c r="E762" s="7" t="str">
        <f>IF(Plantilla_SCAN_EQ3_COUNT_2[[#This Row],[ID MATERIAL]]="","",VLOOKUP(Plantilla_SCAN_EQ3_COUNT_2[[#This Row],[ID MATERIAL]],INVENTARIO!$A:$D,2,FALSE))</f>
        <v/>
      </c>
      <c r="F762" s="7" t="str">
        <f>IF(Plantilla_SCAN_EQ3_COUNT_2[[#This Row],[ID MATERIAL]]="","",IF(Plantilla_SCAN_EQ3_COUNT_2[[#This Row],[No. Empaques]]="",1,Plantilla_SCAN_EQ3_COUNT_2[[#This Row],[No. Empaques]]*1))</f>
        <v/>
      </c>
      <c r="G762" s="7" t="str">
        <f>IF(Plantilla_SCAN_EQ3_COUNT_2[[#This Row],[ID MATERIAL]]="","","PZ")</f>
        <v/>
      </c>
      <c r="H762" s="7" t="str">
        <f>IF(Plantilla_SCAN_EQ3_COUNT_2[[#This Row],[ID MATERIAL]]="","",$B$13)</f>
        <v/>
      </c>
      <c r="I762" s="7" t="str">
        <f>IF(Plantilla_SCAN_EQ3_COUNT_2[[#This Row],[ID MATERIAL]]="","","Segundo Conteo")</f>
        <v/>
      </c>
    </row>
    <row r="763" spans="1:9" s="7" customFormat="1" ht="15" x14ac:dyDescent="0.2">
      <c r="A763" s="7" t="str">
        <f>IF(Plantilla_SCAN_EQ3_COUNT_2[[#This Row],[ID MATERIAL]]="","",SIGN(Plantilla_SCAN_EQ3_COUNT_2[[#This Row],[Cantidad]])+A762)</f>
        <v/>
      </c>
      <c r="B763" s="21" t="str">
        <f>IF(Plantilla_SCAN_EQ3_COUNT_2[[#This Row],[ID MATERIAL]]="","",B762)</f>
        <v/>
      </c>
      <c r="C763" s="21"/>
      <c r="D763" s="21"/>
      <c r="E763" s="7" t="str">
        <f>IF(Plantilla_SCAN_EQ3_COUNT_2[[#This Row],[ID MATERIAL]]="","",VLOOKUP(Plantilla_SCAN_EQ3_COUNT_2[[#This Row],[ID MATERIAL]],INVENTARIO!$A:$D,2,FALSE))</f>
        <v/>
      </c>
      <c r="F763" s="7" t="str">
        <f>IF(Plantilla_SCAN_EQ3_COUNT_2[[#This Row],[ID MATERIAL]]="","",IF(Plantilla_SCAN_EQ3_COUNT_2[[#This Row],[No. Empaques]]="",1,Plantilla_SCAN_EQ3_COUNT_2[[#This Row],[No. Empaques]]*1))</f>
        <v/>
      </c>
      <c r="G763" s="7" t="str">
        <f>IF(Plantilla_SCAN_EQ3_COUNT_2[[#This Row],[ID MATERIAL]]="","","PZ")</f>
        <v/>
      </c>
      <c r="H763" s="7" t="str">
        <f>IF(Plantilla_SCAN_EQ3_COUNT_2[[#This Row],[ID MATERIAL]]="","",$B$13)</f>
        <v/>
      </c>
      <c r="I763" s="7" t="str">
        <f>IF(Plantilla_SCAN_EQ3_COUNT_2[[#This Row],[ID MATERIAL]]="","","Segundo Conteo")</f>
        <v/>
      </c>
    </row>
    <row r="764" spans="1:9" s="7" customFormat="1" ht="15" x14ac:dyDescent="0.2">
      <c r="A764" s="7" t="str">
        <f>IF(Plantilla_SCAN_EQ3_COUNT_2[[#This Row],[ID MATERIAL]]="","",SIGN(Plantilla_SCAN_EQ3_COUNT_2[[#This Row],[Cantidad]])+A763)</f>
        <v/>
      </c>
      <c r="B764" s="21" t="str">
        <f>IF(Plantilla_SCAN_EQ3_COUNT_2[[#This Row],[ID MATERIAL]]="","",B763)</f>
        <v/>
      </c>
      <c r="C764" s="21"/>
      <c r="D764" s="21"/>
      <c r="E764" s="7" t="str">
        <f>IF(Plantilla_SCAN_EQ3_COUNT_2[[#This Row],[ID MATERIAL]]="","",VLOOKUP(Plantilla_SCAN_EQ3_COUNT_2[[#This Row],[ID MATERIAL]],INVENTARIO!$A:$D,2,FALSE))</f>
        <v/>
      </c>
      <c r="F764" s="7" t="str">
        <f>IF(Plantilla_SCAN_EQ3_COUNT_2[[#This Row],[ID MATERIAL]]="","",IF(Plantilla_SCAN_EQ3_COUNT_2[[#This Row],[No. Empaques]]="",1,Plantilla_SCAN_EQ3_COUNT_2[[#This Row],[No. Empaques]]*1))</f>
        <v/>
      </c>
      <c r="G764" s="7" t="str">
        <f>IF(Plantilla_SCAN_EQ3_COUNT_2[[#This Row],[ID MATERIAL]]="","","PZ")</f>
        <v/>
      </c>
      <c r="H764" s="7" t="str">
        <f>IF(Plantilla_SCAN_EQ3_COUNT_2[[#This Row],[ID MATERIAL]]="","",$B$13)</f>
        <v/>
      </c>
      <c r="I764" s="7" t="str">
        <f>IF(Plantilla_SCAN_EQ3_COUNT_2[[#This Row],[ID MATERIAL]]="","","Segundo Conteo")</f>
        <v/>
      </c>
    </row>
    <row r="765" spans="1:9" s="7" customFormat="1" ht="15" x14ac:dyDescent="0.2">
      <c r="A765" s="7" t="str">
        <f>IF(Plantilla_SCAN_EQ3_COUNT_2[[#This Row],[ID MATERIAL]]="","",SIGN(Plantilla_SCAN_EQ3_COUNT_2[[#This Row],[Cantidad]])+A764)</f>
        <v/>
      </c>
      <c r="B765" s="21" t="str">
        <f>IF(Plantilla_SCAN_EQ3_COUNT_2[[#This Row],[ID MATERIAL]]="","",B764)</f>
        <v/>
      </c>
      <c r="C765" s="21"/>
      <c r="D765" s="21"/>
      <c r="E765" s="7" t="str">
        <f>IF(Plantilla_SCAN_EQ3_COUNT_2[[#This Row],[ID MATERIAL]]="","",VLOOKUP(Plantilla_SCAN_EQ3_COUNT_2[[#This Row],[ID MATERIAL]],INVENTARIO!$A:$D,2,FALSE))</f>
        <v/>
      </c>
      <c r="F765" s="7" t="str">
        <f>IF(Plantilla_SCAN_EQ3_COUNT_2[[#This Row],[ID MATERIAL]]="","",IF(Plantilla_SCAN_EQ3_COUNT_2[[#This Row],[No. Empaques]]="",1,Plantilla_SCAN_EQ3_COUNT_2[[#This Row],[No. Empaques]]*1))</f>
        <v/>
      </c>
      <c r="G765" s="7" t="str">
        <f>IF(Plantilla_SCAN_EQ3_COUNT_2[[#This Row],[ID MATERIAL]]="","","PZ")</f>
        <v/>
      </c>
      <c r="H765" s="7" t="str">
        <f>IF(Plantilla_SCAN_EQ3_COUNT_2[[#This Row],[ID MATERIAL]]="","",$B$13)</f>
        <v/>
      </c>
      <c r="I765" s="7" t="str">
        <f>IF(Plantilla_SCAN_EQ3_COUNT_2[[#This Row],[ID MATERIAL]]="","","Segundo Conteo")</f>
        <v/>
      </c>
    </row>
    <row r="766" spans="1:9" s="7" customFormat="1" ht="15" x14ac:dyDescent="0.2">
      <c r="A766" s="7" t="str">
        <f>IF(Plantilla_SCAN_EQ3_COUNT_2[[#This Row],[ID MATERIAL]]="","",SIGN(Plantilla_SCAN_EQ3_COUNT_2[[#This Row],[Cantidad]])+A765)</f>
        <v/>
      </c>
      <c r="B766" s="21" t="str">
        <f>IF(Plantilla_SCAN_EQ3_COUNT_2[[#This Row],[ID MATERIAL]]="","",B765)</f>
        <v/>
      </c>
      <c r="C766" s="21"/>
      <c r="D766" s="21"/>
      <c r="E766" s="7" t="str">
        <f>IF(Plantilla_SCAN_EQ3_COUNT_2[[#This Row],[ID MATERIAL]]="","",VLOOKUP(Plantilla_SCAN_EQ3_COUNT_2[[#This Row],[ID MATERIAL]],INVENTARIO!$A:$D,2,FALSE))</f>
        <v/>
      </c>
      <c r="F766" s="7" t="str">
        <f>IF(Plantilla_SCAN_EQ3_COUNT_2[[#This Row],[ID MATERIAL]]="","",IF(Plantilla_SCAN_EQ3_COUNT_2[[#This Row],[No. Empaques]]="",1,Plantilla_SCAN_EQ3_COUNT_2[[#This Row],[No. Empaques]]*1))</f>
        <v/>
      </c>
      <c r="G766" s="7" t="str">
        <f>IF(Plantilla_SCAN_EQ3_COUNT_2[[#This Row],[ID MATERIAL]]="","","PZ")</f>
        <v/>
      </c>
      <c r="H766" s="7" t="str">
        <f>IF(Plantilla_SCAN_EQ3_COUNT_2[[#This Row],[ID MATERIAL]]="","",$B$13)</f>
        <v/>
      </c>
      <c r="I766" s="7" t="str">
        <f>IF(Plantilla_SCAN_EQ3_COUNT_2[[#This Row],[ID MATERIAL]]="","","Segundo Conteo")</f>
        <v/>
      </c>
    </row>
    <row r="767" spans="1:9" s="7" customFormat="1" ht="15" x14ac:dyDescent="0.2">
      <c r="A767" s="7" t="str">
        <f>IF(Plantilla_SCAN_EQ3_COUNT_2[[#This Row],[ID MATERIAL]]="","",SIGN(Plantilla_SCAN_EQ3_COUNT_2[[#This Row],[Cantidad]])+A766)</f>
        <v/>
      </c>
      <c r="B767" s="21" t="str">
        <f>IF(Plantilla_SCAN_EQ3_COUNT_2[[#This Row],[ID MATERIAL]]="","",B766)</f>
        <v/>
      </c>
      <c r="C767" s="21"/>
      <c r="D767" s="21"/>
      <c r="E767" s="7" t="str">
        <f>IF(Plantilla_SCAN_EQ3_COUNT_2[[#This Row],[ID MATERIAL]]="","",VLOOKUP(Plantilla_SCAN_EQ3_COUNT_2[[#This Row],[ID MATERIAL]],INVENTARIO!$A:$D,2,FALSE))</f>
        <v/>
      </c>
      <c r="F767" s="7" t="str">
        <f>IF(Plantilla_SCAN_EQ3_COUNT_2[[#This Row],[ID MATERIAL]]="","",IF(Plantilla_SCAN_EQ3_COUNT_2[[#This Row],[No. Empaques]]="",1,Plantilla_SCAN_EQ3_COUNT_2[[#This Row],[No. Empaques]]*1))</f>
        <v/>
      </c>
      <c r="G767" s="7" t="str">
        <f>IF(Plantilla_SCAN_EQ3_COUNT_2[[#This Row],[ID MATERIAL]]="","","PZ")</f>
        <v/>
      </c>
      <c r="H767" s="7" t="str">
        <f>IF(Plantilla_SCAN_EQ3_COUNT_2[[#This Row],[ID MATERIAL]]="","",$B$13)</f>
        <v/>
      </c>
      <c r="I767" s="7" t="str">
        <f>IF(Plantilla_SCAN_EQ3_COUNT_2[[#This Row],[ID MATERIAL]]="","","Segundo Conteo")</f>
        <v/>
      </c>
    </row>
    <row r="768" spans="1:9" s="7" customFormat="1" ht="15" x14ac:dyDescent="0.2">
      <c r="A768" s="7" t="str">
        <f>IF(Plantilla_SCAN_EQ3_COUNT_2[[#This Row],[ID MATERIAL]]="","",SIGN(Plantilla_SCAN_EQ3_COUNT_2[[#This Row],[Cantidad]])+A767)</f>
        <v/>
      </c>
      <c r="B768" s="21" t="str">
        <f>IF(Plantilla_SCAN_EQ3_COUNT_2[[#This Row],[ID MATERIAL]]="","",B767)</f>
        <v/>
      </c>
      <c r="C768" s="21"/>
      <c r="D768" s="21"/>
      <c r="E768" s="7" t="str">
        <f>IF(Plantilla_SCAN_EQ3_COUNT_2[[#This Row],[ID MATERIAL]]="","",VLOOKUP(Plantilla_SCAN_EQ3_COUNT_2[[#This Row],[ID MATERIAL]],INVENTARIO!$A:$D,2,FALSE))</f>
        <v/>
      </c>
      <c r="F768" s="7" t="str">
        <f>IF(Plantilla_SCAN_EQ3_COUNT_2[[#This Row],[ID MATERIAL]]="","",IF(Plantilla_SCAN_EQ3_COUNT_2[[#This Row],[No. Empaques]]="",1,Plantilla_SCAN_EQ3_COUNT_2[[#This Row],[No. Empaques]]*1))</f>
        <v/>
      </c>
      <c r="G768" s="7" t="str">
        <f>IF(Plantilla_SCAN_EQ3_COUNT_2[[#This Row],[ID MATERIAL]]="","","PZ")</f>
        <v/>
      </c>
      <c r="H768" s="7" t="str">
        <f>IF(Plantilla_SCAN_EQ3_COUNT_2[[#This Row],[ID MATERIAL]]="","",$B$13)</f>
        <v/>
      </c>
      <c r="I768" s="7" t="str">
        <f>IF(Plantilla_SCAN_EQ3_COUNT_2[[#This Row],[ID MATERIAL]]="","","Segundo Conteo")</f>
        <v/>
      </c>
    </row>
    <row r="769" spans="1:9" s="7" customFormat="1" ht="15" x14ac:dyDescent="0.2">
      <c r="A769" s="7" t="str">
        <f>IF(Plantilla_SCAN_EQ3_COUNT_2[[#This Row],[ID MATERIAL]]="","",SIGN(Plantilla_SCAN_EQ3_COUNT_2[[#This Row],[Cantidad]])+A768)</f>
        <v/>
      </c>
      <c r="B769" s="21" t="str">
        <f>IF(Plantilla_SCAN_EQ3_COUNT_2[[#This Row],[ID MATERIAL]]="","",B768)</f>
        <v/>
      </c>
      <c r="C769" s="21"/>
      <c r="D769" s="21"/>
      <c r="E769" s="7" t="str">
        <f>IF(Plantilla_SCAN_EQ3_COUNT_2[[#This Row],[ID MATERIAL]]="","",VLOOKUP(Plantilla_SCAN_EQ3_COUNT_2[[#This Row],[ID MATERIAL]],INVENTARIO!$A:$D,2,FALSE))</f>
        <v/>
      </c>
      <c r="F769" s="7" t="str">
        <f>IF(Plantilla_SCAN_EQ3_COUNT_2[[#This Row],[ID MATERIAL]]="","",IF(Plantilla_SCAN_EQ3_COUNT_2[[#This Row],[No. Empaques]]="",1,Plantilla_SCAN_EQ3_COUNT_2[[#This Row],[No. Empaques]]*1))</f>
        <v/>
      </c>
      <c r="G769" s="7" t="str">
        <f>IF(Plantilla_SCAN_EQ3_COUNT_2[[#This Row],[ID MATERIAL]]="","","PZ")</f>
        <v/>
      </c>
      <c r="H769" s="7" t="str">
        <f>IF(Plantilla_SCAN_EQ3_COUNT_2[[#This Row],[ID MATERIAL]]="","",$B$13)</f>
        <v/>
      </c>
      <c r="I769" s="7" t="str">
        <f>IF(Plantilla_SCAN_EQ3_COUNT_2[[#This Row],[ID MATERIAL]]="","","Segundo Conteo")</f>
        <v/>
      </c>
    </row>
    <row r="770" spans="1:9" s="7" customFormat="1" ht="15" x14ac:dyDescent="0.2">
      <c r="A770" s="7" t="str">
        <f>IF(Plantilla_SCAN_EQ3_COUNT_2[[#This Row],[ID MATERIAL]]="","",SIGN(Plantilla_SCAN_EQ3_COUNT_2[[#This Row],[Cantidad]])+A769)</f>
        <v/>
      </c>
      <c r="B770" s="21" t="str">
        <f>IF(Plantilla_SCAN_EQ3_COUNT_2[[#This Row],[ID MATERIAL]]="","",B769)</f>
        <v/>
      </c>
      <c r="C770" s="21"/>
      <c r="D770" s="21"/>
      <c r="E770" s="7" t="str">
        <f>IF(Plantilla_SCAN_EQ3_COUNT_2[[#This Row],[ID MATERIAL]]="","",VLOOKUP(Plantilla_SCAN_EQ3_COUNT_2[[#This Row],[ID MATERIAL]],INVENTARIO!$A:$D,2,FALSE))</f>
        <v/>
      </c>
      <c r="F770" s="7" t="str">
        <f>IF(Plantilla_SCAN_EQ3_COUNT_2[[#This Row],[ID MATERIAL]]="","",IF(Plantilla_SCAN_EQ3_COUNT_2[[#This Row],[No. Empaques]]="",1,Plantilla_SCAN_EQ3_COUNT_2[[#This Row],[No. Empaques]]*1))</f>
        <v/>
      </c>
      <c r="G770" s="7" t="str">
        <f>IF(Plantilla_SCAN_EQ3_COUNT_2[[#This Row],[ID MATERIAL]]="","","PZ")</f>
        <v/>
      </c>
      <c r="H770" s="7" t="str">
        <f>IF(Plantilla_SCAN_EQ3_COUNT_2[[#This Row],[ID MATERIAL]]="","",$B$13)</f>
        <v/>
      </c>
      <c r="I770" s="7" t="str">
        <f>IF(Plantilla_SCAN_EQ3_COUNT_2[[#This Row],[ID MATERIAL]]="","","Segundo Conteo")</f>
        <v/>
      </c>
    </row>
    <row r="771" spans="1:9" s="7" customFormat="1" ht="15" x14ac:dyDescent="0.2">
      <c r="A771" s="7" t="str">
        <f>IF(Plantilla_SCAN_EQ3_COUNT_2[[#This Row],[ID MATERIAL]]="","",SIGN(Plantilla_SCAN_EQ3_COUNT_2[[#This Row],[Cantidad]])+A770)</f>
        <v/>
      </c>
      <c r="B771" s="21" t="str">
        <f>IF(Plantilla_SCAN_EQ3_COUNT_2[[#This Row],[ID MATERIAL]]="","",B770)</f>
        <v/>
      </c>
      <c r="C771" s="21"/>
      <c r="D771" s="21"/>
      <c r="E771" s="7" t="str">
        <f>IF(Plantilla_SCAN_EQ3_COUNT_2[[#This Row],[ID MATERIAL]]="","",VLOOKUP(Plantilla_SCAN_EQ3_COUNT_2[[#This Row],[ID MATERIAL]],INVENTARIO!$A:$D,2,FALSE))</f>
        <v/>
      </c>
      <c r="F771" s="7" t="str">
        <f>IF(Plantilla_SCAN_EQ3_COUNT_2[[#This Row],[ID MATERIAL]]="","",IF(Plantilla_SCAN_EQ3_COUNT_2[[#This Row],[No. Empaques]]="",1,Plantilla_SCAN_EQ3_COUNT_2[[#This Row],[No. Empaques]]*1))</f>
        <v/>
      </c>
      <c r="G771" s="7" t="str">
        <f>IF(Plantilla_SCAN_EQ3_COUNT_2[[#This Row],[ID MATERIAL]]="","","PZ")</f>
        <v/>
      </c>
      <c r="H771" s="7" t="str">
        <f>IF(Plantilla_SCAN_EQ3_COUNT_2[[#This Row],[ID MATERIAL]]="","",$B$13)</f>
        <v/>
      </c>
      <c r="I771" s="7" t="str">
        <f>IF(Plantilla_SCAN_EQ3_COUNT_2[[#This Row],[ID MATERIAL]]="","","Segundo Conteo")</f>
        <v/>
      </c>
    </row>
    <row r="772" spans="1:9" s="7" customFormat="1" ht="15" x14ac:dyDescent="0.2">
      <c r="A772" s="7" t="str">
        <f>IF(Plantilla_SCAN_EQ3_COUNT_2[[#This Row],[ID MATERIAL]]="","",SIGN(Plantilla_SCAN_EQ3_COUNT_2[[#This Row],[Cantidad]])+A771)</f>
        <v/>
      </c>
      <c r="B772" s="21" t="str">
        <f>IF(Plantilla_SCAN_EQ3_COUNT_2[[#This Row],[ID MATERIAL]]="","",B771)</f>
        <v/>
      </c>
      <c r="C772" s="21"/>
      <c r="D772" s="21"/>
      <c r="E772" s="7" t="str">
        <f>IF(Plantilla_SCAN_EQ3_COUNT_2[[#This Row],[ID MATERIAL]]="","",VLOOKUP(Plantilla_SCAN_EQ3_COUNT_2[[#This Row],[ID MATERIAL]],INVENTARIO!$A:$D,2,FALSE))</f>
        <v/>
      </c>
      <c r="F772" s="7" t="str">
        <f>IF(Plantilla_SCAN_EQ3_COUNT_2[[#This Row],[ID MATERIAL]]="","",IF(Plantilla_SCAN_EQ3_COUNT_2[[#This Row],[No. Empaques]]="",1,Plantilla_SCAN_EQ3_COUNT_2[[#This Row],[No. Empaques]]*1))</f>
        <v/>
      </c>
      <c r="G772" s="7" t="str">
        <f>IF(Plantilla_SCAN_EQ3_COUNT_2[[#This Row],[ID MATERIAL]]="","","PZ")</f>
        <v/>
      </c>
      <c r="H772" s="7" t="str">
        <f>IF(Plantilla_SCAN_EQ3_COUNT_2[[#This Row],[ID MATERIAL]]="","",$B$13)</f>
        <v/>
      </c>
      <c r="I772" s="7" t="str">
        <f>IF(Plantilla_SCAN_EQ3_COUNT_2[[#This Row],[ID MATERIAL]]="","","Segundo Conteo")</f>
        <v/>
      </c>
    </row>
    <row r="773" spans="1:9" s="7" customFormat="1" ht="15" x14ac:dyDescent="0.2">
      <c r="A773" s="7" t="str">
        <f>IF(Plantilla_SCAN_EQ3_COUNT_2[[#This Row],[ID MATERIAL]]="","",SIGN(Plantilla_SCAN_EQ3_COUNT_2[[#This Row],[Cantidad]])+A772)</f>
        <v/>
      </c>
      <c r="B773" s="21" t="str">
        <f>IF(Plantilla_SCAN_EQ3_COUNT_2[[#This Row],[ID MATERIAL]]="","",B772)</f>
        <v/>
      </c>
      <c r="C773" s="21"/>
      <c r="D773" s="21"/>
      <c r="E773" s="7" t="str">
        <f>IF(Plantilla_SCAN_EQ3_COUNT_2[[#This Row],[ID MATERIAL]]="","",VLOOKUP(Plantilla_SCAN_EQ3_COUNT_2[[#This Row],[ID MATERIAL]],INVENTARIO!$A:$D,2,FALSE))</f>
        <v/>
      </c>
      <c r="F773" s="7" t="str">
        <f>IF(Plantilla_SCAN_EQ3_COUNT_2[[#This Row],[ID MATERIAL]]="","",IF(Plantilla_SCAN_EQ3_COUNT_2[[#This Row],[No. Empaques]]="",1,Plantilla_SCAN_EQ3_COUNT_2[[#This Row],[No. Empaques]]*1))</f>
        <v/>
      </c>
      <c r="G773" s="7" t="str">
        <f>IF(Plantilla_SCAN_EQ3_COUNT_2[[#This Row],[ID MATERIAL]]="","","PZ")</f>
        <v/>
      </c>
      <c r="H773" s="7" t="str">
        <f>IF(Plantilla_SCAN_EQ3_COUNT_2[[#This Row],[ID MATERIAL]]="","",$B$13)</f>
        <v/>
      </c>
      <c r="I773" s="7" t="str">
        <f>IF(Plantilla_SCAN_EQ3_COUNT_2[[#This Row],[ID MATERIAL]]="","","Segundo Conteo")</f>
        <v/>
      </c>
    </row>
    <row r="774" spans="1:9" s="7" customFormat="1" ht="15" x14ac:dyDescent="0.2">
      <c r="A774" s="7" t="str">
        <f>IF(Plantilla_SCAN_EQ3_COUNT_2[[#This Row],[ID MATERIAL]]="","",SIGN(Plantilla_SCAN_EQ3_COUNT_2[[#This Row],[Cantidad]])+A773)</f>
        <v/>
      </c>
      <c r="B774" s="21" t="str">
        <f>IF(Plantilla_SCAN_EQ3_COUNT_2[[#This Row],[ID MATERIAL]]="","",B773)</f>
        <v/>
      </c>
      <c r="C774" s="21"/>
      <c r="D774" s="21"/>
      <c r="E774" s="7" t="str">
        <f>IF(Plantilla_SCAN_EQ3_COUNT_2[[#This Row],[ID MATERIAL]]="","",VLOOKUP(Plantilla_SCAN_EQ3_COUNT_2[[#This Row],[ID MATERIAL]],INVENTARIO!$A:$D,2,FALSE))</f>
        <v/>
      </c>
      <c r="F774" s="7" t="str">
        <f>IF(Plantilla_SCAN_EQ3_COUNT_2[[#This Row],[ID MATERIAL]]="","",IF(Plantilla_SCAN_EQ3_COUNT_2[[#This Row],[No. Empaques]]="",1,Plantilla_SCAN_EQ3_COUNT_2[[#This Row],[No. Empaques]]*1))</f>
        <v/>
      </c>
      <c r="G774" s="7" t="str">
        <f>IF(Plantilla_SCAN_EQ3_COUNT_2[[#This Row],[ID MATERIAL]]="","","PZ")</f>
        <v/>
      </c>
      <c r="H774" s="7" t="str">
        <f>IF(Plantilla_SCAN_EQ3_COUNT_2[[#This Row],[ID MATERIAL]]="","",$B$13)</f>
        <v/>
      </c>
      <c r="I774" s="7" t="str">
        <f>IF(Plantilla_SCAN_EQ3_COUNT_2[[#This Row],[ID MATERIAL]]="","","Segundo Conteo")</f>
        <v/>
      </c>
    </row>
    <row r="775" spans="1:9" s="7" customFormat="1" ht="15" x14ac:dyDescent="0.2">
      <c r="A775" s="7" t="str">
        <f>IF(Plantilla_SCAN_EQ3_COUNT_2[[#This Row],[ID MATERIAL]]="","",SIGN(Plantilla_SCAN_EQ3_COUNT_2[[#This Row],[Cantidad]])+A774)</f>
        <v/>
      </c>
      <c r="B775" s="21" t="str">
        <f>IF(Plantilla_SCAN_EQ3_COUNT_2[[#This Row],[ID MATERIAL]]="","",B774)</f>
        <v/>
      </c>
      <c r="C775" s="21"/>
      <c r="D775" s="21"/>
      <c r="E775" s="7" t="str">
        <f>IF(Plantilla_SCAN_EQ3_COUNT_2[[#This Row],[ID MATERIAL]]="","",VLOOKUP(Plantilla_SCAN_EQ3_COUNT_2[[#This Row],[ID MATERIAL]],INVENTARIO!$A:$D,2,FALSE))</f>
        <v/>
      </c>
      <c r="F775" s="7" t="str">
        <f>IF(Plantilla_SCAN_EQ3_COUNT_2[[#This Row],[ID MATERIAL]]="","",IF(Plantilla_SCAN_EQ3_COUNT_2[[#This Row],[No. Empaques]]="",1,Plantilla_SCAN_EQ3_COUNT_2[[#This Row],[No. Empaques]]*1))</f>
        <v/>
      </c>
      <c r="G775" s="7" t="str">
        <f>IF(Plantilla_SCAN_EQ3_COUNT_2[[#This Row],[ID MATERIAL]]="","","PZ")</f>
        <v/>
      </c>
      <c r="H775" s="7" t="str">
        <f>IF(Plantilla_SCAN_EQ3_COUNT_2[[#This Row],[ID MATERIAL]]="","",$B$13)</f>
        <v/>
      </c>
      <c r="I775" s="7" t="str">
        <f>IF(Plantilla_SCAN_EQ3_COUNT_2[[#This Row],[ID MATERIAL]]="","","Segundo Conteo")</f>
        <v/>
      </c>
    </row>
    <row r="776" spans="1:9" s="7" customFormat="1" ht="15" x14ac:dyDescent="0.2">
      <c r="A776" s="7" t="str">
        <f>IF(Plantilla_SCAN_EQ3_COUNT_2[[#This Row],[ID MATERIAL]]="","",SIGN(Plantilla_SCAN_EQ3_COUNT_2[[#This Row],[Cantidad]])+A775)</f>
        <v/>
      </c>
      <c r="B776" s="21" t="str">
        <f>IF(Plantilla_SCAN_EQ3_COUNT_2[[#This Row],[ID MATERIAL]]="","",B775)</f>
        <v/>
      </c>
      <c r="C776" s="21"/>
      <c r="D776" s="21"/>
      <c r="E776" s="7" t="str">
        <f>IF(Plantilla_SCAN_EQ3_COUNT_2[[#This Row],[ID MATERIAL]]="","",VLOOKUP(Plantilla_SCAN_EQ3_COUNT_2[[#This Row],[ID MATERIAL]],INVENTARIO!$A:$D,2,FALSE))</f>
        <v/>
      </c>
      <c r="F776" s="7" t="str">
        <f>IF(Plantilla_SCAN_EQ3_COUNT_2[[#This Row],[ID MATERIAL]]="","",IF(Plantilla_SCAN_EQ3_COUNT_2[[#This Row],[No. Empaques]]="",1,Plantilla_SCAN_EQ3_COUNT_2[[#This Row],[No. Empaques]]*1))</f>
        <v/>
      </c>
      <c r="G776" s="7" t="str">
        <f>IF(Plantilla_SCAN_EQ3_COUNT_2[[#This Row],[ID MATERIAL]]="","","PZ")</f>
        <v/>
      </c>
      <c r="H776" s="7" t="str">
        <f>IF(Plantilla_SCAN_EQ3_COUNT_2[[#This Row],[ID MATERIAL]]="","",$B$13)</f>
        <v/>
      </c>
      <c r="I776" s="7" t="str">
        <f>IF(Plantilla_SCAN_EQ3_COUNT_2[[#This Row],[ID MATERIAL]]="","","Segundo Conteo")</f>
        <v/>
      </c>
    </row>
    <row r="777" spans="1:9" s="7" customFormat="1" ht="15" x14ac:dyDescent="0.2">
      <c r="A777" s="7" t="str">
        <f>IF(Plantilla_SCAN_EQ3_COUNT_2[[#This Row],[ID MATERIAL]]="","",SIGN(Plantilla_SCAN_EQ3_COUNT_2[[#This Row],[Cantidad]])+A776)</f>
        <v/>
      </c>
      <c r="B777" s="21" t="str">
        <f>IF(Plantilla_SCAN_EQ3_COUNT_2[[#This Row],[ID MATERIAL]]="","",B776)</f>
        <v/>
      </c>
      <c r="C777" s="21"/>
      <c r="D777" s="21"/>
      <c r="E777" s="7" t="str">
        <f>IF(Plantilla_SCAN_EQ3_COUNT_2[[#This Row],[ID MATERIAL]]="","",VLOOKUP(Plantilla_SCAN_EQ3_COUNT_2[[#This Row],[ID MATERIAL]],INVENTARIO!$A:$D,2,FALSE))</f>
        <v/>
      </c>
      <c r="F777" s="7" t="str">
        <f>IF(Plantilla_SCAN_EQ3_COUNT_2[[#This Row],[ID MATERIAL]]="","",IF(Plantilla_SCAN_EQ3_COUNT_2[[#This Row],[No. Empaques]]="",1,Plantilla_SCAN_EQ3_COUNT_2[[#This Row],[No. Empaques]]*1))</f>
        <v/>
      </c>
      <c r="G777" s="7" t="str">
        <f>IF(Plantilla_SCAN_EQ3_COUNT_2[[#This Row],[ID MATERIAL]]="","","PZ")</f>
        <v/>
      </c>
      <c r="H777" s="7" t="str">
        <f>IF(Plantilla_SCAN_EQ3_COUNT_2[[#This Row],[ID MATERIAL]]="","",$B$13)</f>
        <v/>
      </c>
      <c r="I777" s="7" t="str">
        <f>IF(Plantilla_SCAN_EQ3_COUNT_2[[#This Row],[ID MATERIAL]]="","","Segundo Conteo")</f>
        <v/>
      </c>
    </row>
    <row r="778" spans="1:9" s="7" customFormat="1" ht="15" x14ac:dyDescent="0.2">
      <c r="A778" s="7" t="str">
        <f>IF(Plantilla_SCAN_EQ3_COUNT_2[[#This Row],[ID MATERIAL]]="","",SIGN(Plantilla_SCAN_EQ3_COUNT_2[[#This Row],[Cantidad]])+A777)</f>
        <v/>
      </c>
      <c r="B778" s="21" t="str">
        <f>IF(Plantilla_SCAN_EQ3_COUNT_2[[#This Row],[ID MATERIAL]]="","",B777)</f>
        <v/>
      </c>
      <c r="C778" s="21"/>
      <c r="D778" s="21"/>
      <c r="E778" s="7" t="str">
        <f>IF(Plantilla_SCAN_EQ3_COUNT_2[[#This Row],[ID MATERIAL]]="","",VLOOKUP(Plantilla_SCAN_EQ3_COUNT_2[[#This Row],[ID MATERIAL]],INVENTARIO!$A:$D,2,FALSE))</f>
        <v/>
      </c>
      <c r="F778" s="7" t="str">
        <f>IF(Plantilla_SCAN_EQ3_COUNT_2[[#This Row],[ID MATERIAL]]="","",IF(Plantilla_SCAN_EQ3_COUNT_2[[#This Row],[No. Empaques]]="",1,Plantilla_SCAN_EQ3_COUNT_2[[#This Row],[No. Empaques]]*1))</f>
        <v/>
      </c>
      <c r="G778" s="7" t="str">
        <f>IF(Plantilla_SCAN_EQ3_COUNT_2[[#This Row],[ID MATERIAL]]="","","PZ")</f>
        <v/>
      </c>
      <c r="H778" s="7" t="str">
        <f>IF(Plantilla_SCAN_EQ3_COUNT_2[[#This Row],[ID MATERIAL]]="","",$B$13)</f>
        <v/>
      </c>
      <c r="I778" s="7" t="str">
        <f>IF(Plantilla_SCAN_EQ3_COUNT_2[[#This Row],[ID MATERIAL]]="","","Segundo Conteo")</f>
        <v/>
      </c>
    </row>
    <row r="779" spans="1:9" s="7" customFormat="1" ht="15" x14ac:dyDescent="0.2">
      <c r="A779" s="7" t="str">
        <f>IF(Plantilla_SCAN_EQ3_COUNT_2[[#This Row],[ID MATERIAL]]="","",SIGN(Plantilla_SCAN_EQ3_COUNT_2[[#This Row],[Cantidad]])+A778)</f>
        <v/>
      </c>
      <c r="B779" s="21" t="str">
        <f>IF(Plantilla_SCAN_EQ3_COUNT_2[[#This Row],[ID MATERIAL]]="","",B778)</f>
        <v/>
      </c>
      <c r="C779" s="21"/>
      <c r="D779" s="21"/>
      <c r="E779" s="7" t="str">
        <f>IF(Plantilla_SCAN_EQ3_COUNT_2[[#This Row],[ID MATERIAL]]="","",VLOOKUP(Plantilla_SCAN_EQ3_COUNT_2[[#This Row],[ID MATERIAL]],INVENTARIO!$A:$D,2,FALSE))</f>
        <v/>
      </c>
      <c r="F779" s="7" t="str">
        <f>IF(Plantilla_SCAN_EQ3_COUNT_2[[#This Row],[ID MATERIAL]]="","",IF(Plantilla_SCAN_EQ3_COUNT_2[[#This Row],[No. Empaques]]="",1,Plantilla_SCAN_EQ3_COUNT_2[[#This Row],[No. Empaques]]*1))</f>
        <v/>
      </c>
      <c r="G779" s="7" t="str">
        <f>IF(Plantilla_SCAN_EQ3_COUNT_2[[#This Row],[ID MATERIAL]]="","","PZ")</f>
        <v/>
      </c>
      <c r="H779" s="7" t="str">
        <f>IF(Plantilla_SCAN_EQ3_COUNT_2[[#This Row],[ID MATERIAL]]="","",$B$13)</f>
        <v/>
      </c>
      <c r="I779" s="7" t="str">
        <f>IF(Plantilla_SCAN_EQ3_COUNT_2[[#This Row],[ID MATERIAL]]="","","Segundo Conteo")</f>
        <v/>
      </c>
    </row>
    <row r="780" spans="1:9" s="7" customFormat="1" ht="15" x14ac:dyDescent="0.2">
      <c r="A780" s="7" t="str">
        <f>IF(Plantilla_SCAN_EQ3_COUNT_2[[#This Row],[ID MATERIAL]]="","",SIGN(Plantilla_SCAN_EQ3_COUNT_2[[#This Row],[Cantidad]])+A779)</f>
        <v/>
      </c>
      <c r="B780" s="21" t="str">
        <f>IF(Plantilla_SCAN_EQ3_COUNT_2[[#This Row],[ID MATERIAL]]="","",B779)</f>
        <v/>
      </c>
      <c r="C780" s="21"/>
      <c r="D780" s="21"/>
      <c r="E780" s="7" t="str">
        <f>IF(Plantilla_SCAN_EQ3_COUNT_2[[#This Row],[ID MATERIAL]]="","",VLOOKUP(Plantilla_SCAN_EQ3_COUNT_2[[#This Row],[ID MATERIAL]],INVENTARIO!$A:$D,2,FALSE))</f>
        <v/>
      </c>
      <c r="F780" s="7" t="str">
        <f>IF(Plantilla_SCAN_EQ3_COUNT_2[[#This Row],[ID MATERIAL]]="","",IF(Plantilla_SCAN_EQ3_COUNT_2[[#This Row],[No. Empaques]]="",1,Plantilla_SCAN_EQ3_COUNT_2[[#This Row],[No. Empaques]]*1))</f>
        <v/>
      </c>
      <c r="G780" s="7" t="str">
        <f>IF(Plantilla_SCAN_EQ3_COUNT_2[[#This Row],[ID MATERIAL]]="","","PZ")</f>
        <v/>
      </c>
      <c r="H780" s="7" t="str">
        <f>IF(Plantilla_SCAN_EQ3_COUNT_2[[#This Row],[ID MATERIAL]]="","",$B$13)</f>
        <v/>
      </c>
      <c r="I780" s="7" t="str">
        <f>IF(Plantilla_SCAN_EQ3_COUNT_2[[#This Row],[ID MATERIAL]]="","","Segundo Conteo")</f>
        <v/>
      </c>
    </row>
    <row r="781" spans="1:9" s="7" customFormat="1" ht="15" x14ac:dyDescent="0.2">
      <c r="A781" s="7" t="str">
        <f>IF(Plantilla_SCAN_EQ3_COUNT_2[[#This Row],[ID MATERIAL]]="","",SIGN(Plantilla_SCAN_EQ3_COUNT_2[[#This Row],[Cantidad]])+A780)</f>
        <v/>
      </c>
      <c r="B781" s="21" t="str">
        <f>IF(Plantilla_SCAN_EQ3_COUNT_2[[#This Row],[ID MATERIAL]]="","",B780)</f>
        <v/>
      </c>
      <c r="C781" s="21"/>
      <c r="D781" s="21"/>
      <c r="E781" s="7" t="str">
        <f>IF(Plantilla_SCAN_EQ3_COUNT_2[[#This Row],[ID MATERIAL]]="","",VLOOKUP(Plantilla_SCAN_EQ3_COUNT_2[[#This Row],[ID MATERIAL]],INVENTARIO!$A:$D,2,FALSE))</f>
        <v/>
      </c>
      <c r="F781" s="7" t="str">
        <f>IF(Plantilla_SCAN_EQ3_COUNT_2[[#This Row],[ID MATERIAL]]="","",IF(Plantilla_SCAN_EQ3_COUNT_2[[#This Row],[No. Empaques]]="",1,Plantilla_SCAN_EQ3_COUNT_2[[#This Row],[No. Empaques]]*1))</f>
        <v/>
      </c>
      <c r="G781" s="7" t="str">
        <f>IF(Plantilla_SCAN_EQ3_COUNT_2[[#This Row],[ID MATERIAL]]="","","PZ")</f>
        <v/>
      </c>
      <c r="H781" s="7" t="str">
        <f>IF(Plantilla_SCAN_EQ3_COUNT_2[[#This Row],[ID MATERIAL]]="","",$B$13)</f>
        <v/>
      </c>
      <c r="I781" s="7" t="str">
        <f>IF(Plantilla_SCAN_EQ3_COUNT_2[[#This Row],[ID MATERIAL]]="","","Segundo Conteo")</f>
        <v/>
      </c>
    </row>
    <row r="782" spans="1:9" s="7" customFormat="1" ht="15" x14ac:dyDescent="0.2">
      <c r="A782" s="7" t="str">
        <f>IF(Plantilla_SCAN_EQ3_COUNT_2[[#This Row],[ID MATERIAL]]="","",SIGN(Plantilla_SCAN_EQ3_COUNT_2[[#This Row],[Cantidad]])+A781)</f>
        <v/>
      </c>
      <c r="B782" s="21" t="str">
        <f>IF(Plantilla_SCAN_EQ3_COUNT_2[[#This Row],[ID MATERIAL]]="","",B781)</f>
        <v/>
      </c>
      <c r="C782" s="21"/>
      <c r="D782" s="21"/>
      <c r="E782" s="7" t="str">
        <f>IF(Plantilla_SCAN_EQ3_COUNT_2[[#This Row],[ID MATERIAL]]="","",VLOOKUP(Plantilla_SCAN_EQ3_COUNT_2[[#This Row],[ID MATERIAL]],INVENTARIO!$A:$D,2,FALSE))</f>
        <v/>
      </c>
      <c r="F782" s="7" t="str">
        <f>IF(Plantilla_SCAN_EQ3_COUNT_2[[#This Row],[ID MATERIAL]]="","",IF(Plantilla_SCAN_EQ3_COUNT_2[[#This Row],[No. Empaques]]="",1,Plantilla_SCAN_EQ3_COUNT_2[[#This Row],[No. Empaques]]*1))</f>
        <v/>
      </c>
      <c r="G782" s="7" t="str">
        <f>IF(Plantilla_SCAN_EQ3_COUNT_2[[#This Row],[ID MATERIAL]]="","","PZ")</f>
        <v/>
      </c>
      <c r="H782" s="7" t="str">
        <f>IF(Plantilla_SCAN_EQ3_COUNT_2[[#This Row],[ID MATERIAL]]="","",$B$13)</f>
        <v/>
      </c>
      <c r="I782" s="7" t="str">
        <f>IF(Plantilla_SCAN_EQ3_COUNT_2[[#This Row],[ID MATERIAL]]="","","Segundo Conteo")</f>
        <v/>
      </c>
    </row>
    <row r="783" spans="1:9" s="7" customFormat="1" ht="15" x14ac:dyDescent="0.2">
      <c r="A783" s="7" t="str">
        <f>IF(Plantilla_SCAN_EQ3_COUNT_2[[#This Row],[ID MATERIAL]]="","",SIGN(Plantilla_SCAN_EQ3_COUNT_2[[#This Row],[Cantidad]])+A782)</f>
        <v/>
      </c>
      <c r="B783" s="21" t="str">
        <f>IF(Plantilla_SCAN_EQ3_COUNT_2[[#This Row],[ID MATERIAL]]="","",B782)</f>
        <v/>
      </c>
      <c r="C783" s="21"/>
      <c r="D783" s="21"/>
      <c r="E783" s="7" t="str">
        <f>IF(Plantilla_SCAN_EQ3_COUNT_2[[#This Row],[ID MATERIAL]]="","",VLOOKUP(Plantilla_SCAN_EQ3_COUNT_2[[#This Row],[ID MATERIAL]],INVENTARIO!$A:$D,2,FALSE))</f>
        <v/>
      </c>
      <c r="F783" s="7" t="str">
        <f>IF(Plantilla_SCAN_EQ3_COUNT_2[[#This Row],[ID MATERIAL]]="","",IF(Plantilla_SCAN_EQ3_COUNT_2[[#This Row],[No. Empaques]]="",1,Plantilla_SCAN_EQ3_COUNT_2[[#This Row],[No. Empaques]]*1))</f>
        <v/>
      </c>
      <c r="G783" s="7" t="str">
        <f>IF(Plantilla_SCAN_EQ3_COUNT_2[[#This Row],[ID MATERIAL]]="","","PZ")</f>
        <v/>
      </c>
      <c r="H783" s="7" t="str">
        <f>IF(Plantilla_SCAN_EQ3_COUNT_2[[#This Row],[ID MATERIAL]]="","",$B$13)</f>
        <v/>
      </c>
      <c r="I783" s="7" t="str">
        <f>IF(Plantilla_SCAN_EQ3_COUNT_2[[#This Row],[ID MATERIAL]]="","","Segundo Conteo")</f>
        <v/>
      </c>
    </row>
    <row r="784" spans="1:9" s="7" customFormat="1" ht="15" x14ac:dyDescent="0.2">
      <c r="A784" s="7" t="str">
        <f>IF(Plantilla_SCAN_EQ3_COUNT_2[[#This Row],[ID MATERIAL]]="","",SIGN(Plantilla_SCAN_EQ3_COUNT_2[[#This Row],[Cantidad]])+A783)</f>
        <v/>
      </c>
      <c r="B784" s="21" t="str">
        <f>IF(Plantilla_SCAN_EQ3_COUNT_2[[#This Row],[ID MATERIAL]]="","",B783)</f>
        <v/>
      </c>
      <c r="C784" s="21"/>
      <c r="D784" s="21"/>
      <c r="E784" s="7" t="str">
        <f>IF(Plantilla_SCAN_EQ3_COUNT_2[[#This Row],[ID MATERIAL]]="","",VLOOKUP(Plantilla_SCAN_EQ3_COUNT_2[[#This Row],[ID MATERIAL]],INVENTARIO!$A:$D,2,FALSE))</f>
        <v/>
      </c>
      <c r="F784" s="7" t="str">
        <f>IF(Plantilla_SCAN_EQ3_COUNT_2[[#This Row],[ID MATERIAL]]="","",IF(Plantilla_SCAN_EQ3_COUNT_2[[#This Row],[No. Empaques]]="",1,Plantilla_SCAN_EQ3_COUNT_2[[#This Row],[No. Empaques]]*1))</f>
        <v/>
      </c>
      <c r="G784" s="7" t="str">
        <f>IF(Plantilla_SCAN_EQ3_COUNT_2[[#This Row],[ID MATERIAL]]="","","PZ")</f>
        <v/>
      </c>
      <c r="H784" s="7" t="str">
        <f>IF(Plantilla_SCAN_EQ3_COUNT_2[[#This Row],[ID MATERIAL]]="","",$B$13)</f>
        <v/>
      </c>
      <c r="I784" s="7" t="str">
        <f>IF(Plantilla_SCAN_EQ3_COUNT_2[[#This Row],[ID MATERIAL]]="","","Segundo Conteo")</f>
        <v/>
      </c>
    </row>
    <row r="785" spans="1:9" s="7" customFormat="1" ht="15" x14ac:dyDescent="0.2">
      <c r="A785" s="7" t="str">
        <f>IF(Plantilla_SCAN_EQ3_COUNT_2[[#This Row],[ID MATERIAL]]="","",SIGN(Plantilla_SCAN_EQ3_COUNT_2[[#This Row],[Cantidad]])+A784)</f>
        <v/>
      </c>
      <c r="B785" s="21" t="str">
        <f>IF(Plantilla_SCAN_EQ3_COUNT_2[[#This Row],[ID MATERIAL]]="","",B784)</f>
        <v/>
      </c>
      <c r="C785" s="21"/>
      <c r="D785" s="21"/>
      <c r="E785" s="7" t="str">
        <f>IF(Plantilla_SCAN_EQ3_COUNT_2[[#This Row],[ID MATERIAL]]="","",VLOOKUP(Plantilla_SCAN_EQ3_COUNT_2[[#This Row],[ID MATERIAL]],INVENTARIO!$A:$D,2,FALSE))</f>
        <v/>
      </c>
      <c r="F785" s="7" t="str">
        <f>IF(Plantilla_SCAN_EQ3_COUNT_2[[#This Row],[ID MATERIAL]]="","",IF(Plantilla_SCAN_EQ3_COUNT_2[[#This Row],[No. Empaques]]="",1,Plantilla_SCAN_EQ3_COUNT_2[[#This Row],[No. Empaques]]*1))</f>
        <v/>
      </c>
      <c r="G785" s="7" t="str">
        <f>IF(Plantilla_SCAN_EQ3_COUNT_2[[#This Row],[ID MATERIAL]]="","","PZ")</f>
        <v/>
      </c>
      <c r="H785" s="7" t="str">
        <f>IF(Plantilla_SCAN_EQ3_COUNT_2[[#This Row],[ID MATERIAL]]="","",$B$13)</f>
        <v/>
      </c>
      <c r="I785" s="7" t="str">
        <f>IF(Plantilla_SCAN_EQ3_COUNT_2[[#This Row],[ID MATERIAL]]="","","Segundo Conteo")</f>
        <v/>
      </c>
    </row>
    <row r="786" spans="1:9" s="7" customFormat="1" ht="15" x14ac:dyDescent="0.2">
      <c r="A786" s="7" t="str">
        <f>IF(Plantilla_SCAN_EQ3_COUNT_2[[#This Row],[ID MATERIAL]]="","",SIGN(Plantilla_SCAN_EQ3_COUNT_2[[#This Row],[Cantidad]])+A785)</f>
        <v/>
      </c>
      <c r="B786" s="21" t="str">
        <f>IF(Plantilla_SCAN_EQ3_COUNT_2[[#This Row],[ID MATERIAL]]="","",B785)</f>
        <v/>
      </c>
      <c r="C786" s="21"/>
      <c r="D786" s="21"/>
      <c r="E786" s="7" t="str">
        <f>IF(Plantilla_SCAN_EQ3_COUNT_2[[#This Row],[ID MATERIAL]]="","",VLOOKUP(Plantilla_SCAN_EQ3_COUNT_2[[#This Row],[ID MATERIAL]],INVENTARIO!$A:$D,2,FALSE))</f>
        <v/>
      </c>
      <c r="F786" s="7" t="str">
        <f>IF(Plantilla_SCAN_EQ3_COUNT_2[[#This Row],[ID MATERIAL]]="","",IF(Plantilla_SCAN_EQ3_COUNT_2[[#This Row],[No. Empaques]]="",1,Plantilla_SCAN_EQ3_COUNT_2[[#This Row],[No. Empaques]]*1))</f>
        <v/>
      </c>
      <c r="G786" s="7" t="str">
        <f>IF(Plantilla_SCAN_EQ3_COUNT_2[[#This Row],[ID MATERIAL]]="","","PZ")</f>
        <v/>
      </c>
      <c r="H786" s="7" t="str">
        <f>IF(Plantilla_SCAN_EQ3_COUNT_2[[#This Row],[ID MATERIAL]]="","",$B$13)</f>
        <v/>
      </c>
      <c r="I786" s="7" t="str">
        <f>IF(Plantilla_SCAN_EQ3_COUNT_2[[#This Row],[ID MATERIAL]]="","","Segundo Conteo")</f>
        <v/>
      </c>
    </row>
    <row r="787" spans="1:9" s="7" customFormat="1" ht="15" x14ac:dyDescent="0.2">
      <c r="A787" s="7" t="str">
        <f>IF(Plantilla_SCAN_EQ3_COUNT_2[[#This Row],[ID MATERIAL]]="","",SIGN(Plantilla_SCAN_EQ3_COUNT_2[[#This Row],[Cantidad]])+A786)</f>
        <v/>
      </c>
      <c r="B787" s="21" t="str">
        <f>IF(Plantilla_SCAN_EQ3_COUNT_2[[#This Row],[ID MATERIAL]]="","",B786)</f>
        <v/>
      </c>
      <c r="C787" s="21"/>
      <c r="D787" s="21"/>
      <c r="E787" s="7" t="str">
        <f>IF(Plantilla_SCAN_EQ3_COUNT_2[[#This Row],[ID MATERIAL]]="","",VLOOKUP(Plantilla_SCAN_EQ3_COUNT_2[[#This Row],[ID MATERIAL]],INVENTARIO!$A:$D,2,FALSE))</f>
        <v/>
      </c>
      <c r="F787" s="7" t="str">
        <f>IF(Plantilla_SCAN_EQ3_COUNT_2[[#This Row],[ID MATERIAL]]="","",IF(Plantilla_SCAN_EQ3_COUNT_2[[#This Row],[No. Empaques]]="",1,Plantilla_SCAN_EQ3_COUNT_2[[#This Row],[No. Empaques]]*1))</f>
        <v/>
      </c>
      <c r="G787" s="7" t="str">
        <f>IF(Plantilla_SCAN_EQ3_COUNT_2[[#This Row],[ID MATERIAL]]="","","PZ")</f>
        <v/>
      </c>
      <c r="H787" s="7" t="str">
        <f>IF(Plantilla_SCAN_EQ3_COUNT_2[[#This Row],[ID MATERIAL]]="","",$B$13)</f>
        <v/>
      </c>
      <c r="I787" s="7" t="str">
        <f>IF(Plantilla_SCAN_EQ3_COUNT_2[[#This Row],[ID MATERIAL]]="","","Segundo Conteo")</f>
        <v/>
      </c>
    </row>
    <row r="788" spans="1:9" s="7" customFormat="1" ht="15" x14ac:dyDescent="0.2">
      <c r="A788" s="7" t="str">
        <f>IF(Plantilla_SCAN_EQ3_COUNT_2[[#This Row],[ID MATERIAL]]="","",SIGN(Plantilla_SCAN_EQ3_COUNT_2[[#This Row],[Cantidad]])+A787)</f>
        <v/>
      </c>
      <c r="B788" s="21" t="str">
        <f>IF(Plantilla_SCAN_EQ3_COUNT_2[[#This Row],[ID MATERIAL]]="","",B787)</f>
        <v/>
      </c>
      <c r="C788" s="21"/>
      <c r="D788" s="21"/>
      <c r="E788" s="7" t="str">
        <f>IF(Plantilla_SCAN_EQ3_COUNT_2[[#This Row],[ID MATERIAL]]="","",VLOOKUP(Plantilla_SCAN_EQ3_COUNT_2[[#This Row],[ID MATERIAL]],INVENTARIO!$A:$D,2,FALSE))</f>
        <v/>
      </c>
      <c r="F788" s="7" t="str">
        <f>IF(Plantilla_SCAN_EQ3_COUNT_2[[#This Row],[ID MATERIAL]]="","",IF(Plantilla_SCAN_EQ3_COUNT_2[[#This Row],[No. Empaques]]="",1,Plantilla_SCAN_EQ3_COUNT_2[[#This Row],[No. Empaques]]*1))</f>
        <v/>
      </c>
      <c r="G788" s="7" t="str">
        <f>IF(Plantilla_SCAN_EQ3_COUNT_2[[#This Row],[ID MATERIAL]]="","","PZ")</f>
        <v/>
      </c>
      <c r="H788" s="7" t="str">
        <f>IF(Plantilla_SCAN_EQ3_COUNT_2[[#This Row],[ID MATERIAL]]="","",$B$13)</f>
        <v/>
      </c>
      <c r="I788" s="7" t="str">
        <f>IF(Plantilla_SCAN_EQ3_COUNT_2[[#This Row],[ID MATERIAL]]="","","Segundo Conteo")</f>
        <v/>
      </c>
    </row>
    <row r="789" spans="1:9" s="7" customFormat="1" ht="15" x14ac:dyDescent="0.2">
      <c r="A789" s="7" t="str">
        <f>IF(Plantilla_SCAN_EQ3_COUNT_2[[#This Row],[ID MATERIAL]]="","",SIGN(Plantilla_SCAN_EQ3_COUNT_2[[#This Row],[Cantidad]])+A788)</f>
        <v/>
      </c>
      <c r="B789" s="21" t="str">
        <f>IF(Plantilla_SCAN_EQ3_COUNT_2[[#This Row],[ID MATERIAL]]="","",B788)</f>
        <v/>
      </c>
      <c r="C789" s="21"/>
      <c r="D789" s="21"/>
      <c r="E789" s="7" t="str">
        <f>IF(Plantilla_SCAN_EQ3_COUNT_2[[#This Row],[ID MATERIAL]]="","",VLOOKUP(Plantilla_SCAN_EQ3_COUNT_2[[#This Row],[ID MATERIAL]],INVENTARIO!$A:$D,2,FALSE))</f>
        <v/>
      </c>
      <c r="F789" s="7" t="str">
        <f>IF(Plantilla_SCAN_EQ3_COUNT_2[[#This Row],[ID MATERIAL]]="","",IF(Plantilla_SCAN_EQ3_COUNT_2[[#This Row],[No. Empaques]]="",1,Plantilla_SCAN_EQ3_COUNT_2[[#This Row],[No. Empaques]]*1))</f>
        <v/>
      </c>
      <c r="G789" s="7" t="str">
        <f>IF(Plantilla_SCAN_EQ3_COUNT_2[[#This Row],[ID MATERIAL]]="","","PZ")</f>
        <v/>
      </c>
      <c r="H789" s="7" t="str">
        <f>IF(Plantilla_SCAN_EQ3_COUNT_2[[#This Row],[ID MATERIAL]]="","",$B$13)</f>
        <v/>
      </c>
      <c r="I789" s="7" t="str">
        <f>IF(Plantilla_SCAN_EQ3_COUNT_2[[#This Row],[ID MATERIAL]]="","","Segundo Conteo")</f>
        <v/>
      </c>
    </row>
    <row r="790" spans="1:9" s="7" customFormat="1" ht="15" x14ac:dyDescent="0.2">
      <c r="A790" s="7" t="str">
        <f>IF(Plantilla_SCAN_EQ3_COUNT_2[[#This Row],[ID MATERIAL]]="","",SIGN(Plantilla_SCAN_EQ3_COUNT_2[[#This Row],[Cantidad]])+A789)</f>
        <v/>
      </c>
      <c r="B790" s="21" t="str">
        <f>IF(Plantilla_SCAN_EQ3_COUNT_2[[#This Row],[ID MATERIAL]]="","",B789)</f>
        <v/>
      </c>
      <c r="C790" s="21"/>
      <c r="D790" s="21"/>
      <c r="E790" s="7" t="str">
        <f>IF(Plantilla_SCAN_EQ3_COUNT_2[[#This Row],[ID MATERIAL]]="","",VLOOKUP(Plantilla_SCAN_EQ3_COUNT_2[[#This Row],[ID MATERIAL]],INVENTARIO!$A:$D,2,FALSE))</f>
        <v/>
      </c>
      <c r="F790" s="7" t="str">
        <f>IF(Plantilla_SCAN_EQ3_COUNT_2[[#This Row],[ID MATERIAL]]="","",IF(Plantilla_SCAN_EQ3_COUNT_2[[#This Row],[No. Empaques]]="",1,Plantilla_SCAN_EQ3_COUNT_2[[#This Row],[No. Empaques]]*1))</f>
        <v/>
      </c>
      <c r="G790" s="7" t="str">
        <f>IF(Plantilla_SCAN_EQ3_COUNT_2[[#This Row],[ID MATERIAL]]="","","PZ")</f>
        <v/>
      </c>
      <c r="H790" s="7" t="str">
        <f>IF(Plantilla_SCAN_EQ3_COUNT_2[[#This Row],[ID MATERIAL]]="","",$B$13)</f>
        <v/>
      </c>
      <c r="I790" s="7" t="str">
        <f>IF(Plantilla_SCAN_EQ3_COUNT_2[[#This Row],[ID MATERIAL]]="","","Segundo Conteo")</f>
        <v/>
      </c>
    </row>
    <row r="791" spans="1:9" s="7" customFormat="1" ht="15" x14ac:dyDescent="0.2">
      <c r="A791" s="7" t="str">
        <f>IF(Plantilla_SCAN_EQ3_COUNT_2[[#This Row],[ID MATERIAL]]="","",SIGN(Plantilla_SCAN_EQ3_COUNT_2[[#This Row],[Cantidad]])+A790)</f>
        <v/>
      </c>
      <c r="B791" s="21" t="str">
        <f>IF(Plantilla_SCAN_EQ3_COUNT_2[[#This Row],[ID MATERIAL]]="","",B790)</f>
        <v/>
      </c>
      <c r="C791" s="21"/>
      <c r="D791" s="21"/>
      <c r="E791" s="7" t="str">
        <f>IF(Plantilla_SCAN_EQ3_COUNT_2[[#This Row],[ID MATERIAL]]="","",VLOOKUP(Plantilla_SCAN_EQ3_COUNT_2[[#This Row],[ID MATERIAL]],INVENTARIO!$A:$D,2,FALSE))</f>
        <v/>
      </c>
      <c r="F791" s="7" t="str">
        <f>IF(Plantilla_SCAN_EQ3_COUNT_2[[#This Row],[ID MATERIAL]]="","",IF(Plantilla_SCAN_EQ3_COUNT_2[[#This Row],[No. Empaques]]="",1,Plantilla_SCAN_EQ3_COUNT_2[[#This Row],[No. Empaques]]*1))</f>
        <v/>
      </c>
      <c r="G791" s="7" t="str">
        <f>IF(Plantilla_SCAN_EQ3_COUNT_2[[#This Row],[ID MATERIAL]]="","","PZ")</f>
        <v/>
      </c>
      <c r="H791" s="7" t="str">
        <f>IF(Plantilla_SCAN_EQ3_COUNT_2[[#This Row],[ID MATERIAL]]="","",$B$13)</f>
        <v/>
      </c>
      <c r="I791" s="7" t="str">
        <f>IF(Plantilla_SCAN_EQ3_COUNT_2[[#This Row],[ID MATERIAL]]="","","Segundo Conteo")</f>
        <v/>
      </c>
    </row>
    <row r="792" spans="1:9" s="7" customFormat="1" ht="15" x14ac:dyDescent="0.2">
      <c r="A792" s="7" t="str">
        <f>IF(Plantilla_SCAN_EQ3_COUNT_2[[#This Row],[ID MATERIAL]]="","",SIGN(Plantilla_SCAN_EQ3_COUNT_2[[#This Row],[Cantidad]])+A791)</f>
        <v/>
      </c>
      <c r="B792" s="21" t="str">
        <f>IF(Plantilla_SCAN_EQ3_COUNT_2[[#This Row],[ID MATERIAL]]="","",B791)</f>
        <v/>
      </c>
      <c r="C792" s="21"/>
      <c r="D792" s="21"/>
      <c r="E792" s="7" t="str">
        <f>IF(Plantilla_SCAN_EQ3_COUNT_2[[#This Row],[ID MATERIAL]]="","",VLOOKUP(Plantilla_SCAN_EQ3_COUNT_2[[#This Row],[ID MATERIAL]],INVENTARIO!$A:$D,2,FALSE))</f>
        <v/>
      </c>
      <c r="F792" s="7" t="str">
        <f>IF(Plantilla_SCAN_EQ3_COUNT_2[[#This Row],[ID MATERIAL]]="","",IF(Plantilla_SCAN_EQ3_COUNT_2[[#This Row],[No. Empaques]]="",1,Plantilla_SCAN_EQ3_COUNT_2[[#This Row],[No. Empaques]]*1))</f>
        <v/>
      </c>
      <c r="G792" s="7" t="str">
        <f>IF(Plantilla_SCAN_EQ3_COUNT_2[[#This Row],[ID MATERIAL]]="","","PZ")</f>
        <v/>
      </c>
      <c r="H792" s="7" t="str">
        <f>IF(Plantilla_SCAN_EQ3_COUNT_2[[#This Row],[ID MATERIAL]]="","",$B$13)</f>
        <v/>
      </c>
      <c r="I792" s="7" t="str">
        <f>IF(Plantilla_SCAN_EQ3_COUNT_2[[#This Row],[ID MATERIAL]]="","","Segundo Conteo")</f>
        <v/>
      </c>
    </row>
    <row r="793" spans="1:9" s="7" customFormat="1" ht="15" x14ac:dyDescent="0.2">
      <c r="A793" s="7" t="str">
        <f>IF(Plantilla_SCAN_EQ3_COUNT_2[[#This Row],[ID MATERIAL]]="","",SIGN(Plantilla_SCAN_EQ3_COUNT_2[[#This Row],[Cantidad]])+A792)</f>
        <v/>
      </c>
      <c r="B793" s="21" t="str">
        <f>IF(Plantilla_SCAN_EQ3_COUNT_2[[#This Row],[ID MATERIAL]]="","",B792)</f>
        <v/>
      </c>
      <c r="C793" s="21"/>
      <c r="D793" s="21"/>
      <c r="E793" s="7" t="str">
        <f>IF(Plantilla_SCAN_EQ3_COUNT_2[[#This Row],[ID MATERIAL]]="","",VLOOKUP(Plantilla_SCAN_EQ3_COUNT_2[[#This Row],[ID MATERIAL]],INVENTARIO!$A:$D,2,FALSE))</f>
        <v/>
      </c>
      <c r="F793" s="7" t="str">
        <f>IF(Plantilla_SCAN_EQ3_COUNT_2[[#This Row],[ID MATERIAL]]="","",IF(Plantilla_SCAN_EQ3_COUNT_2[[#This Row],[No. Empaques]]="",1,Plantilla_SCAN_EQ3_COUNT_2[[#This Row],[No. Empaques]]*1))</f>
        <v/>
      </c>
      <c r="G793" s="7" t="str">
        <f>IF(Plantilla_SCAN_EQ3_COUNT_2[[#This Row],[ID MATERIAL]]="","","PZ")</f>
        <v/>
      </c>
      <c r="H793" s="7" t="str">
        <f>IF(Plantilla_SCAN_EQ3_COUNT_2[[#This Row],[ID MATERIAL]]="","",$B$13)</f>
        <v/>
      </c>
      <c r="I793" s="7" t="str">
        <f>IF(Plantilla_SCAN_EQ3_COUNT_2[[#This Row],[ID MATERIAL]]="","","Segundo Conteo")</f>
        <v/>
      </c>
    </row>
    <row r="794" spans="1:9" s="7" customFormat="1" ht="15" x14ac:dyDescent="0.2">
      <c r="A794" s="7" t="str">
        <f>IF(Plantilla_SCAN_EQ3_COUNT_2[[#This Row],[ID MATERIAL]]="","",SIGN(Plantilla_SCAN_EQ3_COUNT_2[[#This Row],[Cantidad]])+A793)</f>
        <v/>
      </c>
      <c r="B794" s="21" t="str">
        <f>IF(Plantilla_SCAN_EQ3_COUNT_2[[#This Row],[ID MATERIAL]]="","",B793)</f>
        <v/>
      </c>
      <c r="C794" s="21"/>
      <c r="D794" s="21"/>
      <c r="E794" s="7" t="str">
        <f>IF(Plantilla_SCAN_EQ3_COUNT_2[[#This Row],[ID MATERIAL]]="","",VLOOKUP(Plantilla_SCAN_EQ3_COUNT_2[[#This Row],[ID MATERIAL]],INVENTARIO!$A:$D,2,FALSE))</f>
        <v/>
      </c>
      <c r="F794" s="7" t="str">
        <f>IF(Plantilla_SCAN_EQ3_COUNT_2[[#This Row],[ID MATERIAL]]="","",IF(Plantilla_SCAN_EQ3_COUNT_2[[#This Row],[No. Empaques]]="",1,Plantilla_SCAN_EQ3_COUNT_2[[#This Row],[No. Empaques]]*1))</f>
        <v/>
      </c>
      <c r="G794" s="7" t="str">
        <f>IF(Plantilla_SCAN_EQ3_COUNT_2[[#This Row],[ID MATERIAL]]="","","PZ")</f>
        <v/>
      </c>
      <c r="H794" s="7" t="str">
        <f>IF(Plantilla_SCAN_EQ3_COUNT_2[[#This Row],[ID MATERIAL]]="","",$B$13)</f>
        <v/>
      </c>
      <c r="I794" s="7" t="str">
        <f>IF(Plantilla_SCAN_EQ3_COUNT_2[[#This Row],[ID MATERIAL]]="","","Segundo Conteo")</f>
        <v/>
      </c>
    </row>
    <row r="795" spans="1:9" s="7" customFormat="1" ht="15" x14ac:dyDescent="0.2">
      <c r="A795" s="7" t="str">
        <f>IF(Plantilla_SCAN_EQ3_COUNT_2[[#This Row],[ID MATERIAL]]="","",SIGN(Plantilla_SCAN_EQ3_COUNT_2[[#This Row],[Cantidad]])+A794)</f>
        <v/>
      </c>
      <c r="B795" s="21" t="str">
        <f>IF(Plantilla_SCAN_EQ3_COUNT_2[[#This Row],[ID MATERIAL]]="","",B794)</f>
        <v/>
      </c>
      <c r="C795" s="21"/>
      <c r="D795" s="21"/>
      <c r="E795" s="7" t="str">
        <f>IF(Plantilla_SCAN_EQ3_COUNT_2[[#This Row],[ID MATERIAL]]="","",VLOOKUP(Plantilla_SCAN_EQ3_COUNT_2[[#This Row],[ID MATERIAL]],INVENTARIO!$A:$D,2,FALSE))</f>
        <v/>
      </c>
      <c r="F795" s="7" t="str">
        <f>IF(Plantilla_SCAN_EQ3_COUNT_2[[#This Row],[ID MATERIAL]]="","",IF(Plantilla_SCAN_EQ3_COUNT_2[[#This Row],[No. Empaques]]="",1,Plantilla_SCAN_EQ3_COUNT_2[[#This Row],[No. Empaques]]*1))</f>
        <v/>
      </c>
      <c r="G795" s="7" t="str">
        <f>IF(Plantilla_SCAN_EQ3_COUNT_2[[#This Row],[ID MATERIAL]]="","","PZ")</f>
        <v/>
      </c>
      <c r="H795" s="7" t="str">
        <f>IF(Plantilla_SCAN_EQ3_COUNT_2[[#This Row],[ID MATERIAL]]="","",$B$13)</f>
        <v/>
      </c>
      <c r="I795" s="7" t="str">
        <f>IF(Plantilla_SCAN_EQ3_COUNT_2[[#This Row],[ID MATERIAL]]="","","Segundo Conteo")</f>
        <v/>
      </c>
    </row>
    <row r="796" spans="1:9" s="7" customFormat="1" ht="15" x14ac:dyDescent="0.2">
      <c r="A796" s="7" t="str">
        <f>IF(Plantilla_SCAN_EQ3_COUNT_2[[#This Row],[ID MATERIAL]]="","",SIGN(Plantilla_SCAN_EQ3_COUNT_2[[#This Row],[Cantidad]])+A795)</f>
        <v/>
      </c>
      <c r="B796" s="21" t="str">
        <f>IF(Plantilla_SCAN_EQ3_COUNT_2[[#This Row],[ID MATERIAL]]="","",B795)</f>
        <v/>
      </c>
      <c r="C796" s="21"/>
      <c r="D796" s="21"/>
      <c r="E796" s="7" t="str">
        <f>IF(Plantilla_SCAN_EQ3_COUNT_2[[#This Row],[ID MATERIAL]]="","",VLOOKUP(Plantilla_SCAN_EQ3_COUNT_2[[#This Row],[ID MATERIAL]],INVENTARIO!$A:$D,2,FALSE))</f>
        <v/>
      </c>
      <c r="F796" s="7" t="str">
        <f>IF(Plantilla_SCAN_EQ3_COUNT_2[[#This Row],[ID MATERIAL]]="","",IF(Plantilla_SCAN_EQ3_COUNT_2[[#This Row],[No. Empaques]]="",1,Plantilla_SCAN_EQ3_COUNT_2[[#This Row],[No. Empaques]]*1))</f>
        <v/>
      </c>
      <c r="G796" s="7" t="str">
        <f>IF(Plantilla_SCAN_EQ3_COUNT_2[[#This Row],[ID MATERIAL]]="","","PZ")</f>
        <v/>
      </c>
      <c r="H796" s="7" t="str">
        <f>IF(Plantilla_SCAN_EQ3_COUNT_2[[#This Row],[ID MATERIAL]]="","",$B$13)</f>
        <v/>
      </c>
      <c r="I796" s="7" t="str">
        <f>IF(Plantilla_SCAN_EQ3_COUNT_2[[#This Row],[ID MATERIAL]]="","","Segundo Conteo")</f>
        <v/>
      </c>
    </row>
    <row r="797" spans="1:9" s="7" customFormat="1" ht="15" x14ac:dyDescent="0.2">
      <c r="A797" s="7" t="str">
        <f>IF(Plantilla_SCAN_EQ3_COUNT_2[[#This Row],[ID MATERIAL]]="","",SIGN(Plantilla_SCAN_EQ3_COUNT_2[[#This Row],[Cantidad]])+A796)</f>
        <v/>
      </c>
      <c r="B797" s="21" t="str">
        <f>IF(Plantilla_SCAN_EQ3_COUNT_2[[#This Row],[ID MATERIAL]]="","",B796)</f>
        <v/>
      </c>
      <c r="C797" s="21"/>
      <c r="D797" s="21"/>
      <c r="E797" s="7" t="str">
        <f>IF(Plantilla_SCAN_EQ3_COUNT_2[[#This Row],[ID MATERIAL]]="","",VLOOKUP(Plantilla_SCAN_EQ3_COUNT_2[[#This Row],[ID MATERIAL]],INVENTARIO!$A:$D,2,FALSE))</f>
        <v/>
      </c>
      <c r="F797" s="7" t="str">
        <f>IF(Plantilla_SCAN_EQ3_COUNT_2[[#This Row],[ID MATERIAL]]="","",IF(Plantilla_SCAN_EQ3_COUNT_2[[#This Row],[No. Empaques]]="",1,Plantilla_SCAN_EQ3_COUNT_2[[#This Row],[No. Empaques]]*1))</f>
        <v/>
      </c>
      <c r="G797" s="7" t="str">
        <f>IF(Plantilla_SCAN_EQ3_COUNT_2[[#This Row],[ID MATERIAL]]="","","PZ")</f>
        <v/>
      </c>
      <c r="H797" s="7" t="str">
        <f>IF(Plantilla_SCAN_EQ3_COUNT_2[[#This Row],[ID MATERIAL]]="","",$B$13)</f>
        <v/>
      </c>
      <c r="I797" s="7" t="str">
        <f>IF(Plantilla_SCAN_EQ3_COUNT_2[[#This Row],[ID MATERIAL]]="","","Segundo Conteo")</f>
        <v/>
      </c>
    </row>
    <row r="798" spans="1:9" s="7" customFormat="1" ht="15" x14ac:dyDescent="0.2">
      <c r="A798" s="7" t="str">
        <f>IF(Plantilla_SCAN_EQ3_COUNT_2[[#This Row],[ID MATERIAL]]="","",SIGN(Plantilla_SCAN_EQ3_COUNT_2[[#This Row],[Cantidad]])+A797)</f>
        <v/>
      </c>
      <c r="B798" s="21" t="str">
        <f>IF(Plantilla_SCAN_EQ3_COUNT_2[[#This Row],[ID MATERIAL]]="","",B797)</f>
        <v/>
      </c>
      <c r="C798" s="21"/>
      <c r="D798" s="21"/>
      <c r="E798" s="7" t="str">
        <f>IF(Plantilla_SCAN_EQ3_COUNT_2[[#This Row],[ID MATERIAL]]="","",VLOOKUP(Plantilla_SCAN_EQ3_COUNT_2[[#This Row],[ID MATERIAL]],INVENTARIO!$A:$D,2,FALSE))</f>
        <v/>
      </c>
      <c r="F798" s="7" t="str">
        <f>IF(Plantilla_SCAN_EQ3_COUNT_2[[#This Row],[ID MATERIAL]]="","",IF(Plantilla_SCAN_EQ3_COUNT_2[[#This Row],[No. Empaques]]="",1,Plantilla_SCAN_EQ3_COUNT_2[[#This Row],[No. Empaques]]*1))</f>
        <v/>
      </c>
      <c r="G798" s="7" t="str">
        <f>IF(Plantilla_SCAN_EQ3_COUNT_2[[#This Row],[ID MATERIAL]]="","","PZ")</f>
        <v/>
      </c>
      <c r="H798" s="7" t="str">
        <f>IF(Plantilla_SCAN_EQ3_COUNT_2[[#This Row],[ID MATERIAL]]="","",$B$13)</f>
        <v/>
      </c>
      <c r="I798" s="7" t="str">
        <f>IF(Plantilla_SCAN_EQ3_COUNT_2[[#This Row],[ID MATERIAL]]="","","Segundo Conteo")</f>
        <v/>
      </c>
    </row>
    <row r="799" spans="1:9" s="7" customFormat="1" ht="15" x14ac:dyDescent="0.2">
      <c r="A799" s="7" t="str">
        <f>IF(Plantilla_SCAN_EQ3_COUNT_2[[#This Row],[ID MATERIAL]]="","",SIGN(Plantilla_SCAN_EQ3_COUNT_2[[#This Row],[Cantidad]])+A798)</f>
        <v/>
      </c>
      <c r="B799" s="21" t="str">
        <f>IF(Plantilla_SCAN_EQ3_COUNT_2[[#This Row],[ID MATERIAL]]="","",B798)</f>
        <v/>
      </c>
      <c r="C799" s="21"/>
      <c r="D799" s="21"/>
      <c r="E799" s="7" t="str">
        <f>IF(Plantilla_SCAN_EQ3_COUNT_2[[#This Row],[ID MATERIAL]]="","",VLOOKUP(Plantilla_SCAN_EQ3_COUNT_2[[#This Row],[ID MATERIAL]],INVENTARIO!$A:$D,2,FALSE))</f>
        <v/>
      </c>
      <c r="F799" s="7" t="str">
        <f>IF(Plantilla_SCAN_EQ3_COUNT_2[[#This Row],[ID MATERIAL]]="","",IF(Plantilla_SCAN_EQ3_COUNT_2[[#This Row],[No. Empaques]]="",1,Plantilla_SCAN_EQ3_COUNT_2[[#This Row],[No. Empaques]]*1))</f>
        <v/>
      </c>
      <c r="G799" s="7" t="str">
        <f>IF(Plantilla_SCAN_EQ3_COUNT_2[[#This Row],[ID MATERIAL]]="","","PZ")</f>
        <v/>
      </c>
      <c r="H799" s="7" t="str">
        <f>IF(Plantilla_SCAN_EQ3_COUNT_2[[#This Row],[ID MATERIAL]]="","",$B$13)</f>
        <v/>
      </c>
      <c r="I799" s="7" t="str">
        <f>IF(Plantilla_SCAN_EQ3_COUNT_2[[#This Row],[ID MATERIAL]]="","","Segundo Conteo")</f>
        <v/>
      </c>
    </row>
    <row r="800" spans="1:9" s="7" customFormat="1" ht="15" x14ac:dyDescent="0.2">
      <c r="A800" s="7" t="str">
        <f>IF(Plantilla_SCAN_EQ3_COUNT_2[[#This Row],[ID MATERIAL]]="","",SIGN(Plantilla_SCAN_EQ3_COUNT_2[[#This Row],[Cantidad]])+A799)</f>
        <v/>
      </c>
      <c r="B800" s="21" t="str">
        <f>IF(Plantilla_SCAN_EQ3_COUNT_2[[#This Row],[ID MATERIAL]]="","",B799)</f>
        <v/>
      </c>
      <c r="C800" s="21"/>
      <c r="D800" s="21"/>
      <c r="E800" s="7" t="str">
        <f>IF(Plantilla_SCAN_EQ3_COUNT_2[[#This Row],[ID MATERIAL]]="","",VLOOKUP(Plantilla_SCAN_EQ3_COUNT_2[[#This Row],[ID MATERIAL]],INVENTARIO!$A:$D,2,FALSE))</f>
        <v/>
      </c>
      <c r="F800" s="7" t="str">
        <f>IF(Plantilla_SCAN_EQ3_COUNT_2[[#This Row],[ID MATERIAL]]="","",IF(Plantilla_SCAN_EQ3_COUNT_2[[#This Row],[No. Empaques]]="",1,Plantilla_SCAN_EQ3_COUNT_2[[#This Row],[No. Empaques]]*1))</f>
        <v/>
      </c>
      <c r="G800" s="7" t="str">
        <f>IF(Plantilla_SCAN_EQ3_COUNT_2[[#This Row],[ID MATERIAL]]="","","PZ")</f>
        <v/>
      </c>
      <c r="H800" s="7" t="str">
        <f>IF(Plantilla_SCAN_EQ3_COUNT_2[[#This Row],[ID MATERIAL]]="","",$B$13)</f>
        <v/>
      </c>
      <c r="I800" s="7" t="str">
        <f>IF(Plantilla_SCAN_EQ3_COUNT_2[[#This Row],[ID MATERIAL]]="","","Segundo Conteo")</f>
        <v/>
      </c>
    </row>
    <row r="801" spans="1:9" s="7" customFormat="1" ht="15" x14ac:dyDescent="0.2">
      <c r="A801" s="7" t="str">
        <f>IF(Plantilla_SCAN_EQ3_COUNT_2[[#This Row],[ID MATERIAL]]="","",SIGN(Plantilla_SCAN_EQ3_COUNT_2[[#This Row],[Cantidad]])+A800)</f>
        <v/>
      </c>
      <c r="B801" s="21" t="str">
        <f>IF(Plantilla_SCAN_EQ3_COUNT_2[[#This Row],[ID MATERIAL]]="","",B800)</f>
        <v/>
      </c>
      <c r="C801" s="21"/>
      <c r="D801" s="21"/>
      <c r="E801" s="7" t="str">
        <f>IF(Plantilla_SCAN_EQ3_COUNT_2[[#This Row],[ID MATERIAL]]="","",VLOOKUP(Plantilla_SCAN_EQ3_COUNT_2[[#This Row],[ID MATERIAL]],INVENTARIO!$A:$D,2,FALSE))</f>
        <v/>
      </c>
      <c r="F801" s="7" t="str">
        <f>IF(Plantilla_SCAN_EQ3_COUNT_2[[#This Row],[ID MATERIAL]]="","",IF(Plantilla_SCAN_EQ3_COUNT_2[[#This Row],[No. Empaques]]="",1,Plantilla_SCAN_EQ3_COUNT_2[[#This Row],[No. Empaques]]*1))</f>
        <v/>
      </c>
      <c r="G801" s="7" t="str">
        <f>IF(Plantilla_SCAN_EQ3_COUNT_2[[#This Row],[ID MATERIAL]]="","","PZ")</f>
        <v/>
      </c>
      <c r="H801" s="7" t="str">
        <f>IF(Plantilla_SCAN_EQ3_COUNT_2[[#This Row],[ID MATERIAL]]="","",$B$13)</f>
        <v/>
      </c>
      <c r="I801" s="7" t="str">
        <f>IF(Plantilla_SCAN_EQ3_COUNT_2[[#This Row],[ID MATERIAL]]="","","Segundo Conteo")</f>
        <v/>
      </c>
    </row>
    <row r="802" spans="1:9" s="7" customFormat="1" ht="15" x14ac:dyDescent="0.2">
      <c r="A802" s="7" t="str">
        <f>IF(Plantilla_SCAN_EQ3_COUNT_2[[#This Row],[ID MATERIAL]]="","",SIGN(Plantilla_SCAN_EQ3_COUNT_2[[#This Row],[Cantidad]])+A801)</f>
        <v/>
      </c>
      <c r="B802" s="21" t="str">
        <f>IF(Plantilla_SCAN_EQ3_COUNT_2[[#This Row],[ID MATERIAL]]="","",B801)</f>
        <v/>
      </c>
      <c r="C802" s="21"/>
      <c r="D802" s="21"/>
      <c r="E802" s="7" t="str">
        <f>IF(Plantilla_SCAN_EQ3_COUNT_2[[#This Row],[ID MATERIAL]]="","",VLOOKUP(Plantilla_SCAN_EQ3_COUNT_2[[#This Row],[ID MATERIAL]],INVENTARIO!$A:$D,2,FALSE))</f>
        <v/>
      </c>
      <c r="F802" s="7" t="str">
        <f>IF(Plantilla_SCAN_EQ3_COUNT_2[[#This Row],[ID MATERIAL]]="","",IF(Plantilla_SCAN_EQ3_COUNT_2[[#This Row],[No. Empaques]]="",1,Plantilla_SCAN_EQ3_COUNT_2[[#This Row],[No. Empaques]]*1))</f>
        <v/>
      </c>
      <c r="G802" s="7" t="str">
        <f>IF(Plantilla_SCAN_EQ3_COUNT_2[[#This Row],[ID MATERIAL]]="","","PZ")</f>
        <v/>
      </c>
      <c r="H802" s="7" t="str">
        <f>IF(Plantilla_SCAN_EQ3_COUNT_2[[#This Row],[ID MATERIAL]]="","",$B$13)</f>
        <v/>
      </c>
      <c r="I802" s="7" t="str">
        <f>IF(Plantilla_SCAN_EQ3_COUNT_2[[#This Row],[ID MATERIAL]]="","","Segundo Conteo")</f>
        <v/>
      </c>
    </row>
    <row r="803" spans="1:9" s="7" customFormat="1" ht="15" x14ac:dyDescent="0.2">
      <c r="A803" s="7" t="str">
        <f>IF(Plantilla_SCAN_EQ3_COUNT_2[[#This Row],[ID MATERIAL]]="","",SIGN(Plantilla_SCAN_EQ3_COUNT_2[[#This Row],[Cantidad]])+A802)</f>
        <v/>
      </c>
      <c r="B803" s="21" t="str">
        <f>IF(Plantilla_SCAN_EQ3_COUNT_2[[#This Row],[ID MATERIAL]]="","",B802)</f>
        <v/>
      </c>
      <c r="C803" s="21"/>
      <c r="D803" s="21"/>
      <c r="E803" s="7" t="str">
        <f>IF(Plantilla_SCAN_EQ3_COUNT_2[[#This Row],[ID MATERIAL]]="","",VLOOKUP(Plantilla_SCAN_EQ3_COUNT_2[[#This Row],[ID MATERIAL]],INVENTARIO!$A:$D,2,FALSE))</f>
        <v/>
      </c>
      <c r="F803" s="7" t="str">
        <f>IF(Plantilla_SCAN_EQ3_COUNT_2[[#This Row],[ID MATERIAL]]="","",IF(Plantilla_SCAN_EQ3_COUNT_2[[#This Row],[No. Empaques]]="",1,Plantilla_SCAN_EQ3_COUNT_2[[#This Row],[No. Empaques]]*1))</f>
        <v/>
      </c>
      <c r="G803" s="7" t="str">
        <f>IF(Plantilla_SCAN_EQ3_COUNT_2[[#This Row],[ID MATERIAL]]="","","PZ")</f>
        <v/>
      </c>
      <c r="H803" s="7" t="str">
        <f>IF(Plantilla_SCAN_EQ3_COUNT_2[[#This Row],[ID MATERIAL]]="","",$B$13)</f>
        <v/>
      </c>
      <c r="I803" s="7" t="str">
        <f>IF(Plantilla_SCAN_EQ3_COUNT_2[[#This Row],[ID MATERIAL]]="","","Segundo Conteo")</f>
        <v/>
      </c>
    </row>
    <row r="804" spans="1:9" s="7" customFormat="1" ht="15" x14ac:dyDescent="0.2">
      <c r="A804" s="7" t="str">
        <f>IF(Plantilla_SCAN_EQ3_COUNT_2[[#This Row],[ID MATERIAL]]="","",SIGN(Plantilla_SCAN_EQ3_COUNT_2[[#This Row],[Cantidad]])+A803)</f>
        <v/>
      </c>
      <c r="B804" s="21" t="str">
        <f>IF(Plantilla_SCAN_EQ3_COUNT_2[[#This Row],[ID MATERIAL]]="","",B803)</f>
        <v/>
      </c>
      <c r="C804" s="21"/>
      <c r="D804" s="21"/>
      <c r="E804" s="7" t="str">
        <f>IF(Plantilla_SCAN_EQ3_COUNT_2[[#This Row],[ID MATERIAL]]="","",VLOOKUP(Plantilla_SCAN_EQ3_COUNT_2[[#This Row],[ID MATERIAL]],INVENTARIO!$A:$D,2,FALSE))</f>
        <v/>
      </c>
      <c r="F804" s="7" t="str">
        <f>IF(Plantilla_SCAN_EQ3_COUNT_2[[#This Row],[ID MATERIAL]]="","",IF(Plantilla_SCAN_EQ3_COUNT_2[[#This Row],[No. Empaques]]="",1,Plantilla_SCAN_EQ3_COUNT_2[[#This Row],[No. Empaques]]*1))</f>
        <v/>
      </c>
      <c r="G804" s="7" t="str">
        <f>IF(Plantilla_SCAN_EQ3_COUNT_2[[#This Row],[ID MATERIAL]]="","","PZ")</f>
        <v/>
      </c>
      <c r="H804" s="7" t="str">
        <f>IF(Plantilla_SCAN_EQ3_COUNT_2[[#This Row],[ID MATERIAL]]="","",$B$13)</f>
        <v/>
      </c>
      <c r="I804" s="7" t="str">
        <f>IF(Plantilla_SCAN_EQ3_COUNT_2[[#This Row],[ID MATERIAL]]="","","Segundo Conteo")</f>
        <v/>
      </c>
    </row>
    <row r="805" spans="1:9" s="7" customFormat="1" ht="15" x14ac:dyDescent="0.2">
      <c r="A805" s="7" t="str">
        <f>IF(Plantilla_SCAN_EQ3_COUNT_2[[#This Row],[ID MATERIAL]]="","",SIGN(Plantilla_SCAN_EQ3_COUNT_2[[#This Row],[Cantidad]])+A804)</f>
        <v/>
      </c>
      <c r="B805" s="21" t="str">
        <f>IF(Plantilla_SCAN_EQ3_COUNT_2[[#This Row],[ID MATERIAL]]="","",B804)</f>
        <v/>
      </c>
      <c r="C805" s="21"/>
      <c r="D805" s="21"/>
      <c r="E805" s="7" t="str">
        <f>IF(Plantilla_SCAN_EQ3_COUNT_2[[#This Row],[ID MATERIAL]]="","",VLOOKUP(Plantilla_SCAN_EQ3_COUNT_2[[#This Row],[ID MATERIAL]],INVENTARIO!$A:$D,2,FALSE))</f>
        <v/>
      </c>
      <c r="F805" s="7" t="str">
        <f>IF(Plantilla_SCAN_EQ3_COUNT_2[[#This Row],[ID MATERIAL]]="","",IF(Plantilla_SCAN_EQ3_COUNT_2[[#This Row],[No. Empaques]]="",1,Plantilla_SCAN_EQ3_COUNT_2[[#This Row],[No. Empaques]]*1))</f>
        <v/>
      </c>
      <c r="G805" s="7" t="str">
        <f>IF(Plantilla_SCAN_EQ3_COUNT_2[[#This Row],[ID MATERIAL]]="","","PZ")</f>
        <v/>
      </c>
      <c r="H805" s="7" t="str">
        <f>IF(Plantilla_SCAN_EQ3_COUNT_2[[#This Row],[ID MATERIAL]]="","",$B$13)</f>
        <v/>
      </c>
      <c r="I805" s="7" t="str">
        <f>IF(Plantilla_SCAN_EQ3_COUNT_2[[#This Row],[ID MATERIAL]]="","","Segundo Conteo")</f>
        <v/>
      </c>
    </row>
    <row r="806" spans="1:9" s="7" customFormat="1" ht="15" x14ac:dyDescent="0.2">
      <c r="A806" s="7" t="str">
        <f>IF(Plantilla_SCAN_EQ3_COUNT_2[[#This Row],[ID MATERIAL]]="","",SIGN(Plantilla_SCAN_EQ3_COUNT_2[[#This Row],[Cantidad]])+A805)</f>
        <v/>
      </c>
      <c r="B806" s="21" t="str">
        <f>IF(Plantilla_SCAN_EQ3_COUNT_2[[#This Row],[ID MATERIAL]]="","",B805)</f>
        <v/>
      </c>
      <c r="C806" s="21"/>
      <c r="D806" s="21"/>
      <c r="E806" s="7" t="str">
        <f>IF(Plantilla_SCAN_EQ3_COUNT_2[[#This Row],[ID MATERIAL]]="","",VLOOKUP(Plantilla_SCAN_EQ3_COUNT_2[[#This Row],[ID MATERIAL]],INVENTARIO!$A:$D,2,FALSE))</f>
        <v/>
      </c>
      <c r="F806" s="7" t="str">
        <f>IF(Plantilla_SCAN_EQ3_COUNT_2[[#This Row],[ID MATERIAL]]="","",IF(Plantilla_SCAN_EQ3_COUNT_2[[#This Row],[No. Empaques]]="",1,Plantilla_SCAN_EQ3_COUNT_2[[#This Row],[No. Empaques]]*1))</f>
        <v/>
      </c>
      <c r="G806" s="7" t="str">
        <f>IF(Plantilla_SCAN_EQ3_COUNT_2[[#This Row],[ID MATERIAL]]="","","PZ")</f>
        <v/>
      </c>
      <c r="H806" s="7" t="str">
        <f>IF(Plantilla_SCAN_EQ3_COUNT_2[[#This Row],[ID MATERIAL]]="","",$B$13)</f>
        <v/>
      </c>
      <c r="I806" s="7" t="str">
        <f>IF(Plantilla_SCAN_EQ3_COUNT_2[[#This Row],[ID MATERIAL]]="","","Segundo Conteo")</f>
        <v/>
      </c>
    </row>
    <row r="807" spans="1:9" s="7" customFormat="1" ht="15" x14ac:dyDescent="0.2">
      <c r="A807" s="7" t="str">
        <f>IF(Plantilla_SCAN_EQ3_COUNT_2[[#This Row],[ID MATERIAL]]="","",SIGN(Plantilla_SCAN_EQ3_COUNT_2[[#This Row],[Cantidad]])+A806)</f>
        <v/>
      </c>
      <c r="B807" s="21" t="str">
        <f>IF(Plantilla_SCAN_EQ3_COUNT_2[[#This Row],[ID MATERIAL]]="","",B806)</f>
        <v/>
      </c>
      <c r="C807" s="21"/>
      <c r="D807" s="21"/>
      <c r="E807" s="7" t="str">
        <f>IF(Plantilla_SCAN_EQ3_COUNT_2[[#This Row],[ID MATERIAL]]="","",VLOOKUP(Plantilla_SCAN_EQ3_COUNT_2[[#This Row],[ID MATERIAL]],INVENTARIO!$A:$D,2,FALSE))</f>
        <v/>
      </c>
      <c r="F807" s="7" t="str">
        <f>IF(Plantilla_SCAN_EQ3_COUNT_2[[#This Row],[ID MATERIAL]]="","",IF(Plantilla_SCAN_EQ3_COUNT_2[[#This Row],[No. Empaques]]="",1,Plantilla_SCAN_EQ3_COUNT_2[[#This Row],[No. Empaques]]*1))</f>
        <v/>
      </c>
      <c r="G807" s="7" t="str">
        <f>IF(Plantilla_SCAN_EQ3_COUNT_2[[#This Row],[ID MATERIAL]]="","","PZ")</f>
        <v/>
      </c>
      <c r="H807" s="7" t="str">
        <f>IF(Plantilla_SCAN_EQ3_COUNT_2[[#This Row],[ID MATERIAL]]="","",$B$13)</f>
        <v/>
      </c>
      <c r="I807" s="7" t="str">
        <f>IF(Plantilla_SCAN_EQ3_COUNT_2[[#This Row],[ID MATERIAL]]="","","Segundo Conteo")</f>
        <v/>
      </c>
    </row>
    <row r="808" spans="1:9" s="7" customFormat="1" ht="15" x14ac:dyDescent="0.2">
      <c r="A808" s="7" t="str">
        <f>IF(Plantilla_SCAN_EQ3_COUNT_2[[#This Row],[ID MATERIAL]]="","",SIGN(Plantilla_SCAN_EQ3_COUNT_2[[#This Row],[Cantidad]])+A807)</f>
        <v/>
      </c>
      <c r="B808" s="21" t="str">
        <f>IF(Plantilla_SCAN_EQ3_COUNT_2[[#This Row],[ID MATERIAL]]="","",B807)</f>
        <v/>
      </c>
      <c r="C808" s="21"/>
      <c r="D808" s="21"/>
      <c r="E808" s="7" t="str">
        <f>IF(Plantilla_SCAN_EQ3_COUNT_2[[#This Row],[ID MATERIAL]]="","",VLOOKUP(Plantilla_SCAN_EQ3_COUNT_2[[#This Row],[ID MATERIAL]],INVENTARIO!$A:$D,2,FALSE))</f>
        <v/>
      </c>
      <c r="F808" s="7" t="str">
        <f>IF(Plantilla_SCAN_EQ3_COUNT_2[[#This Row],[ID MATERIAL]]="","",IF(Plantilla_SCAN_EQ3_COUNT_2[[#This Row],[No. Empaques]]="",1,Plantilla_SCAN_EQ3_COUNT_2[[#This Row],[No. Empaques]]*1))</f>
        <v/>
      </c>
      <c r="G808" s="7" t="str">
        <f>IF(Plantilla_SCAN_EQ3_COUNT_2[[#This Row],[ID MATERIAL]]="","","PZ")</f>
        <v/>
      </c>
      <c r="H808" s="7" t="str">
        <f>IF(Plantilla_SCAN_EQ3_COUNT_2[[#This Row],[ID MATERIAL]]="","",$B$13)</f>
        <v/>
      </c>
      <c r="I808" s="7" t="str">
        <f>IF(Plantilla_SCAN_EQ3_COUNT_2[[#This Row],[ID MATERIAL]]="","","Segundo Conteo")</f>
        <v/>
      </c>
    </row>
    <row r="809" spans="1:9" s="7" customFormat="1" ht="15" x14ac:dyDescent="0.2">
      <c r="A809" s="7" t="str">
        <f>IF(Plantilla_SCAN_EQ3_COUNT_2[[#This Row],[ID MATERIAL]]="","",SIGN(Plantilla_SCAN_EQ3_COUNT_2[[#This Row],[Cantidad]])+A808)</f>
        <v/>
      </c>
      <c r="B809" s="21" t="str">
        <f>IF(Plantilla_SCAN_EQ3_COUNT_2[[#This Row],[ID MATERIAL]]="","",B808)</f>
        <v/>
      </c>
      <c r="C809" s="21"/>
      <c r="D809" s="21"/>
      <c r="E809" s="7" t="str">
        <f>IF(Plantilla_SCAN_EQ3_COUNT_2[[#This Row],[ID MATERIAL]]="","",VLOOKUP(Plantilla_SCAN_EQ3_COUNT_2[[#This Row],[ID MATERIAL]],INVENTARIO!$A:$D,2,FALSE))</f>
        <v/>
      </c>
      <c r="F809" s="7" t="str">
        <f>IF(Plantilla_SCAN_EQ3_COUNT_2[[#This Row],[ID MATERIAL]]="","",IF(Plantilla_SCAN_EQ3_COUNT_2[[#This Row],[No. Empaques]]="",1,Plantilla_SCAN_EQ3_COUNT_2[[#This Row],[No. Empaques]]*1))</f>
        <v/>
      </c>
      <c r="G809" s="7" t="str">
        <f>IF(Plantilla_SCAN_EQ3_COUNT_2[[#This Row],[ID MATERIAL]]="","","PZ")</f>
        <v/>
      </c>
      <c r="H809" s="7" t="str">
        <f>IF(Plantilla_SCAN_EQ3_COUNT_2[[#This Row],[ID MATERIAL]]="","",$B$13)</f>
        <v/>
      </c>
      <c r="I809" s="7" t="str">
        <f>IF(Plantilla_SCAN_EQ3_COUNT_2[[#This Row],[ID MATERIAL]]="","","Segundo Conteo")</f>
        <v/>
      </c>
    </row>
    <row r="810" spans="1:9" s="7" customFormat="1" ht="15" x14ac:dyDescent="0.2">
      <c r="A810" s="7" t="str">
        <f>IF(Plantilla_SCAN_EQ3_COUNT_2[[#This Row],[ID MATERIAL]]="","",SIGN(Plantilla_SCAN_EQ3_COUNT_2[[#This Row],[Cantidad]])+A809)</f>
        <v/>
      </c>
      <c r="B810" s="21" t="str">
        <f>IF(Plantilla_SCAN_EQ3_COUNT_2[[#This Row],[ID MATERIAL]]="","",B809)</f>
        <v/>
      </c>
      <c r="C810" s="21"/>
      <c r="D810" s="21"/>
      <c r="E810" s="7" t="str">
        <f>IF(Plantilla_SCAN_EQ3_COUNT_2[[#This Row],[ID MATERIAL]]="","",VLOOKUP(Plantilla_SCAN_EQ3_COUNT_2[[#This Row],[ID MATERIAL]],INVENTARIO!$A:$D,2,FALSE))</f>
        <v/>
      </c>
      <c r="F810" s="7" t="str">
        <f>IF(Plantilla_SCAN_EQ3_COUNT_2[[#This Row],[ID MATERIAL]]="","",IF(Plantilla_SCAN_EQ3_COUNT_2[[#This Row],[No. Empaques]]="",1,Plantilla_SCAN_EQ3_COUNT_2[[#This Row],[No. Empaques]]*1))</f>
        <v/>
      </c>
      <c r="G810" s="7" t="str">
        <f>IF(Plantilla_SCAN_EQ3_COUNT_2[[#This Row],[ID MATERIAL]]="","","PZ")</f>
        <v/>
      </c>
      <c r="H810" s="7" t="str">
        <f>IF(Plantilla_SCAN_EQ3_COUNT_2[[#This Row],[ID MATERIAL]]="","",$B$13)</f>
        <v/>
      </c>
      <c r="I810" s="7" t="str">
        <f>IF(Plantilla_SCAN_EQ3_COUNT_2[[#This Row],[ID MATERIAL]]="","","Segundo Conteo")</f>
        <v/>
      </c>
    </row>
    <row r="811" spans="1:9" s="7" customFormat="1" ht="15" x14ac:dyDescent="0.2">
      <c r="A811" s="7" t="str">
        <f>IF(Plantilla_SCAN_EQ3_COUNT_2[[#This Row],[ID MATERIAL]]="","",SIGN(Plantilla_SCAN_EQ3_COUNT_2[[#This Row],[Cantidad]])+A810)</f>
        <v/>
      </c>
      <c r="B811" s="21" t="str">
        <f>IF(Plantilla_SCAN_EQ3_COUNT_2[[#This Row],[ID MATERIAL]]="","",B810)</f>
        <v/>
      </c>
      <c r="C811" s="21"/>
      <c r="D811" s="21"/>
      <c r="E811" s="7" t="str">
        <f>IF(Plantilla_SCAN_EQ3_COUNT_2[[#This Row],[ID MATERIAL]]="","",VLOOKUP(Plantilla_SCAN_EQ3_COUNT_2[[#This Row],[ID MATERIAL]],INVENTARIO!$A:$D,2,FALSE))</f>
        <v/>
      </c>
      <c r="F811" s="7" t="str">
        <f>IF(Plantilla_SCAN_EQ3_COUNT_2[[#This Row],[ID MATERIAL]]="","",IF(Plantilla_SCAN_EQ3_COUNT_2[[#This Row],[No. Empaques]]="",1,Plantilla_SCAN_EQ3_COUNT_2[[#This Row],[No. Empaques]]*1))</f>
        <v/>
      </c>
      <c r="G811" s="7" t="str">
        <f>IF(Plantilla_SCAN_EQ3_COUNT_2[[#This Row],[ID MATERIAL]]="","","PZ")</f>
        <v/>
      </c>
      <c r="H811" s="7" t="str">
        <f>IF(Plantilla_SCAN_EQ3_COUNT_2[[#This Row],[ID MATERIAL]]="","",$B$13)</f>
        <v/>
      </c>
      <c r="I811" s="7" t="str">
        <f>IF(Plantilla_SCAN_EQ3_COUNT_2[[#This Row],[ID MATERIAL]]="","","Segundo Conteo")</f>
        <v/>
      </c>
    </row>
    <row r="812" spans="1:9" s="7" customFormat="1" ht="15" x14ac:dyDescent="0.2">
      <c r="A812" s="7" t="str">
        <f>IF(Plantilla_SCAN_EQ3_COUNT_2[[#This Row],[ID MATERIAL]]="","",SIGN(Plantilla_SCAN_EQ3_COUNT_2[[#This Row],[Cantidad]])+A811)</f>
        <v/>
      </c>
      <c r="B812" s="21" t="str">
        <f>IF(Plantilla_SCAN_EQ3_COUNT_2[[#This Row],[ID MATERIAL]]="","",B811)</f>
        <v/>
      </c>
      <c r="C812" s="21"/>
      <c r="D812" s="21"/>
      <c r="E812" s="7" t="str">
        <f>IF(Plantilla_SCAN_EQ3_COUNT_2[[#This Row],[ID MATERIAL]]="","",VLOOKUP(Plantilla_SCAN_EQ3_COUNT_2[[#This Row],[ID MATERIAL]],INVENTARIO!$A:$D,2,FALSE))</f>
        <v/>
      </c>
      <c r="F812" s="7" t="str">
        <f>IF(Plantilla_SCAN_EQ3_COUNT_2[[#This Row],[ID MATERIAL]]="","",IF(Plantilla_SCAN_EQ3_COUNT_2[[#This Row],[No. Empaques]]="",1,Plantilla_SCAN_EQ3_COUNT_2[[#This Row],[No. Empaques]]*1))</f>
        <v/>
      </c>
      <c r="G812" s="7" t="str">
        <f>IF(Plantilla_SCAN_EQ3_COUNT_2[[#This Row],[ID MATERIAL]]="","","PZ")</f>
        <v/>
      </c>
      <c r="H812" s="7" t="str">
        <f>IF(Plantilla_SCAN_EQ3_COUNT_2[[#This Row],[ID MATERIAL]]="","",$B$13)</f>
        <v/>
      </c>
      <c r="I812" s="7" t="str">
        <f>IF(Plantilla_SCAN_EQ3_COUNT_2[[#This Row],[ID MATERIAL]]="","","Segundo Conteo")</f>
        <v/>
      </c>
    </row>
    <row r="813" spans="1:9" s="7" customFormat="1" ht="15" x14ac:dyDescent="0.2">
      <c r="A813" s="7" t="str">
        <f>IF(Plantilla_SCAN_EQ3_COUNT_2[[#This Row],[ID MATERIAL]]="","",SIGN(Plantilla_SCAN_EQ3_COUNT_2[[#This Row],[Cantidad]])+A812)</f>
        <v/>
      </c>
      <c r="B813" s="21" t="str">
        <f>IF(Plantilla_SCAN_EQ3_COUNT_2[[#This Row],[ID MATERIAL]]="","",B812)</f>
        <v/>
      </c>
      <c r="C813" s="21"/>
      <c r="D813" s="21"/>
      <c r="E813" s="7" t="str">
        <f>IF(Plantilla_SCAN_EQ3_COUNT_2[[#This Row],[ID MATERIAL]]="","",VLOOKUP(Plantilla_SCAN_EQ3_COUNT_2[[#This Row],[ID MATERIAL]],INVENTARIO!$A:$D,2,FALSE))</f>
        <v/>
      </c>
      <c r="F813" s="7" t="str">
        <f>IF(Plantilla_SCAN_EQ3_COUNT_2[[#This Row],[ID MATERIAL]]="","",IF(Plantilla_SCAN_EQ3_COUNT_2[[#This Row],[No. Empaques]]="",1,Plantilla_SCAN_EQ3_COUNT_2[[#This Row],[No. Empaques]]*1))</f>
        <v/>
      </c>
      <c r="G813" s="7" t="str">
        <f>IF(Plantilla_SCAN_EQ3_COUNT_2[[#This Row],[ID MATERIAL]]="","","PZ")</f>
        <v/>
      </c>
      <c r="H813" s="7" t="str">
        <f>IF(Plantilla_SCAN_EQ3_COUNT_2[[#This Row],[ID MATERIAL]]="","",$B$13)</f>
        <v/>
      </c>
      <c r="I813" s="7" t="str">
        <f>IF(Plantilla_SCAN_EQ3_COUNT_2[[#This Row],[ID MATERIAL]]="","","Segundo Conteo")</f>
        <v/>
      </c>
    </row>
    <row r="814" spans="1:9" s="7" customFormat="1" ht="15" x14ac:dyDescent="0.2">
      <c r="A814" s="7" t="str">
        <f>IF(Plantilla_SCAN_EQ3_COUNT_2[[#This Row],[ID MATERIAL]]="","",SIGN(Plantilla_SCAN_EQ3_COUNT_2[[#This Row],[Cantidad]])+A813)</f>
        <v/>
      </c>
      <c r="B814" s="21" t="str">
        <f>IF(Plantilla_SCAN_EQ3_COUNT_2[[#This Row],[ID MATERIAL]]="","",B813)</f>
        <v/>
      </c>
      <c r="C814" s="21"/>
      <c r="D814" s="21"/>
      <c r="E814" s="7" t="str">
        <f>IF(Plantilla_SCAN_EQ3_COUNT_2[[#This Row],[ID MATERIAL]]="","",VLOOKUP(Plantilla_SCAN_EQ3_COUNT_2[[#This Row],[ID MATERIAL]],INVENTARIO!$A:$D,2,FALSE))</f>
        <v/>
      </c>
      <c r="F814" s="7" t="str">
        <f>IF(Plantilla_SCAN_EQ3_COUNT_2[[#This Row],[ID MATERIAL]]="","",IF(Plantilla_SCAN_EQ3_COUNT_2[[#This Row],[No. Empaques]]="",1,Plantilla_SCAN_EQ3_COUNT_2[[#This Row],[No. Empaques]]*1))</f>
        <v/>
      </c>
      <c r="G814" s="7" t="str">
        <f>IF(Plantilla_SCAN_EQ3_COUNT_2[[#This Row],[ID MATERIAL]]="","","PZ")</f>
        <v/>
      </c>
      <c r="H814" s="7" t="str">
        <f>IF(Plantilla_SCAN_EQ3_COUNT_2[[#This Row],[ID MATERIAL]]="","",$B$13)</f>
        <v/>
      </c>
      <c r="I814" s="7" t="str">
        <f>IF(Plantilla_SCAN_EQ3_COUNT_2[[#This Row],[ID MATERIAL]]="","","Segundo Conteo")</f>
        <v/>
      </c>
    </row>
    <row r="815" spans="1:9" s="7" customFormat="1" ht="15" x14ac:dyDescent="0.2">
      <c r="A815" s="7" t="str">
        <f>IF(Plantilla_SCAN_EQ3_COUNT_2[[#This Row],[ID MATERIAL]]="","",SIGN(Plantilla_SCAN_EQ3_COUNT_2[[#This Row],[Cantidad]])+A814)</f>
        <v/>
      </c>
      <c r="B815" s="21" t="str">
        <f>IF(Plantilla_SCAN_EQ3_COUNT_2[[#This Row],[ID MATERIAL]]="","",B814)</f>
        <v/>
      </c>
      <c r="C815" s="21"/>
      <c r="D815" s="21"/>
      <c r="E815" s="7" t="str">
        <f>IF(Plantilla_SCAN_EQ3_COUNT_2[[#This Row],[ID MATERIAL]]="","",VLOOKUP(Plantilla_SCAN_EQ3_COUNT_2[[#This Row],[ID MATERIAL]],INVENTARIO!$A:$D,2,FALSE))</f>
        <v/>
      </c>
      <c r="F815" s="7" t="str">
        <f>IF(Plantilla_SCAN_EQ3_COUNT_2[[#This Row],[ID MATERIAL]]="","",IF(Plantilla_SCAN_EQ3_COUNT_2[[#This Row],[No. Empaques]]="",1,Plantilla_SCAN_EQ3_COUNT_2[[#This Row],[No. Empaques]]*1))</f>
        <v/>
      </c>
      <c r="G815" s="7" t="str">
        <f>IF(Plantilla_SCAN_EQ3_COUNT_2[[#This Row],[ID MATERIAL]]="","","PZ")</f>
        <v/>
      </c>
      <c r="H815" s="7" t="str">
        <f>IF(Plantilla_SCAN_EQ3_COUNT_2[[#This Row],[ID MATERIAL]]="","",$B$13)</f>
        <v/>
      </c>
      <c r="I815" s="7" t="str">
        <f>IF(Plantilla_SCAN_EQ3_COUNT_2[[#This Row],[ID MATERIAL]]="","","Segundo Conteo")</f>
        <v/>
      </c>
    </row>
    <row r="816" spans="1:9" s="7" customFormat="1" ht="15" x14ac:dyDescent="0.2">
      <c r="A816" s="7" t="str">
        <f>IF(Plantilla_SCAN_EQ3_COUNT_2[[#This Row],[ID MATERIAL]]="","",SIGN(Plantilla_SCAN_EQ3_COUNT_2[[#This Row],[Cantidad]])+A815)</f>
        <v/>
      </c>
      <c r="B816" s="21" t="str">
        <f>IF(Plantilla_SCAN_EQ3_COUNT_2[[#This Row],[ID MATERIAL]]="","",B815)</f>
        <v/>
      </c>
      <c r="C816" s="21"/>
      <c r="D816" s="21"/>
      <c r="E816" s="7" t="str">
        <f>IF(Plantilla_SCAN_EQ3_COUNT_2[[#This Row],[ID MATERIAL]]="","",VLOOKUP(Plantilla_SCAN_EQ3_COUNT_2[[#This Row],[ID MATERIAL]],INVENTARIO!$A:$D,2,FALSE))</f>
        <v/>
      </c>
      <c r="F816" s="7" t="str">
        <f>IF(Plantilla_SCAN_EQ3_COUNT_2[[#This Row],[ID MATERIAL]]="","",IF(Plantilla_SCAN_EQ3_COUNT_2[[#This Row],[No. Empaques]]="",1,Plantilla_SCAN_EQ3_COUNT_2[[#This Row],[No. Empaques]]*1))</f>
        <v/>
      </c>
      <c r="G816" s="7" t="str">
        <f>IF(Plantilla_SCAN_EQ3_COUNT_2[[#This Row],[ID MATERIAL]]="","","PZ")</f>
        <v/>
      </c>
      <c r="H816" s="7" t="str">
        <f>IF(Plantilla_SCAN_EQ3_COUNT_2[[#This Row],[ID MATERIAL]]="","",$B$13)</f>
        <v/>
      </c>
      <c r="I816" s="7" t="str">
        <f>IF(Plantilla_SCAN_EQ3_COUNT_2[[#This Row],[ID MATERIAL]]="","","Segundo Conteo")</f>
        <v/>
      </c>
    </row>
    <row r="817" spans="1:9" s="7" customFormat="1" ht="15" x14ac:dyDescent="0.2">
      <c r="A817" s="7" t="str">
        <f>IF(Plantilla_SCAN_EQ3_COUNT_2[[#This Row],[ID MATERIAL]]="","",SIGN(Plantilla_SCAN_EQ3_COUNT_2[[#This Row],[Cantidad]])+A816)</f>
        <v/>
      </c>
      <c r="B817" s="21" t="str">
        <f>IF(Plantilla_SCAN_EQ3_COUNT_2[[#This Row],[ID MATERIAL]]="","",B816)</f>
        <v/>
      </c>
      <c r="C817" s="21"/>
      <c r="D817" s="21"/>
      <c r="E817" s="7" t="str">
        <f>IF(Plantilla_SCAN_EQ3_COUNT_2[[#This Row],[ID MATERIAL]]="","",VLOOKUP(Plantilla_SCAN_EQ3_COUNT_2[[#This Row],[ID MATERIAL]],INVENTARIO!$A:$D,2,FALSE))</f>
        <v/>
      </c>
      <c r="F817" s="7" t="str">
        <f>IF(Plantilla_SCAN_EQ3_COUNT_2[[#This Row],[ID MATERIAL]]="","",IF(Plantilla_SCAN_EQ3_COUNT_2[[#This Row],[No. Empaques]]="",1,Plantilla_SCAN_EQ3_COUNT_2[[#This Row],[No. Empaques]]*1))</f>
        <v/>
      </c>
      <c r="G817" s="7" t="str">
        <f>IF(Plantilla_SCAN_EQ3_COUNT_2[[#This Row],[ID MATERIAL]]="","","PZ")</f>
        <v/>
      </c>
      <c r="H817" s="7" t="str">
        <f>IF(Plantilla_SCAN_EQ3_COUNT_2[[#This Row],[ID MATERIAL]]="","",$B$13)</f>
        <v/>
      </c>
      <c r="I817" s="7" t="str">
        <f>IF(Plantilla_SCAN_EQ3_COUNT_2[[#This Row],[ID MATERIAL]]="","","Segundo Conteo")</f>
        <v/>
      </c>
    </row>
    <row r="818" spans="1:9" s="7" customFormat="1" ht="15" x14ac:dyDescent="0.2">
      <c r="A818" s="7" t="str">
        <f>IF(Plantilla_SCAN_EQ3_COUNT_2[[#This Row],[ID MATERIAL]]="","",SIGN(Plantilla_SCAN_EQ3_COUNT_2[[#This Row],[Cantidad]])+A817)</f>
        <v/>
      </c>
      <c r="B818" s="21" t="str">
        <f>IF(Plantilla_SCAN_EQ3_COUNT_2[[#This Row],[ID MATERIAL]]="","",B817)</f>
        <v/>
      </c>
      <c r="C818" s="21"/>
      <c r="D818" s="21"/>
      <c r="E818" s="7" t="str">
        <f>IF(Plantilla_SCAN_EQ3_COUNT_2[[#This Row],[ID MATERIAL]]="","",VLOOKUP(Plantilla_SCAN_EQ3_COUNT_2[[#This Row],[ID MATERIAL]],INVENTARIO!$A:$D,2,FALSE))</f>
        <v/>
      </c>
      <c r="F818" s="7" t="str">
        <f>IF(Plantilla_SCAN_EQ3_COUNT_2[[#This Row],[ID MATERIAL]]="","",IF(Plantilla_SCAN_EQ3_COUNT_2[[#This Row],[No. Empaques]]="",1,Plantilla_SCAN_EQ3_COUNT_2[[#This Row],[No. Empaques]]*1))</f>
        <v/>
      </c>
      <c r="G818" s="7" t="str">
        <f>IF(Plantilla_SCAN_EQ3_COUNT_2[[#This Row],[ID MATERIAL]]="","","PZ")</f>
        <v/>
      </c>
      <c r="H818" s="7" t="str">
        <f>IF(Plantilla_SCAN_EQ3_COUNT_2[[#This Row],[ID MATERIAL]]="","",$B$13)</f>
        <v/>
      </c>
      <c r="I818" s="7" t="str">
        <f>IF(Plantilla_SCAN_EQ3_COUNT_2[[#This Row],[ID MATERIAL]]="","","Segundo Conteo")</f>
        <v/>
      </c>
    </row>
    <row r="819" spans="1:9" s="7" customFormat="1" ht="15" x14ac:dyDescent="0.2">
      <c r="A819" s="7" t="str">
        <f>IF(Plantilla_SCAN_EQ3_COUNT_2[[#This Row],[ID MATERIAL]]="","",SIGN(Plantilla_SCAN_EQ3_COUNT_2[[#This Row],[Cantidad]])+A818)</f>
        <v/>
      </c>
      <c r="B819" s="21" t="str">
        <f>IF(Plantilla_SCAN_EQ3_COUNT_2[[#This Row],[ID MATERIAL]]="","",B818)</f>
        <v/>
      </c>
      <c r="C819" s="21"/>
      <c r="D819" s="21"/>
      <c r="E819" s="7" t="str">
        <f>IF(Plantilla_SCAN_EQ3_COUNT_2[[#This Row],[ID MATERIAL]]="","",VLOOKUP(Plantilla_SCAN_EQ3_COUNT_2[[#This Row],[ID MATERIAL]],INVENTARIO!$A:$D,2,FALSE))</f>
        <v/>
      </c>
      <c r="F819" s="7" t="str">
        <f>IF(Plantilla_SCAN_EQ3_COUNT_2[[#This Row],[ID MATERIAL]]="","",IF(Plantilla_SCAN_EQ3_COUNT_2[[#This Row],[No. Empaques]]="",1,Plantilla_SCAN_EQ3_COUNT_2[[#This Row],[No. Empaques]]*1))</f>
        <v/>
      </c>
      <c r="G819" s="7" t="str">
        <f>IF(Plantilla_SCAN_EQ3_COUNT_2[[#This Row],[ID MATERIAL]]="","","PZ")</f>
        <v/>
      </c>
      <c r="H819" s="7" t="str">
        <f>IF(Plantilla_SCAN_EQ3_COUNT_2[[#This Row],[ID MATERIAL]]="","",$B$13)</f>
        <v/>
      </c>
      <c r="I819" s="7" t="str">
        <f>IF(Plantilla_SCAN_EQ3_COUNT_2[[#This Row],[ID MATERIAL]]="","","Segundo Conteo")</f>
        <v/>
      </c>
    </row>
    <row r="820" spans="1:9" s="7" customFormat="1" ht="15" x14ac:dyDescent="0.2">
      <c r="A820" s="7" t="str">
        <f>IF(Plantilla_SCAN_EQ3_COUNT_2[[#This Row],[ID MATERIAL]]="","",SIGN(Plantilla_SCAN_EQ3_COUNT_2[[#This Row],[Cantidad]])+A819)</f>
        <v/>
      </c>
      <c r="B820" s="21" t="str">
        <f>IF(Plantilla_SCAN_EQ3_COUNT_2[[#This Row],[ID MATERIAL]]="","",B819)</f>
        <v/>
      </c>
      <c r="C820" s="21"/>
      <c r="D820" s="21"/>
      <c r="E820" s="7" t="str">
        <f>IF(Plantilla_SCAN_EQ3_COUNT_2[[#This Row],[ID MATERIAL]]="","",VLOOKUP(Plantilla_SCAN_EQ3_COUNT_2[[#This Row],[ID MATERIAL]],INVENTARIO!$A:$D,2,FALSE))</f>
        <v/>
      </c>
      <c r="F820" s="7" t="str">
        <f>IF(Plantilla_SCAN_EQ3_COUNT_2[[#This Row],[ID MATERIAL]]="","",IF(Plantilla_SCAN_EQ3_COUNT_2[[#This Row],[No. Empaques]]="",1,Plantilla_SCAN_EQ3_COUNT_2[[#This Row],[No. Empaques]]*1))</f>
        <v/>
      </c>
      <c r="G820" s="7" t="str">
        <f>IF(Plantilla_SCAN_EQ3_COUNT_2[[#This Row],[ID MATERIAL]]="","","PZ")</f>
        <v/>
      </c>
      <c r="H820" s="7" t="str">
        <f>IF(Plantilla_SCAN_EQ3_COUNT_2[[#This Row],[ID MATERIAL]]="","",$B$13)</f>
        <v/>
      </c>
      <c r="I820" s="7" t="str">
        <f>IF(Plantilla_SCAN_EQ3_COUNT_2[[#This Row],[ID MATERIAL]]="","","Segundo Conteo")</f>
        <v/>
      </c>
    </row>
    <row r="821" spans="1:9" s="7" customFormat="1" ht="15" x14ac:dyDescent="0.2">
      <c r="A821" s="7" t="str">
        <f>IF(Plantilla_SCAN_EQ3_COUNT_2[[#This Row],[ID MATERIAL]]="","",SIGN(Plantilla_SCAN_EQ3_COUNT_2[[#This Row],[Cantidad]])+A820)</f>
        <v/>
      </c>
      <c r="B821" s="21" t="str">
        <f>IF(Plantilla_SCAN_EQ3_COUNT_2[[#This Row],[ID MATERIAL]]="","",B820)</f>
        <v/>
      </c>
      <c r="C821" s="21"/>
      <c r="D821" s="21"/>
      <c r="E821" s="7" t="str">
        <f>IF(Plantilla_SCAN_EQ3_COUNT_2[[#This Row],[ID MATERIAL]]="","",VLOOKUP(Plantilla_SCAN_EQ3_COUNT_2[[#This Row],[ID MATERIAL]],INVENTARIO!$A:$D,2,FALSE))</f>
        <v/>
      </c>
      <c r="F821" s="7" t="str">
        <f>IF(Plantilla_SCAN_EQ3_COUNT_2[[#This Row],[ID MATERIAL]]="","",IF(Plantilla_SCAN_EQ3_COUNT_2[[#This Row],[No. Empaques]]="",1,Plantilla_SCAN_EQ3_COUNT_2[[#This Row],[No. Empaques]]*1))</f>
        <v/>
      </c>
      <c r="G821" s="7" t="str">
        <f>IF(Plantilla_SCAN_EQ3_COUNT_2[[#This Row],[ID MATERIAL]]="","","PZ")</f>
        <v/>
      </c>
      <c r="H821" s="7" t="str">
        <f>IF(Plantilla_SCAN_EQ3_COUNT_2[[#This Row],[ID MATERIAL]]="","",$B$13)</f>
        <v/>
      </c>
      <c r="I821" s="7" t="str">
        <f>IF(Plantilla_SCAN_EQ3_COUNT_2[[#This Row],[ID MATERIAL]]="","","Segundo Conteo")</f>
        <v/>
      </c>
    </row>
    <row r="822" spans="1:9" s="7" customFormat="1" ht="15" x14ac:dyDescent="0.2">
      <c r="A822" s="7" t="str">
        <f>IF(Plantilla_SCAN_EQ3_COUNT_2[[#This Row],[ID MATERIAL]]="","",SIGN(Plantilla_SCAN_EQ3_COUNT_2[[#This Row],[Cantidad]])+A821)</f>
        <v/>
      </c>
      <c r="B822" s="21" t="str">
        <f>IF(Plantilla_SCAN_EQ3_COUNT_2[[#This Row],[ID MATERIAL]]="","",B821)</f>
        <v/>
      </c>
      <c r="C822" s="21"/>
      <c r="D822" s="21"/>
      <c r="E822" s="7" t="str">
        <f>IF(Plantilla_SCAN_EQ3_COUNT_2[[#This Row],[ID MATERIAL]]="","",VLOOKUP(Plantilla_SCAN_EQ3_COUNT_2[[#This Row],[ID MATERIAL]],INVENTARIO!$A:$D,2,FALSE))</f>
        <v/>
      </c>
      <c r="F822" s="7" t="str">
        <f>IF(Plantilla_SCAN_EQ3_COUNT_2[[#This Row],[ID MATERIAL]]="","",IF(Plantilla_SCAN_EQ3_COUNT_2[[#This Row],[No. Empaques]]="",1,Plantilla_SCAN_EQ3_COUNT_2[[#This Row],[No. Empaques]]*1))</f>
        <v/>
      </c>
      <c r="G822" s="7" t="str">
        <f>IF(Plantilla_SCAN_EQ3_COUNT_2[[#This Row],[ID MATERIAL]]="","","PZ")</f>
        <v/>
      </c>
      <c r="H822" s="7" t="str">
        <f>IF(Plantilla_SCAN_EQ3_COUNT_2[[#This Row],[ID MATERIAL]]="","",$B$13)</f>
        <v/>
      </c>
      <c r="I822" s="7" t="str">
        <f>IF(Plantilla_SCAN_EQ3_COUNT_2[[#This Row],[ID MATERIAL]]="","","Segundo Conteo")</f>
        <v/>
      </c>
    </row>
    <row r="823" spans="1:9" s="7" customFormat="1" ht="15" x14ac:dyDescent="0.2">
      <c r="A823" s="7" t="str">
        <f>IF(Plantilla_SCAN_EQ3_COUNT_2[[#This Row],[ID MATERIAL]]="","",SIGN(Plantilla_SCAN_EQ3_COUNT_2[[#This Row],[Cantidad]])+A822)</f>
        <v/>
      </c>
      <c r="B823" s="21" t="str">
        <f>IF(Plantilla_SCAN_EQ3_COUNT_2[[#This Row],[ID MATERIAL]]="","",B822)</f>
        <v/>
      </c>
      <c r="C823" s="21"/>
      <c r="D823" s="21"/>
      <c r="E823" s="7" t="str">
        <f>IF(Plantilla_SCAN_EQ3_COUNT_2[[#This Row],[ID MATERIAL]]="","",VLOOKUP(Plantilla_SCAN_EQ3_COUNT_2[[#This Row],[ID MATERIAL]],INVENTARIO!$A:$D,2,FALSE))</f>
        <v/>
      </c>
      <c r="F823" s="7" t="str">
        <f>IF(Plantilla_SCAN_EQ3_COUNT_2[[#This Row],[ID MATERIAL]]="","",IF(Plantilla_SCAN_EQ3_COUNT_2[[#This Row],[No. Empaques]]="",1,Plantilla_SCAN_EQ3_COUNT_2[[#This Row],[No. Empaques]]*1))</f>
        <v/>
      </c>
      <c r="G823" s="7" t="str">
        <f>IF(Plantilla_SCAN_EQ3_COUNT_2[[#This Row],[ID MATERIAL]]="","","PZ")</f>
        <v/>
      </c>
      <c r="H823" s="7" t="str">
        <f>IF(Plantilla_SCAN_EQ3_COUNT_2[[#This Row],[ID MATERIAL]]="","",$B$13)</f>
        <v/>
      </c>
      <c r="I823" s="7" t="str">
        <f>IF(Plantilla_SCAN_EQ3_COUNT_2[[#This Row],[ID MATERIAL]]="","","Segundo Conteo")</f>
        <v/>
      </c>
    </row>
    <row r="824" spans="1:9" s="7" customFormat="1" ht="15" x14ac:dyDescent="0.2">
      <c r="A824" s="7" t="str">
        <f>IF(Plantilla_SCAN_EQ3_COUNT_2[[#This Row],[ID MATERIAL]]="","",SIGN(Plantilla_SCAN_EQ3_COUNT_2[[#This Row],[Cantidad]])+A823)</f>
        <v/>
      </c>
      <c r="B824" s="21" t="str">
        <f>IF(Plantilla_SCAN_EQ3_COUNT_2[[#This Row],[ID MATERIAL]]="","",B823)</f>
        <v/>
      </c>
      <c r="C824" s="21"/>
      <c r="D824" s="21"/>
      <c r="E824" s="7" t="str">
        <f>IF(Plantilla_SCAN_EQ3_COUNT_2[[#This Row],[ID MATERIAL]]="","",VLOOKUP(Plantilla_SCAN_EQ3_COUNT_2[[#This Row],[ID MATERIAL]],INVENTARIO!$A:$D,2,FALSE))</f>
        <v/>
      </c>
      <c r="F824" s="7" t="str">
        <f>IF(Plantilla_SCAN_EQ3_COUNT_2[[#This Row],[ID MATERIAL]]="","",IF(Plantilla_SCAN_EQ3_COUNT_2[[#This Row],[No. Empaques]]="",1,Plantilla_SCAN_EQ3_COUNT_2[[#This Row],[No. Empaques]]*1))</f>
        <v/>
      </c>
      <c r="G824" s="7" t="str">
        <f>IF(Plantilla_SCAN_EQ3_COUNT_2[[#This Row],[ID MATERIAL]]="","","PZ")</f>
        <v/>
      </c>
      <c r="H824" s="7" t="str">
        <f>IF(Plantilla_SCAN_EQ3_COUNT_2[[#This Row],[ID MATERIAL]]="","",$B$13)</f>
        <v/>
      </c>
      <c r="I824" s="7" t="str">
        <f>IF(Plantilla_SCAN_EQ3_COUNT_2[[#This Row],[ID MATERIAL]]="","","Segundo Conteo")</f>
        <v/>
      </c>
    </row>
    <row r="825" spans="1:9" s="7" customFormat="1" ht="15" x14ac:dyDescent="0.2">
      <c r="A825" s="7" t="str">
        <f>IF(Plantilla_SCAN_EQ3_COUNT_2[[#This Row],[ID MATERIAL]]="","",SIGN(Plantilla_SCAN_EQ3_COUNT_2[[#This Row],[Cantidad]])+A824)</f>
        <v/>
      </c>
      <c r="B825" s="21" t="str">
        <f>IF(Plantilla_SCAN_EQ3_COUNT_2[[#This Row],[ID MATERIAL]]="","",B824)</f>
        <v/>
      </c>
      <c r="C825" s="21"/>
      <c r="D825" s="21"/>
      <c r="E825" s="7" t="str">
        <f>IF(Plantilla_SCAN_EQ3_COUNT_2[[#This Row],[ID MATERIAL]]="","",VLOOKUP(Plantilla_SCAN_EQ3_COUNT_2[[#This Row],[ID MATERIAL]],INVENTARIO!$A:$D,2,FALSE))</f>
        <v/>
      </c>
      <c r="F825" s="7" t="str">
        <f>IF(Plantilla_SCAN_EQ3_COUNT_2[[#This Row],[ID MATERIAL]]="","",IF(Plantilla_SCAN_EQ3_COUNT_2[[#This Row],[No. Empaques]]="",1,Plantilla_SCAN_EQ3_COUNT_2[[#This Row],[No. Empaques]]*1))</f>
        <v/>
      </c>
      <c r="G825" s="7" t="str">
        <f>IF(Plantilla_SCAN_EQ3_COUNT_2[[#This Row],[ID MATERIAL]]="","","PZ")</f>
        <v/>
      </c>
      <c r="H825" s="7" t="str">
        <f>IF(Plantilla_SCAN_EQ3_COUNT_2[[#This Row],[ID MATERIAL]]="","",$B$13)</f>
        <v/>
      </c>
      <c r="I825" s="7" t="str">
        <f>IF(Plantilla_SCAN_EQ3_COUNT_2[[#This Row],[ID MATERIAL]]="","","Segundo Conteo")</f>
        <v/>
      </c>
    </row>
    <row r="826" spans="1:9" s="7" customFormat="1" ht="15" x14ac:dyDescent="0.2">
      <c r="A826" s="7" t="str">
        <f>IF(Plantilla_SCAN_EQ3_COUNT_2[[#This Row],[ID MATERIAL]]="","",SIGN(Plantilla_SCAN_EQ3_COUNT_2[[#This Row],[Cantidad]])+A825)</f>
        <v/>
      </c>
      <c r="B826" s="21" t="str">
        <f>IF(Plantilla_SCAN_EQ3_COUNT_2[[#This Row],[ID MATERIAL]]="","",B825)</f>
        <v/>
      </c>
      <c r="C826" s="21"/>
      <c r="D826" s="21"/>
      <c r="E826" s="7" t="str">
        <f>IF(Plantilla_SCAN_EQ3_COUNT_2[[#This Row],[ID MATERIAL]]="","",VLOOKUP(Plantilla_SCAN_EQ3_COUNT_2[[#This Row],[ID MATERIAL]],INVENTARIO!$A:$D,2,FALSE))</f>
        <v/>
      </c>
      <c r="F826" s="7" t="str">
        <f>IF(Plantilla_SCAN_EQ3_COUNT_2[[#This Row],[ID MATERIAL]]="","",IF(Plantilla_SCAN_EQ3_COUNT_2[[#This Row],[No. Empaques]]="",1,Plantilla_SCAN_EQ3_COUNT_2[[#This Row],[No. Empaques]]*1))</f>
        <v/>
      </c>
      <c r="G826" s="7" t="str">
        <f>IF(Plantilla_SCAN_EQ3_COUNT_2[[#This Row],[ID MATERIAL]]="","","PZ")</f>
        <v/>
      </c>
      <c r="H826" s="7" t="str">
        <f>IF(Plantilla_SCAN_EQ3_COUNT_2[[#This Row],[ID MATERIAL]]="","",$B$13)</f>
        <v/>
      </c>
      <c r="I826" s="7" t="str">
        <f>IF(Plantilla_SCAN_EQ3_COUNT_2[[#This Row],[ID MATERIAL]]="","","Segundo Conteo")</f>
        <v/>
      </c>
    </row>
    <row r="827" spans="1:9" s="7" customFormat="1" ht="15" x14ac:dyDescent="0.2">
      <c r="A827" s="7" t="str">
        <f>IF(Plantilla_SCAN_EQ3_COUNT_2[[#This Row],[ID MATERIAL]]="","",SIGN(Plantilla_SCAN_EQ3_COUNT_2[[#This Row],[Cantidad]])+A826)</f>
        <v/>
      </c>
      <c r="B827" s="21" t="str">
        <f>IF(Plantilla_SCAN_EQ3_COUNT_2[[#This Row],[ID MATERIAL]]="","",B826)</f>
        <v/>
      </c>
      <c r="C827" s="21"/>
      <c r="D827" s="21"/>
      <c r="E827" s="7" t="str">
        <f>IF(Plantilla_SCAN_EQ3_COUNT_2[[#This Row],[ID MATERIAL]]="","",VLOOKUP(Plantilla_SCAN_EQ3_COUNT_2[[#This Row],[ID MATERIAL]],INVENTARIO!$A:$D,2,FALSE))</f>
        <v/>
      </c>
      <c r="F827" s="7" t="str">
        <f>IF(Plantilla_SCAN_EQ3_COUNT_2[[#This Row],[ID MATERIAL]]="","",IF(Plantilla_SCAN_EQ3_COUNT_2[[#This Row],[No. Empaques]]="",1,Plantilla_SCAN_EQ3_COUNT_2[[#This Row],[No. Empaques]]*1))</f>
        <v/>
      </c>
      <c r="G827" s="7" t="str">
        <f>IF(Plantilla_SCAN_EQ3_COUNT_2[[#This Row],[ID MATERIAL]]="","","PZ")</f>
        <v/>
      </c>
      <c r="H827" s="7" t="str">
        <f>IF(Plantilla_SCAN_EQ3_COUNT_2[[#This Row],[ID MATERIAL]]="","",$B$13)</f>
        <v/>
      </c>
      <c r="I827" s="7" t="str">
        <f>IF(Plantilla_SCAN_EQ3_COUNT_2[[#This Row],[ID MATERIAL]]="","","Segundo Conteo")</f>
        <v/>
      </c>
    </row>
    <row r="828" spans="1:9" s="7" customFormat="1" ht="15" x14ac:dyDescent="0.2">
      <c r="A828" s="7" t="str">
        <f>IF(Plantilla_SCAN_EQ3_COUNT_2[[#This Row],[ID MATERIAL]]="","",SIGN(Plantilla_SCAN_EQ3_COUNT_2[[#This Row],[Cantidad]])+A827)</f>
        <v/>
      </c>
      <c r="B828" s="21" t="str">
        <f>IF(Plantilla_SCAN_EQ3_COUNT_2[[#This Row],[ID MATERIAL]]="","",B827)</f>
        <v/>
      </c>
      <c r="C828" s="21"/>
      <c r="D828" s="21"/>
      <c r="E828" s="7" t="str">
        <f>IF(Plantilla_SCAN_EQ3_COUNT_2[[#This Row],[ID MATERIAL]]="","",VLOOKUP(Plantilla_SCAN_EQ3_COUNT_2[[#This Row],[ID MATERIAL]],INVENTARIO!$A:$D,2,FALSE))</f>
        <v/>
      </c>
      <c r="F828" s="7" t="str">
        <f>IF(Plantilla_SCAN_EQ3_COUNT_2[[#This Row],[ID MATERIAL]]="","",IF(Plantilla_SCAN_EQ3_COUNT_2[[#This Row],[No. Empaques]]="",1,Plantilla_SCAN_EQ3_COUNT_2[[#This Row],[No. Empaques]]*1))</f>
        <v/>
      </c>
      <c r="G828" s="7" t="str">
        <f>IF(Plantilla_SCAN_EQ3_COUNT_2[[#This Row],[ID MATERIAL]]="","","PZ")</f>
        <v/>
      </c>
      <c r="H828" s="7" t="str">
        <f>IF(Plantilla_SCAN_EQ3_COUNT_2[[#This Row],[ID MATERIAL]]="","",$B$13)</f>
        <v/>
      </c>
      <c r="I828" s="7" t="str">
        <f>IF(Plantilla_SCAN_EQ3_COUNT_2[[#This Row],[ID MATERIAL]]="","","Segundo Conteo")</f>
        <v/>
      </c>
    </row>
    <row r="829" spans="1:9" s="7" customFormat="1" ht="15" x14ac:dyDescent="0.2">
      <c r="A829" s="7" t="str">
        <f>IF(Plantilla_SCAN_EQ3_COUNT_2[[#This Row],[ID MATERIAL]]="","",SIGN(Plantilla_SCAN_EQ3_COUNT_2[[#This Row],[Cantidad]])+A828)</f>
        <v/>
      </c>
      <c r="B829" s="21" t="str">
        <f>IF(Plantilla_SCAN_EQ3_COUNT_2[[#This Row],[ID MATERIAL]]="","",B828)</f>
        <v/>
      </c>
      <c r="C829" s="21"/>
      <c r="D829" s="21"/>
      <c r="E829" s="7" t="str">
        <f>IF(Plantilla_SCAN_EQ3_COUNT_2[[#This Row],[ID MATERIAL]]="","",VLOOKUP(Plantilla_SCAN_EQ3_COUNT_2[[#This Row],[ID MATERIAL]],INVENTARIO!$A:$D,2,FALSE))</f>
        <v/>
      </c>
      <c r="F829" s="7" t="str">
        <f>IF(Plantilla_SCAN_EQ3_COUNT_2[[#This Row],[ID MATERIAL]]="","",IF(Plantilla_SCAN_EQ3_COUNT_2[[#This Row],[No. Empaques]]="",1,Plantilla_SCAN_EQ3_COUNT_2[[#This Row],[No. Empaques]]*1))</f>
        <v/>
      </c>
      <c r="G829" s="7" t="str">
        <f>IF(Plantilla_SCAN_EQ3_COUNT_2[[#This Row],[ID MATERIAL]]="","","PZ")</f>
        <v/>
      </c>
      <c r="H829" s="7" t="str">
        <f>IF(Plantilla_SCAN_EQ3_COUNT_2[[#This Row],[ID MATERIAL]]="","",$B$13)</f>
        <v/>
      </c>
      <c r="I829" s="7" t="str">
        <f>IF(Plantilla_SCAN_EQ3_COUNT_2[[#This Row],[ID MATERIAL]]="","","Segundo Conteo")</f>
        <v/>
      </c>
    </row>
    <row r="830" spans="1:9" s="7" customFormat="1" ht="15" x14ac:dyDescent="0.2">
      <c r="A830" s="7" t="str">
        <f>IF(Plantilla_SCAN_EQ3_COUNT_2[[#This Row],[ID MATERIAL]]="","",SIGN(Plantilla_SCAN_EQ3_COUNT_2[[#This Row],[Cantidad]])+A829)</f>
        <v/>
      </c>
      <c r="B830" s="21" t="str">
        <f>IF(Plantilla_SCAN_EQ3_COUNT_2[[#This Row],[ID MATERIAL]]="","",B829)</f>
        <v/>
      </c>
      <c r="C830" s="21"/>
      <c r="D830" s="21"/>
      <c r="E830" s="7" t="str">
        <f>IF(Plantilla_SCAN_EQ3_COUNT_2[[#This Row],[ID MATERIAL]]="","",VLOOKUP(Plantilla_SCAN_EQ3_COUNT_2[[#This Row],[ID MATERIAL]],INVENTARIO!$A:$D,2,FALSE))</f>
        <v/>
      </c>
      <c r="F830" s="7" t="str">
        <f>IF(Plantilla_SCAN_EQ3_COUNT_2[[#This Row],[ID MATERIAL]]="","",IF(Plantilla_SCAN_EQ3_COUNT_2[[#This Row],[No. Empaques]]="",1,Plantilla_SCAN_EQ3_COUNT_2[[#This Row],[No. Empaques]]*1))</f>
        <v/>
      </c>
      <c r="G830" s="7" t="str">
        <f>IF(Plantilla_SCAN_EQ3_COUNT_2[[#This Row],[ID MATERIAL]]="","","PZ")</f>
        <v/>
      </c>
      <c r="H830" s="7" t="str">
        <f>IF(Plantilla_SCAN_EQ3_COUNT_2[[#This Row],[ID MATERIAL]]="","",$B$13)</f>
        <v/>
      </c>
      <c r="I830" s="7" t="str">
        <f>IF(Plantilla_SCAN_EQ3_COUNT_2[[#This Row],[ID MATERIAL]]="","","Segundo Conteo")</f>
        <v/>
      </c>
    </row>
    <row r="831" spans="1:9" s="7" customFormat="1" ht="15" x14ac:dyDescent="0.2">
      <c r="A831" s="7" t="str">
        <f>IF(Plantilla_SCAN_EQ3_COUNT_2[[#This Row],[ID MATERIAL]]="","",SIGN(Plantilla_SCAN_EQ3_COUNT_2[[#This Row],[Cantidad]])+A830)</f>
        <v/>
      </c>
      <c r="B831" s="21" t="str">
        <f>IF(Plantilla_SCAN_EQ3_COUNT_2[[#This Row],[ID MATERIAL]]="","",B830)</f>
        <v/>
      </c>
      <c r="C831" s="21"/>
      <c r="D831" s="21"/>
      <c r="E831" s="7" t="str">
        <f>IF(Plantilla_SCAN_EQ3_COUNT_2[[#This Row],[ID MATERIAL]]="","",VLOOKUP(Plantilla_SCAN_EQ3_COUNT_2[[#This Row],[ID MATERIAL]],INVENTARIO!$A:$D,2,FALSE))</f>
        <v/>
      </c>
      <c r="F831" s="7" t="str">
        <f>IF(Plantilla_SCAN_EQ3_COUNT_2[[#This Row],[ID MATERIAL]]="","",IF(Plantilla_SCAN_EQ3_COUNT_2[[#This Row],[No. Empaques]]="",1,Plantilla_SCAN_EQ3_COUNT_2[[#This Row],[No. Empaques]]*1))</f>
        <v/>
      </c>
      <c r="G831" s="7" t="str">
        <f>IF(Plantilla_SCAN_EQ3_COUNT_2[[#This Row],[ID MATERIAL]]="","","PZ")</f>
        <v/>
      </c>
      <c r="H831" s="7" t="str">
        <f>IF(Plantilla_SCAN_EQ3_COUNT_2[[#This Row],[ID MATERIAL]]="","",$B$13)</f>
        <v/>
      </c>
      <c r="I831" s="7" t="str">
        <f>IF(Plantilla_SCAN_EQ3_COUNT_2[[#This Row],[ID MATERIAL]]="","","Segundo Conteo")</f>
        <v/>
      </c>
    </row>
    <row r="832" spans="1:9" s="7" customFormat="1" ht="15" x14ac:dyDescent="0.2">
      <c r="A832" s="7" t="str">
        <f>IF(Plantilla_SCAN_EQ3_COUNT_2[[#This Row],[ID MATERIAL]]="","",SIGN(Plantilla_SCAN_EQ3_COUNT_2[[#This Row],[Cantidad]])+A831)</f>
        <v/>
      </c>
      <c r="B832" s="21" t="str">
        <f>IF(Plantilla_SCAN_EQ3_COUNT_2[[#This Row],[ID MATERIAL]]="","",B831)</f>
        <v/>
      </c>
      <c r="C832" s="21"/>
      <c r="D832" s="21"/>
      <c r="E832" s="7" t="str">
        <f>IF(Plantilla_SCAN_EQ3_COUNT_2[[#This Row],[ID MATERIAL]]="","",VLOOKUP(Plantilla_SCAN_EQ3_COUNT_2[[#This Row],[ID MATERIAL]],INVENTARIO!$A:$D,2,FALSE))</f>
        <v/>
      </c>
      <c r="F832" s="7" t="str">
        <f>IF(Plantilla_SCAN_EQ3_COUNT_2[[#This Row],[ID MATERIAL]]="","",IF(Plantilla_SCAN_EQ3_COUNT_2[[#This Row],[No. Empaques]]="",1,Plantilla_SCAN_EQ3_COUNT_2[[#This Row],[No. Empaques]]*1))</f>
        <v/>
      </c>
      <c r="G832" s="7" t="str">
        <f>IF(Plantilla_SCAN_EQ3_COUNT_2[[#This Row],[ID MATERIAL]]="","","PZ")</f>
        <v/>
      </c>
      <c r="H832" s="7" t="str">
        <f>IF(Plantilla_SCAN_EQ3_COUNT_2[[#This Row],[ID MATERIAL]]="","",$B$13)</f>
        <v/>
      </c>
      <c r="I832" s="7" t="str">
        <f>IF(Plantilla_SCAN_EQ3_COUNT_2[[#This Row],[ID MATERIAL]]="","","Segundo Conteo")</f>
        <v/>
      </c>
    </row>
    <row r="833" spans="1:9" s="7" customFormat="1" ht="15" x14ac:dyDescent="0.2">
      <c r="A833" s="7" t="str">
        <f>IF(Plantilla_SCAN_EQ3_COUNT_2[[#This Row],[ID MATERIAL]]="","",SIGN(Plantilla_SCAN_EQ3_COUNT_2[[#This Row],[Cantidad]])+A832)</f>
        <v/>
      </c>
      <c r="B833" s="21" t="str">
        <f>IF(Plantilla_SCAN_EQ3_COUNT_2[[#This Row],[ID MATERIAL]]="","",B832)</f>
        <v/>
      </c>
      <c r="C833" s="21"/>
      <c r="D833" s="21"/>
      <c r="E833" s="7" t="str">
        <f>IF(Plantilla_SCAN_EQ3_COUNT_2[[#This Row],[ID MATERIAL]]="","",VLOOKUP(Plantilla_SCAN_EQ3_COUNT_2[[#This Row],[ID MATERIAL]],INVENTARIO!$A:$D,2,FALSE))</f>
        <v/>
      </c>
      <c r="F833" s="7" t="str">
        <f>IF(Plantilla_SCAN_EQ3_COUNT_2[[#This Row],[ID MATERIAL]]="","",IF(Plantilla_SCAN_EQ3_COUNT_2[[#This Row],[No. Empaques]]="",1,Plantilla_SCAN_EQ3_COUNT_2[[#This Row],[No. Empaques]]*1))</f>
        <v/>
      </c>
      <c r="G833" s="7" t="str">
        <f>IF(Plantilla_SCAN_EQ3_COUNT_2[[#This Row],[ID MATERIAL]]="","","PZ")</f>
        <v/>
      </c>
      <c r="H833" s="7" t="str">
        <f>IF(Plantilla_SCAN_EQ3_COUNT_2[[#This Row],[ID MATERIAL]]="","",$B$13)</f>
        <v/>
      </c>
      <c r="I833" s="7" t="str">
        <f>IF(Plantilla_SCAN_EQ3_COUNT_2[[#This Row],[ID MATERIAL]]="","","Segundo Conteo")</f>
        <v/>
      </c>
    </row>
    <row r="834" spans="1:9" s="7" customFormat="1" ht="15" x14ac:dyDescent="0.2">
      <c r="A834" s="7" t="str">
        <f>IF(Plantilla_SCAN_EQ3_COUNT_2[[#This Row],[ID MATERIAL]]="","",SIGN(Plantilla_SCAN_EQ3_COUNT_2[[#This Row],[Cantidad]])+A833)</f>
        <v/>
      </c>
      <c r="B834" s="21" t="str">
        <f>IF(Plantilla_SCAN_EQ3_COUNT_2[[#This Row],[ID MATERIAL]]="","",B833)</f>
        <v/>
      </c>
      <c r="C834" s="21"/>
      <c r="D834" s="21"/>
      <c r="E834" s="7" t="str">
        <f>IF(Plantilla_SCAN_EQ3_COUNT_2[[#This Row],[ID MATERIAL]]="","",VLOOKUP(Plantilla_SCAN_EQ3_COUNT_2[[#This Row],[ID MATERIAL]],INVENTARIO!$A:$D,2,FALSE))</f>
        <v/>
      </c>
      <c r="F834" s="7" t="str">
        <f>IF(Plantilla_SCAN_EQ3_COUNT_2[[#This Row],[ID MATERIAL]]="","",IF(Plantilla_SCAN_EQ3_COUNT_2[[#This Row],[No. Empaques]]="",1,Plantilla_SCAN_EQ3_COUNT_2[[#This Row],[No. Empaques]]*1))</f>
        <v/>
      </c>
      <c r="G834" s="7" t="str">
        <f>IF(Plantilla_SCAN_EQ3_COUNT_2[[#This Row],[ID MATERIAL]]="","","PZ")</f>
        <v/>
      </c>
      <c r="H834" s="7" t="str">
        <f>IF(Plantilla_SCAN_EQ3_COUNT_2[[#This Row],[ID MATERIAL]]="","",$B$13)</f>
        <v/>
      </c>
      <c r="I834" s="7" t="str">
        <f>IF(Plantilla_SCAN_EQ3_COUNT_2[[#This Row],[ID MATERIAL]]="","","Segundo Conteo")</f>
        <v/>
      </c>
    </row>
    <row r="835" spans="1:9" s="7" customFormat="1" ht="15" x14ac:dyDescent="0.2">
      <c r="A835" s="7" t="str">
        <f>IF(Plantilla_SCAN_EQ3_COUNT_2[[#This Row],[ID MATERIAL]]="","",SIGN(Plantilla_SCAN_EQ3_COUNT_2[[#This Row],[Cantidad]])+A834)</f>
        <v/>
      </c>
      <c r="B835" s="21" t="str">
        <f>IF(Plantilla_SCAN_EQ3_COUNT_2[[#This Row],[ID MATERIAL]]="","",B834)</f>
        <v/>
      </c>
      <c r="C835" s="21"/>
      <c r="D835" s="21"/>
      <c r="E835" s="7" t="str">
        <f>IF(Plantilla_SCAN_EQ3_COUNT_2[[#This Row],[ID MATERIAL]]="","",VLOOKUP(Plantilla_SCAN_EQ3_COUNT_2[[#This Row],[ID MATERIAL]],INVENTARIO!$A:$D,2,FALSE))</f>
        <v/>
      </c>
      <c r="F835" s="7" t="str">
        <f>IF(Plantilla_SCAN_EQ3_COUNT_2[[#This Row],[ID MATERIAL]]="","",IF(Plantilla_SCAN_EQ3_COUNT_2[[#This Row],[No. Empaques]]="",1,Plantilla_SCAN_EQ3_COUNT_2[[#This Row],[No. Empaques]]*1))</f>
        <v/>
      </c>
      <c r="G835" s="7" t="str">
        <f>IF(Plantilla_SCAN_EQ3_COUNT_2[[#This Row],[ID MATERIAL]]="","","PZ")</f>
        <v/>
      </c>
      <c r="H835" s="7" t="str">
        <f>IF(Plantilla_SCAN_EQ3_COUNT_2[[#This Row],[ID MATERIAL]]="","",$B$13)</f>
        <v/>
      </c>
      <c r="I835" s="7" t="str">
        <f>IF(Plantilla_SCAN_EQ3_COUNT_2[[#This Row],[ID MATERIAL]]="","","Segundo Conteo")</f>
        <v/>
      </c>
    </row>
    <row r="836" spans="1:9" s="7" customFormat="1" ht="15" x14ac:dyDescent="0.2">
      <c r="A836" s="7" t="str">
        <f>IF(Plantilla_SCAN_EQ3_COUNT_2[[#This Row],[ID MATERIAL]]="","",SIGN(Plantilla_SCAN_EQ3_COUNT_2[[#This Row],[Cantidad]])+A835)</f>
        <v/>
      </c>
      <c r="B836" s="21" t="str">
        <f>IF(Plantilla_SCAN_EQ3_COUNT_2[[#This Row],[ID MATERIAL]]="","",B835)</f>
        <v/>
      </c>
      <c r="C836" s="21"/>
      <c r="D836" s="21"/>
      <c r="E836" s="7" t="str">
        <f>IF(Plantilla_SCAN_EQ3_COUNT_2[[#This Row],[ID MATERIAL]]="","",VLOOKUP(Plantilla_SCAN_EQ3_COUNT_2[[#This Row],[ID MATERIAL]],INVENTARIO!$A:$D,2,FALSE))</f>
        <v/>
      </c>
      <c r="F836" s="7" t="str">
        <f>IF(Plantilla_SCAN_EQ3_COUNT_2[[#This Row],[ID MATERIAL]]="","",IF(Plantilla_SCAN_EQ3_COUNT_2[[#This Row],[No. Empaques]]="",1,Plantilla_SCAN_EQ3_COUNT_2[[#This Row],[No. Empaques]]*1))</f>
        <v/>
      </c>
      <c r="G836" s="7" t="str">
        <f>IF(Plantilla_SCAN_EQ3_COUNT_2[[#This Row],[ID MATERIAL]]="","","PZ")</f>
        <v/>
      </c>
      <c r="H836" s="7" t="str">
        <f>IF(Plantilla_SCAN_EQ3_COUNT_2[[#This Row],[ID MATERIAL]]="","",$B$13)</f>
        <v/>
      </c>
      <c r="I836" s="7" t="str">
        <f>IF(Plantilla_SCAN_EQ3_COUNT_2[[#This Row],[ID MATERIAL]]="","","Segundo Conteo")</f>
        <v/>
      </c>
    </row>
    <row r="837" spans="1:9" s="7" customFormat="1" ht="15" x14ac:dyDescent="0.2">
      <c r="A837" s="7" t="str">
        <f>IF(Plantilla_SCAN_EQ3_COUNT_2[[#This Row],[ID MATERIAL]]="","",SIGN(Plantilla_SCAN_EQ3_COUNT_2[[#This Row],[Cantidad]])+A836)</f>
        <v/>
      </c>
      <c r="B837" s="21" t="str">
        <f>IF(Plantilla_SCAN_EQ3_COUNT_2[[#This Row],[ID MATERIAL]]="","",B836)</f>
        <v/>
      </c>
      <c r="C837" s="21"/>
      <c r="D837" s="21"/>
      <c r="E837" s="7" t="str">
        <f>IF(Plantilla_SCAN_EQ3_COUNT_2[[#This Row],[ID MATERIAL]]="","",VLOOKUP(Plantilla_SCAN_EQ3_COUNT_2[[#This Row],[ID MATERIAL]],INVENTARIO!$A:$D,2,FALSE))</f>
        <v/>
      </c>
      <c r="F837" s="7" t="str">
        <f>IF(Plantilla_SCAN_EQ3_COUNT_2[[#This Row],[ID MATERIAL]]="","",IF(Plantilla_SCAN_EQ3_COUNT_2[[#This Row],[No. Empaques]]="",1,Plantilla_SCAN_EQ3_COUNT_2[[#This Row],[No. Empaques]]*1))</f>
        <v/>
      </c>
      <c r="G837" s="7" t="str">
        <f>IF(Plantilla_SCAN_EQ3_COUNT_2[[#This Row],[ID MATERIAL]]="","","PZ")</f>
        <v/>
      </c>
      <c r="H837" s="7" t="str">
        <f>IF(Plantilla_SCAN_EQ3_COUNT_2[[#This Row],[ID MATERIAL]]="","",$B$13)</f>
        <v/>
      </c>
      <c r="I837" s="7" t="str">
        <f>IF(Plantilla_SCAN_EQ3_COUNT_2[[#This Row],[ID MATERIAL]]="","","Segundo Conteo")</f>
        <v/>
      </c>
    </row>
    <row r="838" spans="1:9" s="7" customFormat="1" ht="15" x14ac:dyDescent="0.2">
      <c r="A838" s="7" t="str">
        <f>IF(Plantilla_SCAN_EQ3_COUNT_2[[#This Row],[ID MATERIAL]]="","",SIGN(Plantilla_SCAN_EQ3_COUNT_2[[#This Row],[Cantidad]])+A837)</f>
        <v/>
      </c>
      <c r="B838" s="21" t="str">
        <f>IF(Plantilla_SCAN_EQ3_COUNT_2[[#This Row],[ID MATERIAL]]="","",B837)</f>
        <v/>
      </c>
      <c r="C838" s="21"/>
      <c r="D838" s="21"/>
      <c r="E838" s="7" t="str">
        <f>IF(Plantilla_SCAN_EQ3_COUNT_2[[#This Row],[ID MATERIAL]]="","",VLOOKUP(Plantilla_SCAN_EQ3_COUNT_2[[#This Row],[ID MATERIAL]],INVENTARIO!$A:$D,2,FALSE))</f>
        <v/>
      </c>
      <c r="F838" s="7" t="str">
        <f>IF(Plantilla_SCAN_EQ3_COUNT_2[[#This Row],[ID MATERIAL]]="","",IF(Plantilla_SCAN_EQ3_COUNT_2[[#This Row],[No. Empaques]]="",1,Plantilla_SCAN_EQ3_COUNT_2[[#This Row],[No. Empaques]]*1))</f>
        <v/>
      </c>
      <c r="G838" s="7" t="str">
        <f>IF(Plantilla_SCAN_EQ3_COUNT_2[[#This Row],[ID MATERIAL]]="","","PZ")</f>
        <v/>
      </c>
      <c r="H838" s="7" t="str">
        <f>IF(Plantilla_SCAN_EQ3_COUNT_2[[#This Row],[ID MATERIAL]]="","",$B$13)</f>
        <v/>
      </c>
      <c r="I838" s="7" t="str">
        <f>IF(Plantilla_SCAN_EQ3_COUNT_2[[#This Row],[ID MATERIAL]]="","","Segundo Conteo")</f>
        <v/>
      </c>
    </row>
    <row r="839" spans="1:9" s="7" customFormat="1" ht="15" x14ac:dyDescent="0.2">
      <c r="A839" s="7" t="str">
        <f>IF(Plantilla_SCAN_EQ3_COUNT_2[[#This Row],[ID MATERIAL]]="","",SIGN(Plantilla_SCAN_EQ3_COUNT_2[[#This Row],[Cantidad]])+A838)</f>
        <v/>
      </c>
      <c r="B839" s="21" t="str">
        <f>IF(Plantilla_SCAN_EQ3_COUNT_2[[#This Row],[ID MATERIAL]]="","",B838)</f>
        <v/>
      </c>
      <c r="C839" s="21"/>
      <c r="D839" s="21"/>
      <c r="E839" s="7" t="str">
        <f>IF(Plantilla_SCAN_EQ3_COUNT_2[[#This Row],[ID MATERIAL]]="","",VLOOKUP(Plantilla_SCAN_EQ3_COUNT_2[[#This Row],[ID MATERIAL]],INVENTARIO!$A:$D,2,FALSE))</f>
        <v/>
      </c>
      <c r="F839" s="7" t="str">
        <f>IF(Plantilla_SCAN_EQ3_COUNT_2[[#This Row],[ID MATERIAL]]="","",IF(Plantilla_SCAN_EQ3_COUNT_2[[#This Row],[No. Empaques]]="",1,Plantilla_SCAN_EQ3_COUNT_2[[#This Row],[No. Empaques]]*1))</f>
        <v/>
      </c>
      <c r="G839" s="7" t="str">
        <f>IF(Plantilla_SCAN_EQ3_COUNT_2[[#This Row],[ID MATERIAL]]="","","PZ")</f>
        <v/>
      </c>
      <c r="H839" s="7" t="str">
        <f>IF(Plantilla_SCAN_EQ3_COUNT_2[[#This Row],[ID MATERIAL]]="","",$B$13)</f>
        <v/>
      </c>
      <c r="I839" s="7" t="str">
        <f>IF(Plantilla_SCAN_EQ3_COUNT_2[[#This Row],[ID MATERIAL]]="","","Segundo Conteo")</f>
        <v/>
      </c>
    </row>
    <row r="840" spans="1:9" s="7" customFormat="1" ht="15" x14ac:dyDescent="0.2">
      <c r="A840" s="7" t="str">
        <f>IF(Plantilla_SCAN_EQ3_COUNT_2[[#This Row],[ID MATERIAL]]="","",SIGN(Plantilla_SCAN_EQ3_COUNT_2[[#This Row],[Cantidad]])+A839)</f>
        <v/>
      </c>
      <c r="B840" s="21" t="str">
        <f>IF(Plantilla_SCAN_EQ3_COUNT_2[[#This Row],[ID MATERIAL]]="","",B839)</f>
        <v/>
      </c>
      <c r="C840" s="21"/>
      <c r="D840" s="21"/>
      <c r="E840" s="7" t="str">
        <f>IF(Plantilla_SCAN_EQ3_COUNT_2[[#This Row],[ID MATERIAL]]="","",VLOOKUP(Plantilla_SCAN_EQ3_COUNT_2[[#This Row],[ID MATERIAL]],INVENTARIO!$A:$D,2,FALSE))</f>
        <v/>
      </c>
      <c r="F840" s="7" t="str">
        <f>IF(Plantilla_SCAN_EQ3_COUNT_2[[#This Row],[ID MATERIAL]]="","",IF(Plantilla_SCAN_EQ3_COUNT_2[[#This Row],[No. Empaques]]="",1,Plantilla_SCAN_EQ3_COUNT_2[[#This Row],[No. Empaques]]*1))</f>
        <v/>
      </c>
      <c r="G840" s="7" t="str">
        <f>IF(Plantilla_SCAN_EQ3_COUNT_2[[#This Row],[ID MATERIAL]]="","","PZ")</f>
        <v/>
      </c>
      <c r="H840" s="7" t="str">
        <f>IF(Plantilla_SCAN_EQ3_COUNT_2[[#This Row],[ID MATERIAL]]="","",$B$13)</f>
        <v/>
      </c>
      <c r="I840" s="7" t="str">
        <f>IF(Plantilla_SCAN_EQ3_COUNT_2[[#This Row],[ID MATERIAL]]="","","Segundo Conteo")</f>
        <v/>
      </c>
    </row>
    <row r="841" spans="1:9" s="7" customFormat="1" ht="15" x14ac:dyDescent="0.2">
      <c r="A841" s="7" t="str">
        <f>IF(Plantilla_SCAN_EQ3_COUNT_2[[#This Row],[ID MATERIAL]]="","",SIGN(Plantilla_SCAN_EQ3_COUNT_2[[#This Row],[Cantidad]])+A840)</f>
        <v/>
      </c>
      <c r="B841" s="21" t="str">
        <f>IF(Plantilla_SCAN_EQ3_COUNT_2[[#This Row],[ID MATERIAL]]="","",B840)</f>
        <v/>
      </c>
      <c r="C841" s="21"/>
      <c r="D841" s="21"/>
      <c r="E841" s="7" t="str">
        <f>IF(Plantilla_SCAN_EQ3_COUNT_2[[#This Row],[ID MATERIAL]]="","",VLOOKUP(Plantilla_SCAN_EQ3_COUNT_2[[#This Row],[ID MATERIAL]],INVENTARIO!$A:$D,2,FALSE))</f>
        <v/>
      </c>
      <c r="F841" s="7" t="str">
        <f>IF(Plantilla_SCAN_EQ3_COUNT_2[[#This Row],[ID MATERIAL]]="","",IF(Plantilla_SCAN_EQ3_COUNT_2[[#This Row],[No. Empaques]]="",1,Plantilla_SCAN_EQ3_COUNT_2[[#This Row],[No. Empaques]]*1))</f>
        <v/>
      </c>
      <c r="G841" s="7" t="str">
        <f>IF(Plantilla_SCAN_EQ3_COUNT_2[[#This Row],[ID MATERIAL]]="","","PZ")</f>
        <v/>
      </c>
      <c r="H841" s="7" t="str">
        <f>IF(Plantilla_SCAN_EQ3_COUNT_2[[#This Row],[ID MATERIAL]]="","",$B$13)</f>
        <v/>
      </c>
      <c r="I841" s="7" t="str">
        <f>IF(Plantilla_SCAN_EQ3_COUNT_2[[#This Row],[ID MATERIAL]]="","","Segundo Conteo")</f>
        <v/>
      </c>
    </row>
    <row r="842" spans="1:9" s="7" customFormat="1" ht="15" x14ac:dyDescent="0.2">
      <c r="A842" s="7" t="str">
        <f>IF(Plantilla_SCAN_EQ3_COUNT_2[[#This Row],[ID MATERIAL]]="","",SIGN(Plantilla_SCAN_EQ3_COUNT_2[[#This Row],[Cantidad]])+A841)</f>
        <v/>
      </c>
      <c r="B842" s="21" t="str">
        <f>IF(Plantilla_SCAN_EQ3_COUNT_2[[#This Row],[ID MATERIAL]]="","",B841)</f>
        <v/>
      </c>
      <c r="C842" s="21"/>
      <c r="D842" s="21"/>
      <c r="E842" s="7" t="str">
        <f>IF(Plantilla_SCAN_EQ3_COUNT_2[[#This Row],[ID MATERIAL]]="","",VLOOKUP(Plantilla_SCAN_EQ3_COUNT_2[[#This Row],[ID MATERIAL]],INVENTARIO!$A:$D,2,FALSE))</f>
        <v/>
      </c>
      <c r="F842" s="7" t="str">
        <f>IF(Plantilla_SCAN_EQ3_COUNT_2[[#This Row],[ID MATERIAL]]="","",IF(Plantilla_SCAN_EQ3_COUNT_2[[#This Row],[No. Empaques]]="",1,Plantilla_SCAN_EQ3_COUNT_2[[#This Row],[No. Empaques]]*1))</f>
        <v/>
      </c>
      <c r="G842" s="7" t="str">
        <f>IF(Plantilla_SCAN_EQ3_COUNT_2[[#This Row],[ID MATERIAL]]="","","PZ")</f>
        <v/>
      </c>
      <c r="H842" s="7" t="str">
        <f>IF(Plantilla_SCAN_EQ3_COUNT_2[[#This Row],[ID MATERIAL]]="","",$B$13)</f>
        <v/>
      </c>
      <c r="I842" s="7" t="str">
        <f>IF(Plantilla_SCAN_EQ3_COUNT_2[[#This Row],[ID MATERIAL]]="","","Segundo Conteo")</f>
        <v/>
      </c>
    </row>
    <row r="843" spans="1:9" s="7" customFormat="1" ht="15" x14ac:dyDescent="0.2">
      <c r="A843" s="7" t="str">
        <f>IF(Plantilla_SCAN_EQ3_COUNT_2[[#This Row],[ID MATERIAL]]="","",SIGN(Plantilla_SCAN_EQ3_COUNT_2[[#This Row],[Cantidad]])+A842)</f>
        <v/>
      </c>
      <c r="B843" s="21" t="str">
        <f>IF(Plantilla_SCAN_EQ3_COUNT_2[[#This Row],[ID MATERIAL]]="","",B842)</f>
        <v/>
      </c>
      <c r="C843" s="21"/>
      <c r="D843" s="21"/>
      <c r="E843" s="7" t="str">
        <f>IF(Plantilla_SCAN_EQ3_COUNT_2[[#This Row],[ID MATERIAL]]="","",VLOOKUP(Plantilla_SCAN_EQ3_COUNT_2[[#This Row],[ID MATERIAL]],INVENTARIO!$A:$D,2,FALSE))</f>
        <v/>
      </c>
      <c r="F843" s="7" t="str">
        <f>IF(Plantilla_SCAN_EQ3_COUNT_2[[#This Row],[ID MATERIAL]]="","",IF(Plantilla_SCAN_EQ3_COUNT_2[[#This Row],[No. Empaques]]="",1,Plantilla_SCAN_EQ3_COUNT_2[[#This Row],[No. Empaques]]*1))</f>
        <v/>
      </c>
      <c r="G843" s="7" t="str">
        <f>IF(Plantilla_SCAN_EQ3_COUNT_2[[#This Row],[ID MATERIAL]]="","","PZ")</f>
        <v/>
      </c>
      <c r="H843" s="7" t="str">
        <f>IF(Plantilla_SCAN_EQ3_COUNT_2[[#This Row],[ID MATERIAL]]="","",$B$13)</f>
        <v/>
      </c>
      <c r="I843" s="7" t="str">
        <f>IF(Plantilla_SCAN_EQ3_COUNT_2[[#This Row],[ID MATERIAL]]="","","Segundo Conteo")</f>
        <v/>
      </c>
    </row>
    <row r="844" spans="1:9" s="7" customFormat="1" ht="15" x14ac:dyDescent="0.2">
      <c r="A844" s="7" t="str">
        <f>IF(Plantilla_SCAN_EQ3_COUNT_2[[#This Row],[ID MATERIAL]]="","",SIGN(Plantilla_SCAN_EQ3_COUNT_2[[#This Row],[Cantidad]])+A843)</f>
        <v/>
      </c>
      <c r="B844" s="21" t="str">
        <f>IF(Plantilla_SCAN_EQ3_COUNT_2[[#This Row],[ID MATERIAL]]="","",B843)</f>
        <v/>
      </c>
      <c r="C844" s="21"/>
      <c r="D844" s="21"/>
      <c r="E844" s="7" t="str">
        <f>IF(Plantilla_SCAN_EQ3_COUNT_2[[#This Row],[ID MATERIAL]]="","",VLOOKUP(Plantilla_SCAN_EQ3_COUNT_2[[#This Row],[ID MATERIAL]],INVENTARIO!$A:$D,2,FALSE))</f>
        <v/>
      </c>
      <c r="F844" s="7" t="str">
        <f>IF(Plantilla_SCAN_EQ3_COUNT_2[[#This Row],[ID MATERIAL]]="","",IF(Plantilla_SCAN_EQ3_COUNT_2[[#This Row],[No. Empaques]]="",1,Plantilla_SCAN_EQ3_COUNT_2[[#This Row],[No. Empaques]]*1))</f>
        <v/>
      </c>
      <c r="G844" s="7" t="str">
        <f>IF(Plantilla_SCAN_EQ3_COUNT_2[[#This Row],[ID MATERIAL]]="","","PZ")</f>
        <v/>
      </c>
      <c r="H844" s="7" t="str">
        <f>IF(Plantilla_SCAN_EQ3_COUNT_2[[#This Row],[ID MATERIAL]]="","",$B$13)</f>
        <v/>
      </c>
      <c r="I844" s="7" t="str">
        <f>IF(Plantilla_SCAN_EQ3_COUNT_2[[#This Row],[ID MATERIAL]]="","","Segundo Conteo")</f>
        <v/>
      </c>
    </row>
    <row r="845" spans="1:9" s="7" customFormat="1" ht="15" x14ac:dyDescent="0.2">
      <c r="A845" s="7" t="str">
        <f>IF(Plantilla_SCAN_EQ3_COUNT_2[[#This Row],[ID MATERIAL]]="","",SIGN(Plantilla_SCAN_EQ3_COUNT_2[[#This Row],[Cantidad]])+A844)</f>
        <v/>
      </c>
      <c r="B845" s="21" t="str">
        <f>IF(Plantilla_SCAN_EQ3_COUNT_2[[#This Row],[ID MATERIAL]]="","",B844)</f>
        <v/>
      </c>
      <c r="C845" s="21"/>
      <c r="D845" s="21"/>
      <c r="E845" s="7" t="str">
        <f>IF(Plantilla_SCAN_EQ3_COUNT_2[[#This Row],[ID MATERIAL]]="","",VLOOKUP(Plantilla_SCAN_EQ3_COUNT_2[[#This Row],[ID MATERIAL]],INVENTARIO!$A:$D,2,FALSE))</f>
        <v/>
      </c>
      <c r="F845" s="7" t="str">
        <f>IF(Plantilla_SCAN_EQ3_COUNT_2[[#This Row],[ID MATERIAL]]="","",IF(Plantilla_SCAN_EQ3_COUNT_2[[#This Row],[No. Empaques]]="",1,Plantilla_SCAN_EQ3_COUNT_2[[#This Row],[No. Empaques]]*1))</f>
        <v/>
      </c>
      <c r="G845" s="7" t="str">
        <f>IF(Plantilla_SCAN_EQ3_COUNT_2[[#This Row],[ID MATERIAL]]="","","PZ")</f>
        <v/>
      </c>
      <c r="H845" s="7" t="str">
        <f>IF(Plantilla_SCAN_EQ3_COUNT_2[[#This Row],[ID MATERIAL]]="","",$B$13)</f>
        <v/>
      </c>
      <c r="I845" s="7" t="str">
        <f>IF(Plantilla_SCAN_EQ3_COUNT_2[[#This Row],[ID MATERIAL]]="","","Segundo Conteo")</f>
        <v/>
      </c>
    </row>
    <row r="846" spans="1:9" s="7" customFormat="1" ht="15" x14ac:dyDescent="0.2">
      <c r="A846" s="7" t="str">
        <f>IF(Plantilla_SCAN_EQ3_COUNT_2[[#This Row],[ID MATERIAL]]="","",SIGN(Plantilla_SCAN_EQ3_COUNT_2[[#This Row],[Cantidad]])+A845)</f>
        <v/>
      </c>
      <c r="B846" s="21" t="str">
        <f>IF(Plantilla_SCAN_EQ3_COUNT_2[[#This Row],[ID MATERIAL]]="","",B845)</f>
        <v/>
      </c>
      <c r="C846" s="21"/>
      <c r="D846" s="21"/>
      <c r="E846" s="7" t="str">
        <f>IF(Plantilla_SCAN_EQ3_COUNT_2[[#This Row],[ID MATERIAL]]="","",VLOOKUP(Plantilla_SCAN_EQ3_COUNT_2[[#This Row],[ID MATERIAL]],INVENTARIO!$A:$D,2,FALSE))</f>
        <v/>
      </c>
      <c r="F846" s="7" t="str">
        <f>IF(Plantilla_SCAN_EQ3_COUNT_2[[#This Row],[ID MATERIAL]]="","",IF(Plantilla_SCAN_EQ3_COUNT_2[[#This Row],[No. Empaques]]="",1,Plantilla_SCAN_EQ3_COUNT_2[[#This Row],[No. Empaques]]*1))</f>
        <v/>
      </c>
      <c r="G846" s="7" t="str">
        <f>IF(Plantilla_SCAN_EQ3_COUNT_2[[#This Row],[ID MATERIAL]]="","","PZ")</f>
        <v/>
      </c>
      <c r="H846" s="7" t="str">
        <f>IF(Plantilla_SCAN_EQ3_COUNT_2[[#This Row],[ID MATERIAL]]="","",$B$13)</f>
        <v/>
      </c>
      <c r="I846" s="7" t="str">
        <f>IF(Plantilla_SCAN_EQ3_COUNT_2[[#This Row],[ID MATERIAL]]="","","Segundo Conteo")</f>
        <v/>
      </c>
    </row>
    <row r="847" spans="1:9" s="7" customFormat="1" ht="15" x14ac:dyDescent="0.2">
      <c r="A847" s="7" t="str">
        <f>IF(Plantilla_SCAN_EQ3_COUNT_2[[#This Row],[ID MATERIAL]]="","",SIGN(Plantilla_SCAN_EQ3_COUNT_2[[#This Row],[Cantidad]])+A846)</f>
        <v/>
      </c>
      <c r="B847" s="21" t="str">
        <f>IF(Plantilla_SCAN_EQ3_COUNT_2[[#This Row],[ID MATERIAL]]="","",B846)</f>
        <v/>
      </c>
      <c r="C847" s="21"/>
      <c r="D847" s="21"/>
      <c r="E847" s="7" t="str">
        <f>IF(Plantilla_SCAN_EQ3_COUNT_2[[#This Row],[ID MATERIAL]]="","",VLOOKUP(Plantilla_SCAN_EQ3_COUNT_2[[#This Row],[ID MATERIAL]],INVENTARIO!$A:$D,2,FALSE))</f>
        <v/>
      </c>
      <c r="F847" s="7" t="str">
        <f>IF(Plantilla_SCAN_EQ3_COUNT_2[[#This Row],[ID MATERIAL]]="","",IF(Plantilla_SCAN_EQ3_COUNT_2[[#This Row],[No. Empaques]]="",1,Plantilla_SCAN_EQ3_COUNT_2[[#This Row],[No. Empaques]]*1))</f>
        <v/>
      </c>
      <c r="G847" s="7" t="str">
        <f>IF(Plantilla_SCAN_EQ3_COUNT_2[[#This Row],[ID MATERIAL]]="","","PZ")</f>
        <v/>
      </c>
      <c r="H847" s="7" t="str">
        <f>IF(Plantilla_SCAN_EQ3_COUNT_2[[#This Row],[ID MATERIAL]]="","",$B$13)</f>
        <v/>
      </c>
      <c r="I847" s="7" t="str">
        <f>IF(Plantilla_SCAN_EQ3_COUNT_2[[#This Row],[ID MATERIAL]]="","","Segundo Conteo")</f>
        <v/>
      </c>
    </row>
    <row r="848" spans="1:9" s="7" customFormat="1" ht="15" x14ac:dyDescent="0.2">
      <c r="A848" s="7" t="str">
        <f>IF(Plantilla_SCAN_EQ3_COUNT_2[[#This Row],[ID MATERIAL]]="","",SIGN(Plantilla_SCAN_EQ3_COUNT_2[[#This Row],[Cantidad]])+A847)</f>
        <v/>
      </c>
      <c r="B848" s="21" t="str">
        <f>IF(Plantilla_SCAN_EQ3_COUNT_2[[#This Row],[ID MATERIAL]]="","",B847)</f>
        <v/>
      </c>
      <c r="C848" s="21"/>
      <c r="D848" s="21"/>
      <c r="E848" s="7" t="str">
        <f>IF(Plantilla_SCAN_EQ3_COUNT_2[[#This Row],[ID MATERIAL]]="","",VLOOKUP(Plantilla_SCAN_EQ3_COUNT_2[[#This Row],[ID MATERIAL]],INVENTARIO!$A:$D,2,FALSE))</f>
        <v/>
      </c>
      <c r="F848" s="7" t="str">
        <f>IF(Plantilla_SCAN_EQ3_COUNT_2[[#This Row],[ID MATERIAL]]="","",IF(Plantilla_SCAN_EQ3_COUNT_2[[#This Row],[No. Empaques]]="",1,Plantilla_SCAN_EQ3_COUNT_2[[#This Row],[No. Empaques]]*1))</f>
        <v/>
      </c>
      <c r="G848" s="7" t="str">
        <f>IF(Plantilla_SCAN_EQ3_COUNT_2[[#This Row],[ID MATERIAL]]="","","PZ")</f>
        <v/>
      </c>
      <c r="H848" s="7" t="str">
        <f>IF(Plantilla_SCAN_EQ3_COUNT_2[[#This Row],[ID MATERIAL]]="","",$B$13)</f>
        <v/>
      </c>
      <c r="I848" s="7" t="str">
        <f>IF(Plantilla_SCAN_EQ3_COUNT_2[[#This Row],[ID MATERIAL]]="","","Segundo Conteo")</f>
        <v/>
      </c>
    </row>
    <row r="849" spans="1:9" s="7" customFormat="1" ht="15" x14ac:dyDescent="0.2">
      <c r="A849" s="7" t="str">
        <f>IF(Plantilla_SCAN_EQ3_COUNT_2[[#This Row],[ID MATERIAL]]="","",SIGN(Plantilla_SCAN_EQ3_COUNT_2[[#This Row],[Cantidad]])+A848)</f>
        <v/>
      </c>
      <c r="B849" s="21" t="str">
        <f>IF(Plantilla_SCAN_EQ3_COUNT_2[[#This Row],[ID MATERIAL]]="","",B848)</f>
        <v/>
      </c>
      <c r="C849" s="21"/>
      <c r="D849" s="21"/>
      <c r="E849" s="7" t="str">
        <f>IF(Plantilla_SCAN_EQ3_COUNT_2[[#This Row],[ID MATERIAL]]="","",VLOOKUP(Plantilla_SCAN_EQ3_COUNT_2[[#This Row],[ID MATERIAL]],INVENTARIO!$A:$D,2,FALSE))</f>
        <v/>
      </c>
      <c r="F849" s="7" t="str">
        <f>IF(Plantilla_SCAN_EQ3_COUNT_2[[#This Row],[ID MATERIAL]]="","",IF(Plantilla_SCAN_EQ3_COUNT_2[[#This Row],[No. Empaques]]="",1,Plantilla_SCAN_EQ3_COUNT_2[[#This Row],[No. Empaques]]*1))</f>
        <v/>
      </c>
      <c r="G849" s="7" t="str">
        <f>IF(Plantilla_SCAN_EQ3_COUNT_2[[#This Row],[ID MATERIAL]]="","","PZ")</f>
        <v/>
      </c>
      <c r="H849" s="7" t="str">
        <f>IF(Plantilla_SCAN_EQ3_COUNT_2[[#This Row],[ID MATERIAL]]="","",$B$13)</f>
        <v/>
      </c>
      <c r="I849" s="7" t="str">
        <f>IF(Plantilla_SCAN_EQ3_COUNT_2[[#This Row],[ID MATERIAL]]="","","Segundo Conteo")</f>
        <v/>
      </c>
    </row>
    <row r="850" spans="1:9" s="7" customFormat="1" ht="15" x14ac:dyDescent="0.2">
      <c r="A850" s="7" t="str">
        <f>IF(Plantilla_SCAN_EQ3_COUNT_2[[#This Row],[ID MATERIAL]]="","",SIGN(Plantilla_SCAN_EQ3_COUNT_2[[#This Row],[Cantidad]])+A849)</f>
        <v/>
      </c>
      <c r="B850" s="21" t="str">
        <f>IF(Plantilla_SCAN_EQ3_COUNT_2[[#This Row],[ID MATERIAL]]="","",B849)</f>
        <v/>
      </c>
      <c r="C850" s="21"/>
      <c r="D850" s="21"/>
      <c r="E850" s="7" t="str">
        <f>IF(Plantilla_SCAN_EQ3_COUNT_2[[#This Row],[ID MATERIAL]]="","",VLOOKUP(Plantilla_SCAN_EQ3_COUNT_2[[#This Row],[ID MATERIAL]],INVENTARIO!$A:$D,2,FALSE))</f>
        <v/>
      </c>
      <c r="F850" s="7" t="str">
        <f>IF(Plantilla_SCAN_EQ3_COUNT_2[[#This Row],[ID MATERIAL]]="","",IF(Plantilla_SCAN_EQ3_COUNT_2[[#This Row],[No. Empaques]]="",1,Plantilla_SCAN_EQ3_COUNT_2[[#This Row],[No. Empaques]]*1))</f>
        <v/>
      </c>
      <c r="G850" s="7" t="str">
        <f>IF(Plantilla_SCAN_EQ3_COUNT_2[[#This Row],[ID MATERIAL]]="","","PZ")</f>
        <v/>
      </c>
      <c r="H850" s="7" t="str">
        <f>IF(Plantilla_SCAN_EQ3_COUNT_2[[#This Row],[ID MATERIAL]]="","",$B$13)</f>
        <v/>
      </c>
      <c r="I850" s="7" t="str">
        <f>IF(Plantilla_SCAN_EQ3_COUNT_2[[#This Row],[ID MATERIAL]]="","","Segundo Conteo")</f>
        <v/>
      </c>
    </row>
    <row r="851" spans="1:9" s="7" customFormat="1" ht="15" x14ac:dyDescent="0.2">
      <c r="A851" s="7" t="str">
        <f>IF(Plantilla_SCAN_EQ3_COUNT_2[[#This Row],[ID MATERIAL]]="","",SIGN(Plantilla_SCAN_EQ3_COUNT_2[[#This Row],[Cantidad]])+A850)</f>
        <v/>
      </c>
      <c r="B851" s="21" t="str">
        <f>IF(Plantilla_SCAN_EQ3_COUNT_2[[#This Row],[ID MATERIAL]]="","",B850)</f>
        <v/>
      </c>
      <c r="C851" s="21"/>
      <c r="D851" s="21"/>
      <c r="E851" s="7" t="str">
        <f>IF(Plantilla_SCAN_EQ3_COUNT_2[[#This Row],[ID MATERIAL]]="","",VLOOKUP(Plantilla_SCAN_EQ3_COUNT_2[[#This Row],[ID MATERIAL]],INVENTARIO!$A:$D,2,FALSE))</f>
        <v/>
      </c>
      <c r="F851" s="7" t="str">
        <f>IF(Plantilla_SCAN_EQ3_COUNT_2[[#This Row],[ID MATERIAL]]="","",IF(Plantilla_SCAN_EQ3_COUNT_2[[#This Row],[No. Empaques]]="",1,Plantilla_SCAN_EQ3_COUNT_2[[#This Row],[No. Empaques]]*1))</f>
        <v/>
      </c>
      <c r="G851" s="7" t="str">
        <f>IF(Plantilla_SCAN_EQ3_COUNT_2[[#This Row],[ID MATERIAL]]="","","PZ")</f>
        <v/>
      </c>
      <c r="H851" s="7" t="str">
        <f>IF(Plantilla_SCAN_EQ3_COUNT_2[[#This Row],[ID MATERIAL]]="","",$B$13)</f>
        <v/>
      </c>
      <c r="I851" s="7" t="str">
        <f>IF(Plantilla_SCAN_EQ3_COUNT_2[[#This Row],[ID MATERIAL]]="","","Segundo Conteo")</f>
        <v/>
      </c>
    </row>
    <row r="852" spans="1:9" s="7" customFormat="1" ht="15" x14ac:dyDescent="0.2">
      <c r="A852" s="7" t="str">
        <f>IF(Plantilla_SCAN_EQ3_COUNT_2[[#This Row],[ID MATERIAL]]="","",SIGN(Plantilla_SCAN_EQ3_COUNT_2[[#This Row],[Cantidad]])+A851)</f>
        <v/>
      </c>
      <c r="B852" s="21" t="str">
        <f>IF(Plantilla_SCAN_EQ3_COUNT_2[[#This Row],[ID MATERIAL]]="","",B851)</f>
        <v/>
      </c>
      <c r="C852" s="21"/>
      <c r="D852" s="21"/>
      <c r="E852" s="7" t="str">
        <f>IF(Plantilla_SCAN_EQ3_COUNT_2[[#This Row],[ID MATERIAL]]="","",VLOOKUP(Plantilla_SCAN_EQ3_COUNT_2[[#This Row],[ID MATERIAL]],INVENTARIO!$A:$D,2,FALSE))</f>
        <v/>
      </c>
      <c r="F852" s="7" t="str">
        <f>IF(Plantilla_SCAN_EQ3_COUNT_2[[#This Row],[ID MATERIAL]]="","",IF(Plantilla_SCAN_EQ3_COUNT_2[[#This Row],[No. Empaques]]="",1,Plantilla_SCAN_EQ3_COUNT_2[[#This Row],[No. Empaques]]*1))</f>
        <v/>
      </c>
      <c r="G852" s="7" t="str">
        <f>IF(Plantilla_SCAN_EQ3_COUNT_2[[#This Row],[ID MATERIAL]]="","","PZ")</f>
        <v/>
      </c>
      <c r="H852" s="7" t="str">
        <f>IF(Plantilla_SCAN_EQ3_COUNT_2[[#This Row],[ID MATERIAL]]="","",$B$13)</f>
        <v/>
      </c>
      <c r="I852" s="7" t="str">
        <f>IF(Plantilla_SCAN_EQ3_COUNT_2[[#This Row],[ID MATERIAL]]="","","Segundo Conteo")</f>
        <v/>
      </c>
    </row>
    <row r="853" spans="1:9" s="7" customFormat="1" ht="15" x14ac:dyDescent="0.2">
      <c r="A853" s="7" t="str">
        <f>IF(Plantilla_SCAN_EQ3_COUNT_2[[#This Row],[ID MATERIAL]]="","",SIGN(Plantilla_SCAN_EQ3_COUNT_2[[#This Row],[Cantidad]])+A852)</f>
        <v/>
      </c>
      <c r="B853" s="21" t="str">
        <f>IF(Plantilla_SCAN_EQ3_COUNT_2[[#This Row],[ID MATERIAL]]="","",B852)</f>
        <v/>
      </c>
      <c r="C853" s="21"/>
      <c r="D853" s="21"/>
      <c r="E853" s="7" t="str">
        <f>IF(Plantilla_SCAN_EQ3_COUNT_2[[#This Row],[ID MATERIAL]]="","",VLOOKUP(Plantilla_SCAN_EQ3_COUNT_2[[#This Row],[ID MATERIAL]],INVENTARIO!$A:$D,2,FALSE))</f>
        <v/>
      </c>
      <c r="F853" s="7" t="str">
        <f>IF(Plantilla_SCAN_EQ3_COUNT_2[[#This Row],[ID MATERIAL]]="","",IF(Plantilla_SCAN_EQ3_COUNT_2[[#This Row],[No. Empaques]]="",1,Plantilla_SCAN_EQ3_COUNT_2[[#This Row],[No. Empaques]]*1))</f>
        <v/>
      </c>
      <c r="G853" s="7" t="str">
        <f>IF(Plantilla_SCAN_EQ3_COUNT_2[[#This Row],[ID MATERIAL]]="","","PZ")</f>
        <v/>
      </c>
      <c r="H853" s="7" t="str">
        <f>IF(Plantilla_SCAN_EQ3_COUNT_2[[#This Row],[ID MATERIAL]]="","",$B$13)</f>
        <v/>
      </c>
      <c r="I853" s="7" t="str">
        <f>IF(Plantilla_SCAN_EQ3_COUNT_2[[#This Row],[ID MATERIAL]]="","","Segundo Conteo")</f>
        <v/>
      </c>
    </row>
    <row r="854" spans="1:9" s="7" customFormat="1" ht="15" x14ac:dyDescent="0.2">
      <c r="A854" s="7" t="str">
        <f>IF(Plantilla_SCAN_EQ3_COUNT_2[[#This Row],[ID MATERIAL]]="","",SIGN(Plantilla_SCAN_EQ3_COUNT_2[[#This Row],[Cantidad]])+A853)</f>
        <v/>
      </c>
      <c r="B854" s="21" t="str">
        <f>IF(Plantilla_SCAN_EQ3_COUNT_2[[#This Row],[ID MATERIAL]]="","",B853)</f>
        <v/>
      </c>
      <c r="C854" s="21"/>
      <c r="D854" s="21"/>
      <c r="E854" s="7" t="str">
        <f>IF(Plantilla_SCAN_EQ3_COUNT_2[[#This Row],[ID MATERIAL]]="","",VLOOKUP(Plantilla_SCAN_EQ3_COUNT_2[[#This Row],[ID MATERIAL]],INVENTARIO!$A:$D,2,FALSE))</f>
        <v/>
      </c>
      <c r="F854" s="7" t="str">
        <f>IF(Plantilla_SCAN_EQ3_COUNT_2[[#This Row],[ID MATERIAL]]="","",IF(Plantilla_SCAN_EQ3_COUNT_2[[#This Row],[No. Empaques]]="",1,Plantilla_SCAN_EQ3_COUNT_2[[#This Row],[No. Empaques]]*1))</f>
        <v/>
      </c>
      <c r="G854" s="7" t="str">
        <f>IF(Plantilla_SCAN_EQ3_COUNT_2[[#This Row],[ID MATERIAL]]="","","PZ")</f>
        <v/>
      </c>
      <c r="H854" s="7" t="str">
        <f>IF(Plantilla_SCAN_EQ3_COUNT_2[[#This Row],[ID MATERIAL]]="","",$B$13)</f>
        <v/>
      </c>
      <c r="I854" s="7" t="str">
        <f>IF(Plantilla_SCAN_EQ3_COUNT_2[[#This Row],[ID MATERIAL]]="","","Segundo Conteo")</f>
        <v/>
      </c>
    </row>
    <row r="855" spans="1:9" s="7" customFormat="1" ht="15" x14ac:dyDescent="0.2">
      <c r="A855" s="7" t="str">
        <f>IF(Plantilla_SCAN_EQ3_COUNT_2[[#This Row],[ID MATERIAL]]="","",SIGN(Plantilla_SCAN_EQ3_COUNT_2[[#This Row],[Cantidad]])+A854)</f>
        <v/>
      </c>
      <c r="B855" s="21" t="str">
        <f>IF(Plantilla_SCAN_EQ3_COUNT_2[[#This Row],[ID MATERIAL]]="","",B854)</f>
        <v/>
      </c>
      <c r="C855" s="21"/>
      <c r="D855" s="21"/>
      <c r="E855" s="7" t="str">
        <f>IF(Plantilla_SCAN_EQ3_COUNT_2[[#This Row],[ID MATERIAL]]="","",VLOOKUP(Plantilla_SCAN_EQ3_COUNT_2[[#This Row],[ID MATERIAL]],INVENTARIO!$A:$D,2,FALSE))</f>
        <v/>
      </c>
      <c r="F855" s="7" t="str">
        <f>IF(Plantilla_SCAN_EQ3_COUNT_2[[#This Row],[ID MATERIAL]]="","",IF(Plantilla_SCAN_EQ3_COUNT_2[[#This Row],[No. Empaques]]="",1,Plantilla_SCAN_EQ3_COUNT_2[[#This Row],[No. Empaques]]*1))</f>
        <v/>
      </c>
      <c r="G855" s="7" t="str">
        <f>IF(Plantilla_SCAN_EQ3_COUNT_2[[#This Row],[ID MATERIAL]]="","","PZ")</f>
        <v/>
      </c>
      <c r="H855" s="7" t="str">
        <f>IF(Plantilla_SCAN_EQ3_COUNT_2[[#This Row],[ID MATERIAL]]="","",$B$13)</f>
        <v/>
      </c>
      <c r="I855" s="7" t="str">
        <f>IF(Plantilla_SCAN_EQ3_COUNT_2[[#This Row],[ID MATERIAL]]="","","Segundo Conteo")</f>
        <v/>
      </c>
    </row>
    <row r="856" spans="1:9" s="7" customFormat="1" ht="15" x14ac:dyDescent="0.2">
      <c r="A856" s="7" t="str">
        <f>IF(Plantilla_SCAN_EQ3_COUNT_2[[#This Row],[ID MATERIAL]]="","",SIGN(Plantilla_SCAN_EQ3_COUNT_2[[#This Row],[Cantidad]])+A855)</f>
        <v/>
      </c>
      <c r="B856" s="21" t="str">
        <f>IF(Plantilla_SCAN_EQ3_COUNT_2[[#This Row],[ID MATERIAL]]="","",B855)</f>
        <v/>
      </c>
      <c r="C856" s="21"/>
      <c r="D856" s="21"/>
      <c r="E856" s="7" t="str">
        <f>IF(Plantilla_SCAN_EQ3_COUNT_2[[#This Row],[ID MATERIAL]]="","",VLOOKUP(Plantilla_SCAN_EQ3_COUNT_2[[#This Row],[ID MATERIAL]],INVENTARIO!$A:$D,2,FALSE))</f>
        <v/>
      </c>
      <c r="F856" s="7" t="str">
        <f>IF(Plantilla_SCAN_EQ3_COUNT_2[[#This Row],[ID MATERIAL]]="","",IF(Plantilla_SCAN_EQ3_COUNT_2[[#This Row],[No. Empaques]]="",1,Plantilla_SCAN_EQ3_COUNT_2[[#This Row],[No. Empaques]]*1))</f>
        <v/>
      </c>
      <c r="G856" s="7" t="str">
        <f>IF(Plantilla_SCAN_EQ3_COUNT_2[[#This Row],[ID MATERIAL]]="","","PZ")</f>
        <v/>
      </c>
      <c r="H856" s="7" t="str">
        <f>IF(Plantilla_SCAN_EQ3_COUNT_2[[#This Row],[ID MATERIAL]]="","",$B$13)</f>
        <v/>
      </c>
      <c r="I856" s="7" t="str">
        <f>IF(Plantilla_SCAN_EQ3_COUNT_2[[#This Row],[ID MATERIAL]]="","","Segundo Conteo")</f>
        <v/>
      </c>
    </row>
    <row r="857" spans="1:9" s="7" customFormat="1" ht="15" x14ac:dyDescent="0.2">
      <c r="A857" s="7" t="str">
        <f>IF(Plantilla_SCAN_EQ3_COUNT_2[[#This Row],[ID MATERIAL]]="","",SIGN(Plantilla_SCAN_EQ3_COUNT_2[[#This Row],[Cantidad]])+A856)</f>
        <v/>
      </c>
      <c r="B857" s="21" t="str">
        <f>IF(Plantilla_SCAN_EQ3_COUNT_2[[#This Row],[ID MATERIAL]]="","",B856)</f>
        <v/>
      </c>
      <c r="C857" s="21"/>
      <c r="D857" s="21"/>
      <c r="E857" s="7" t="str">
        <f>IF(Plantilla_SCAN_EQ3_COUNT_2[[#This Row],[ID MATERIAL]]="","",VLOOKUP(Plantilla_SCAN_EQ3_COUNT_2[[#This Row],[ID MATERIAL]],INVENTARIO!$A:$D,2,FALSE))</f>
        <v/>
      </c>
      <c r="F857" s="7" t="str">
        <f>IF(Plantilla_SCAN_EQ3_COUNT_2[[#This Row],[ID MATERIAL]]="","",IF(Plantilla_SCAN_EQ3_COUNT_2[[#This Row],[No. Empaques]]="",1,Plantilla_SCAN_EQ3_COUNT_2[[#This Row],[No. Empaques]]*1))</f>
        <v/>
      </c>
      <c r="G857" s="7" t="str">
        <f>IF(Plantilla_SCAN_EQ3_COUNT_2[[#This Row],[ID MATERIAL]]="","","PZ")</f>
        <v/>
      </c>
      <c r="H857" s="7" t="str">
        <f>IF(Plantilla_SCAN_EQ3_COUNT_2[[#This Row],[ID MATERIAL]]="","",$B$13)</f>
        <v/>
      </c>
      <c r="I857" s="7" t="str">
        <f>IF(Plantilla_SCAN_EQ3_COUNT_2[[#This Row],[ID MATERIAL]]="","","Segundo Conteo")</f>
        <v/>
      </c>
    </row>
    <row r="858" spans="1:9" s="7" customFormat="1" ht="15" x14ac:dyDescent="0.2">
      <c r="A858" s="7" t="str">
        <f>IF(Plantilla_SCAN_EQ3_COUNT_2[[#This Row],[ID MATERIAL]]="","",SIGN(Plantilla_SCAN_EQ3_COUNT_2[[#This Row],[Cantidad]])+A857)</f>
        <v/>
      </c>
      <c r="B858" s="21" t="str">
        <f>IF(Plantilla_SCAN_EQ3_COUNT_2[[#This Row],[ID MATERIAL]]="","",B857)</f>
        <v/>
      </c>
      <c r="C858" s="21"/>
      <c r="D858" s="21"/>
      <c r="E858" s="7" t="str">
        <f>IF(Plantilla_SCAN_EQ3_COUNT_2[[#This Row],[ID MATERIAL]]="","",VLOOKUP(Plantilla_SCAN_EQ3_COUNT_2[[#This Row],[ID MATERIAL]],INVENTARIO!$A:$D,2,FALSE))</f>
        <v/>
      </c>
      <c r="F858" s="7" t="str">
        <f>IF(Plantilla_SCAN_EQ3_COUNT_2[[#This Row],[ID MATERIAL]]="","",IF(Plantilla_SCAN_EQ3_COUNT_2[[#This Row],[No. Empaques]]="",1,Plantilla_SCAN_EQ3_COUNT_2[[#This Row],[No. Empaques]]*1))</f>
        <v/>
      </c>
      <c r="G858" s="7" t="str">
        <f>IF(Plantilla_SCAN_EQ3_COUNT_2[[#This Row],[ID MATERIAL]]="","","PZ")</f>
        <v/>
      </c>
      <c r="H858" s="7" t="str">
        <f>IF(Plantilla_SCAN_EQ3_COUNT_2[[#This Row],[ID MATERIAL]]="","",$B$13)</f>
        <v/>
      </c>
      <c r="I858" s="7" t="str">
        <f>IF(Plantilla_SCAN_EQ3_COUNT_2[[#This Row],[ID MATERIAL]]="","","Segundo Conteo")</f>
        <v/>
      </c>
    </row>
    <row r="859" spans="1:9" s="7" customFormat="1" ht="15" x14ac:dyDescent="0.2">
      <c r="A859" s="7" t="str">
        <f>IF(Plantilla_SCAN_EQ3_COUNT_2[[#This Row],[ID MATERIAL]]="","",SIGN(Plantilla_SCAN_EQ3_COUNT_2[[#This Row],[Cantidad]])+A858)</f>
        <v/>
      </c>
      <c r="B859" s="21" t="str">
        <f>IF(Plantilla_SCAN_EQ3_COUNT_2[[#This Row],[ID MATERIAL]]="","",B858)</f>
        <v/>
      </c>
      <c r="C859" s="21"/>
      <c r="D859" s="21"/>
      <c r="E859" s="7" t="str">
        <f>IF(Plantilla_SCAN_EQ3_COUNT_2[[#This Row],[ID MATERIAL]]="","",VLOOKUP(Plantilla_SCAN_EQ3_COUNT_2[[#This Row],[ID MATERIAL]],INVENTARIO!$A:$D,2,FALSE))</f>
        <v/>
      </c>
      <c r="F859" s="7" t="str">
        <f>IF(Plantilla_SCAN_EQ3_COUNT_2[[#This Row],[ID MATERIAL]]="","",IF(Plantilla_SCAN_EQ3_COUNT_2[[#This Row],[No. Empaques]]="",1,Plantilla_SCAN_EQ3_COUNT_2[[#This Row],[No. Empaques]]*1))</f>
        <v/>
      </c>
      <c r="G859" s="7" t="str">
        <f>IF(Plantilla_SCAN_EQ3_COUNT_2[[#This Row],[ID MATERIAL]]="","","PZ")</f>
        <v/>
      </c>
      <c r="H859" s="7" t="str">
        <f>IF(Plantilla_SCAN_EQ3_COUNT_2[[#This Row],[ID MATERIAL]]="","",$B$13)</f>
        <v/>
      </c>
      <c r="I859" s="7" t="str">
        <f>IF(Plantilla_SCAN_EQ3_COUNT_2[[#This Row],[ID MATERIAL]]="","","Segundo Conteo")</f>
        <v/>
      </c>
    </row>
    <row r="860" spans="1:9" s="7" customFormat="1" ht="15" x14ac:dyDescent="0.2">
      <c r="A860" s="7" t="str">
        <f>IF(Plantilla_SCAN_EQ3_COUNT_2[[#This Row],[ID MATERIAL]]="","",SIGN(Plantilla_SCAN_EQ3_COUNT_2[[#This Row],[Cantidad]])+A859)</f>
        <v/>
      </c>
      <c r="B860" s="21" t="str">
        <f>IF(Plantilla_SCAN_EQ3_COUNT_2[[#This Row],[ID MATERIAL]]="","",B859)</f>
        <v/>
      </c>
      <c r="C860" s="21"/>
      <c r="D860" s="21"/>
      <c r="E860" s="7" t="str">
        <f>IF(Plantilla_SCAN_EQ3_COUNT_2[[#This Row],[ID MATERIAL]]="","",VLOOKUP(Plantilla_SCAN_EQ3_COUNT_2[[#This Row],[ID MATERIAL]],INVENTARIO!$A:$D,2,FALSE))</f>
        <v/>
      </c>
      <c r="F860" s="7" t="str">
        <f>IF(Plantilla_SCAN_EQ3_COUNT_2[[#This Row],[ID MATERIAL]]="","",IF(Plantilla_SCAN_EQ3_COUNT_2[[#This Row],[No. Empaques]]="",1,Plantilla_SCAN_EQ3_COUNT_2[[#This Row],[No. Empaques]]*1))</f>
        <v/>
      </c>
      <c r="G860" s="7" t="str">
        <f>IF(Plantilla_SCAN_EQ3_COUNT_2[[#This Row],[ID MATERIAL]]="","","PZ")</f>
        <v/>
      </c>
      <c r="H860" s="7" t="str">
        <f>IF(Plantilla_SCAN_EQ3_COUNT_2[[#This Row],[ID MATERIAL]]="","",$B$13)</f>
        <v/>
      </c>
      <c r="I860" s="7" t="str">
        <f>IF(Plantilla_SCAN_EQ3_COUNT_2[[#This Row],[ID MATERIAL]]="","","Segundo Conteo")</f>
        <v/>
      </c>
    </row>
    <row r="861" spans="1:9" s="7" customFormat="1" ht="15" x14ac:dyDescent="0.2">
      <c r="A861" s="7" t="str">
        <f>IF(Plantilla_SCAN_EQ3_COUNT_2[[#This Row],[ID MATERIAL]]="","",SIGN(Plantilla_SCAN_EQ3_COUNT_2[[#This Row],[Cantidad]])+A860)</f>
        <v/>
      </c>
      <c r="B861" s="21" t="str">
        <f>IF(Plantilla_SCAN_EQ3_COUNT_2[[#This Row],[ID MATERIAL]]="","",B860)</f>
        <v/>
      </c>
      <c r="C861" s="21"/>
      <c r="D861" s="21"/>
      <c r="E861" s="7" t="str">
        <f>IF(Plantilla_SCAN_EQ3_COUNT_2[[#This Row],[ID MATERIAL]]="","",VLOOKUP(Plantilla_SCAN_EQ3_COUNT_2[[#This Row],[ID MATERIAL]],INVENTARIO!$A:$D,2,FALSE))</f>
        <v/>
      </c>
      <c r="F861" s="7" t="str">
        <f>IF(Plantilla_SCAN_EQ3_COUNT_2[[#This Row],[ID MATERIAL]]="","",IF(Plantilla_SCAN_EQ3_COUNT_2[[#This Row],[No. Empaques]]="",1,Plantilla_SCAN_EQ3_COUNT_2[[#This Row],[No. Empaques]]*1))</f>
        <v/>
      </c>
      <c r="G861" s="7" t="str">
        <f>IF(Plantilla_SCAN_EQ3_COUNT_2[[#This Row],[ID MATERIAL]]="","","PZ")</f>
        <v/>
      </c>
      <c r="H861" s="7" t="str">
        <f>IF(Plantilla_SCAN_EQ3_COUNT_2[[#This Row],[ID MATERIAL]]="","",$B$13)</f>
        <v/>
      </c>
      <c r="I861" s="7" t="str">
        <f>IF(Plantilla_SCAN_EQ3_COUNT_2[[#This Row],[ID MATERIAL]]="","","Segundo Conteo")</f>
        <v/>
      </c>
    </row>
    <row r="862" spans="1:9" s="7" customFormat="1" ht="15" x14ac:dyDescent="0.2">
      <c r="A862" s="7" t="str">
        <f>IF(Plantilla_SCAN_EQ3_COUNT_2[[#This Row],[ID MATERIAL]]="","",SIGN(Plantilla_SCAN_EQ3_COUNT_2[[#This Row],[Cantidad]])+A861)</f>
        <v/>
      </c>
      <c r="B862" s="21" t="str">
        <f>IF(Plantilla_SCAN_EQ3_COUNT_2[[#This Row],[ID MATERIAL]]="","",B861)</f>
        <v/>
      </c>
      <c r="C862" s="21"/>
      <c r="D862" s="21"/>
      <c r="E862" s="7" t="str">
        <f>IF(Plantilla_SCAN_EQ3_COUNT_2[[#This Row],[ID MATERIAL]]="","",VLOOKUP(Plantilla_SCAN_EQ3_COUNT_2[[#This Row],[ID MATERIAL]],INVENTARIO!$A:$D,2,FALSE))</f>
        <v/>
      </c>
      <c r="F862" s="7" t="str">
        <f>IF(Plantilla_SCAN_EQ3_COUNT_2[[#This Row],[ID MATERIAL]]="","",IF(Plantilla_SCAN_EQ3_COUNT_2[[#This Row],[No. Empaques]]="",1,Plantilla_SCAN_EQ3_COUNT_2[[#This Row],[No. Empaques]]*1))</f>
        <v/>
      </c>
      <c r="G862" s="7" t="str">
        <f>IF(Plantilla_SCAN_EQ3_COUNT_2[[#This Row],[ID MATERIAL]]="","","PZ")</f>
        <v/>
      </c>
      <c r="H862" s="7" t="str">
        <f>IF(Plantilla_SCAN_EQ3_COUNT_2[[#This Row],[ID MATERIAL]]="","",$B$13)</f>
        <v/>
      </c>
      <c r="I862" s="7" t="str">
        <f>IF(Plantilla_SCAN_EQ3_COUNT_2[[#This Row],[ID MATERIAL]]="","","Segundo Conteo")</f>
        <v/>
      </c>
    </row>
    <row r="863" spans="1:9" s="7" customFormat="1" ht="15" x14ac:dyDescent="0.2">
      <c r="A863" s="7" t="str">
        <f>IF(Plantilla_SCAN_EQ3_COUNT_2[[#This Row],[ID MATERIAL]]="","",SIGN(Plantilla_SCAN_EQ3_COUNT_2[[#This Row],[Cantidad]])+A862)</f>
        <v/>
      </c>
      <c r="B863" s="21" t="str">
        <f>IF(Plantilla_SCAN_EQ3_COUNT_2[[#This Row],[ID MATERIAL]]="","",B862)</f>
        <v/>
      </c>
      <c r="C863" s="21"/>
      <c r="D863" s="21"/>
      <c r="E863" s="7" t="str">
        <f>IF(Plantilla_SCAN_EQ3_COUNT_2[[#This Row],[ID MATERIAL]]="","",VLOOKUP(Plantilla_SCAN_EQ3_COUNT_2[[#This Row],[ID MATERIAL]],INVENTARIO!$A:$D,2,FALSE))</f>
        <v/>
      </c>
      <c r="F863" s="7" t="str">
        <f>IF(Plantilla_SCAN_EQ3_COUNT_2[[#This Row],[ID MATERIAL]]="","",IF(Plantilla_SCAN_EQ3_COUNT_2[[#This Row],[No. Empaques]]="",1,Plantilla_SCAN_EQ3_COUNT_2[[#This Row],[No. Empaques]]*1))</f>
        <v/>
      </c>
      <c r="G863" s="7" t="str">
        <f>IF(Plantilla_SCAN_EQ3_COUNT_2[[#This Row],[ID MATERIAL]]="","","PZ")</f>
        <v/>
      </c>
      <c r="H863" s="7" t="str">
        <f>IF(Plantilla_SCAN_EQ3_COUNT_2[[#This Row],[ID MATERIAL]]="","",$B$13)</f>
        <v/>
      </c>
      <c r="I863" s="7" t="str">
        <f>IF(Plantilla_SCAN_EQ3_COUNT_2[[#This Row],[ID MATERIAL]]="","","Segundo Conteo")</f>
        <v/>
      </c>
    </row>
    <row r="864" spans="1:9" s="7" customFormat="1" ht="15" x14ac:dyDescent="0.2">
      <c r="A864" s="7" t="str">
        <f>IF(Plantilla_SCAN_EQ3_COUNT_2[[#This Row],[ID MATERIAL]]="","",SIGN(Plantilla_SCAN_EQ3_COUNT_2[[#This Row],[Cantidad]])+A863)</f>
        <v/>
      </c>
      <c r="B864" s="21" t="str">
        <f>IF(Plantilla_SCAN_EQ3_COUNT_2[[#This Row],[ID MATERIAL]]="","",B863)</f>
        <v/>
      </c>
      <c r="C864" s="21"/>
      <c r="D864" s="21"/>
      <c r="E864" s="7" t="str">
        <f>IF(Plantilla_SCAN_EQ3_COUNT_2[[#This Row],[ID MATERIAL]]="","",VLOOKUP(Plantilla_SCAN_EQ3_COUNT_2[[#This Row],[ID MATERIAL]],INVENTARIO!$A:$D,2,FALSE))</f>
        <v/>
      </c>
      <c r="F864" s="7" t="str">
        <f>IF(Plantilla_SCAN_EQ3_COUNT_2[[#This Row],[ID MATERIAL]]="","",IF(Plantilla_SCAN_EQ3_COUNT_2[[#This Row],[No. Empaques]]="",1,Plantilla_SCAN_EQ3_COUNT_2[[#This Row],[No. Empaques]]*1))</f>
        <v/>
      </c>
      <c r="G864" s="7" t="str">
        <f>IF(Plantilla_SCAN_EQ3_COUNT_2[[#This Row],[ID MATERIAL]]="","","PZ")</f>
        <v/>
      </c>
      <c r="H864" s="7" t="str">
        <f>IF(Plantilla_SCAN_EQ3_COUNT_2[[#This Row],[ID MATERIAL]]="","",$B$13)</f>
        <v/>
      </c>
      <c r="I864" s="7" t="str">
        <f>IF(Plantilla_SCAN_EQ3_COUNT_2[[#This Row],[ID MATERIAL]]="","","Segundo Conteo")</f>
        <v/>
      </c>
    </row>
    <row r="865" spans="1:9" s="7" customFormat="1" ht="15" x14ac:dyDescent="0.2">
      <c r="A865" s="7" t="str">
        <f>IF(Plantilla_SCAN_EQ3_COUNT_2[[#This Row],[ID MATERIAL]]="","",SIGN(Plantilla_SCAN_EQ3_COUNT_2[[#This Row],[Cantidad]])+A864)</f>
        <v/>
      </c>
      <c r="B865" s="21" t="str">
        <f>IF(Plantilla_SCAN_EQ3_COUNT_2[[#This Row],[ID MATERIAL]]="","",B864)</f>
        <v/>
      </c>
      <c r="C865" s="21"/>
      <c r="D865" s="21"/>
      <c r="E865" s="7" t="str">
        <f>IF(Plantilla_SCAN_EQ3_COUNT_2[[#This Row],[ID MATERIAL]]="","",VLOOKUP(Plantilla_SCAN_EQ3_COUNT_2[[#This Row],[ID MATERIAL]],INVENTARIO!$A:$D,2,FALSE))</f>
        <v/>
      </c>
      <c r="F865" s="7" t="str">
        <f>IF(Plantilla_SCAN_EQ3_COUNT_2[[#This Row],[ID MATERIAL]]="","",IF(Plantilla_SCAN_EQ3_COUNT_2[[#This Row],[No. Empaques]]="",1,Plantilla_SCAN_EQ3_COUNT_2[[#This Row],[No. Empaques]]*1))</f>
        <v/>
      </c>
      <c r="G865" s="7" t="str">
        <f>IF(Plantilla_SCAN_EQ3_COUNT_2[[#This Row],[ID MATERIAL]]="","","PZ")</f>
        <v/>
      </c>
      <c r="H865" s="7" t="str">
        <f>IF(Plantilla_SCAN_EQ3_COUNT_2[[#This Row],[ID MATERIAL]]="","",$B$13)</f>
        <v/>
      </c>
      <c r="I865" s="7" t="str">
        <f>IF(Plantilla_SCAN_EQ3_COUNT_2[[#This Row],[ID MATERIAL]]="","","Segundo Conteo")</f>
        <v/>
      </c>
    </row>
    <row r="866" spans="1:9" s="7" customFormat="1" ht="15" x14ac:dyDescent="0.2">
      <c r="A866" s="7" t="str">
        <f>IF(Plantilla_SCAN_EQ3_COUNT_2[[#This Row],[ID MATERIAL]]="","",SIGN(Plantilla_SCAN_EQ3_COUNT_2[[#This Row],[Cantidad]])+A865)</f>
        <v/>
      </c>
      <c r="B866" s="21" t="str">
        <f>IF(Plantilla_SCAN_EQ3_COUNT_2[[#This Row],[ID MATERIAL]]="","",B865)</f>
        <v/>
      </c>
      <c r="C866" s="21"/>
      <c r="D866" s="21"/>
      <c r="E866" s="7" t="str">
        <f>IF(Plantilla_SCAN_EQ3_COUNT_2[[#This Row],[ID MATERIAL]]="","",VLOOKUP(Plantilla_SCAN_EQ3_COUNT_2[[#This Row],[ID MATERIAL]],INVENTARIO!$A:$D,2,FALSE))</f>
        <v/>
      </c>
      <c r="F866" s="7" t="str">
        <f>IF(Plantilla_SCAN_EQ3_COUNT_2[[#This Row],[ID MATERIAL]]="","",IF(Plantilla_SCAN_EQ3_COUNT_2[[#This Row],[No. Empaques]]="",1,Plantilla_SCAN_EQ3_COUNT_2[[#This Row],[No. Empaques]]*1))</f>
        <v/>
      </c>
      <c r="G866" s="7" t="str">
        <f>IF(Plantilla_SCAN_EQ3_COUNT_2[[#This Row],[ID MATERIAL]]="","","PZ")</f>
        <v/>
      </c>
      <c r="H866" s="7" t="str">
        <f>IF(Plantilla_SCAN_EQ3_COUNT_2[[#This Row],[ID MATERIAL]]="","",$B$13)</f>
        <v/>
      </c>
      <c r="I866" s="7" t="str">
        <f>IF(Plantilla_SCAN_EQ3_COUNT_2[[#This Row],[ID MATERIAL]]="","","Segundo Conteo")</f>
        <v/>
      </c>
    </row>
    <row r="867" spans="1:9" s="7" customFormat="1" ht="15" x14ac:dyDescent="0.2">
      <c r="A867" s="7" t="str">
        <f>IF(Plantilla_SCAN_EQ3_COUNT_2[[#This Row],[ID MATERIAL]]="","",SIGN(Plantilla_SCAN_EQ3_COUNT_2[[#This Row],[Cantidad]])+A866)</f>
        <v/>
      </c>
      <c r="B867" s="21" t="str">
        <f>IF(Plantilla_SCAN_EQ3_COUNT_2[[#This Row],[ID MATERIAL]]="","",B866)</f>
        <v/>
      </c>
      <c r="C867" s="21"/>
      <c r="D867" s="21"/>
      <c r="E867" s="7" t="str">
        <f>IF(Plantilla_SCAN_EQ3_COUNT_2[[#This Row],[ID MATERIAL]]="","",VLOOKUP(Plantilla_SCAN_EQ3_COUNT_2[[#This Row],[ID MATERIAL]],INVENTARIO!$A:$D,2,FALSE))</f>
        <v/>
      </c>
      <c r="F867" s="7" t="str">
        <f>IF(Plantilla_SCAN_EQ3_COUNT_2[[#This Row],[ID MATERIAL]]="","",IF(Plantilla_SCAN_EQ3_COUNT_2[[#This Row],[No. Empaques]]="",1,Plantilla_SCAN_EQ3_COUNT_2[[#This Row],[No. Empaques]]*1))</f>
        <v/>
      </c>
      <c r="G867" s="7" t="str">
        <f>IF(Plantilla_SCAN_EQ3_COUNT_2[[#This Row],[ID MATERIAL]]="","","PZ")</f>
        <v/>
      </c>
      <c r="H867" s="7" t="str">
        <f>IF(Plantilla_SCAN_EQ3_COUNT_2[[#This Row],[ID MATERIAL]]="","",$B$13)</f>
        <v/>
      </c>
      <c r="I867" s="7" t="str">
        <f>IF(Plantilla_SCAN_EQ3_COUNT_2[[#This Row],[ID MATERIAL]]="","","Segundo Conteo")</f>
        <v/>
      </c>
    </row>
    <row r="868" spans="1:9" s="7" customFormat="1" ht="15" x14ac:dyDescent="0.2">
      <c r="A868" s="7" t="str">
        <f>IF(Plantilla_SCAN_EQ3_COUNT_2[[#This Row],[ID MATERIAL]]="","",SIGN(Plantilla_SCAN_EQ3_COUNT_2[[#This Row],[Cantidad]])+A867)</f>
        <v/>
      </c>
      <c r="B868" s="21" t="str">
        <f>IF(Plantilla_SCAN_EQ3_COUNT_2[[#This Row],[ID MATERIAL]]="","",B867)</f>
        <v/>
      </c>
      <c r="C868" s="21"/>
      <c r="D868" s="21"/>
      <c r="E868" s="7" t="str">
        <f>IF(Plantilla_SCAN_EQ3_COUNT_2[[#This Row],[ID MATERIAL]]="","",VLOOKUP(Plantilla_SCAN_EQ3_COUNT_2[[#This Row],[ID MATERIAL]],INVENTARIO!$A:$D,2,FALSE))</f>
        <v/>
      </c>
      <c r="F868" s="7" t="str">
        <f>IF(Plantilla_SCAN_EQ3_COUNT_2[[#This Row],[ID MATERIAL]]="","",IF(Plantilla_SCAN_EQ3_COUNT_2[[#This Row],[No. Empaques]]="",1,Plantilla_SCAN_EQ3_COUNT_2[[#This Row],[No. Empaques]]*1))</f>
        <v/>
      </c>
      <c r="G868" s="7" t="str">
        <f>IF(Plantilla_SCAN_EQ3_COUNT_2[[#This Row],[ID MATERIAL]]="","","PZ")</f>
        <v/>
      </c>
      <c r="H868" s="7" t="str">
        <f>IF(Plantilla_SCAN_EQ3_COUNT_2[[#This Row],[ID MATERIAL]]="","",$B$13)</f>
        <v/>
      </c>
      <c r="I868" s="7" t="str">
        <f>IF(Plantilla_SCAN_EQ3_COUNT_2[[#This Row],[ID MATERIAL]]="","","Segundo Conteo")</f>
        <v/>
      </c>
    </row>
    <row r="869" spans="1:9" s="7" customFormat="1" ht="15" x14ac:dyDescent="0.2">
      <c r="A869" s="7" t="str">
        <f>IF(Plantilla_SCAN_EQ3_COUNT_2[[#This Row],[ID MATERIAL]]="","",SIGN(Plantilla_SCAN_EQ3_COUNT_2[[#This Row],[Cantidad]])+A868)</f>
        <v/>
      </c>
      <c r="B869" s="21" t="str">
        <f>IF(Plantilla_SCAN_EQ3_COUNT_2[[#This Row],[ID MATERIAL]]="","",B868)</f>
        <v/>
      </c>
      <c r="C869" s="21"/>
      <c r="D869" s="21"/>
      <c r="E869" s="7" t="str">
        <f>IF(Plantilla_SCAN_EQ3_COUNT_2[[#This Row],[ID MATERIAL]]="","",VLOOKUP(Plantilla_SCAN_EQ3_COUNT_2[[#This Row],[ID MATERIAL]],INVENTARIO!$A:$D,2,FALSE))</f>
        <v/>
      </c>
      <c r="F869" s="7" t="str">
        <f>IF(Plantilla_SCAN_EQ3_COUNT_2[[#This Row],[ID MATERIAL]]="","",IF(Plantilla_SCAN_EQ3_COUNT_2[[#This Row],[No. Empaques]]="",1,Plantilla_SCAN_EQ3_COUNT_2[[#This Row],[No. Empaques]]*1))</f>
        <v/>
      </c>
      <c r="G869" s="7" t="str">
        <f>IF(Plantilla_SCAN_EQ3_COUNT_2[[#This Row],[ID MATERIAL]]="","","PZ")</f>
        <v/>
      </c>
      <c r="H869" s="7" t="str">
        <f>IF(Plantilla_SCAN_EQ3_COUNT_2[[#This Row],[ID MATERIAL]]="","",$B$13)</f>
        <v/>
      </c>
      <c r="I869" s="7" t="str">
        <f>IF(Plantilla_SCAN_EQ3_COUNT_2[[#This Row],[ID MATERIAL]]="","","Segundo Conteo")</f>
        <v/>
      </c>
    </row>
    <row r="870" spans="1:9" s="7" customFormat="1" ht="15" x14ac:dyDescent="0.2">
      <c r="A870" s="7" t="str">
        <f>IF(Plantilla_SCAN_EQ3_COUNT_2[[#This Row],[ID MATERIAL]]="","",SIGN(Plantilla_SCAN_EQ3_COUNT_2[[#This Row],[Cantidad]])+A869)</f>
        <v/>
      </c>
      <c r="B870" s="21" t="str">
        <f>IF(Plantilla_SCAN_EQ3_COUNT_2[[#This Row],[ID MATERIAL]]="","",B869)</f>
        <v/>
      </c>
      <c r="C870" s="21"/>
      <c r="D870" s="21"/>
      <c r="E870" s="7" t="str">
        <f>IF(Plantilla_SCAN_EQ3_COUNT_2[[#This Row],[ID MATERIAL]]="","",VLOOKUP(Plantilla_SCAN_EQ3_COUNT_2[[#This Row],[ID MATERIAL]],INVENTARIO!$A:$D,2,FALSE))</f>
        <v/>
      </c>
      <c r="F870" s="7" t="str">
        <f>IF(Plantilla_SCAN_EQ3_COUNT_2[[#This Row],[ID MATERIAL]]="","",IF(Plantilla_SCAN_EQ3_COUNT_2[[#This Row],[No. Empaques]]="",1,Plantilla_SCAN_EQ3_COUNT_2[[#This Row],[No. Empaques]]*1))</f>
        <v/>
      </c>
      <c r="G870" s="7" t="str">
        <f>IF(Plantilla_SCAN_EQ3_COUNT_2[[#This Row],[ID MATERIAL]]="","","PZ")</f>
        <v/>
      </c>
      <c r="H870" s="7" t="str">
        <f>IF(Plantilla_SCAN_EQ3_COUNT_2[[#This Row],[ID MATERIAL]]="","",$B$13)</f>
        <v/>
      </c>
      <c r="I870" s="7" t="str">
        <f>IF(Plantilla_SCAN_EQ3_COUNT_2[[#This Row],[ID MATERIAL]]="","","Segundo Conteo")</f>
        <v/>
      </c>
    </row>
    <row r="871" spans="1:9" s="7" customFormat="1" ht="15" x14ac:dyDescent="0.2">
      <c r="A871" s="7" t="str">
        <f>IF(Plantilla_SCAN_EQ3_COUNT_2[[#This Row],[ID MATERIAL]]="","",SIGN(Plantilla_SCAN_EQ3_COUNT_2[[#This Row],[Cantidad]])+A870)</f>
        <v/>
      </c>
      <c r="B871" s="21" t="str">
        <f>IF(Plantilla_SCAN_EQ3_COUNT_2[[#This Row],[ID MATERIAL]]="","",B870)</f>
        <v/>
      </c>
      <c r="C871" s="21"/>
      <c r="D871" s="21"/>
      <c r="E871" s="7" t="str">
        <f>IF(Plantilla_SCAN_EQ3_COUNT_2[[#This Row],[ID MATERIAL]]="","",VLOOKUP(Plantilla_SCAN_EQ3_COUNT_2[[#This Row],[ID MATERIAL]],INVENTARIO!$A:$D,2,FALSE))</f>
        <v/>
      </c>
      <c r="F871" s="7" t="str">
        <f>IF(Plantilla_SCAN_EQ3_COUNT_2[[#This Row],[ID MATERIAL]]="","",IF(Plantilla_SCAN_EQ3_COUNT_2[[#This Row],[No. Empaques]]="",1,Plantilla_SCAN_EQ3_COUNT_2[[#This Row],[No. Empaques]]*1))</f>
        <v/>
      </c>
      <c r="G871" s="7" t="str">
        <f>IF(Plantilla_SCAN_EQ3_COUNT_2[[#This Row],[ID MATERIAL]]="","","PZ")</f>
        <v/>
      </c>
      <c r="H871" s="7" t="str">
        <f>IF(Plantilla_SCAN_EQ3_COUNT_2[[#This Row],[ID MATERIAL]]="","",$B$13)</f>
        <v/>
      </c>
      <c r="I871" s="7" t="str">
        <f>IF(Plantilla_SCAN_EQ3_COUNT_2[[#This Row],[ID MATERIAL]]="","","Segundo Conteo")</f>
        <v/>
      </c>
    </row>
    <row r="872" spans="1:9" s="7" customFormat="1" ht="15" x14ac:dyDescent="0.2">
      <c r="A872" s="7" t="str">
        <f>IF(Plantilla_SCAN_EQ3_COUNT_2[[#This Row],[ID MATERIAL]]="","",SIGN(Plantilla_SCAN_EQ3_COUNT_2[[#This Row],[Cantidad]])+A871)</f>
        <v/>
      </c>
      <c r="B872" s="21" t="str">
        <f>IF(Plantilla_SCAN_EQ3_COUNT_2[[#This Row],[ID MATERIAL]]="","",B871)</f>
        <v/>
      </c>
      <c r="C872" s="21"/>
      <c r="D872" s="21"/>
      <c r="E872" s="7" t="str">
        <f>IF(Plantilla_SCAN_EQ3_COUNT_2[[#This Row],[ID MATERIAL]]="","",VLOOKUP(Plantilla_SCAN_EQ3_COUNT_2[[#This Row],[ID MATERIAL]],INVENTARIO!$A:$D,2,FALSE))</f>
        <v/>
      </c>
      <c r="F872" s="7" t="str">
        <f>IF(Plantilla_SCAN_EQ3_COUNT_2[[#This Row],[ID MATERIAL]]="","",IF(Plantilla_SCAN_EQ3_COUNT_2[[#This Row],[No. Empaques]]="",1,Plantilla_SCAN_EQ3_COUNT_2[[#This Row],[No. Empaques]]*1))</f>
        <v/>
      </c>
      <c r="G872" s="7" t="str">
        <f>IF(Plantilla_SCAN_EQ3_COUNT_2[[#This Row],[ID MATERIAL]]="","","PZ")</f>
        <v/>
      </c>
      <c r="H872" s="7" t="str">
        <f>IF(Plantilla_SCAN_EQ3_COUNT_2[[#This Row],[ID MATERIAL]]="","",$B$13)</f>
        <v/>
      </c>
      <c r="I872" s="7" t="str">
        <f>IF(Plantilla_SCAN_EQ3_COUNT_2[[#This Row],[ID MATERIAL]]="","","Segundo Conteo")</f>
        <v/>
      </c>
    </row>
    <row r="873" spans="1:9" s="7" customFormat="1" ht="15" x14ac:dyDescent="0.2">
      <c r="A873" s="7" t="str">
        <f>IF(Plantilla_SCAN_EQ3_COUNT_2[[#This Row],[ID MATERIAL]]="","",SIGN(Plantilla_SCAN_EQ3_COUNT_2[[#This Row],[Cantidad]])+A872)</f>
        <v/>
      </c>
      <c r="B873" s="21" t="str">
        <f>IF(Plantilla_SCAN_EQ3_COUNT_2[[#This Row],[ID MATERIAL]]="","",B872)</f>
        <v/>
      </c>
      <c r="C873" s="21"/>
      <c r="D873" s="21"/>
      <c r="E873" s="7" t="str">
        <f>IF(Plantilla_SCAN_EQ3_COUNT_2[[#This Row],[ID MATERIAL]]="","",VLOOKUP(Plantilla_SCAN_EQ3_COUNT_2[[#This Row],[ID MATERIAL]],INVENTARIO!$A:$D,2,FALSE))</f>
        <v/>
      </c>
      <c r="F873" s="7" t="str">
        <f>IF(Plantilla_SCAN_EQ3_COUNT_2[[#This Row],[ID MATERIAL]]="","",IF(Plantilla_SCAN_EQ3_COUNT_2[[#This Row],[No. Empaques]]="",1,Plantilla_SCAN_EQ3_COUNT_2[[#This Row],[No. Empaques]]*1))</f>
        <v/>
      </c>
      <c r="G873" s="7" t="str">
        <f>IF(Plantilla_SCAN_EQ3_COUNT_2[[#This Row],[ID MATERIAL]]="","","PZ")</f>
        <v/>
      </c>
      <c r="H873" s="7" t="str">
        <f>IF(Plantilla_SCAN_EQ3_COUNT_2[[#This Row],[ID MATERIAL]]="","",$B$13)</f>
        <v/>
      </c>
      <c r="I873" s="7" t="str">
        <f>IF(Plantilla_SCAN_EQ3_COUNT_2[[#This Row],[ID MATERIAL]]="","","Segundo Conteo")</f>
        <v/>
      </c>
    </row>
    <row r="874" spans="1:9" s="7" customFormat="1" ht="15" x14ac:dyDescent="0.2">
      <c r="A874" s="7" t="str">
        <f>IF(Plantilla_SCAN_EQ3_COUNT_2[[#This Row],[ID MATERIAL]]="","",SIGN(Plantilla_SCAN_EQ3_COUNT_2[[#This Row],[Cantidad]])+A873)</f>
        <v/>
      </c>
      <c r="B874" s="21" t="str">
        <f>IF(Plantilla_SCAN_EQ3_COUNT_2[[#This Row],[ID MATERIAL]]="","",B873)</f>
        <v/>
      </c>
      <c r="C874" s="21"/>
      <c r="D874" s="21"/>
      <c r="E874" s="7" t="str">
        <f>IF(Plantilla_SCAN_EQ3_COUNT_2[[#This Row],[ID MATERIAL]]="","",VLOOKUP(Plantilla_SCAN_EQ3_COUNT_2[[#This Row],[ID MATERIAL]],INVENTARIO!$A:$D,2,FALSE))</f>
        <v/>
      </c>
      <c r="F874" s="7" t="str">
        <f>IF(Plantilla_SCAN_EQ3_COUNT_2[[#This Row],[ID MATERIAL]]="","",IF(Plantilla_SCAN_EQ3_COUNT_2[[#This Row],[No. Empaques]]="",1,Plantilla_SCAN_EQ3_COUNT_2[[#This Row],[No. Empaques]]*1))</f>
        <v/>
      </c>
      <c r="G874" s="7" t="str">
        <f>IF(Plantilla_SCAN_EQ3_COUNT_2[[#This Row],[ID MATERIAL]]="","","PZ")</f>
        <v/>
      </c>
      <c r="H874" s="7" t="str">
        <f>IF(Plantilla_SCAN_EQ3_COUNT_2[[#This Row],[ID MATERIAL]]="","",$B$13)</f>
        <v/>
      </c>
      <c r="I874" s="7" t="str">
        <f>IF(Plantilla_SCAN_EQ3_COUNT_2[[#This Row],[ID MATERIAL]]="","","Segundo Conteo")</f>
        <v/>
      </c>
    </row>
    <row r="875" spans="1:9" s="7" customFormat="1" ht="15" x14ac:dyDescent="0.2">
      <c r="A875" s="7" t="str">
        <f>IF(Plantilla_SCAN_EQ3_COUNT_2[[#This Row],[ID MATERIAL]]="","",SIGN(Plantilla_SCAN_EQ3_COUNT_2[[#This Row],[Cantidad]])+A874)</f>
        <v/>
      </c>
      <c r="B875" s="21" t="str">
        <f>IF(Plantilla_SCAN_EQ3_COUNT_2[[#This Row],[ID MATERIAL]]="","",B874)</f>
        <v/>
      </c>
      <c r="C875" s="21"/>
      <c r="D875" s="21"/>
      <c r="E875" s="7" t="str">
        <f>IF(Plantilla_SCAN_EQ3_COUNT_2[[#This Row],[ID MATERIAL]]="","",VLOOKUP(Plantilla_SCAN_EQ3_COUNT_2[[#This Row],[ID MATERIAL]],INVENTARIO!$A:$D,2,FALSE))</f>
        <v/>
      </c>
      <c r="F875" s="7" t="str">
        <f>IF(Plantilla_SCAN_EQ3_COUNT_2[[#This Row],[ID MATERIAL]]="","",IF(Plantilla_SCAN_EQ3_COUNT_2[[#This Row],[No. Empaques]]="",1,Plantilla_SCAN_EQ3_COUNT_2[[#This Row],[No. Empaques]]*1))</f>
        <v/>
      </c>
      <c r="G875" s="7" t="str">
        <f>IF(Plantilla_SCAN_EQ3_COUNT_2[[#This Row],[ID MATERIAL]]="","","PZ")</f>
        <v/>
      </c>
      <c r="H875" s="7" t="str">
        <f>IF(Plantilla_SCAN_EQ3_COUNT_2[[#This Row],[ID MATERIAL]]="","",$B$13)</f>
        <v/>
      </c>
      <c r="I875" s="7" t="str">
        <f>IF(Plantilla_SCAN_EQ3_COUNT_2[[#This Row],[ID MATERIAL]]="","","Segundo Conteo")</f>
        <v/>
      </c>
    </row>
    <row r="876" spans="1:9" s="7" customFormat="1" ht="15" x14ac:dyDescent="0.2">
      <c r="A876" s="7" t="str">
        <f>IF(Plantilla_SCAN_EQ3_COUNT_2[[#This Row],[ID MATERIAL]]="","",SIGN(Plantilla_SCAN_EQ3_COUNT_2[[#This Row],[Cantidad]])+A875)</f>
        <v/>
      </c>
      <c r="B876" s="21" t="str">
        <f>IF(Plantilla_SCAN_EQ3_COUNT_2[[#This Row],[ID MATERIAL]]="","",B875)</f>
        <v/>
      </c>
      <c r="C876" s="21"/>
      <c r="D876" s="21"/>
      <c r="E876" s="7" t="str">
        <f>IF(Plantilla_SCAN_EQ3_COUNT_2[[#This Row],[ID MATERIAL]]="","",VLOOKUP(Plantilla_SCAN_EQ3_COUNT_2[[#This Row],[ID MATERIAL]],INVENTARIO!$A:$D,2,FALSE))</f>
        <v/>
      </c>
      <c r="F876" s="7" t="str">
        <f>IF(Plantilla_SCAN_EQ3_COUNT_2[[#This Row],[ID MATERIAL]]="","",IF(Plantilla_SCAN_EQ3_COUNT_2[[#This Row],[No. Empaques]]="",1,Plantilla_SCAN_EQ3_COUNT_2[[#This Row],[No. Empaques]]*1))</f>
        <v/>
      </c>
      <c r="G876" s="7" t="str">
        <f>IF(Plantilla_SCAN_EQ3_COUNT_2[[#This Row],[ID MATERIAL]]="","","PZ")</f>
        <v/>
      </c>
      <c r="H876" s="7" t="str">
        <f>IF(Plantilla_SCAN_EQ3_COUNT_2[[#This Row],[ID MATERIAL]]="","",$B$13)</f>
        <v/>
      </c>
      <c r="I876" s="7" t="str">
        <f>IF(Plantilla_SCAN_EQ3_COUNT_2[[#This Row],[ID MATERIAL]]="","","Segundo Conteo")</f>
        <v/>
      </c>
    </row>
    <row r="877" spans="1:9" s="7" customFormat="1" ht="15" x14ac:dyDescent="0.2">
      <c r="A877" s="7" t="str">
        <f>IF(Plantilla_SCAN_EQ3_COUNT_2[[#This Row],[ID MATERIAL]]="","",SIGN(Plantilla_SCAN_EQ3_COUNT_2[[#This Row],[Cantidad]])+A876)</f>
        <v/>
      </c>
      <c r="B877" s="21" t="str">
        <f>IF(Plantilla_SCAN_EQ3_COUNT_2[[#This Row],[ID MATERIAL]]="","",B876)</f>
        <v/>
      </c>
      <c r="C877" s="21"/>
      <c r="D877" s="21"/>
      <c r="E877" s="7" t="str">
        <f>IF(Plantilla_SCAN_EQ3_COUNT_2[[#This Row],[ID MATERIAL]]="","",VLOOKUP(Plantilla_SCAN_EQ3_COUNT_2[[#This Row],[ID MATERIAL]],INVENTARIO!$A:$D,2,FALSE))</f>
        <v/>
      </c>
      <c r="F877" s="7" t="str">
        <f>IF(Plantilla_SCAN_EQ3_COUNT_2[[#This Row],[ID MATERIAL]]="","",IF(Plantilla_SCAN_EQ3_COUNT_2[[#This Row],[No. Empaques]]="",1,Plantilla_SCAN_EQ3_COUNT_2[[#This Row],[No. Empaques]]*1))</f>
        <v/>
      </c>
      <c r="G877" s="7" t="str">
        <f>IF(Plantilla_SCAN_EQ3_COUNT_2[[#This Row],[ID MATERIAL]]="","","PZ")</f>
        <v/>
      </c>
      <c r="H877" s="7" t="str">
        <f>IF(Plantilla_SCAN_EQ3_COUNT_2[[#This Row],[ID MATERIAL]]="","",$B$13)</f>
        <v/>
      </c>
      <c r="I877" s="7" t="str">
        <f>IF(Plantilla_SCAN_EQ3_COUNT_2[[#This Row],[ID MATERIAL]]="","","Segundo Conteo")</f>
        <v/>
      </c>
    </row>
    <row r="878" spans="1:9" s="7" customFormat="1" ht="15" x14ac:dyDescent="0.2">
      <c r="A878" s="7" t="str">
        <f>IF(Plantilla_SCAN_EQ3_COUNT_2[[#This Row],[ID MATERIAL]]="","",SIGN(Plantilla_SCAN_EQ3_COUNT_2[[#This Row],[Cantidad]])+A877)</f>
        <v/>
      </c>
      <c r="B878" s="21" t="str">
        <f>IF(Plantilla_SCAN_EQ3_COUNT_2[[#This Row],[ID MATERIAL]]="","",B877)</f>
        <v/>
      </c>
      <c r="C878" s="21"/>
      <c r="D878" s="21"/>
      <c r="E878" s="7" t="str">
        <f>IF(Plantilla_SCAN_EQ3_COUNT_2[[#This Row],[ID MATERIAL]]="","",VLOOKUP(Plantilla_SCAN_EQ3_COUNT_2[[#This Row],[ID MATERIAL]],INVENTARIO!$A:$D,2,FALSE))</f>
        <v/>
      </c>
      <c r="F878" s="7" t="str">
        <f>IF(Plantilla_SCAN_EQ3_COUNT_2[[#This Row],[ID MATERIAL]]="","",IF(Plantilla_SCAN_EQ3_COUNT_2[[#This Row],[No. Empaques]]="",1,Plantilla_SCAN_EQ3_COUNT_2[[#This Row],[No. Empaques]]*1))</f>
        <v/>
      </c>
      <c r="G878" s="7" t="str">
        <f>IF(Plantilla_SCAN_EQ3_COUNT_2[[#This Row],[ID MATERIAL]]="","","PZ")</f>
        <v/>
      </c>
      <c r="H878" s="7" t="str">
        <f>IF(Plantilla_SCAN_EQ3_COUNT_2[[#This Row],[ID MATERIAL]]="","",$B$13)</f>
        <v/>
      </c>
      <c r="I878" s="7" t="str">
        <f>IF(Plantilla_SCAN_EQ3_COUNT_2[[#This Row],[ID MATERIAL]]="","","Segundo Conteo")</f>
        <v/>
      </c>
    </row>
    <row r="879" spans="1:9" s="7" customFormat="1" ht="15" x14ac:dyDescent="0.2">
      <c r="A879" s="7" t="str">
        <f>IF(Plantilla_SCAN_EQ3_COUNT_2[[#This Row],[ID MATERIAL]]="","",SIGN(Plantilla_SCAN_EQ3_COUNT_2[[#This Row],[Cantidad]])+A878)</f>
        <v/>
      </c>
      <c r="B879" s="21" t="str">
        <f>IF(Plantilla_SCAN_EQ3_COUNT_2[[#This Row],[ID MATERIAL]]="","",B878)</f>
        <v/>
      </c>
      <c r="C879" s="21"/>
      <c r="D879" s="21"/>
      <c r="E879" s="7" t="str">
        <f>IF(Plantilla_SCAN_EQ3_COUNT_2[[#This Row],[ID MATERIAL]]="","",VLOOKUP(Plantilla_SCAN_EQ3_COUNT_2[[#This Row],[ID MATERIAL]],INVENTARIO!$A:$D,2,FALSE))</f>
        <v/>
      </c>
      <c r="F879" s="7" t="str">
        <f>IF(Plantilla_SCAN_EQ3_COUNT_2[[#This Row],[ID MATERIAL]]="","",IF(Plantilla_SCAN_EQ3_COUNT_2[[#This Row],[No. Empaques]]="",1,Plantilla_SCAN_EQ3_COUNT_2[[#This Row],[No. Empaques]]*1))</f>
        <v/>
      </c>
      <c r="G879" s="7" t="str">
        <f>IF(Plantilla_SCAN_EQ3_COUNT_2[[#This Row],[ID MATERIAL]]="","","PZ")</f>
        <v/>
      </c>
      <c r="H879" s="7" t="str">
        <f>IF(Plantilla_SCAN_EQ3_COUNT_2[[#This Row],[ID MATERIAL]]="","",$B$13)</f>
        <v/>
      </c>
      <c r="I879" s="7" t="str">
        <f>IF(Plantilla_SCAN_EQ3_COUNT_2[[#This Row],[ID MATERIAL]]="","","Segundo Conteo")</f>
        <v/>
      </c>
    </row>
    <row r="880" spans="1:9" s="7" customFormat="1" ht="15" x14ac:dyDescent="0.2">
      <c r="A880" s="7" t="str">
        <f>IF(Plantilla_SCAN_EQ3_COUNT_2[[#This Row],[ID MATERIAL]]="","",SIGN(Plantilla_SCAN_EQ3_COUNT_2[[#This Row],[Cantidad]])+A879)</f>
        <v/>
      </c>
      <c r="B880" s="21" t="str">
        <f>IF(Plantilla_SCAN_EQ3_COUNT_2[[#This Row],[ID MATERIAL]]="","",B879)</f>
        <v/>
      </c>
      <c r="C880" s="21"/>
      <c r="D880" s="21"/>
      <c r="E880" s="7" t="str">
        <f>IF(Plantilla_SCAN_EQ3_COUNT_2[[#This Row],[ID MATERIAL]]="","",VLOOKUP(Plantilla_SCAN_EQ3_COUNT_2[[#This Row],[ID MATERIAL]],INVENTARIO!$A:$D,2,FALSE))</f>
        <v/>
      </c>
      <c r="F880" s="7" t="str">
        <f>IF(Plantilla_SCAN_EQ3_COUNT_2[[#This Row],[ID MATERIAL]]="","",IF(Plantilla_SCAN_EQ3_COUNT_2[[#This Row],[No. Empaques]]="",1,Plantilla_SCAN_EQ3_COUNT_2[[#This Row],[No. Empaques]]*1))</f>
        <v/>
      </c>
      <c r="G880" s="7" t="str">
        <f>IF(Plantilla_SCAN_EQ3_COUNT_2[[#This Row],[ID MATERIAL]]="","","PZ")</f>
        <v/>
      </c>
      <c r="H880" s="7" t="str">
        <f>IF(Plantilla_SCAN_EQ3_COUNT_2[[#This Row],[ID MATERIAL]]="","",$B$13)</f>
        <v/>
      </c>
      <c r="I880" s="7" t="str">
        <f>IF(Plantilla_SCAN_EQ3_COUNT_2[[#This Row],[ID MATERIAL]]="","","Segundo Conteo")</f>
        <v/>
      </c>
    </row>
    <row r="881" spans="1:9" s="7" customFormat="1" ht="15" x14ac:dyDescent="0.2">
      <c r="A881" s="7" t="str">
        <f>IF(Plantilla_SCAN_EQ3_COUNT_2[[#This Row],[ID MATERIAL]]="","",SIGN(Plantilla_SCAN_EQ3_COUNT_2[[#This Row],[Cantidad]])+A880)</f>
        <v/>
      </c>
      <c r="B881" s="21" t="str">
        <f>IF(Plantilla_SCAN_EQ3_COUNT_2[[#This Row],[ID MATERIAL]]="","",B880)</f>
        <v/>
      </c>
      <c r="C881" s="21"/>
      <c r="D881" s="21"/>
      <c r="E881" s="7" t="str">
        <f>IF(Plantilla_SCAN_EQ3_COUNT_2[[#This Row],[ID MATERIAL]]="","",VLOOKUP(Plantilla_SCAN_EQ3_COUNT_2[[#This Row],[ID MATERIAL]],INVENTARIO!$A:$D,2,FALSE))</f>
        <v/>
      </c>
      <c r="F881" s="7" t="str">
        <f>IF(Plantilla_SCAN_EQ3_COUNT_2[[#This Row],[ID MATERIAL]]="","",IF(Plantilla_SCAN_EQ3_COUNT_2[[#This Row],[No. Empaques]]="",1,Plantilla_SCAN_EQ3_COUNT_2[[#This Row],[No. Empaques]]*1))</f>
        <v/>
      </c>
      <c r="G881" s="7" t="str">
        <f>IF(Plantilla_SCAN_EQ3_COUNT_2[[#This Row],[ID MATERIAL]]="","","PZ")</f>
        <v/>
      </c>
      <c r="H881" s="7" t="str">
        <f>IF(Plantilla_SCAN_EQ3_COUNT_2[[#This Row],[ID MATERIAL]]="","",$B$13)</f>
        <v/>
      </c>
      <c r="I881" s="7" t="str">
        <f>IF(Plantilla_SCAN_EQ3_COUNT_2[[#This Row],[ID MATERIAL]]="","","Segundo Conteo")</f>
        <v/>
      </c>
    </row>
    <row r="882" spans="1:9" s="7" customFormat="1" ht="15" x14ac:dyDescent="0.2">
      <c r="A882" s="7" t="str">
        <f>IF(Plantilla_SCAN_EQ3_COUNT_2[[#This Row],[ID MATERIAL]]="","",SIGN(Plantilla_SCAN_EQ3_COUNT_2[[#This Row],[Cantidad]])+A881)</f>
        <v/>
      </c>
      <c r="B882" s="21" t="str">
        <f>IF(Plantilla_SCAN_EQ3_COUNT_2[[#This Row],[ID MATERIAL]]="","",B881)</f>
        <v/>
      </c>
      <c r="C882" s="21"/>
      <c r="D882" s="21"/>
      <c r="E882" s="7" t="str">
        <f>IF(Plantilla_SCAN_EQ3_COUNT_2[[#This Row],[ID MATERIAL]]="","",VLOOKUP(Plantilla_SCAN_EQ3_COUNT_2[[#This Row],[ID MATERIAL]],INVENTARIO!$A:$D,2,FALSE))</f>
        <v/>
      </c>
      <c r="F882" s="7" t="str">
        <f>IF(Plantilla_SCAN_EQ3_COUNT_2[[#This Row],[ID MATERIAL]]="","",IF(Plantilla_SCAN_EQ3_COUNT_2[[#This Row],[No. Empaques]]="",1,Plantilla_SCAN_EQ3_COUNT_2[[#This Row],[No. Empaques]]*1))</f>
        <v/>
      </c>
      <c r="G882" s="7" t="str">
        <f>IF(Plantilla_SCAN_EQ3_COUNT_2[[#This Row],[ID MATERIAL]]="","","PZ")</f>
        <v/>
      </c>
      <c r="H882" s="7" t="str">
        <f>IF(Plantilla_SCAN_EQ3_COUNT_2[[#This Row],[ID MATERIAL]]="","",$B$13)</f>
        <v/>
      </c>
      <c r="I882" s="7" t="str">
        <f>IF(Plantilla_SCAN_EQ3_COUNT_2[[#This Row],[ID MATERIAL]]="","","Segundo Conteo")</f>
        <v/>
      </c>
    </row>
    <row r="883" spans="1:9" s="7" customFormat="1" ht="15" x14ac:dyDescent="0.2">
      <c r="A883" s="7" t="str">
        <f>IF(Plantilla_SCAN_EQ3_COUNT_2[[#This Row],[ID MATERIAL]]="","",SIGN(Plantilla_SCAN_EQ3_COUNT_2[[#This Row],[Cantidad]])+A882)</f>
        <v/>
      </c>
      <c r="B883" s="21" t="str">
        <f>IF(Plantilla_SCAN_EQ3_COUNT_2[[#This Row],[ID MATERIAL]]="","",B882)</f>
        <v/>
      </c>
      <c r="C883" s="21"/>
      <c r="D883" s="21"/>
      <c r="E883" s="7" t="str">
        <f>IF(Plantilla_SCAN_EQ3_COUNT_2[[#This Row],[ID MATERIAL]]="","",VLOOKUP(Plantilla_SCAN_EQ3_COUNT_2[[#This Row],[ID MATERIAL]],INVENTARIO!$A:$D,2,FALSE))</f>
        <v/>
      </c>
      <c r="F883" s="7" t="str">
        <f>IF(Plantilla_SCAN_EQ3_COUNT_2[[#This Row],[ID MATERIAL]]="","",IF(Plantilla_SCAN_EQ3_COUNT_2[[#This Row],[No. Empaques]]="",1,Plantilla_SCAN_EQ3_COUNT_2[[#This Row],[No. Empaques]]*1))</f>
        <v/>
      </c>
      <c r="G883" s="7" t="str">
        <f>IF(Plantilla_SCAN_EQ3_COUNT_2[[#This Row],[ID MATERIAL]]="","","PZ")</f>
        <v/>
      </c>
      <c r="H883" s="7" t="str">
        <f>IF(Plantilla_SCAN_EQ3_COUNT_2[[#This Row],[ID MATERIAL]]="","",$B$13)</f>
        <v/>
      </c>
      <c r="I883" s="7" t="str">
        <f>IF(Plantilla_SCAN_EQ3_COUNT_2[[#This Row],[ID MATERIAL]]="","","Segundo Conteo")</f>
        <v/>
      </c>
    </row>
    <row r="884" spans="1:9" s="7" customFormat="1" ht="15" x14ac:dyDescent="0.2">
      <c r="A884" s="7" t="str">
        <f>IF(Plantilla_SCAN_EQ3_COUNT_2[[#This Row],[ID MATERIAL]]="","",SIGN(Plantilla_SCAN_EQ3_COUNT_2[[#This Row],[Cantidad]])+A883)</f>
        <v/>
      </c>
      <c r="B884" s="21" t="str">
        <f>IF(Plantilla_SCAN_EQ3_COUNT_2[[#This Row],[ID MATERIAL]]="","",B883)</f>
        <v/>
      </c>
      <c r="C884" s="21"/>
      <c r="D884" s="21"/>
      <c r="E884" s="7" t="str">
        <f>IF(Plantilla_SCAN_EQ3_COUNT_2[[#This Row],[ID MATERIAL]]="","",VLOOKUP(Plantilla_SCAN_EQ3_COUNT_2[[#This Row],[ID MATERIAL]],INVENTARIO!$A:$D,2,FALSE))</f>
        <v/>
      </c>
      <c r="F884" s="7" t="str">
        <f>IF(Plantilla_SCAN_EQ3_COUNT_2[[#This Row],[ID MATERIAL]]="","",IF(Plantilla_SCAN_EQ3_COUNT_2[[#This Row],[No. Empaques]]="",1,Plantilla_SCAN_EQ3_COUNT_2[[#This Row],[No. Empaques]]*1))</f>
        <v/>
      </c>
      <c r="G884" s="7" t="str">
        <f>IF(Plantilla_SCAN_EQ3_COUNT_2[[#This Row],[ID MATERIAL]]="","","PZ")</f>
        <v/>
      </c>
      <c r="H884" s="7" t="str">
        <f>IF(Plantilla_SCAN_EQ3_COUNT_2[[#This Row],[ID MATERIAL]]="","",$B$13)</f>
        <v/>
      </c>
      <c r="I884" s="7" t="str">
        <f>IF(Plantilla_SCAN_EQ3_COUNT_2[[#This Row],[ID MATERIAL]]="","","Segundo Conteo")</f>
        <v/>
      </c>
    </row>
    <row r="885" spans="1:9" s="7" customFormat="1" ht="15" x14ac:dyDescent="0.2">
      <c r="A885" s="7" t="str">
        <f>IF(Plantilla_SCAN_EQ3_COUNT_2[[#This Row],[ID MATERIAL]]="","",SIGN(Plantilla_SCAN_EQ3_COUNT_2[[#This Row],[Cantidad]])+A884)</f>
        <v/>
      </c>
      <c r="B885" s="21" t="str">
        <f>IF(Plantilla_SCAN_EQ3_COUNT_2[[#This Row],[ID MATERIAL]]="","",B884)</f>
        <v/>
      </c>
      <c r="C885" s="21"/>
      <c r="D885" s="21"/>
      <c r="E885" s="7" t="str">
        <f>IF(Plantilla_SCAN_EQ3_COUNT_2[[#This Row],[ID MATERIAL]]="","",VLOOKUP(Plantilla_SCAN_EQ3_COUNT_2[[#This Row],[ID MATERIAL]],INVENTARIO!$A:$D,2,FALSE))</f>
        <v/>
      </c>
      <c r="F885" s="7" t="str">
        <f>IF(Plantilla_SCAN_EQ3_COUNT_2[[#This Row],[ID MATERIAL]]="","",IF(Plantilla_SCAN_EQ3_COUNT_2[[#This Row],[No. Empaques]]="",1,Plantilla_SCAN_EQ3_COUNT_2[[#This Row],[No. Empaques]]*1))</f>
        <v/>
      </c>
      <c r="G885" s="7" t="str">
        <f>IF(Plantilla_SCAN_EQ3_COUNT_2[[#This Row],[ID MATERIAL]]="","","PZ")</f>
        <v/>
      </c>
      <c r="H885" s="7" t="str">
        <f>IF(Plantilla_SCAN_EQ3_COUNT_2[[#This Row],[ID MATERIAL]]="","",$B$13)</f>
        <v/>
      </c>
      <c r="I885" s="7" t="str">
        <f>IF(Plantilla_SCAN_EQ3_COUNT_2[[#This Row],[ID MATERIAL]]="","","Segundo Conteo")</f>
        <v/>
      </c>
    </row>
    <row r="886" spans="1:9" s="7" customFormat="1" ht="15" x14ac:dyDescent="0.2">
      <c r="A886" s="7" t="str">
        <f>IF(Plantilla_SCAN_EQ3_COUNT_2[[#This Row],[ID MATERIAL]]="","",SIGN(Plantilla_SCAN_EQ3_COUNT_2[[#This Row],[Cantidad]])+A885)</f>
        <v/>
      </c>
      <c r="B886" s="21" t="str">
        <f>IF(Plantilla_SCAN_EQ3_COUNT_2[[#This Row],[ID MATERIAL]]="","",B885)</f>
        <v/>
      </c>
      <c r="C886" s="21"/>
      <c r="D886" s="21"/>
      <c r="E886" s="7" t="str">
        <f>IF(Plantilla_SCAN_EQ3_COUNT_2[[#This Row],[ID MATERIAL]]="","",VLOOKUP(Plantilla_SCAN_EQ3_COUNT_2[[#This Row],[ID MATERIAL]],INVENTARIO!$A:$D,2,FALSE))</f>
        <v/>
      </c>
      <c r="F886" s="7" t="str">
        <f>IF(Plantilla_SCAN_EQ3_COUNT_2[[#This Row],[ID MATERIAL]]="","",IF(Plantilla_SCAN_EQ3_COUNT_2[[#This Row],[No. Empaques]]="",1,Plantilla_SCAN_EQ3_COUNT_2[[#This Row],[No. Empaques]]*1))</f>
        <v/>
      </c>
      <c r="G886" s="7" t="str">
        <f>IF(Plantilla_SCAN_EQ3_COUNT_2[[#This Row],[ID MATERIAL]]="","","PZ")</f>
        <v/>
      </c>
      <c r="H886" s="7" t="str">
        <f>IF(Plantilla_SCAN_EQ3_COUNT_2[[#This Row],[ID MATERIAL]]="","",$B$13)</f>
        <v/>
      </c>
      <c r="I886" s="7" t="str">
        <f>IF(Plantilla_SCAN_EQ3_COUNT_2[[#This Row],[ID MATERIAL]]="","","Segundo Conteo")</f>
        <v/>
      </c>
    </row>
    <row r="887" spans="1:9" s="7" customFormat="1" ht="15" x14ac:dyDescent="0.2">
      <c r="A887" s="7" t="str">
        <f>IF(Plantilla_SCAN_EQ3_COUNT_2[[#This Row],[ID MATERIAL]]="","",SIGN(Plantilla_SCAN_EQ3_COUNT_2[[#This Row],[Cantidad]])+A886)</f>
        <v/>
      </c>
      <c r="B887" s="21" t="str">
        <f>IF(Plantilla_SCAN_EQ3_COUNT_2[[#This Row],[ID MATERIAL]]="","",B886)</f>
        <v/>
      </c>
      <c r="C887" s="21"/>
      <c r="D887" s="21"/>
      <c r="E887" s="7" t="str">
        <f>IF(Plantilla_SCAN_EQ3_COUNT_2[[#This Row],[ID MATERIAL]]="","",VLOOKUP(Plantilla_SCAN_EQ3_COUNT_2[[#This Row],[ID MATERIAL]],INVENTARIO!$A:$D,2,FALSE))</f>
        <v/>
      </c>
      <c r="F887" s="7" t="str">
        <f>IF(Plantilla_SCAN_EQ3_COUNT_2[[#This Row],[ID MATERIAL]]="","",IF(Plantilla_SCAN_EQ3_COUNT_2[[#This Row],[No. Empaques]]="",1,Plantilla_SCAN_EQ3_COUNT_2[[#This Row],[No. Empaques]]*1))</f>
        <v/>
      </c>
      <c r="G887" s="7" t="str">
        <f>IF(Plantilla_SCAN_EQ3_COUNT_2[[#This Row],[ID MATERIAL]]="","","PZ")</f>
        <v/>
      </c>
      <c r="H887" s="7" t="str">
        <f>IF(Plantilla_SCAN_EQ3_COUNT_2[[#This Row],[ID MATERIAL]]="","",$B$13)</f>
        <v/>
      </c>
      <c r="I887" s="7" t="str">
        <f>IF(Plantilla_SCAN_EQ3_COUNT_2[[#This Row],[ID MATERIAL]]="","","Segundo Conteo")</f>
        <v/>
      </c>
    </row>
    <row r="888" spans="1:9" s="7" customFormat="1" ht="15" x14ac:dyDescent="0.2">
      <c r="A888" s="7" t="str">
        <f>IF(Plantilla_SCAN_EQ3_COUNT_2[[#This Row],[ID MATERIAL]]="","",SIGN(Plantilla_SCAN_EQ3_COUNT_2[[#This Row],[Cantidad]])+A887)</f>
        <v/>
      </c>
      <c r="B888" s="21" t="str">
        <f>IF(Plantilla_SCAN_EQ3_COUNT_2[[#This Row],[ID MATERIAL]]="","",B887)</f>
        <v/>
      </c>
      <c r="C888" s="21"/>
      <c r="D888" s="21"/>
      <c r="E888" s="7" t="str">
        <f>IF(Plantilla_SCAN_EQ3_COUNT_2[[#This Row],[ID MATERIAL]]="","",VLOOKUP(Plantilla_SCAN_EQ3_COUNT_2[[#This Row],[ID MATERIAL]],INVENTARIO!$A:$D,2,FALSE))</f>
        <v/>
      </c>
      <c r="F888" s="7" t="str">
        <f>IF(Plantilla_SCAN_EQ3_COUNT_2[[#This Row],[ID MATERIAL]]="","",IF(Plantilla_SCAN_EQ3_COUNT_2[[#This Row],[No. Empaques]]="",1,Plantilla_SCAN_EQ3_COUNT_2[[#This Row],[No. Empaques]]*1))</f>
        <v/>
      </c>
      <c r="G888" s="7" t="str">
        <f>IF(Plantilla_SCAN_EQ3_COUNT_2[[#This Row],[ID MATERIAL]]="","","PZ")</f>
        <v/>
      </c>
      <c r="H888" s="7" t="str">
        <f>IF(Plantilla_SCAN_EQ3_COUNT_2[[#This Row],[ID MATERIAL]]="","",$B$13)</f>
        <v/>
      </c>
      <c r="I888" s="7" t="str">
        <f>IF(Plantilla_SCAN_EQ3_COUNT_2[[#This Row],[ID MATERIAL]]="","","Segundo Conteo")</f>
        <v/>
      </c>
    </row>
    <row r="889" spans="1:9" s="7" customFormat="1" ht="15" x14ac:dyDescent="0.2">
      <c r="A889" s="7" t="str">
        <f>IF(Plantilla_SCAN_EQ3_COUNT_2[[#This Row],[ID MATERIAL]]="","",SIGN(Plantilla_SCAN_EQ3_COUNT_2[[#This Row],[Cantidad]])+A888)</f>
        <v/>
      </c>
      <c r="B889" s="21" t="str">
        <f>IF(Plantilla_SCAN_EQ3_COUNT_2[[#This Row],[ID MATERIAL]]="","",B888)</f>
        <v/>
      </c>
      <c r="C889" s="21"/>
      <c r="D889" s="21"/>
      <c r="E889" s="7" t="str">
        <f>IF(Plantilla_SCAN_EQ3_COUNT_2[[#This Row],[ID MATERIAL]]="","",VLOOKUP(Plantilla_SCAN_EQ3_COUNT_2[[#This Row],[ID MATERIAL]],INVENTARIO!$A:$D,2,FALSE))</f>
        <v/>
      </c>
      <c r="F889" s="7" t="str">
        <f>IF(Plantilla_SCAN_EQ3_COUNT_2[[#This Row],[ID MATERIAL]]="","",IF(Plantilla_SCAN_EQ3_COUNT_2[[#This Row],[No. Empaques]]="",1,Plantilla_SCAN_EQ3_COUNT_2[[#This Row],[No. Empaques]]*1))</f>
        <v/>
      </c>
      <c r="G889" s="7" t="str">
        <f>IF(Plantilla_SCAN_EQ3_COUNT_2[[#This Row],[ID MATERIAL]]="","","PZ")</f>
        <v/>
      </c>
      <c r="H889" s="7" t="str">
        <f>IF(Plantilla_SCAN_EQ3_COUNT_2[[#This Row],[ID MATERIAL]]="","",$B$13)</f>
        <v/>
      </c>
      <c r="I889" s="7" t="str">
        <f>IF(Plantilla_SCAN_EQ3_COUNT_2[[#This Row],[ID MATERIAL]]="","","Segundo Conteo")</f>
        <v/>
      </c>
    </row>
    <row r="890" spans="1:9" s="7" customFormat="1" ht="15" x14ac:dyDescent="0.2">
      <c r="A890" s="7" t="str">
        <f>IF(Plantilla_SCAN_EQ3_COUNT_2[[#This Row],[ID MATERIAL]]="","",SIGN(Plantilla_SCAN_EQ3_COUNT_2[[#This Row],[Cantidad]])+A889)</f>
        <v/>
      </c>
      <c r="B890" s="21" t="str">
        <f>IF(Plantilla_SCAN_EQ3_COUNT_2[[#This Row],[ID MATERIAL]]="","",B889)</f>
        <v/>
      </c>
      <c r="C890" s="21"/>
      <c r="D890" s="21"/>
      <c r="E890" s="7" t="str">
        <f>IF(Plantilla_SCAN_EQ3_COUNT_2[[#This Row],[ID MATERIAL]]="","",VLOOKUP(Plantilla_SCAN_EQ3_COUNT_2[[#This Row],[ID MATERIAL]],INVENTARIO!$A:$D,2,FALSE))</f>
        <v/>
      </c>
      <c r="F890" s="7" t="str">
        <f>IF(Plantilla_SCAN_EQ3_COUNT_2[[#This Row],[ID MATERIAL]]="","",IF(Plantilla_SCAN_EQ3_COUNT_2[[#This Row],[No. Empaques]]="",1,Plantilla_SCAN_EQ3_COUNT_2[[#This Row],[No. Empaques]]*1))</f>
        <v/>
      </c>
      <c r="G890" s="7" t="str">
        <f>IF(Plantilla_SCAN_EQ3_COUNT_2[[#This Row],[ID MATERIAL]]="","","PZ")</f>
        <v/>
      </c>
      <c r="H890" s="7" t="str">
        <f>IF(Plantilla_SCAN_EQ3_COUNT_2[[#This Row],[ID MATERIAL]]="","",$B$13)</f>
        <v/>
      </c>
      <c r="I890" s="7" t="str">
        <f>IF(Plantilla_SCAN_EQ3_COUNT_2[[#This Row],[ID MATERIAL]]="","","Segundo Conteo")</f>
        <v/>
      </c>
    </row>
    <row r="891" spans="1:9" s="7" customFormat="1" ht="15" x14ac:dyDescent="0.2">
      <c r="A891" s="7" t="str">
        <f>IF(Plantilla_SCAN_EQ3_COUNT_2[[#This Row],[ID MATERIAL]]="","",SIGN(Plantilla_SCAN_EQ3_COUNT_2[[#This Row],[Cantidad]])+A890)</f>
        <v/>
      </c>
      <c r="B891" s="21" t="str">
        <f>IF(Plantilla_SCAN_EQ3_COUNT_2[[#This Row],[ID MATERIAL]]="","",B890)</f>
        <v/>
      </c>
      <c r="C891" s="21"/>
      <c r="D891" s="21"/>
      <c r="E891" s="7" t="str">
        <f>IF(Plantilla_SCAN_EQ3_COUNT_2[[#This Row],[ID MATERIAL]]="","",VLOOKUP(Plantilla_SCAN_EQ3_COUNT_2[[#This Row],[ID MATERIAL]],INVENTARIO!$A:$D,2,FALSE))</f>
        <v/>
      </c>
      <c r="F891" s="7" t="str">
        <f>IF(Plantilla_SCAN_EQ3_COUNT_2[[#This Row],[ID MATERIAL]]="","",IF(Plantilla_SCAN_EQ3_COUNT_2[[#This Row],[No. Empaques]]="",1,Plantilla_SCAN_EQ3_COUNT_2[[#This Row],[No. Empaques]]*1))</f>
        <v/>
      </c>
      <c r="G891" s="7" t="str">
        <f>IF(Plantilla_SCAN_EQ3_COUNT_2[[#This Row],[ID MATERIAL]]="","","PZ")</f>
        <v/>
      </c>
      <c r="H891" s="7" t="str">
        <f>IF(Plantilla_SCAN_EQ3_COUNT_2[[#This Row],[ID MATERIAL]]="","",$B$13)</f>
        <v/>
      </c>
      <c r="I891" s="7" t="str">
        <f>IF(Plantilla_SCAN_EQ3_COUNT_2[[#This Row],[ID MATERIAL]]="","","Segundo Conteo")</f>
        <v/>
      </c>
    </row>
    <row r="892" spans="1:9" s="7" customFormat="1" ht="15" x14ac:dyDescent="0.2">
      <c r="A892" s="7" t="str">
        <f>IF(Plantilla_SCAN_EQ3_COUNT_2[[#This Row],[ID MATERIAL]]="","",SIGN(Plantilla_SCAN_EQ3_COUNT_2[[#This Row],[Cantidad]])+A891)</f>
        <v/>
      </c>
      <c r="B892" s="21" t="str">
        <f>IF(Plantilla_SCAN_EQ3_COUNT_2[[#This Row],[ID MATERIAL]]="","",B891)</f>
        <v/>
      </c>
      <c r="C892" s="21"/>
      <c r="D892" s="21"/>
      <c r="E892" s="7" t="str">
        <f>IF(Plantilla_SCAN_EQ3_COUNT_2[[#This Row],[ID MATERIAL]]="","",VLOOKUP(Plantilla_SCAN_EQ3_COUNT_2[[#This Row],[ID MATERIAL]],INVENTARIO!$A:$D,2,FALSE))</f>
        <v/>
      </c>
      <c r="F892" s="7" t="str">
        <f>IF(Plantilla_SCAN_EQ3_COUNT_2[[#This Row],[ID MATERIAL]]="","",IF(Plantilla_SCAN_EQ3_COUNT_2[[#This Row],[No. Empaques]]="",1,Plantilla_SCAN_EQ3_COUNT_2[[#This Row],[No. Empaques]]*1))</f>
        <v/>
      </c>
      <c r="G892" s="7" t="str">
        <f>IF(Plantilla_SCAN_EQ3_COUNT_2[[#This Row],[ID MATERIAL]]="","","PZ")</f>
        <v/>
      </c>
      <c r="H892" s="7" t="str">
        <f>IF(Plantilla_SCAN_EQ3_COUNT_2[[#This Row],[ID MATERIAL]]="","",$B$13)</f>
        <v/>
      </c>
      <c r="I892" s="7" t="str">
        <f>IF(Plantilla_SCAN_EQ3_COUNT_2[[#This Row],[ID MATERIAL]]="","","Segundo Conteo")</f>
        <v/>
      </c>
    </row>
    <row r="893" spans="1:9" s="7" customFormat="1" ht="15" x14ac:dyDescent="0.2">
      <c r="A893" s="7" t="str">
        <f>IF(Plantilla_SCAN_EQ3_COUNT_2[[#This Row],[ID MATERIAL]]="","",SIGN(Plantilla_SCAN_EQ3_COUNT_2[[#This Row],[Cantidad]])+A892)</f>
        <v/>
      </c>
      <c r="B893" s="21" t="str">
        <f>IF(Plantilla_SCAN_EQ3_COUNT_2[[#This Row],[ID MATERIAL]]="","",B892)</f>
        <v/>
      </c>
      <c r="C893" s="21"/>
      <c r="D893" s="21"/>
      <c r="E893" s="7" t="str">
        <f>IF(Plantilla_SCAN_EQ3_COUNT_2[[#This Row],[ID MATERIAL]]="","",VLOOKUP(Plantilla_SCAN_EQ3_COUNT_2[[#This Row],[ID MATERIAL]],INVENTARIO!$A:$D,2,FALSE))</f>
        <v/>
      </c>
      <c r="F893" s="7" t="str">
        <f>IF(Plantilla_SCAN_EQ3_COUNT_2[[#This Row],[ID MATERIAL]]="","",IF(Plantilla_SCAN_EQ3_COUNT_2[[#This Row],[No. Empaques]]="",1,Plantilla_SCAN_EQ3_COUNT_2[[#This Row],[No. Empaques]]*1))</f>
        <v/>
      </c>
      <c r="G893" s="7" t="str">
        <f>IF(Plantilla_SCAN_EQ3_COUNT_2[[#This Row],[ID MATERIAL]]="","","PZ")</f>
        <v/>
      </c>
      <c r="H893" s="7" t="str">
        <f>IF(Plantilla_SCAN_EQ3_COUNT_2[[#This Row],[ID MATERIAL]]="","",$B$13)</f>
        <v/>
      </c>
      <c r="I893" s="7" t="str">
        <f>IF(Plantilla_SCAN_EQ3_COUNT_2[[#This Row],[ID MATERIAL]]="","","Segundo Conteo")</f>
        <v/>
      </c>
    </row>
    <row r="894" spans="1:9" s="7" customFormat="1" ht="15" x14ac:dyDescent="0.2">
      <c r="A894" s="7" t="str">
        <f>IF(Plantilla_SCAN_EQ3_COUNT_2[[#This Row],[ID MATERIAL]]="","",SIGN(Plantilla_SCAN_EQ3_COUNT_2[[#This Row],[Cantidad]])+A893)</f>
        <v/>
      </c>
      <c r="B894" s="21" t="str">
        <f>IF(Plantilla_SCAN_EQ3_COUNT_2[[#This Row],[ID MATERIAL]]="","",B893)</f>
        <v/>
      </c>
      <c r="C894" s="21"/>
      <c r="D894" s="21"/>
      <c r="E894" s="7" t="str">
        <f>IF(Plantilla_SCAN_EQ3_COUNT_2[[#This Row],[ID MATERIAL]]="","",VLOOKUP(Plantilla_SCAN_EQ3_COUNT_2[[#This Row],[ID MATERIAL]],INVENTARIO!$A:$D,2,FALSE))</f>
        <v/>
      </c>
      <c r="F894" s="7" t="str">
        <f>IF(Plantilla_SCAN_EQ3_COUNT_2[[#This Row],[ID MATERIAL]]="","",IF(Plantilla_SCAN_EQ3_COUNT_2[[#This Row],[No. Empaques]]="",1,Plantilla_SCAN_EQ3_COUNT_2[[#This Row],[No. Empaques]]*1))</f>
        <v/>
      </c>
      <c r="G894" s="7" t="str">
        <f>IF(Plantilla_SCAN_EQ3_COUNT_2[[#This Row],[ID MATERIAL]]="","","PZ")</f>
        <v/>
      </c>
      <c r="H894" s="7" t="str">
        <f>IF(Plantilla_SCAN_EQ3_COUNT_2[[#This Row],[ID MATERIAL]]="","",$B$13)</f>
        <v/>
      </c>
      <c r="I894" s="7" t="str">
        <f>IF(Plantilla_SCAN_EQ3_COUNT_2[[#This Row],[ID MATERIAL]]="","","Segundo Conteo")</f>
        <v/>
      </c>
    </row>
    <row r="895" spans="1:9" s="7" customFormat="1" ht="15" x14ac:dyDescent="0.2">
      <c r="A895" s="7" t="str">
        <f>IF(Plantilla_SCAN_EQ3_COUNT_2[[#This Row],[ID MATERIAL]]="","",SIGN(Plantilla_SCAN_EQ3_COUNT_2[[#This Row],[Cantidad]])+A894)</f>
        <v/>
      </c>
      <c r="B895" s="21" t="str">
        <f>IF(Plantilla_SCAN_EQ3_COUNT_2[[#This Row],[ID MATERIAL]]="","",B894)</f>
        <v/>
      </c>
      <c r="C895" s="21"/>
      <c r="D895" s="21"/>
      <c r="E895" s="7" t="str">
        <f>IF(Plantilla_SCAN_EQ3_COUNT_2[[#This Row],[ID MATERIAL]]="","",VLOOKUP(Plantilla_SCAN_EQ3_COUNT_2[[#This Row],[ID MATERIAL]],INVENTARIO!$A:$D,2,FALSE))</f>
        <v/>
      </c>
      <c r="F895" s="7" t="str">
        <f>IF(Plantilla_SCAN_EQ3_COUNT_2[[#This Row],[ID MATERIAL]]="","",IF(Plantilla_SCAN_EQ3_COUNT_2[[#This Row],[No. Empaques]]="",1,Plantilla_SCAN_EQ3_COUNT_2[[#This Row],[No. Empaques]]*1))</f>
        <v/>
      </c>
      <c r="G895" s="7" t="str">
        <f>IF(Plantilla_SCAN_EQ3_COUNT_2[[#This Row],[ID MATERIAL]]="","","PZ")</f>
        <v/>
      </c>
      <c r="H895" s="7" t="str">
        <f>IF(Plantilla_SCAN_EQ3_COUNT_2[[#This Row],[ID MATERIAL]]="","",$B$13)</f>
        <v/>
      </c>
      <c r="I895" s="7" t="str">
        <f>IF(Plantilla_SCAN_EQ3_COUNT_2[[#This Row],[ID MATERIAL]]="","","Segundo Conteo")</f>
        <v/>
      </c>
    </row>
    <row r="896" spans="1:9" s="7" customFormat="1" ht="15" x14ac:dyDescent="0.2">
      <c r="A896" s="7" t="str">
        <f>IF(Plantilla_SCAN_EQ3_COUNT_2[[#This Row],[ID MATERIAL]]="","",SIGN(Plantilla_SCAN_EQ3_COUNT_2[[#This Row],[Cantidad]])+A895)</f>
        <v/>
      </c>
      <c r="B896" s="21" t="str">
        <f>IF(Plantilla_SCAN_EQ3_COUNT_2[[#This Row],[ID MATERIAL]]="","",B895)</f>
        <v/>
      </c>
      <c r="C896" s="21"/>
      <c r="D896" s="21"/>
      <c r="E896" s="7" t="str">
        <f>IF(Plantilla_SCAN_EQ3_COUNT_2[[#This Row],[ID MATERIAL]]="","",VLOOKUP(Plantilla_SCAN_EQ3_COUNT_2[[#This Row],[ID MATERIAL]],INVENTARIO!$A:$D,2,FALSE))</f>
        <v/>
      </c>
      <c r="F896" s="7" t="str">
        <f>IF(Plantilla_SCAN_EQ3_COUNT_2[[#This Row],[ID MATERIAL]]="","",IF(Plantilla_SCAN_EQ3_COUNT_2[[#This Row],[No. Empaques]]="",1,Plantilla_SCAN_EQ3_COUNT_2[[#This Row],[No. Empaques]]*1))</f>
        <v/>
      </c>
      <c r="G896" s="7" t="str">
        <f>IF(Plantilla_SCAN_EQ3_COUNT_2[[#This Row],[ID MATERIAL]]="","","PZ")</f>
        <v/>
      </c>
      <c r="H896" s="7" t="str">
        <f>IF(Plantilla_SCAN_EQ3_COUNT_2[[#This Row],[ID MATERIAL]]="","",$B$13)</f>
        <v/>
      </c>
      <c r="I896" s="7" t="str">
        <f>IF(Plantilla_SCAN_EQ3_COUNT_2[[#This Row],[ID MATERIAL]]="","","Segundo Conteo")</f>
        <v/>
      </c>
    </row>
    <row r="897" spans="1:9" s="7" customFormat="1" ht="15" x14ac:dyDescent="0.2">
      <c r="A897" s="7" t="str">
        <f>IF(Plantilla_SCAN_EQ3_COUNT_2[[#This Row],[ID MATERIAL]]="","",SIGN(Plantilla_SCAN_EQ3_COUNT_2[[#This Row],[Cantidad]])+A896)</f>
        <v/>
      </c>
      <c r="B897" s="21" t="str">
        <f>IF(Plantilla_SCAN_EQ3_COUNT_2[[#This Row],[ID MATERIAL]]="","",B896)</f>
        <v/>
      </c>
      <c r="C897" s="21"/>
      <c r="D897" s="21"/>
      <c r="E897" s="7" t="str">
        <f>IF(Plantilla_SCAN_EQ3_COUNT_2[[#This Row],[ID MATERIAL]]="","",VLOOKUP(Plantilla_SCAN_EQ3_COUNT_2[[#This Row],[ID MATERIAL]],INVENTARIO!$A:$D,2,FALSE))</f>
        <v/>
      </c>
      <c r="F897" s="7" t="str">
        <f>IF(Plantilla_SCAN_EQ3_COUNT_2[[#This Row],[ID MATERIAL]]="","",IF(Plantilla_SCAN_EQ3_COUNT_2[[#This Row],[No. Empaques]]="",1,Plantilla_SCAN_EQ3_COUNT_2[[#This Row],[No. Empaques]]*1))</f>
        <v/>
      </c>
      <c r="G897" s="7" t="str">
        <f>IF(Plantilla_SCAN_EQ3_COUNT_2[[#This Row],[ID MATERIAL]]="","","PZ")</f>
        <v/>
      </c>
      <c r="H897" s="7" t="str">
        <f>IF(Plantilla_SCAN_EQ3_COUNT_2[[#This Row],[ID MATERIAL]]="","",$B$13)</f>
        <v/>
      </c>
      <c r="I897" s="7" t="str">
        <f>IF(Plantilla_SCAN_EQ3_COUNT_2[[#This Row],[ID MATERIAL]]="","","Segundo Conteo")</f>
        <v/>
      </c>
    </row>
    <row r="898" spans="1:9" s="7" customFormat="1" ht="15" x14ac:dyDescent="0.2">
      <c r="A898" s="7" t="str">
        <f>IF(Plantilla_SCAN_EQ3_COUNT_2[[#This Row],[ID MATERIAL]]="","",SIGN(Plantilla_SCAN_EQ3_COUNT_2[[#This Row],[Cantidad]])+A897)</f>
        <v/>
      </c>
      <c r="B898" s="21" t="str">
        <f>IF(Plantilla_SCAN_EQ3_COUNT_2[[#This Row],[ID MATERIAL]]="","",B897)</f>
        <v/>
      </c>
      <c r="C898" s="21"/>
      <c r="D898" s="21"/>
      <c r="E898" s="7" t="str">
        <f>IF(Plantilla_SCAN_EQ3_COUNT_2[[#This Row],[ID MATERIAL]]="","",VLOOKUP(Plantilla_SCAN_EQ3_COUNT_2[[#This Row],[ID MATERIAL]],INVENTARIO!$A:$D,2,FALSE))</f>
        <v/>
      </c>
      <c r="F898" s="7" t="str">
        <f>IF(Plantilla_SCAN_EQ3_COUNT_2[[#This Row],[ID MATERIAL]]="","",IF(Plantilla_SCAN_EQ3_COUNT_2[[#This Row],[No. Empaques]]="",1,Plantilla_SCAN_EQ3_COUNT_2[[#This Row],[No. Empaques]]*1))</f>
        <v/>
      </c>
      <c r="G898" s="7" t="str">
        <f>IF(Plantilla_SCAN_EQ3_COUNT_2[[#This Row],[ID MATERIAL]]="","","PZ")</f>
        <v/>
      </c>
      <c r="H898" s="7" t="str">
        <f>IF(Plantilla_SCAN_EQ3_COUNT_2[[#This Row],[ID MATERIAL]]="","",$B$13)</f>
        <v/>
      </c>
      <c r="I898" s="7" t="str">
        <f>IF(Plantilla_SCAN_EQ3_COUNT_2[[#This Row],[ID MATERIAL]]="","","Segundo Conteo")</f>
        <v/>
      </c>
    </row>
    <row r="899" spans="1:9" s="7" customFormat="1" ht="15" x14ac:dyDescent="0.2">
      <c r="A899" s="7" t="str">
        <f>IF(Plantilla_SCAN_EQ3_COUNT_2[[#This Row],[ID MATERIAL]]="","",SIGN(Plantilla_SCAN_EQ3_COUNT_2[[#This Row],[Cantidad]])+A898)</f>
        <v/>
      </c>
      <c r="B899" s="21" t="str">
        <f>IF(Plantilla_SCAN_EQ3_COUNT_2[[#This Row],[ID MATERIAL]]="","",B898)</f>
        <v/>
      </c>
      <c r="C899" s="21"/>
      <c r="D899" s="21"/>
      <c r="E899" s="7" t="str">
        <f>IF(Plantilla_SCAN_EQ3_COUNT_2[[#This Row],[ID MATERIAL]]="","",VLOOKUP(Plantilla_SCAN_EQ3_COUNT_2[[#This Row],[ID MATERIAL]],INVENTARIO!$A:$D,2,FALSE))</f>
        <v/>
      </c>
      <c r="F899" s="7" t="str">
        <f>IF(Plantilla_SCAN_EQ3_COUNT_2[[#This Row],[ID MATERIAL]]="","",IF(Plantilla_SCAN_EQ3_COUNT_2[[#This Row],[No. Empaques]]="",1,Plantilla_SCAN_EQ3_COUNT_2[[#This Row],[No. Empaques]]*1))</f>
        <v/>
      </c>
      <c r="G899" s="7" t="str">
        <f>IF(Plantilla_SCAN_EQ3_COUNT_2[[#This Row],[ID MATERIAL]]="","","PZ")</f>
        <v/>
      </c>
      <c r="H899" s="7" t="str">
        <f>IF(Plantilla_SCAN_EQ3_COUNT_2[[#This Row],[ID MATERIAL]]="","",$B$13)</f>
        <v/>
      </c>
      <c r="I899" s="7" t="str">
        <f>IF(Plantilla_SCAN_EQ3_COUNT_2[[#This Row],[ID MATERIAL]]="","","Segundo Conteo")</f>
        <v/>
      </c>
    </row>
    <row r="900" spans="1:9" s="7" customFormat="1" ht="15" x14ac:dyDescent="0.2">
      <c r="A900" s="7" t="str">
        <f>IF(Plantilla_SCAN_EQ3_COUNT_2[[#This Row],[ID MATERIAL]]="","",SIGN(Plantilla_SCAN_EQ3_COUNT_2[[#This Row],[Cantidad]])+A899)</f>
        <v/>
      </c>
      <c r="B900" s="21" t="str">
        <f>IF(Plantilla_SCAN_EQ3_COUNT_2[[#This Row],[ID MATERIAL]]="","",B899)</f>
        <v/>
      </c>
      <c r="C900" s="21"/>
      <c r="D900" s="21"/>
      <c r="E900" s="7" t="str">
        <f>IF(Plantilla_SCAN_EQ3_COUNT_2[[#This Row],[ID MATERIAL]]="","",VLOOKUP(Plantilla_SCAN_EQ3_COUNT_2[[#This Row],[ID MATERIAL]],INVENTARIO!$A:$D,2,FALSE))</f>
        <v/>
      </c>
      <c r="F900" s="7" t="str">
        <f>IF(Plantilla_SCAN_EQ3_COUNT_2[[#This Row],[ID MATERIAL]]="","",IF(Plantilla_SCAN_EQ3_COUNT_2[[#This Row],[No. Empaques]]="",1,Plantilla_SCAN_EQ3_COUNT_2[[#This Row],[No. Empaques]]*1))</f>
        <v/>
      </c>
      <c r="G900" s="7" t="str">
        <f>IF(Plantilla_SCAN_EQ3_COUNT_2[[#This Row],[ID MATERIAL]]="","","PZ")</f>
        <v/>
      </c>
      <c r="H900" s="7" t="str">
        <f>IF(Plantilla_SCAN_EQ3_COUNT_2[[#This Row],[ID MATERIAL]]="","",$B$13)</f>
        <v/>
      </c>
      <c r="I900" s="7" t="str">
        <f>IF(Plantilla_SCAN_EQ3_COUNT_2[[#This Row],[ID MATERIAL]]="","","Segundo Conteo")</f>
        <v/>
      </c>
    </row>
    <row r="901" spans="1:9" s="7" customFormat="1" ht="15" x14ac:dyDescent="0.2">
      <c r="A901" s="7" t="str">
        <f>IF(Plantilla_SCAN_EQ3_COUNT_2[[#This Row],[ID MATERIAL]]="","",SIGN(Plantilla_SCAN_EQ3_COUNT_2[[#This Row],[Cantidad]])+A900)</f>
        <v/>
      </c>
      <c r="B901" s="21" t="str">
        <f>IF(Plantilla_SCAN_EQ3_COUNT_2[[#This Row],[ID MATERIAL]]="","",B900)</f>
        <v/>
      </c>
      <c r="C901" s="21"/>
      <c r="D901" s="21"/>
      <c r="E901" s="7" t="str">
        <f>IF(Plantilla_SCAN_EQ3_COUNT_2[[#This Row],[ID MATERIAL]]="","",VLOOKUP(Plantilla_SCAN_EQ3_COUNT_2[[#This Row],[ID MATERIAL]],INVENTARIO!$A:$D,2,FALSE))</f>
        <v/>
      </c>
      <c r="F901" s="7" t="str">
        <f>IF(Plantilla_SCAN_EQ3_COUNT_2[[#This Row],[ID MATERIAL]]="","",IF(Plantilla_SCAN_EQ3_COUNT_2[[#This Row],[No. Empaques]]="",1,Plantilla_SCAN_EQ3_COUNT_2[[#This Row],[No. Empaques]]*1))</f>
        <v/>
      </c>
      <c r="G901" s="7" t="str">
        <f>IF(Plantilla_SCAN_EQ3_COUNT_2[[#This Row],[ID MATERIAL]]="","","PZ")</f>
        <v/>
      </c>
      <c r="H901" s="7" t="str">
        <f>IF(Plantilla_SCAN_EQ3_COUNT_2[[#This Row],[ID MATERIAL]]="","",$B$13)</f>
        <v/>
      </c>
      <c r="I901" s="7" t="str">
        <f>IF(Plantilla_SCAN_EQ3_COUNT_2[[#This Row],[ID MATERIAL]]="","","Segundo Conteo")</f>
        <v/>
      </c>
    </row>
    <row r="902" spans="1:9" s="7" customFormat="1" ht="15" x14ac:dyDescent="0.2">
      <c r="A902" s="7" t="str">
        <f>IF(Plantilla_SCAN_EQ3_COUNT_2[[#This Row],[ID MATERIAL]]="","",SIGN(Plantilla_SCAN_EQ3_COUNT_2[[#This Row],[Cantidad]])+A901)</f>
        <v/>
      </c>
      <c r="B902" s="21" t="str">
        <f>IF(Plantilla_SCAN_EQ3_COUNT_2[[#This Row],[ID MATERIAL]]="","",B901)</f>
        <v/>
      </c>
      <c r="C902" s="21"/>
      <c r="D902" s="21"/>
      <c r="E902" s="7" t="str">
        <f>IF(Plantilla_SCAN_EQ3_COUNT_2[[#This Row],[ID MATERIAL]]="","",VLOOKUP(Plantilla_SCAN_EQ3_COUNT_2[[#This Row],[ID MATERIAL]],INVENTARIO!$A:$D,2,FALSE))</f>
        <v/>
      </c>
      <c r="F902" s="7" t="str">
        <f>IF(Plantilla_SCAN_EQ3_COUNT_2[[#This Row],[ID MATERIAL]]="","",IF(Plantilla_SCAN_EQ3_COUNT_2[[#This Row],[No. Empaques]]="",1,Plantilla_SCAN_EQ3_COUNT_2[[#This Row],[No. Empaques]]*1))</f>
        <v/>
      </c>
      <c r="G902" s="7" t="str">
        <f>IF(Plantilla_SCAN_EQ3_COUNT_2[[#This Row],[ID MATERIAL]]="","","PZ")</f>
        <v/>
      </c>
      <c r="H902" s="7" t="str">
        <f>IF(Plantilla_SCAN_EQ3_COUNT_2[[#This Row],[ID MATERIAL]]="","",$B$13)</f>
        <v/>
      </c>
      <c r="I902" s="7" t="str">
        <f>IF(Plantilla_SCAN_EQ3_COUNT_2[[#This Row],[ID MATERIAL]]="","","Segundo Conteo")</f>
        <v/>
      </c>
    </row>
    <row r="903" spans="1:9" s="7" customFormat="1" ht="15" x14ac:dyDescent="0.2">
      <c r="A903" s="7" t="str">
        <f>IF(Plantilla_SCAN_EQ3_COUNT_2[[#This Row],[ID MATERIAL]]="","",SIGN(Plantilla_SCAN_EQ3_COUNT_2[[#This Row],[Cantidad]])+A902)</f>
        <v/>
      </c>
      <c r="B903" s="21" t="str">
        <f>IF(Plantilla_SCAN_EQ3_COUNT_2[[#This Row],[ID MATERIAL]]="","",B902)</f>
        <v/>
      </c>
      <c r="C903" s="21"/>
      <c r="D903" s="21"/>
      <c r="E903" s="7" t="str">
        <f>IF(Plantilla_SCAN_EQ3_COUNT_2[[#This Row],[ID MATERIAL]]="","",VLOOKUP(Plantilla_SCAN_EQ3_COUNT_2[[#This Row],[ID MATERIAL]],INVENTARIO!$A:$D,2,FALSE))</f>
        <v/>
      </c>
      <c r="F903" s="7" t="str">
        <f>IF(Plantilla_SCAN_EQ3_COUNT_2[[#This Row],[ID MATERIAL]]="","",IF(Plantilla_SCAN_EQ3_COUNT_2[[#This Row],[No. Empaques]]="",1,Plantilla_SCAN_EQ3_COUNT_2[[#This Row],[No. Empaques]]*1))</f>
        <v/>
      </c>
      <c r="G903" s="7" t="str">
        <f>IF(Plantilla_SCAN_EQ3_COUNT_2[[#This Row],[ID MATERIAL]]="","","PZ")</f>
        <v/>
      </c>
      <c r="H903" s="7" t="str">
        <f>IF(Plantilla_SCAN_EQ3_COUNT_2[[#This Row],[ID MATERIAL]]="","",$B$13)</f>
        <v/>
      </c>
      <c r="I903" s="7" t="str">
        <f>IF(Plantilla_SCAN_EQ3_COUNT_2[[#This Row],[ID MATERIAL]]="","","Segundo Conteo")</f>
        <v/>
      </c>
    </row>
    <row r="904" spans="1:9" s="7" customFormat="1" ht="15" x14ac:dyDescent="0.2">
      <c r="A904" s="7" t="str">
        <f>IF(Plantilla_SCAN_EQ3_COUNT_2[[#This Row],[ID MATERIAL]]="","",SIGN(Plantilla_SCAN_EQ3_COUNT_2[[#This Row],[Cantidad]])+A903)</f>
        <v/>
      </c>
      <c r="B904" s="21" t="str">
        <f>IF(Plantilla_SCAN_EQ3_COUNT_2[[#This Row],[ID MATERIAL]]="","",B903)</f>
        <v/>
      </c>
      <c r="C904" s="21"/>
      <c r="D904" s="21"/>
      <c r="E904" s="7" t="str">
        <f>IF(Plantilla_SCAN_EQ3_COUNT_2[[#This Row],[ID MATERIAL]]="","",VLOOKUP(Plantilla_SCAN_EQ3_COUNT_2[[#This Row],[ID MATERIAL]],INVENTARIO!$A:$D,2,FALSE))</f>
        <v/>
      </c>
      <c r="F904" s="7" t="str">
        <f>IF(Plantilla_SCAN_EQ3_COUNT_2[[#This Row],[ID MATERIAL]]="","",IF(Plantilla_SCAN_EQ3_COUNT_2[[#This Row],[No. Empaques]]="",1,Plantilla_SCAN_EQ3_COUNT_2[[#This Row],[No. Empaques]]*1))</f>
        <v/>
      </c>
      <c r="G904" s="7" t="str">
        <f>IF(Plantilla_SCAN_EQ3_COUNT_2[[#This Row],[ID MATERIAL]]="","","PZ")</f>
        <v/>
      </c>
      <c r="H904" s="7" t="str">
        <f>IF(Plantilla_SCAN_EQ3_COUNT_2[[#This Row],[ID MATERIAL]]="","",$B$13)</f>
        <v/>
      </c>
      <c r="I904" s="7" t="str">
        <f>IF(Plantilla_SCAN_EQ3_COUNT_2[[#This Row],[ID MATERIAL]]="","","Segundo Conteo")</f>
        <v/>
      </c>
    </row>
    <row r="905" spans="1:9" s="7" customFormat="1" ht="15" x14ac:dyDescent="0.2">
      <c r="A905" s="7" t="str">
        <f>IF(Plantilla_SCAN_EQ3_COUNT_2[[#This Row],[ID MATERIAL]]="","",SIGN(Plantilla_SCAN_EQ3_COUNT_2[[#This Row],[Cantidad]])+A904)</f>
        <v/>
      </c>
      <c r="B905" s="21" t="str">
        <f>IF(Plantilla_SCAN_EQ3_COUNT_2[[#This Row],[ID MATERIAL]]="","",B904)</f>
        <v/>
      </c>
      <c r="C905" s="21"/>
      <c r="D905" s="21"/>
      <c r="E905" s="7" t="str">
        <f>IF(Plantilla_SCAN_EQ3_COUNT_2[[#This Row],[ID MATERIAL]]="","",VLOOKUP(Plantilla_SCAN_EQ3_COUNT_2[[#This Row],[ID MATERIAL]],INVENTARIO!$A:$D,2,FALSE))</f>
        <v/>
      </c>
      <c r="F905" s="7" t="str">
        <f>IF(Plantilla_SCAN_EQ3_COUNT_2[[#This Row],[ID MATERIAL]]="","",IF(Plantilla_SCAN_EQ3_COUNT_2[[#This Row],[No. Empaques]]="",1,Plantilla_SCAN_EQ3_COUNT_2[[#This Row],[No. Empaques]]*1))</f>
        <v/>
      </c>
      <c r="G905" s="7" t="str">
        <f>IF(Plantilla_SCAN_EQ3_COUNT_2[[#This Row],[ID MATERIAL]]="","","PZ")</f>
        <v/>
      </c>
      <c r="H905" s="7" t="str">
        <f>IF(Plantilla_SCAN_EQ3_COUNT_2[[#This Row],[ID MATERIAL]]="","",$B$13)</f>
        <v/>
      </c>
      <c r="I905" s="7" t="str">
        <f>IF(Plantilla_SCAN_EQ3_COUNT_2[[#This Row],[ID MATERIAL]]="","","Segundo Conteo")</f>
        <v/>
      </c>
    </row>
    <row r="906" spans="1:9" s="7" customFormat="1" ht="15" x14ac:dyDescent="0.2">
      <c r="A906" s="7" t="str">
        <f>IF(Plantilla_SCAN_EQ3_COUNT_2[[#This Row],[ID MATERIAL]]="","",SIGN(Plantilla_SCAN_EQ3_COUNT_2[[#This Row],[Cantidad]])+A905)</f>
        <v/>
      </c>
      <c r="B906" s="21" t="str">
        <f>IF(Plantilla_SCAN_EQ3_COUNT_2[[#This Row],[ID MATERIAL]]="","",B905)</f>
        <v/>
      </c>
      <c r="C906" s="21"/>
      <c r="D906" s="21"/>
      <c r="E906" s="7" t="str">
        <f>IF(Plantilla_SCAN_EQ3_COUNT_2[[#This Row],[ID MATERIAL]]="","",VLOOKUP(Plantilla_SCAN_EQ3_COUNT_2[[#This Row],[ID MATERIAL]],INVENTARIO!$A:$D,2,FALSE))</f>
        <v/>
      </c>
      <c r="F906" s="7" t="str">
        <f>IF(Plantilla_SCAN_EQ3_COUNT_2[[#This Row],[ID MATERIAL]]="","",IF(Plantilla_SCAN_EQ3_COUNT_2[[#This Row],[No. Empaques]]="",1,Plantilla_SCAN_EQ3_COUNT_2[[#This Row],[No. Empaques]]*1))</f>
        <v/>
      </c>
      <c r="G906" s="7" t="str">
        <f>IF(Plantilla_SCAN_EQ3_COUNT_2[[#This Row],[ID MATERIAL]]="","","PZ")</f>
        <v/>
      </c>
      <c r="H906" s="7" t="str">
        <f>IF(Plantilla_SCAN_EQ3_COUNT_2[[#This Row],[ID MATERIAL]]="","",$B$13)</f>
        <v/>
      </c>
      <c r="I906" s="7" t="str">
        <f>IF(Plantilla_SCAN_EQ3_COUNT_2[[#This Row],[ID MATERIAL]]="","","Segundo Conteo")</f>
        <v/>
      </c>
    </row>
    <row r="907" spans="1:9" s="7" customFormat="1" ht="15" x14ac:dyDescent="0.2">
      <c r="A907" s="7" t="str">
        <f>IF(Plantilla_SCAN_EQ3_COUNT_2[[#This Row],[ID MATERIAL]]="","",SIGN(Plantilla_SCAN_EQ3_COUNT_2[[#This Row],[Cantidad]])+A906)</f>
        <v/>
      </c>
      <c r="B907" s="21" t="str">
        <f>IF(Plantilla_SCAN_EQ3_COUNT_2[[#This Row],[ID MATERIAL]]="","",B906)</f>
        <v/>
      </c>
      <c r="C907" s="21"/>
      <c r="D907" s="21"/>
      <c r="E907" s="7" t="str">
        <f>IF(Plantilla_SCAN_EQ3_COUNT_2[[#This Row],[ID MATERIAL]]="","",VLOOKUP(Plantilla_SCAN_EQ3_COUNT_2[[#This Row],[ID MATERIAL]],INVENTARIO!$A:$D,2,FALSE))</f>
        <v/>
      </c>
      <c r="F907" s="7" t="str">
        <f>IF(Plantilla_SCAN_EQ3_COUNT_2[[#This Row],[ID MATERIAL]]="","",IF(Plantilla_SCAN_EQ3_COUNT_2[[#This Row],[No. Empaques]]="",1,Plantilla_SCAN_EQ3_COUNT_2[[#This Row],[No. Empaques]]*1))</f>
        <v/>
      </c>
      <c r="G907" s="7" t="str">
        <f>IF(Plantilla_SCAN_EQ3_COUNT_2[[#This Row],[ID MATERIAL]]="","","PZ")</f>
        <v/>
      </c>
      <c r="H907" s="7" t="str">
        <f>IF(Plantilla_SCAN_EQ3_COUNT_2[[#This Row],[ID MATERIAL]]="","",$B$13)</f>
        <v/>
      </c>
      <c r="I907" s="7" t="str">
        <f>IF(Plantilla_SCAN_EQ3_COUNT_2[[#This Row],[ID MATERIAL]]="","","Segundo Conteo")</f>
        <v/>
      </c>
    </row>
    <row r="908" spans="1:9" s="7" customFormat="1" ht="15" x14ac:dyDescent="0.2">
      <c r="A908" s="7" t="str">
        <f>IF(Plantilla_SCAN_EQ3_COUNT_2[[#This Row],[ID MATERIAL]]="","",SIGN(Plantilla_SCAN_EQ3_COUNT_2[[#This Row],[Cantidad]])+A907)</f>
        <v/>
      </c>
      <c r="B908" s="21" t="str">
        <f>IF(Plantilla_SCAN_EQ3_COUNT_2[[#This Row],[ID MATERIAL]]="","",B907)</f>
        <v/>
      </c>
      <c r="C908" s="21"/>
      <c r="D908" s="21"/>
      <c r="E908" s="7" t="str">
        <f>IF(Plantilla_SCAN_EQ3_COUNT_2[[#This Row],[ID MATERIAL]]="","",VLOOKUP(Plantilla_SCAN_EQ3_COUNT_2[[#This Row],[ID MATERIAL]],INVENTARIO!$A:$D,2,FALSE))</f>
        <v/>
      </c>
      <c r="F908" s="7" t="str">
        <f>IF(Plantilla_SCAN_EQ3_COUNT_2[[#This Row],[ID MATERIAL]]="","",IF(Plantilla_SCAN_EQ3_COUNT_2[[#This Row],[No. Empaques]]="",1,Plantilla_SCAN_EQ3_COUNT_2[[#This Row],[No. Empaques]]*1))</f>
        <v/>
      </c>
      <c r="G908" s="7" t="str">
        <f>IF(Plantilla_SCAN_EQ3_COUNT_2[[#This Row],[ID MATERIAL]]="","","PZ")</f>
        <v/>
      </c>
      <c r="H908" s="7" t="str">
        <f>IF(Plantilla_SCAN_EQ3_COUNT_2[[#This Row],[ID MATERIAL]]="","",$B$13)</f>
        <v/>
      </c>
      <c r="I908" s="7" t="str">
        <f>IF(Plantilla_SCAN_EQ3_COUNT_2[[#This Row],[ID MATERIAL]]="","","Segundo Conteo")</f>
        <v/>
      </c>
    </row>
    <row r="909" spans="1:9" s="7" customFormat="1" ht="15" x14ac:dyDescent="0.2">
      <c r="A909" s="7" t="str">
        <f>IF(Plantilla_SCAN_EQ3_COUNT_2[[#This Row],[ID MATERIAL]]="","",SIGN(Plantilla_SCAN_EQ3_COUNT_2[[#This Row],[Cantidad]])+A908)</f>
        <v/>
      </c>
      <c r="B909" s="21" t="str">
        <f>IF(Plantilla_SCAN_EQ3_COUNT_2[[#This Row],[ID MATERIAL]]="","",B908)</f>
        <v/>
      </c>
      <c r="C909" s="21"/>
      <c r="D909" s="21"/>
      <c r="E909" s="7" t="str">
        <f>IF(Plantilla_SCAN_EQ3_COUNT_2[[#This Row],[ID MATERIAL]]="","",VLOOKUP(Plantilla_SCAN_EQ3_COUNT_2[[#This Row],[ID MATERIAL]],INVENTARIO!$A:$D,2,FALSE))</f>
        <v/>
      </c>
      <c r="F909" s="7" t="str">
        <f>IF(Plantilla_SCAN_EQ3_COUNT_2[[#This Row],[ID MATERIAL]]="","",IF(Plantilla_SCAN_EQ3_COUNT_2[[#This Row],[No. Empaques]]="",1,Plantilla_SCAN_EQ3_COUNT_2[[#This Row],[No. Empaques]]*1))</f>
        <v/>
      </c>
      <c r="G909" s="7" t="str">
        <f>IF(Plantilla_SCAN_EQ3_COUNT_2[[#This Row],[ID MATERIAL]]="","","PZ")</f>
        <v/>
      </c>
      <c r="H909" s="7" t="str">
        <f>IF(Plantilla_SCAN_EQ3_COUNT_2[[#This Row],[ID MATERIAL]]="","",$B$13)</f>
        <v/>
      </c>
      <c r="I909" s="7" t="str">
        <f>IF(Plantilla_SCAN_EQ3_COUNT_2[[#This Row],[ID MATERIAL]]="","","Segundo Conteo")</f>
        <v/>
      </c>
    </row>
    <row r="910" spans="1:9" s="7" customFormat="1" ht="15" x14ac:dyDescent="0.2">
      <c r="A910" s="7" t="str">
        <f>IF(Plantilla_SCAN_EQ3_COUNT_2[[#This Row],[ID MATERIAL]]="","",SIGN(Plantilla_SCAN_EQ3_COUNT_2[[#This Row],[Cantidad]])+A909)</f>
        <v/>
      </c>
      <c r="B910" s="21" t="str">
        <f>IF(Plantilla_SCAN_EQ3_COUNT_2[[#This Row],[ID MATERIAL]]="","",B909)</f>
        <v/>
      </c>
      <c r="C910" s="21"/>
      <c r="D910" s="21"/>
      <c r="E910" s="7" t="str">
        <f>IF(Plantilla_SCAN_EQ3_COUNT_2[[#This Row],[ID MATERIAL]]="","",VLOOKUP(Plantilla_SCAN_EQ3_COUNT_2[[#This Row],[ID MATERIAL]],INVENTARIO!$A:$D,2,FALSE))</f>
        <v/>
      </c>
      <c r="F910" s="7" t="str">
        <f>IF(Plantilla_SCAN_EQ3_COUNT_2[[#This Row],[ID MATERIAL]]="","",IF(Plantilla_SCAN_EQ3_COUNT_2[[#This Row],[No. Empaques]]="",1,Plantilla_SCAN_EQ3_COUNT_2[[#This Row],[No. Empaques]]*1))</f>
        <v/>
      </c>
      <c r="G910" s="7" t="str">
        <f>IF(Plantilla_SCAN_EQ3_COUNT_2[[#This Row],[ID MATERIAL]]="","","PZ")</f>
        <v/>
      </c>
      <c r="H910" s="7" t="str">
        <f>IF(Plantilla_SCAN_EQ3_COUNT_2[[#This Row],[ID MATERIAL]]="","",$B$13)</f>
        <v/>
      </c>
      <c r="I910" s="7" t="str">
        <f>IF(Plantilla_SCAN_EQ3_COUNT_2[[#This Row],[ID MATERIAL]]="","","Segundo Conteo")</f>
        <v/>
      </c>
    </row>
    <row r="911" spans="1:9" s="7" customFormat="1" ht="15" x14ac:dyDescent="0.2">
      <c r="A911" s="7" t="str">
        <f>IF(Plantilla_SCAN_EQ3_COUNT_2[[#This Row],[ID MATERIAL]]="","",SIGN(Plantilla_SCAN_EQ3_COUNT_2[[#This Row],[Cantidad]])+A910)</f>
        <v/>
      </c>
      <c r="B911" s="21" t="str">
        <f>IF(Plantilla_SCAN_EQ3_COUNT_2[[#This Row],[ID MATERIAL]]="","",B910)</f>
        <v/>
      </c>
      <c r="C911" s="21"/>
      <c r="D911" s="21"/>
      <c r="E911" s="7" t="str">
        <f>IF(Plantilla_SCAN_EQ3_COUNT_2[[#This Row],[ID MATERIAL]]="","",VLOOKUP(Plantilla_SCAN_EQ3_COUNT_2[[#This Row],[ID MATERIAL]],INVENTARIO!$A:$D,2,FALSE))</f>
        <v/>
      </c>
      <c r="F911" s="7" t="str">
        <f>IF(Plantilla_SCAN_EQ3_COUNT_2[[#This Row],[ID MATERIAL]]="","",IF(Plantilla_SCAN_EQ3_COUNT_2[[#This Row],[No. Empaques]]="",1,Plantilla_SCAN_EQ3_COUNT_2[[#This Row],[No. Empaques]]*1))</f>
        <v/>
      </c>
      <c r="G911" s="7" t="str">
        <f>IF(Plantilla_SCAN_EQ3_COUNT_2[[#This Row],[ID MATERIAL]]="","","PZ")</f>
        <v/>
      </c>
      <c r="H911" s="7" t="str">
        <f>IF(Plantilla_SCAN_EQ3_COUNT_2[[#This Row],[ID MATERIAL]]="","",$B$13)</f>
        <v/>
      </c>
      <c r="I911" s="7" t="str">
        <f>IF(Plantilla_SCAN_EQ3_COUNT_2[[#This Row],[ID MATERIAL]]="","","Segundo Conteo")</f>
        <v/>
      </c>
    </row>
    <row r="912" spans="1:9" s="7" customFormat="1" ht="15" x14ac:dyDescent="0.2">
      <c r="A912" s="7" t="str">
        <f>IF(Plantilla_SCAN_EQ3_COUNT_2[[#This Row],[ID MATERIAL]]="","",SIGN(Plantilla_SCAN_EQ3_COUNT_2[[#This Row],[Cantidad]])+A911)</f>
        <v/>
      </c>
      <c r="B912" s="21" t="str">
        <f>IF(Plantilla_SCAN_EQ3_COUNT_2[[#This Row],[ID MATERIAL]]="","",B911)</f>
        <v/>
      </c>
      <c r="C912" s="21"/>
      <c r="D912" s="21"/>
      <c r="E912" s="7" t="str">
        <f>IF(Plantilla_SCAN_EQ3_COUNT_2[[#This Row],[ID MATERIAL]]="","",VLOOKUP(Plantilla_SCAN_EQ3_COUNT_2[[#This Row],[ID MATERIAL]],INVENTARIO!$A:$D,2,FALSE))</f>
        <v/>
      </c>
      <c r="F912" s="7" t="str">
        <f>IF(Plantilla_SCAN_EQ3_COUNT_2[[#This Row],[ID MATERIAL]]="","",IF(Plantilla_SCAN_EQ3_COUNT_2[[#This Row],[No. Empaques]]="",1,Plantilla_SCAN_EQ3_COUNT_2[[#This Row],[No. Empaques]]*1))</f>
        <v/>
      </c>
      <c r="G912" s="7" t="str">
        <f>IF(Plantilla_SCAN_EQ3_COUNT_2[[#This Row],[ID MATERIAL]]="","","PZ")</f>
        <v/>
      </c>
      <c r="H912" s="7" t="str">
        <f>IF(Plantilla_SCAN_EQ3_COUNT_2[[#This Row],[ID MATERIAL]]="","",$B$13)</f>
        <v/>
      </c>
      <c r="I912" s="7" t="str">
        <f>IF(Plantilla_SCAN_EQ3_COUNT_2[[#This Row],[ID MATERIAL]]="","","Segundo Conteo")</f>
        <v/>
      </c>
    </row>
    <row r="913" spans="1:9" s="7" customFormat="1" ht="15" x14ac:dyDescent="0.2">
      <c r="A913" s="7" t="str">
        <f>IF(Plantilla_SCAN_EQ3_COUNT_2[[#This Row],[ID MATERIAL]]="","",SIGN(Plantilla_SCAN_EQ3_COUNT_2[[#This Row],[Cantidad]])+A912)</f>
        <v/>
      </c>
      <c r="B913" s="21" t="str">
        <f>IF(Plantilla_SCAN_EQ3_COUNT_2[[#This Row],[ID MATERIAL]]="","",B912)</f>
        <v/>
      </c>
      <c r="C913" s="21"/>
      <c r="D913" s="21"/>
      <c r="E913" s="7" t="str">
        <f>IF(Plantilla_SCAN_EQ3_COUNT_2[[#This Row],[ID MATERIAL]]="","",VLOOKUP(Plantilla_SCAN_EQ3_COUNT_2[[#This Row],[ID MATERIAL]],INVENTARIO!$A:$D,2,FALSE))</f>
        <v/>
      </c>
      <c r="F913" s="7" t="str">
        <f>IF(Plantilla_SCAN_EQ3_COUNT_2[[#This Row],[ID MATERIAL]]="","",IF(Plantilla_SCAN_EQ3_COUNT_2[[#This Row],[No. Empaques]]="",1,Plantilla_SCAN_EQ3_COUNT_2[[#This Row],[No. Empaques]]*1))</f>
        <v/>
      </c>
      <c r="G913" s="7" t="str">
        <f>IF(Plantilla_SCAN_EQ3_COUNT_2[[#This Row],[ID MATERIAL]]="","","PZ")</f>
        <v/>
      </c>
      <c r="H913" s="7" t="str">
        <f>IF(Plantilla_SCAN_EQ3_COUNT_2[[#This Row],[ID MATERIAL]]="","",$B$13)</f>
        <v/>
      </c>
      <c r="I913" s="7" t="str">
        <f>IF(Plantilla_SCAN_EQ3_COUNT_2[[#This Row],[ID MATERIAL]]="","","Segundo Conteo")</f>
        <v/>
      </c>
    </row>
    <row r="914" spans="1:9" s="7" customFormat="1" ht="15" x14ac:dyDescent="0.2">
      <c r="A914" s="7" t="str">
        <f>IF(Plantilla_SCAN_EQ3_COUNT_2[[#This Row],[ID MATERIAL]]="","",SIGN(Plantilla_SCAN_EQ3_COUNT_2[[#This Row],[Cantidad]])+A913)</f>
        <v/>
      </c>
      <c r="B914" s="21" t="str">
        <f>IF(Plantilla_SCAN_EQ3_COUNT_2[[#This Row],[ID MATERIAL]]="","",B913)</f>
        <v/>
      </c>
      <c r="C914" s="21"/>
      <c r="D914" s="21"/>
      <c r="E914" s="7" t="str">
        <f>IF(Plantilla_SCAN_EQ3_COUNT_2[[#This Row],[ID MATERIAL]]="","",VLOOKUP(Plantilla_SCAN_EQ3_COUNT_2[[#This Row],[ID MATERIAL]],INVENTARIO!$A:$D,2,FALSE))</f>
        <v/>
      </c>
      <c r="F914" s="7" t="str">
        <f>IF(Plantilla_SCAN_EQ3_COUNT_2[[#This Row],[ID MATERIAL]]="","",IF(Plantilla_SCAN_EQ3_COUNT_2[[#This Row],[No. Empaques]]="",1,Plantilla_SCAN_EQ3_COUNT_2[[#This Row],[No. Empaques]]*1))</f>
        <v/>
      </c>
      <c r="G914" s="7" t="str">
        <f>IF(Plantilla_SCAN_EQ3_COUNT_2[[#This Row],[ID MATERIAL]]="","","PZ")</f>
        <v/>
      </c>
      <c r="H914" s="7" t="str">
        <f>IF(Plantilla_SCAN_EQ3_COUNT_2[[#This Row],[ID MATERIAL]]="","",$B$13)</f>
        <v/>
      </c>
      <c r="I914" s="7" t="str">
        <f>IF(Plantilla_SCAN_EQ3_COUNT_2[[#This Row],[ID MATERIAL]]="","","Segundo Conteo")</f>
        <v/>
      </c>
    </row>
    <row r="915" spans="1:9" s="7" customFormat="1" ht="15" x14ac:dyDescent="0.2">
      <c r="A915" s="7" t="str">
        <f>IF(Plantilla_SCAN_EQ3_COUNT_2[[#This Row],[ID MATERIAL]]="","",SIGN(Plantilla_SCAN_EQ3_COUNT_2[[#This Row],[Cantidad]])+A914)</f>
        <v/>
      </c>
      <c r="B915" s="21" t="str">
        <f>IF(Plantilla_SCAN_EQ3_COUNT_2[[#This Row],[ID MATERIAL]]="","",B914)</f>
        <v/>
      </c>
      <c r="C915" s="21"/>
      <c r="D915" s="21"/>
      <c r="E915" s="7" t="str">
        <f>IF(Plantilla_SCAN_EQ3_COUNT_2[[#This Row],[ID MATERIAL]]="","",VLOOKUP(Plantilla_SCAN_EQ3_COUNT_2[[#This Row],[ID MATERIAL]],INVENTARIO!$A:$D,2,FALSE))</f>
        <v/>
      </c>
      <c r="F915" s="7" t="str">
        <f>IF(Plantilla_SCAN_EQ3_COUNT_2[[#This Row],[ID MATERIAL]]="","",IF(Plantilla_SCAN_EQ3_COUNT_2[[#This Row],[No. Empaques]]="",1,Plantilla_SCAN_EQ3_COUNT_2[[#This Row],[No. Empaques]]*1))</f>
        <v/>
      </c>
      <c r="G915" s="7" t="str">
        <f>IF(Plantilla_SCAN_EQ3_COUNT_2[[#This Row],[ID MATERIAL]]="","","PZ")</f>
        <v/>
      </c>
      <c r="H915" s="7" t="str">
        <f>IF(Plantilla_SCAN_EQ3_COUNT_2[[#This Row],[ID MATERIAL]]="","",$B$13)</f>
        <v/>
      </c>
      <c r="I915" s="7" t="str">
        <f>IF(Plantilla_SCAN_EQ3_COUNT_2[[#This Row],[ID MATERIAL]]="","","Segundo Conteo")</f>
        <v/>
      </c>
    </row>
    <row r="916" spans="1:9" s="7" customFormat="1" ht="15" x14ac:dyDescent="0.2">
      <c r="A916" s="7" t="str">
        <f>IF(Plantilla_SCAN_EQ3_COUNT_2[[#This Row],[ID MATERIAL]]="","",SIGN(Plantilla_SCAN_EQ3_COUNT_2[[#This Row],[Cantidad]])+A915)</f>
        <v/>
      </c>
      <c r="B916" s="21" t="str">
        <f>IF(Plantilla_SCAN_EQ3_COUNT_2[[#This Row],[ID MATERIAL]]="","",B915)</f>
        <v/>
      </c>
      <c r="C916" s="21"/>
      <c r="D916" s="21"/>
      <c r="E916" s="7" t="str">
        <f>IF(Plantilla_SCAN_EQ3_COUNT_2[[#This Row],[ID MATERIAL]]="","",VLOOKUP(Plantilla_SCAN_EQ3_COUNT_2[[#This Row],[ID MATERIAL]],INVENTARIO!$A:$D,2,FALSE))</f>
        <v/>
      </c>
      <c r="F916" s="7" t="str">
        <f>IF(Plantilla_SCAN_EQ3_COUNT_2[[#This Row],[ID MATERIAL]]="","",IF(Plantilla_SCAN_EQ3_COUNT_2[[#This Row],[No. Empaques]]="",1,Plantilla_SCAN_EQ3_COUNT_2[[#This Row],[No. Empaques]]*1))</f>
        <v/>
      </c>
      <c r="G916" s="7" t="str">
        <f>IF(Plantilla_SCAN_EQ3_COUNT_2[[#This Row],[ID MATERIAL]]="","","PZ")</f>
        <v/>
      </c>
      <c r="H916" s="7" t="str">
        <f>IF(Plantilla_SCAN_EQ3_COUNT_2[[#This Row],[ID MATERIAL]]="","",$B$13)</f>
        <v/>
      </c>
      <c r="I916" s="7" t="str">
        <f>IF(Plantilla_SCAN_EQ3_COUNT_2[[#This Row],[ID MATERIAL]]="","","Segundo Conteo")</f>
        <v/>
      </c>
    </row>
    <row r="917" spans="1:9" s="7" customFormat="1" ht="15" x14ac:dyDescent="0.2">
      <c r="A917" s="7" t="str">
        <f>IF(Plantilla_SCAN_EQ3_COUNT_2[[#This Row],[ID MATERIAL]]="","",SIGN(Plantilla_SCAN_EQ3_COUNT_2[[#This Row],[Cantidad]])+A916)</f>
        <v/>
      </c>
      <c r="B917" s="21" t="str">
        <f>IF(Plantilla_SCAN_EQ3_COUNT_2[[#This Row],[ID MATERIAL]]="","",B916)</f>
        <v/>
      </c>
      <c r="C917" s="21"/>
      <c r="D917" s="21"/>
      <c r="E917" s="7" t="str">
        <f>IF(Plantilla_SCAN_EQ3_COUNT_2[[#This Row],[ID MATERIAL]]="","",VLOOKUP(Plantilla_SCAN_EQ3_COUNT_2[[#This Row],[ID MATERIAL]],INVENTARIO!$A:$D,2,FALSE))</f>
        <v/>
      </c>
      <c r="F917" s="7" t="str">
        <f>IF(Plantilla_SCAN_EQ3_COUNT_2[[#This Row],[ID MATERIAL]]="","",IF(Plantilla_SCAN_EQ3_COUNT_2[[#This Row],[No. Empaques]]="",1,Plantilla_SCAN_EQ3_COUNT_2[[#This Row],[No. Empaques]]*1))</f>
        <v/>
      </c>
      <c r="G917" s="7" t="str">
        <f>IF(Plantilla_SCAN_EQ3_COUNT_2[[#This Row],[ID MATERIAL]]="","","PZ")</f>
        <v/>
      </c>
      <c r="H917" s="7" t="str">
        <f>IF(Plantilla_SCAN_EQ3_COUNT_2[[#This Row],[ID MATERIAL]]="","",$B$13)</f>
        <v/>
      </c>
      <c r="I917" s="7" t="str">
        <f>IF(Plantilla_SCAN_EQ3_COUNT_2[[#This Row],[ID MATERIAL]]="","","Segundo Conteo")</f>
        <v/>
      </c>
    </row>
    <row r="918" spans="1:9" s="7" customFormat="1" ht="15" x14ac:dyDescent="0.2">
      <c r="A918" s="7" t="str">
        <f>IF(Plantilla_SCAN_EQ3_COUNT_2[[#This Row],[ID MATERIAL]]="","",SIGN(Plantilla_SCAN_EQ3_COUNT_2[[#This Row],[Cantidad]])+A917)</f>
        <v/>
      </c>
      <c r="B918" s="21" t="str">
        <f>IF(Plantilla_SCAN_EQ3_COUNT_2[[#This Row],[ID MATERIAL]]="","",B917)</f>
        <v/>
      </c>
      <c r="C918" s="21"/>
      <c r="D918" s="21"/>
      <c r="E918" s="7" t="str">
        <f>IF(Plantilla_SCAN_EQ3_COUNT_2[[#This Row],[ID MATERIAL]]="","",VLOOKUP(Plantilla_SCAN_EQ3_COUNT_2[[#This Row],[ID MATERIAL]],INVENTARIO!$A:$D,2,FALSE))</f>
        <v/>
      </c>
      <c r="F918" s="7" t="str">
        <f>IF(Plantilla_SCAN_EQ3_COUNT_2[[#This Row],[ID MATERIAL]]="","",IF(Plantilla_SCAN_EQ3_COUNT_2[[#This Row],[No. Empaques]]="",1,Plantilla_SCAN_EQ3_COUNT_2[[#This Row],[No. Empaques]]*1))</f>
        <v/>
      </c>
      <c r="G918" s="7" t="str">
        <f>IF(Plantilla_SCAN_EQ3_COUNT_2[[#This Row],[ID MATERIAL]]="","","PZ")</f>
        <v/>
      </c>
      <c r="H918" s="7" t="str">
        <f>IF(Plantilla_SCAN_EQ3_COUNT_2[[#This Row],[ID MATERIAL]]="","",$B$13)</f>
        <v/>
      </c>
      <c r="I918" s="7" t="str">
        <f>IF(Plantilla_SCAN_EQ3_COUNT_2[[#This Row],[ID MATERIAL]]="","","Segundo Conteo")</f>
        <v/>
      </c>
    </row>
    <row r="919" spans="1:9" s="7" customFormat="1" ht="15" x14ac:dyDescent="0.2">
      <c r="A919" s="7" t="str">
        <f>IF(Plantilla_SCAN_EQ3_COUNT_2[[#This Row],[ID MATERIAL]]="","",SIGN(Plantilla_SCAN_EQ3_COUNT_2[[#This Row],[Cantidad]])+A918)</f>
        <v/>
      </c>
      <c r="B919" s="21" t="str">
        <f>IF(Plantilla_SCAN_EQ3_COUNT_2[[#This Row],[ID MATERIAL]]="","",B918)</f>
        <v/>
      </c>
      <c r="C919" s="21"/>
      <c r="D919" s="21"/>
      <c r="E919" s="7" t="str">
        <f>IF(Plantilla_SCAN_EQ3_COUNT_2[[#This Row],[ID MATERIAL]]="","",VLOOKUP(Plantilla_SCAN_EQ3_COUNT_2[[#This Row],[ID MATERIAL]],INVENTARIO!$A:$D,2,FALSE))</f>
        <v/>
      </c>
      <c r="F919" s="7" t="str">
        <f>IF(Plantilla_SCAN_EQ3_COUNT_2[[#This Row],[ID MATERIAL]]="","",IF(Plantilla_SCAN_EQ3_COUNT_2[[#This Row],[No. Empaques]]="",1,Plantilla_SCAN_EQ3_COUNT_2[[#This Row],[No. Empaques]]*1))</f>
        <v/>
      </c>
      <c r="G919" s="7" t="str">
        <f>IF(Plantilla_SCAN_EQ3_COUNT_2[[#This Row],[ID MATERIAL]]="","","PZ")</f>
        <v/>
      </c>
      <c r="H919" s="7" t="str">
        <f>IF(Plantilla_SCAN_EQ3_COUNT_2[[#This Row],[ID MATERIAL]]="","",$B$13)</f>
        <v/>
      </c>
      <c r="I919" s="7" t="str">
        <f>IF(Plantilla_SCAN_EQ3_COUNT_2[[#This Row],[ID MATERIAL]]="","","Segundo Conteo")</f>
        <v/>
      </c>
    </row>
    <row r="920" spans="1:9" s="7" customFormat="1" ht="15" x14ac:dyDescent="0.2">
      <c r="A920" s="7" t="str">
        <f>IF(Plantilla_SCAN_EQ3_COUNT_2[[#This Row],[ID MATERIAL]]="","",SIGN(Plantilla_SCAN_EQ3_COUNT_2[[#This Row],[Cantidad]])+A919)</f>
        <v/>
      </c>
      <c r="B920" s="21" t="str">
        <f>IF(Plantilla_SCAN_EQ3_COUNT_2[[#This Row],[ID MATERIAL]]="","",B919)</f>
        <v/>
      </c>
      <c r="C920" s="21"/>
      <c r="D920" s="21"/>
      <c r="E920" s="7" t="str">
        <f>IF(Plantilla_SCAN_EQ3_COUNT_2[[#This Row],[ID MATERIAL]]="","",VLOOKUP(Plantilla_SCAN_EQ3_COUNT_2[[#This Row],[ID MATERIAL]],INVENTARIO!$A:$D,2,FALSE))</f>
        <v/>
      </c>
      <c r="F920" s="7" t="str">
        <f>IF(Plantilla_SCAN_EQ3_COUNT_2[[#This Row],[ID MATERIAL]]="","",IF(Plantilla_SCAN_EQ3_COUNT_2[[#This Row],[No. Empaques]]="",1,Plantilla_SCAN_EQ3_COUNT_2[[#This Row],[No. Empaques]]*1))</f>
        <v/>
      </c>
      <c r="G920" s="7" t="str">
        <f>IF(Plantilla_SCAN_EQ3_COUNT_2[[#This Row],[ID MATERIAL]]="","","PZ")</f>
        <v/>
      </c>
      <c r="H920" s="7" t="str">
        <f>IF(Plantilla_SCAN_EQ3_COUNT_2[[#This Row],[ID MATERIAL]]="","",$B$13)</f>
        <v/>
      </c>
      <c r="I920" s="7" t="str">
        <f>IF(Plantilla_SCAN_EQ3_COUNT_2[[#This Row],[ID MATERIAL]]="","","Segundo Conteo")</f>
        <v/>
      </c>
    </row>
    <row r="921" spans="1:9" s="7" customFormat="1" ht="15" x14ac:dyDescent="0.2">
      <c r="A921" s="7" t="str">
        <f>IF(Plantilla_SCAN_EQ3_COUNT_2[[#This Row],[ID MATERIAL]]="","",SIGN(Plantilla_SCAN_EQ3_COUNT_2[[#This Row],[Cantidad]])+A920)</f>
        <v/>
      </c>
      <c r="B921" s="21" t="str">
        <f>IF(Plantilla_SCAN_EQ3_COUNT_2[[#This Row],[ID MATERIAL]]="","",B920)</f>
        <v/>
      </c>
      <c r="C921" s="21"/>
      <c r="D921" s="21"/>
      <c r="E921" s="7" t="str">
        <f>IF(Plantilla_SCAN_EQ3_COUNT_2[[#This Row],[ID MATERIAL]]="","",VLOOKUP(Plantilla_SCAN_EQ3_COUNT_2[[#This Row],[ID MATERIAL]],INVENTARIO!$A:$D,2,FALSE))</f>
        <v/>
      </c>
      <c r="F921" s="7" t="str">
        <f>IF(Plantilla_SCAN_EQ3_COUNT_2[[#This Row],[ID MATERIAL]]="","",IF(Plantilla_SCAN_EQ3_COUNT_2[[#This Row],[No. Empaques]]="",1,Plantilla_SCAN_EQ3_COUNT_2[[#This Row],[No. Empaques]]*1))</f>
        <v/>
      </c>
      <c r="G921" s="7" t="str">
        <f>IF(Plantilla_SCAN_EQ3_COUNT_2[[#This Row],[ID MATERIAL]]="","","PZ")</f>
        <v/>
      </c>
      <c r="H921" s="7" t="str">
        <f>IF(Plantilla_SCAN_EQ3_COUNT_2[[#This Row],[ID MATERIAL]]="","",$B$13)</f>
        <v/>
      </c>
      <c r="I921" s="7" t="str">
        <f>IF(Plantilla_SCAN_EQ3_COUNT_2[[#This Row],[ID MATERIAL]]="","","Segundo Conteo")</f>
        <v/>
      </c>
    </row>
    <row r="922" spans="1:9" s="7" customFormat="1" ht="15" x14ac:dyDescent="0.2">
      <c r="A922" s="7" t="str">
        <f>IF(Plantilla_SCAN_EQ3_COUNT_2[[#This Row],[ID MATERIAL]]="","",SIGN(Plantilla_SCAN_EQ3_COUNT_2[[#This Row],[Cantidad]])+A921)</f>
        <v/>
      </c>
      <c r="B922" s="21" t="str">
        <f>IF(Plantilla_SCAN_EQ3_COUNT_2[[#This Row],[ID MATERIAL]]="","",B921)</f>
        <v/>
      </c>
      <c r="C922" s="21"/>
      <c r="D922" s="21"/>
      <c r="E922" s="7" t="str">
        <f>IF(Plantilla_SCAN_EQ3_COUNT_2[[#This Row],[ID MATERIAL]]="","",VLOOKUP(Plantilla_SCAN_EQ3_COUNT_2[[#This Row],[ID MATERIAL]],INVENTARIO!$A:$D,2,FALSE))</f>
        <v/>
      </c>
      <c r="F922" s="7" t="str">
        <f>IF(Plantilla_SCAN_EQ3_COUNT_2[[#This Row],[ID MATERIAL]]="","",IF(Plantilla_SCAN_EQ3_COUNT_2[[#This Row],[No. Empaques]]="",1,Plantilla_SCAN_EQ3_COUNT_2[[#This Row],[No. Empaques]]*1))</f>
        <v/>
      </c>
      <c r="G922" s="7" t="str">
        <f>IF(Plantilla_SCAN_EQ3_COUNT_2[[#This Row],[ID MATERIAL]]="","","PZ")</f>
        <v/>
      </c>
      <c r="H922" s="7" t="str">
        <f>IF(Plantilla_SCAN_EQ3_COUNT_2[[#This Row],[ID MATERIAL]]="","",$B$13)</f>
        <v/>
      </c>
      <c r="I922" s="7" t="str">
        <f>IF(Plantilla_SCAN_EQ3_COUNT_2[[#This Row],[ID MATERIAL]]="","","Segundo Conteo")</f>
        <v/>
      </c>
    </row>
    <row r="923" spans="1:9" s="7" customFormat="1" ht="15" x14ac:dyDescent="0.2">
      <c r="A923" s="7" t="str">
        <f>IF(Plantilla_SCAN_EQ3_COUNT_2[[#This Row],[ID MATERIAL]]="","",SIGN(Plantilla_SCAN_EQ3_COUNT_2[[#This Row],[Cantidad]])+A922)</f>
        <v/>
      </c>
      <c r="B923" s="21" t="str">
        <f>IF(Plantilla_SCAN_EQ3_COUNT_2[[#This Row],[ID MATERIAL]]="","",B922)</f>
        <v/>
      </c>
      <c r="C923" s="21"/>
      <c r="D923" s="21"/>
      <c r="E923" s="7" t="str">
        <f>IF(Plantilla_SCAN_EQ3_COUNT_2[[#This Row],[ID MATERIAL]]="","",VLOOKUP(Plantilla_SCAN_EQ3_COUNT_2[[#This Row],[ID MATERIAL]],INVENTARIO!$A:$D,2,FALSE))</f>
        <v/>
      </c>
      <c r="F923" s="7" t="str">
        <f>IF(Plantilla_SCAN_EQ3_COUNT_2[[#This Row],[ID MATERIAL]]="","",IF(Plantilla_SCAN_EQ3_COUNT_2[[#This Row],[No. Empaques]]="",1,Plantilla_SCAN_EQ3_COUNT_2[[#This Row],[No. Empaques]]*1))</f>
        <v/>
      </c>
      <c r="G923" s="7" t="str">
        <f>IF(Plantilla_SCAN_EQ3_COUNT_2[[#This Row],[ID MATERIAL]]="","","PZ")</f>
        <v/>
      </c>
      <c r="H923" s="7" t="str">
        <f>IF(Plantilla_SCAN_EQ3_COUNT_2[[#This Row],[ID MATERIAL]]="","",$B$13)</f>
        <v/>
      </c>
      <c r="I923" s="7" t="str">
        <f>IF(Plantilla_SCAN_EQ3_COUNT_2[[#This Row],[ID MATERIAL]]="","","Segundo Conteo")</f>
        <v/>
      </c>
    </row>
    <row r="924" spans="1:9" s="7" customFormat="1" ht="15" x14ac:dyDescent="0.2">
      <c r="A924" s="7" t="str">
        <f>IF(Plantilla_SCAN_EQ3_COUNT_2[[#This Row],[ID MATERIAL]]="","",SIGN(Plantilla_SCAN_EQ3_COUNT_2[[#This Row],[Cantidad]])+A923)</f>
        <v/>
      </c>
      <c r="B924" s="21" t="str">
        <f>IF(Plantilla_SCAN_EQ3_COUNT_2[[#This Row],[ID MATERIAL]]="","",B923)</f>
        <v/>
      </c>
      <c r="C924" s="21"/>
      <c r="D924" s="21"/>
      <c r="E924" s="7" t="str">
        <f>IF(Plantilla_SCAN_EQ3_COUNT_2[[#This Row],[ID MATERIAL]]="","",VLOOKUP(Plantilla_SCAN_EQ3_COUNT_2[[#This Row],[ID MATERIAL]],INVENTARIO!$A:$D,2,FALSE))</f>
        <v/>
      </c>
      <c r="F924" s="7" t="str">
        <f>IF(Plantilla_SCAN_EQ3_COUNT_2[[#This Row],[ID MATERIAL]]="","",IF(Plantilla_SCAN_EQ3_COUNT_2[[#This Row],[No. Empaques]]="",1,Plantilla_SCAN_EQ3_COUNT_2[[#This Row],[No. Empaques]]*1))</f>
        <v/>
      </c>
      <c r="G924" s="7" t="str">
        <f>IF(Plantilla_SCAN_EQ3_COUNT_2[[#This Row],[ID MATERIAL]]="","","PZ")</f>
        <v/>
      </c>
      <c r="H924" s="7" t="str">
        <f>IF(Plantilla_SCAN_EQ3_COUNT_2[[#This Row],[ID MATERIAL]]="","",$B$13)</f>
        <v/>
      </c>
      <c r="I924" s="7" t="str">
        <f>IF(Plantilla_SCAN_EQ3_COUNT_2[[#This Row],[ID MATERIAL]]="","","Segundo Conteo")</f>
        <v/>
      </c>
    </row>
    <row r="925" spans="1:9" s="7" customFormat="1" ht="15" x14ac:dyDescent="0.2">
      <c r="A925" s="7" t="str">
        <f>IF(Plantilla_SCAN_EQ3_COUNT_2[[#This Row],[ID MATERIAL]]="","",SIGN(Plantilla_SCAN_EQ3_COUNT_2[[#This Row],[Cantidad]])+A924)</f>
        <v/>
      </c>
      <c r="B925" s="21" t="str">
        <f>IF(Plantilla_SCAN_EQ3_COUNT_2[[#This Row],[ID MATERIAL]]="","",B924)</f>
        <v/>
      </c>
      <c r="C925" s="21"/>
      <c r="D925" s="21"/>
      <c r="E925" s="7" t="str">
        <f>IF(Plantilla_SCAN_EQ3_COUNT_2[[#This Row],[ID MATERIAL]]="","",VLOOKUP(Plantilla_SCAN_EQ3_COUNT_2[[#This Row],[ID MATERIAL]],INVENTARIO!$A:$D,2,FALSE))</f>
        <v/>
      </c>
      <c r="F925" s="7" t="str">
        <f>IF(Plantilla_SCAN_EQ3_COUNT_2[[#This Row],[ID MATERIAL]]="","",IF(Plantilla_SCAN_EQ3_COUNT_2[[#This Row],[No. Empaques]]="",1,Plantilla_SCAN_EQ3_COUNT_2[[#This Row],[No. Empaques]]*1))</f>
        <v/>
      </c>
      <c r="G925" s="7" t="str">
        <f>IF(Plantilla_SCAN_EQ3_COUNT_2[[#This Row],[ID MATERIAL]]="","","PZ")</f>
        <v/>
      </c>
      <c r="H925" s="7" t="str">
        <f>IF(Plantilla_SCAN_EQ3_COUNT_2[[#This Row],[ID MATERIAL]]="","",$B$13)</f>
        <v/>
      </c>
      <c r="I925" s="7" t="str">
        <f>IF(Plantilla_SCAN_EQ3_COUNT_2[[#This Row],[ID MATERIAL]]="","","Segundo Conteo")</f>
        <v/>
      </c>
    </row>
    <row r="926" spans="1:9" s="7" customFormat="1" ht="15" x14ac:dyDescent="0.2">
      <c r="A926" s="7" t="str">
        <f>IF(Plantilla_SCAN_EQ3_COUNT_2[[#This Row],[ID MATERIAL]]="","",SIGN(Plantilla_SCAN_EQ3_COUNT_2[[#This Row],[Cantidad]])+A925)</f>
        <v/>
      </c>
      <c r="B926" s="21" t="str">
        <f>IF(Plantilla_SCAN_EQ3_COUNT_2[[#This Row],[ID MATERIAL]]="","",B925)</f>
        <v/>
      </c>
      <c r="C926" s="21"/>
      <c r="D926" s="21"/>
      <c r="E926" s="7" t="str">
        <f>IF(Plantilla_SCAN_EQ3_COUNT_2[[#This Row],[ID MATERIAL]]="","",VLOOKUP(Plantilla_SCAN_EQ3_COUNT_2[[#This Row],[ID MATERIAL]],INVENTARIO!$A:$D,2,FALSE))</f>
        <v/>
      </c>
      <c r="F926" s="7" t="str">
        <f>IF(Plantilla_SCAN_EQ3_COUNT_2[[#This Row],[ID MATERIAL]]="","",IF(Plantilla_SCAN_EQ3_COUNT_2[[#This Row],[No. Empaques]]="",1,Plantilla_SCAN_EQ3_COUNT_2[[#This Row],[No. Empaques]]*1))</f>
        <v/>
      </c>
      <c r="G926" s="7" t="str">
        <f>IF(Plantilla_SCAN_EQ3_COUNT_2[[#This Row],[ID MATERIAL]]="","","PZ")</f>
        <v/>
      </c>
      <c r="H926" s="7" t="str">
        <f>IF(Plantilla_SCAN_EQ3_COUNT_2[[#This Row],[ID MATERIAL]]="","",$B$13)</f>
        <v/>
      </c>
      <c r="I926" s="7" t="str">
        <f>IF(Plantilla_SCAN_EQ3_COUNT_2[[#This Row],[ID MATERIAL]]="","","Segundo Conteo")</f>
        <v/>
      </c>
    </row>
    <row r="927" spans="1:9" s="7" customFormat="1" ht="15" x14ac:dyDescent="0.2">
      <c r="A927" s="7" t="str">
        <f>IF(Plantilla_SCAN_EQ3_COUNT_2[[#This Row],[ID MATERIAL]]="","",SIGN(Plantilla_SCAN_EQ3_COUNT_2[[#This Row],[Cantidad]])+A926)</f>
        <v/>
      </c>
      <c r="B927" s="21" t="str">
        <f>IF(Plantilla_SCAN_EQ3_COUNT_2[[#This Row],[ID MATERIAL]]="","",B926)</f>
        <v/>
      </c>
      <c r="C927" s="21"/>
      <c r="D927" s="21"/>
      <c r="E927" s="7" t="str">
        <f>IF(Plantilla_SCAN_EQ3_COUNT_2[[#This Row],[ID MATERIAL]]="","",VLOOKUP(Plantilla_SCAN_EQ3_COUNT_2[[#This Row],[ID MATERIAL]],INVENTARIO!$A:$D,2,FALSE))</f>
        <v/>
      </c>
      <c r="F927" s="7" t="str">
        <f>IF(Plantilla_SCAN_EQ3_COUNT_2[[#This Row],[ID MATERIAL]]="","",IF(Plantilla_SCAN_EQ3_COUNT_2[[#This Row],[No. Empaques]]="",1,Plantilla_SCAN_EQ3_COUNT_2[[#This Row],[No. Empaques]]*1))</f>
        <v/>
      </c>
      <c r="G927" s="7" t="str">
        <f>IF(Plantilla_SCAN_EQ3_COUNT_2[[#This Row],[ID MATERIAL]]="","","PZ")</f>
        <v/>
      </c>
      <c r="H927" s="7" t="str">
        <f>IF(Plantilla_SCAN_EQ3_COUNT_2[[#This Row],[ID MATERIAL]]="","",$B$13)</f>
        <v/>
      </c>
      <c r="I927" s="7" t="str">
        <f>IF(Plantilla_SCAN_EQ3_COUNT_2[[#This Row],[ID MATERIAL]]="","","Segundo Conteo")</f>
        <v/>
      </c>
    </row>
    <row r="928" spans="1:9" s="7" customFormat="1" ht="15" x14ac:dyDescent="0.2">
      <c r="A928" s="7" t="str">
        <f>IF(Plantilla_SCAN_EQ3_COUNT_2[[#This Row],[ID MATERIAL]]="","",SIGN(Plantilla_SCAN_EQ3_COUNT_2[[#This Row],[Cantidad]])+A927)</f>
        <v/>
      </c>
      <c r="B928" s="21" t="str">
        <f>IF(Plantilla_SCAN_EQ3_COUNT_2[[#This Row],[ID MATERIAL]]="","",B927)</f>
        <v/>
      </c>
      <c r="C928" s="21"/>
      <c r="D928" s="21"/>
      <c r="E928" s="7" t="str">
        <f>IF(Plantilla_SCAN_EQ3_COUNT_2[[#This Row],[ID MATERIAL]]="","",VLOOKUP(Plantilla_SCAN_EQ3_COUNT_2[[#This Row],[ID MATERIAL]],INVENTARIO!$A:$D,2,FALSE))</f>
        <v/>
      </c>
      <c r="F928" s="7" t="str">
        <f>IF(Plantilla_SCAN_EQ3_COUNT_2[[#This Row],[ID MATERIAL]]="","",IF(Plantilla_SCAN_EQ3_COUNT_2[[#This Row],[No. Empaques]]="",1,Plantilla_SCAN_EQ3_COUNT_2[[#This Row],[No. Empaques]]*1))</f>
        <v/>
      </c>
      <c r="G928" s="7" t="str">
        <f>IF(Plantilla_SCAN_EQ3_COUNT_2[[#This Row],[ID MATERIAL]]="","","PZ")</f>
        <v/>
      </c>
      <c r="H928" s="7" t="str">
        <f>IF(Plantilla_SCAN_EQ3_COUNT_2[[#This Row],[ID MATERIAL]]="","",$B$13)</f>
        <v/>
      </c>
      <c r="I928" s="7" t="str">
        <f>IF(Plantilla_SCAN_EQ3_COUNT_2[[#This Row],[ID MATERIAL]]="","","Segundo Conteo")</f>
        <v/>
      </c>
    </row>
    <row r="929" spans="1:9" s="7" customFormat="1" ht="15" x14ac:dyDescent="0.2">
      <c r="A929" s="7" t="str">
        <f>IF(Plantilla_SCAN_EQ3_COUNT_2[[#This Row],[ID MATERIAL]]="","",SIGN(Plantilla_SCAN_EQ3_COUNT_2[[#This Row],[Cantidad]])+A928)</f>
        <v/>
      </c>
      <c r="B929" s="21" t="str">
        <f>IF(Plantilla_SCAN_EQ3_COUNT_2[[#This Row],[ID MATERIAL]]="","",B928)</f>
        <v/>
      </c>
      <c r="C929" s="21"/>
      <c r="D929" s="21"/>
      <c r="E929" s="7" t="str">
        <f>IF(Plantilla_SCAN_EQ3_COUNT_2[[#This Row],[ID MATERIAL]]="","",VLOOKUP(Plantilla_SCAN_EQ3_COUNT_2[[#This Row],[ID MATERIAL]],INVENTARIO!$A:$D,2,FALSE))</f>
        <v/>
      </c>
      <c r="F929" s="7" t="str">
        <f>IF(Plantilla_SCAN_EQ3_COUNT_2[[#This Row],[ID MATERIAL]]="","",IF(Plantilla_SCAN_EQ3_COUNT_2[[#This Row],[No. Empaques]]="",1,Plantilla_SCAN_EQ3_COUNT_2[[#This Row],[No. Empaques]]*1))</f>
        <v/>
      </c>
      <c r="G929" s="7" t="str">
        <f>IF(Plantilla_SCAN_EQ3_COUNT_2[[#This Row],[ID MATERIAL]]="","","PZ")</f>
        <v/>
      </c>
      <c r="H929" s="7" t="str">
        <f>IF(Plantilla_SCAN_EQ3_COUNT_2[[#This Row],[ID MATERIAL]]="","",$B$13)</f>
        <v/>
      </c>
      <c r="I929" s="7" t="str">
        <f>IF(Plantilla_SCAN_EQ3_COUNT_2[[#This Row],[ID MATERIAL]]="","","Segundo Conteo")</f>
        <v/>
      </c>
    </row>
    <row r="930" spans="1:9" s="7" customFormat="1" ht="15" x14ac:dyDescent="0.2">
      <c r="A930" s="7" t="str">
        <f>IF(Plantilla_SCAN_EQ3_COUNT_2[[#This Row],[ID MATERIAL]]="","",SIGN(Plantilla_SCAN_EQ3_COUNT_2[[#This Row],[Cantidad]])+A929)</f>
        <v/>
      </c>
      <c r="B930" s="21" t="str">
        <f>IF(Plantilla_SCAN_EQ3_COUNT_2[[#This Row],[ID MATERIAL]]="","",B929)</f>
        <v/>
      </c>
      <c r="C930" s="21"/>
      <c r="D930" s="21"/>
      <c r="E930" s="7" t="str">
        <f>IF(Plantilla_SCAN_EQ3_COUNT_2[[#This Row],[ID MATERIAL]]="","",VLOOKUP(Plantilla_SCAN_EQ3_COUNT_2[[#This Row],[ID MATERIAL]],INVENTARIO!$A:$D,2,FALSE))</f>
        <v/>
      </c>
      <c r="F930" s="7" t="str">
        <f>IF(Plantilla_SCAN_EQ3_COUNT_2[[#This Row],[ID MATERIAL]]="","",IF(Plantilla_SCAN_EQ3_COUNT_2[[#This Row],[No. Empaques]]="",1,Plantilla_SCAN_EQ3_COUNT_2[[#This Row],[No. Empaques]]*1))</f>
        <v/>
      </c>
      <c r="G930" s="7" t="str">
        <f>IF(Plantilla_SCAN_EQ3_COUNT_2[[#This Row],[ID MATERIAL]]="","","PZ")</f>
        <v/>
      </c>
      <c r="H930" s="7" t="str">
        <f>IF(Plantilla_SCAN_EQ3_COUNT_2[[#This Row],[ID MATERIAL]]="","",$B$13)</f>
        <v/>
      </c>
      <c r="I930" s="7" t="str">
        <f>IF(Plantilla_SCAN_EQ3_COUNT_2[[#This Row],[ID MATERIAL]]="","","Segundo Conteo")</f>
        <v/>
      </c>
    </row>
    <row r="931" spans="1:9" s="7" customFormat="1" ht="15" x14ac:dyDescent="0.2">
      <c r="A931" s="7" t="str">
        <f>IF(Plantilla_SCAN_EQ3_COUNT_2[[#This Row],[ID MATERIAL]]="","",SIGN(Plantilla_SCAN_EQ3_COUNT_2[[#This Row],[Cantidad]])+A930)</f>
        <v/>
      </c>
      <c r="B931" s="21" t="str">
        <f>IF(Plantilla_SCAN_EQ3_COUNT_2[[#This Row],[ID MATERIAL]]="","",B930)</f>
        <v/>
      </c>
      <c r="C931" s="21"/>
      <c r="D931" s="21"/>
      <c r="E931" s="7" t="str">
        <f>IF(Plantilla_SCAN_EQ3_COUNT_2[[#This Row],[ID MATERIAL]]="","",VLOOKUP(Plantilla_SCAN_EQ3_COUNT_2[[#This Row],[ID MATERIAL]],INVENTARIO!$A:$D,2,FALSE))</f>
        <v/>
      </c>
      <c r="F931" s="7" t="str">
        <f>IF(Plantilla_SCAN_EQ3_COUNT_2[[#This Row],[ID MATERIAL]]="","",IF(Plantilla_SCAN_EQ3_COUNT_2[[#This Row],[No. Empaques]]="",1,Plantilla_SCAN_EQ3_COUNT_2[[#This Row],[No. Empaques]]*1))</f>
        <v/>
      </c>
      <c r="G931" s="7" t="str">
        <f>IF(Plantilla_SCAN_EQ3_COUNT_2[[#This Row],[ID MATERIAL]]="","","PZ")</f>
        <v/>
      </c>
      <c r="H931" s="7" t="str">
        <f>IF(Plantilla_SCAN_EQ3_COUNT_2[[#This Row],[ID MATERIAL]]="","",$B$13)</f>
        <v/>
      </c>
      <c r="I931" s="7" t="str">
        <f>IF(Plantilla_SCAN_EQ3_COUNT_2[[#This Row],[ID MATERIAL]]="","","Segundo Conteo")</f>
        <v/>
      </c>
    </row>
    <row r="932" spans="1:9" s="7" customFormat="1" ht="15" x14ac:dyDescent="0.2">
      <c r="A932" s="7" t="str">
        <f>IF(Plantilla_SCAN_EQ3_COUNT_2[[#This Row],[ID MATERIAL]]="","",SIGN(Plantilla_SCAN_EQ3_COUNT_2[[#This Row],[Cantidad]])+A931)</f>
        <v/>
      </c>
      <c r="B932" s="21" t="str">
        <f>IF(Plantilla_SCAN_EQ3_COUNT_2[[#This Row],[ID MATERIAL]]="","",B931)</f>
        <v/>
      </c>
      <c r="C932" s="21"/>
      <c r="D932" s="21"/>
      <c r="E932" s="7" t="str">
        <f>IF(Plantilla_SCAN_EQ3_COUNT_2[[#This Row],[ID MATERIAL]]="","",VLOOKUP(Plantilla_SCAN_EQ3_COUNT_2[[#This Row],[ID MATERIAL]],INVENTARIO!$A:$D,2,FALSE))</f>
        <v/>
      </c>
      <c r="F932" s="7" t="str">
        <f>IF(Plantilla_SCAN_EQ3_COUNT_2[[#This Row],[ID MATERIAL]]="","",IF(Plantilla_SCAN_EQ3_COUNT_2[[#This Row],[No. Empaques]]="",1,Plantilla_SCAN_EQ3_COUNT_2[[#This Row],[No. Empaques]]*1))</f>
        <v/>
      </c>
      <c r="G932" s="7" t="str">
        <f>IF(Plantilla_SCAN_EQ3_COUNT_2[[#This Row],[ID MATERIAL]]="","","PZ")</f>
        <v/>
      </c>
      <c r="H932" s="7" t="str">
        <f>IF(Plantilla_SCAN_EQ3_COUNT_2[[#This Row],[ID MATERIAL]]="","",$B$13)</f>
        <v/>
      </c>
      <c r="I932" s="7" t="str">
        <f>IF(Plantilla_SCAN_EQ3_COUNT_2[[#This Row],[ID MATERIAL]]="","","Segundo Conteo")</f>
        <v/>
      </c>
    </row>
    <row r="933" spans="1:9" s="7" customFormat="1" ht="15" x14ac:dyDescent="0.2">
      <c r="A933" s="7" t="str">
        <f>IF(Plantilla_SCAN_EQ3_COUNT_2[[#This Row],[ID MATERIAL]]="","",SIGN(Plantilla_SCAN_EQ3_COUNT_2[[#This Row],[Cantidad]])+A932)</f>
        <v/>
      </c>
      <c r="B933" s="21" t="str">
        <f>IF(Plantilla_SCAN_EQ3_COUNT_2[[#This Row],[ID MATERIAL]]="","",B932)</f>
        <v/>
      </c>
      <c r="C933" s="21"/>
      <c r="D933" s="21"/>
      <c r="E933" s="7" t="str">
        <f>IF(Plantilla_SCAN_EQ3_COUNT_2[[#This Row],[ID MATERIAL]]="","",VLOOKUP(Plantilla_SCAN_EQ3_COUNT_2[[#This Row],[ID MATERIAL]],INVENTARIO!$A:$D,2,FALSE))</f>
        <v/>
      </c>
      <c r="F933" s="7" t="str">
        <f>IF(Plantilla_SCAN_EQ3_COUNT_2[[#This Row],[ID MATERIAL]]="","",IF(Plantilla_SCAN_EQ3_COUNT_2[[#This Row],[No. Empaques]]="",1,Plantilla_SCAN_EQ3_COUNT_2[[#This Row],[No. Empaques]]*1))</f>
        <v/>
      </c>
      <c r="G933" s="7" t="str">
        <f>IF(Plantilla_SCAN_EQ3_COUNT_2[[#This Row],[ID MATERIAL]]="","","PZ")</f>
        <v/>
      </c>
      <c r="H933" s="7" t="str">
        <f>IF(Plantilla_SCAN_EQ3_COUNT_2[[#This Row],[ID MATERIAL]]="","",$B$13)</f>
        <v/>
      </c>
      <c r="I933" s="7" t="str">
        <f>IF(Plantilla_SCAN_EQ3_COUNT_2[[#This Row],[ID MATERIAL]]="","","Segundo Conteo")</f>
        <v/>
      </c>
    </row>
    <row r="934" spans="1:9" s="7" customFormat="1" ht="15" x14ac:dyDescent="0.2">
      <c r="A934" s="7" t="str">
        <f>IF(Plantilla_SCAN_EQ3_COUNT_2[[#This Row],[ID MATERIAL]]="","",SIGN(Plantilla_SCAN_EQ3_COUNT_2[[#This Row],[Cantidad]])+A933)</f>
        <v/>
      </c>
      <c r="B934" s="21" t="str">
        <f>IF(Plantilla_SCAN_EQ3_COUNT_2[[#This Row],[ID MATERIAL]]="","",B933)</f>
        <v/>
      </c>
      <c r="C934" s="21"/>
      <c r="D934" s="21"/>
      <c r="E934" s="7" t="str">
        <f>IF(Plantilla_SCAN_EQ3_COUNT_2[[#This Row],[ID MATERIAL]]="","",VLOOKUP(Plantilla_SCAN_EQ3_COUNT_2[[#This Row],[ID MATERIAL]],INVENTARIO!$A:$D,2,FALSE))</f>
        <v/>
      </c>
      <c r="F934" s="7" t="str">
        <f>IF(Plantilla_SCAN_EQ3_COUNT_2[[#This Row],[ID MATERIAL]]="","",IF(Plantilla_SCAN_EQ3_COUNT_2[[#This Row],[No. Empaques]]="",1,Plantilla_SCAN_EQ3_COUNT_2[[#This Row],[No. Empaques]]*1))</f>
        <v/>
      </c>
      <c r="G934" s="7" t="str">
        <f>IF(Plantilla_SCAN_EQ3_COUNT_2[[#This Row],[ID MATERIAL]]="","","PZ")</f>
        <v/>
      </c>
      <c r="H934" s="7" t="str">
        <f>IF(Plantilla_SCAN_EQ3_COUNT_2[[#This Row],[ID MATERIAL]]="","",$B$13)</f>
        <v/>
      </c>
      <c r="I934" s="7" t="str">
        <f>IF(Plantilla_SCAN_EQ3_COUNT_2[[#This Row],[ID MATERIAL]]="","","Segundo Conteo")</f>
        <v/>
      </c>
    </row>
    <row r="935" spans="1:9" s="7" customFormat="1" ht="15" x14ac:dyDescent="0.2">
      <c r="A935" s="7" t="str">
        <f>IF(Plantilla_SCAN_EQ3_COUNT_2[[#This Row],[ID MATERIAL]]="","",SIGN(Plantilla_SCAN_EQ3_COUNT_2[[#This Row],[Cantidad]])+A934)</f>
        <v/>
      </c>
      <c r="B935" s="21" t="str">
        <f>IF(Plantilla_SCAN_EQ3_COUNT_2[[#This Row],[ID MATERIAL]]="","",B934)</f>
        <v/>
      </c>
      <c r="C935" s="21"/>
      <c r="D935" s="21"/>
      <c r="E935" s="7" t="str">
        <f>IF(Plantilla_SCAN_EQ3_COUNT_2[[#This Row],[ID MATERIAL]]="","",VLOOKUP(Plantilla_SCAN_EQ3_COUNT_2[[#This Row],[ID MATERIAL]],INVENTARIO!$A:$D,2,FALSE))</f>
        <v/>
      </c>
      <c r="F935" s="7" t="str">
        <f>IF(Plantilla_SCAN_EQ3_COUNT_2[[#This Row],[ID MATERIAL]]="","",IF(Plantilla_SCAN_EQ3_COUNT_2[[#This Row],[No. Empaques]]="",1,Plantilla_SCAN_EQ3_COUNT_2[[#This Row],[No. Empaques]]*1))</f>
        <v/>
      </c>
      <c r="G935" s="7" t="str">
        <f>IF(Plantilla_SCAN_EQ3_COUNT_2[[#This Row],[ID MATERIAL]]="","","PZ")</f>
        <v/>
      </c>
      <c r="H935" s="7" t="str">
        <f>IF(Plantilla_SCAN_EQ3_COUNT_2[[#This Row],[ID MATERIAL]]="","",$B$13)</f>
        <v/>
      </c>
      <c r="I935" s="7" t="str">
        <f>IF(Plantilla_SCAN_EQ3_COUNT_2[[#This Row],[ID MATERIAL]]="","","Segundo Conteo")</f>
        <v/>
      </c>
    </row>
    <row r="936" spans="1:9" s="7" customFormat="1" ht="15" x14ac:dyDescent="0.2">
      <c r="A936" s="7" t="str">
        <f>IF(Plantilla_SCAN_EQ3_COUNT_2[[#This Row],[ID MATERIAL]]="","",SIGN(Plantilla_SCAN_EQ3_COUNT_2[[#This Row],[Cantidad]])+A935)</f>
        <v/>
      </c>
      <c r="B936" s="21" t="str">
        <f>IF(Plantilla_SCAN_EQ3_COUNT_2[[#This Row],[ID MATERIAL]]="","",B935)</f>
        <v/>
      </c>
      <c r="C936" s="21"/>
      <c r="D936" s="21"/>
      <c r="E936" s="7" t="str">
        <f>IF(Plantilla_SCAN_EQ3_COUNT_2[[#This Row],[ID MATERIAL]]="","",VLOOKUP(Plantilla_SCAN_EQ3_COUNT_2[[#This Row],[ID MATERIAL]],INVENTARIO!$A:$D,2,FALSE))</f>
        <v/>
      </c>
      <c r="F936" s="7" t="str">
        <f>IF(Plantilla_SCAN_EQ3_COUNT_2[[#This Row],[ID MATERIAL]]="","",IF(Plantilla_SCAN_EQ3_COUNT_2[[#This Row],[No. Empaques]]="",1,Plantilla_SCAN_EQ3_COUNT_2[[#This Row],[No. Empaques]]*1))</f>
        <v/>
      </c>
      <c r="G936" s="7" t="str">
        <f>IF(Plantilla_SCAN_EQ3_COUNT_2[[#This Row],[ID MATERIAL]]="","","PZ")</f>
        <v/>
      </c>
      <c r="H936" s="7" t="str">
        <f>IF(Plantilla_SCAN_EQ3_COUNT_2[[#This Row],[ID MATERIAL]]="","",$B$13)</f>
        <v/>
      </c>
      <c r="I936" s="7" t="str">
        <f>IF(Plantilla_SCAN_EQ3_COUNT_2[[#This Row],[ID MATERIAL]]="","","Segundo Conteo")</f>
        <v/>
      </c>
    </row>
    <row r="937" spans="1:9" s="7" customFormat="1" ht="15" x14ac:dyDescent="0.2">
      <c r="A937" s="7" t="str">
        <f>IF(Plantilla_SCAN_EQ3_COUNT_2[[#This Row],[ID MATERIAL]]="","",SIGN(Plantilla_SCAN_EQ3_COUNT_2[[#This Row],[Cantidad]])+A936)</f>
        <v/>
      </c>
      <c r="B937" s="21" t="str">
        <f>IF(Plantilla_SCAN_EQ3_COUNT_2[[#This Row],[ID MATERIAL]]="","",B936)</f>
        <v/>
      </c>
      <c r="C937" s="21"/>
      <c r="D937" s="21"/>
      <c r="E937" s="7" t="str">
        <f>IF(Plantilla_SCAN_EQ3_COUNT_2[[#This Row],[ID MATERIAL]]="","",VLOOKUP(Plantilla_SCAN_EQ3_COUNT_2[[#This Row],[ID MATERIAL]],INVENTARIO!$A:$D,2,FALSE))</f>
        <v/>
      </c>
      <c r="F937" s="7" t="str">
        <f>IF(Plantilla_SCAN_EQ3_COUNT_2[[#This Row],[ID MATERIAL]]="","",IF(Plantilla_SCAN_EQ3_COUNT_2[[#This Row],[No. Empaques]]="",1,Plantilla_SCAN_EQ3_COUNT_2[[#This Row],[No. Empaques]]*1))</f>
        <v/>
      </c>
      <c r="G937" s="7" t="str">
        <f>IF(Plantilla_SCAN_EQ3_COUNT_2[[#This Row],[ID MATERIAL]]="","","PZ")</f>
        <v/>
      </c>
      <c r="H937" s="7" t="str">
        <f>IF(Plantilla_SCAN_EQ3_COUNT_2[[#This Row],[ID MATERIAL]]="","",$B$13)</f>
        <v/>
      </c>
      <c r="I937" s="7" t="str">
        <f>IF(Plantilla_SCAN_EQ3_COUNT_2[[#This Row],[ID MATERIAL]]="","","Segundo Conteo")</f>
        <v/>
      </c>
    </row>
    <row r="938" spans="1:9" s="7" customFormat="1" ht="15" x14ac:dyDescent="0.2">
      <c r="A938" s="7" t="str">
        <f>IF(Plantilla_SCAN_EQ3_COUNT_2[[#This Row],[ID MATERIAL]]="","",SIGN(Plantilla_SCAN_EQ3_COUNT_2[[#This Row],[Cantidad]])+A937)</f>
        <v/>
      </c>
      <c r="B938" s="21" t="str">
        <f>IF(Plantilla_SCAN_EQ3_COUNT_2[[#This Row],[ID MATERIAL]]="","",B937)</f>
        <v/>
      </c>
      <c r="C938" s="21"/>
      <c r="D938" s="21"/>
      <c r="E938" s="7" t="str">
        <f>IF(Plantilla_SCAN_EQ3_COUNT_2[[#This Row],[ID MATERIAL]]="","",VLOOKUP(Plantilla_SCAN_EQ3_COUNT_2[[#This Row],[ID MATERIAL]],INVENTARIO!$A:$D,2,FALSE))</f>
        <v/>
      </c>
      <c r="F938" s="7" t="str">
        <f>IF(Plantilla_SCAN_EQ3_COUNT_2[[#This Row],[ID MATERIAL]]="","",IF(Plantilla_SCAN_EQ3_COUNT_2[[#This Row],[No. Empaques]]="",1,Plantilla_SCAN_EQ3_COUNT_2[[#This Row],[No. Empaques]]*1))</f>
        <v/>
      </c>
      <c r="G938" s="7" t="str">
        <f>IF(Plantilla_SCAN_EQ3_COUNT_2[[#This Row],[ID MATERIAL]]="","","PZ")</f>
        <v/>
      </c>
      <c r="H938" s="7" t="str">
        <f>IF(Plantilla_SCAN_EQ3_COUNT_2[[#This Row],[ID MATERIAL]]="","",$B$13)</f>
        <v/>
      </c>
      <c r="I938" s="7" t="str">
        <f>IF(Plantilla_SCAN_EQ3_COUNT_2[[#This Row],[ID MATERIAL]]="","","Segundo Conteo")</f>
        <v/>
      </c>
    </row>
    <row r="939" spans="1:9" s="7" customFormat="1" ht="15" x14ac:dyDescent="0.2">
      <c r="A939" s="7" t="str">
        <f>IF(Plantilla_SCAN_EQ3_COUNT_2[[#This Row],[ID MATERIAL]]="","",SIGN(Plantilla_SCAN_EQ3_COUNT_2[[#This Row],[Cantidad]])+A938)</f>
        <v/>
      </c>
      <c r="B939" s="21" t="str">
        <f>IF(Plantilla_SCAN_EQ3_COUNT_2[[#This Row],[ID MATERIAL]]="","",B938)</f>
        <v/>
      </c>
      <c r="C939" s="21"/>
      <c r="D939" s="21"/>
      <c r="E939" s="7" t="str">
        <f>IF(Plantilla_SCAN_EQ3_COUNT_2[[#This Row],[ID MATERIAL]]="","",VLOOKUP(Plantilla_SCAN_EQ3_COUNT_2[[#This Row],[ID MATERIAL]],INVENTARIO!$A:$D,2,FALSE))</f>
        <v/>
      </c>
      <c r="F939" s="7" t="str">
        <f>IF(Plantilla_SCAN_EQ3_COUNT_2[[#This Row],[ID MATERIAL]]="","",IF(Plantilla_SCAN_EQ3_COUNT_2[[#This Row],[No. Empaques]]="",1,Plantilla_SCAN_EQ3_COUNT_2[[#This Row],[No. Empaques]]*1))</f>
        <v/>
      </c>
      <c r="G939" s="7" t="str">
        <f>IF(Plantilla_SCAN_EQ3_COUNT_2[[#This Row],[ID MATERIAL]]="","","PZ")</f>
        <v/>
      </c>
      <c r="H939" s="7" t="str">
        <f>IF(Plantilla_SCAN_EQ3_COUNT_2[[#This Row],[ID MATERIAL]]="","",$B$13)</f>
        <v/>
      </c>
      <c r="I939" s="7" t="str">
        <f>IF(Plantilla_SCAN_EQ3_COUNT_2[[#This Row],[ID MATERIAL]]="","","Segundo Conteo")</f>
        <v/>
      </c>
    </row>
    <row r="940" spans="1:9" s="7" customFormat="1" ht="15" x14ac:dyDescent="0.2">
      <c r="A940" s="7" t="str">
        <f>IF(Plantilla_SCAN_EQ3_COUNT_2[[#This Row],[ID MATERIAL]]="","",SIGN(Plantilla_SCAN_EQ3_COUNT_2[[#This Row],[Cantidad]])+A939)</f>
        <v/>
      </c>
      <c r="B940" s="21" t="str">
        <f>IF(Plantilla_SCAN_EQ3_COUNT_2[[#This Row],[ID MATERIAL]]="","",B939)</f>
        <v/>
      </c>
      <c r="C940" s="21"/>
      <c r="D940" s="21"/>
      <c r="E940" s="7" t="str">
        <f>IF(Plantilla_SCAN_EQ3_COUNT_2[[#This Row],[ID MATERIAL]]="","",VLOOKUP(Plantilla_SCAN_EQ3_COUNT_2[[#This Row],[ID MATERIAL]],INVENTARIO!$A:$D,2,FALSE))</f>
        <v/>
      </c>
      <c r="F940" s="7" t="str">
        <f>IF(Plantilla_SCAN_EQ3_COUNT_2[[#This Row],[ID MATERIAL]]="","",IF(Plantilla_SCAN_EQ3_COUNT_2[[#This Row],[No. Empaques]]="",1,Plantilla_SCAN_EQ3_COUNT_2[[#This Row],[No. Empaques]]*1))</f>
        <v/>
      </c>
      <c r="G940" s="7" t="str">
        <f>IF(Plantilla_SCAN_EQ3_COUNT_2[[#This Row],[ID MATERIAL]]="","","PZ")</f>
        <v/>
      </c>
      <c r="H940" s="7" t="str">
        <f>IF(Plantilla_SCAN_EQ3_COUNT_2[[#This Row],[ID MATERIAL]]="","",$B$13)</f>
        <v/>
      </c>
      <c r="I940" s="7" t="str">
        <f>IF(Plantilla_SCAN_EQ3_COUNT_2[[#This Row],[ID MATERIAL]]="","","Segundo Conteo")</f>
        <v/>
      </c>
    </row>
    <row r="941" spans="1:9" s="7" customFormat="1" ht="15" x14ac:dyDescent="0.2">
      <c r="A941" s="7" t="str">
        <f>IF(Plantilla_SCAN_EQ3_COUNT_2[[#This Row],[ID MATERIAL]]="","",SIGN(Plantilla_SCAN_EQ3_COUNT_2[[#This Row],[Cantidad]])+A940)</f>
        <v/>
      </c>
      <c r="B941" s="21" t="str">
        <f>IF(Plantilla_SCAN_EQ3_COUNT_2[[#This Row],[ID MATERIAL]]="","",B940)</f>
        <v/>
      </c>
      <c r="C941" s="21"/>
      <c r="D941" s="21"/>
      <c r="E941" s="7" t="str">
        <f>IF(Plantilla_SCAN_EQ3_COUNT_2[[#This Row],[ID MATERIAL]]="","",VLOOKUP(Plantilla_SCAN_EQ3_COUNT_2[[#This Row],[ID MATERIAL]],INVENTARIO!$A:$D,2,FALSE))</f>
        <v/>
      </c>
      <c r="F941" s="7" t="str">
        <f>IF(Plantilla_SCAN_EQ3_COUNT_2[[#This Row],[ID MATERIAL]]="","",IF(Plantilla_SCAN_EQ3_COUNT_2[[#This Row],[No. Empaques]]="",1,Plantilla_SCAN_EQ3_COUNT_2[[#This Row],[No. Empaques]]*1))</f>
        <v/>
      </c>
      <c r="G941" s="7" t="str">
        <f>IF(Plantilla_SCAN_EQ3_COUNT_2[[#This Row],[ID MATERIAL]]="","","PZ")</f>
        <v/>
      </c>
      <c r="H941" s="7" t="str">
        <f>IF(Plantilla_SCAN_EQ3_COUNT_2[[#This Row],[ID MATERIAL]]="","",$B$13)</f>
        <v/>
      </c>
      <c r="I941" s="7" t="str">
        <f>IF(Plantilla_SCAN_EQ3_COUNT_2[[#This Row],[ID MATERIAL]]="","","Segundo Conteo")</f>
        <v/>
      </c>
    </row>
    <row r="942" spans="1:9" s="7" customFormat="1" ht="15" x14ac:dyDescent="0.2">
      <c r="A942" s="7" t="str">
        <f>IF(Plantilla_SCAN_EQ3_COUNT_2[[#This Row],[ID MATERIAL]]="","",SIGN(Plantilla_SCAN_EQ3_COUNT_2[[#This Row],[Cantidad]])+A941)</f>
        <v/>
      </c>
      <c r="B942" s="21" t="str">
        <f>IF(Plantilla_SCAN_EQ3_COUNT_2[[#This Row],[ID MATERIAL]]="","",B941)</f>
        <v/>
      </c>
      <c r="C942" s="21"/>
      <c r="D942" s="21"/>
      <c r="E942" s="7" t="str">
        <f>IF(Plantilla_SCAN_EQ3_COUNT_2[[#This Row],[ID MATERIAL]]="","",VLOOKUP(Plantilla_SCAN_EQ3_COUNT_2[[#This Row],[ID MATERIAL]],INVENTARIO!$A:$D,2,FALSE))</f>
        <v/>
      </c>
      <c r="F942" s="7" t="str">
        <f>IF(Plantilla_SCAN_EQ3_COUNT_2[[#This Row],[ID MATERIAL]]="","",IF(Plantilla_SCAN_EQ3_COUNT_2[[#This Row],[No. Empaques]]="",1,Plantilla_SCAN_EQ3_COUNT_2[[#This Row],[No. Empaques]]*1))</f>
        <v/>
      </c>
      <c r="G942" s="7" t="str">
        <f>IF(Plantilla_SCAN_EQ3_COUNT_2[[#This Row],[ID MATERIAL]]="","","PZ")</f>
        <v/>
      </c>
      <c r="H942" s="7" t="str">
        <f>IF(Plantilla_SCAN_EQ3_COUNT_2[[#This Row],[ID MATERIAL]]="","",$B$13)</f>
        <v/>
      </c>
      <c r="I942" s="7" t="str">
        <f>IF(Plantilla_SCAN_EQ3_COUNT_2[[#This Row],[ID MATERIAL]]="","","Segundo Conteo")</f>
        <v/>
      </c>
    </row>
    <row r="943" spans="1:9" s="7" customFormat="1" ht="15" x14ac:dyDescent="0.2">
      <c r="A943" s="7" t="str">
        <f>IF(Plantilla_SCAN_EQ3_COUNT_2[[#This Row],[ID MATERIAL]]="","",SIGN(Plantilla_SCAN_EQ3_COUNT_2[[#This Row],[Cantidad]])+A942)</f>
        <v/>
      </c>
      <c r="B943" s="21" t="str">
        <f>IF(Plantilla_SCAN_EQ3_COUNT_2[[#This Row],[ID MATERIAL]]="","",B942)</f>
        <v/>
      </c>
      <c r="C943" s="21"/>
      <c r="D943" s="21"/>
      <c r="E943" s="7" t="str">
        <f>IF(Plantilla_SCAN_EQ3_COUNT_2[[#This Row],[ID MATERIAL]]="","",VLOOKUP(Plantilla_SCAN_EQ3_COUNT_2[[#This Row],[ID MATERIAL]],INVENTARIO!$A:$D,2,FALSE))</f>
        <v/>
      </c>
      <c r="F943" s="7" t="str">
        <f>IF(Plantilla_SCAN_EQ3_COUNT_2[[#This Row],[ID MATERIAL]]="","",IF(Plantilla_SCAN_EQ3_COUNT_2[[#This Row],[No. Empaques]]="",1,Plantilla_SCAN_EQ3_COUNT_2[[#This Row],[No. Empaques]]*1))</f>
        <v/>
      </c>
      <c r="G943" s="7" t="str">
        <f>IF(Plantilla_SCAN_EQ3_COUNT_2[[#This Row],[ID MATERIAL]]="","","PZ")</f>
        <v/>
      </c>
      <c r="H943" s="7" t="str">
        <f>IF(Plantilla_SCAN_EQ3_COUNT_2[[#This Row],[ID MATERIAL]]="","",$B$13)</f>
        <v/>
      </c>
      <c r="I943" s="7" t="str">
        <f>IF(Plantilla_SCAN_EQ3_COUNT_2[[#This Row],[ID MATERIAL]]="","","Segundo Conteo")</f>
        <v/>
      </c>
    </row>
    <row r="944" spans="1:9" s="7" customFormat="1" ht="15" x14ac:dyDescent="0.2">
      <c r="A944" s="7" t="str">
        <f>IF(Plantilla_SCAN_EQ3_COUNT_2[[#This Row],[ID MATERIAL]]="","",SIGN(Plantilla_SCAN_EQ3_COUNT_2[[#This Row],[Cantidad]])+A943)</f>
        <v/>
      </c>
      <c r="B944" s="21" t="str">
        <f>IF(Plantilla_SCAN_EQ3_COUNT_2[[#This Row],[ID MATERIAL]]="","",B943)</f>
        <v/>
      </c>
      <c r="C944" s="21"/>
      <c r="D944" s="21"/>
      <c r="E944" s="7" t="str">
        <f>IF(Plantilla_SCAN_EQ3_COUNT_2[[#This Row],[ID MATERIAL]]="","",VLOOKUP(Plantilla_SCAN_EQ3_COUNT_2[[#This Row],[ID MATERIAL]],INVENTARIO!$A:$D,2,FALSE))</f>
        <v/>
      </c>
      <c r="F944" s="7" t="str">
        <f>IF(Plantilla_SCAN_EQ3_COUNT_2[[#This Row],[ID MATERIAL]]="","",IF(Plantilla_SCAN_EQ3_COUNT_2[[#This Row],[No. Empaques]]="",1,Plantilla_SCAN_EQ3_COUNT_2[[#This Row],[No. Empaques]]*1))</f>
        <v/>
      </c>
      <c r="G944" s="7" t="str">
        <f>IF(Plantilla_SCAN_EQ3_COUNT_2[[#This Row],[ID MATERIAL]]="","","PZ")</f>
        <v/>
      </c>
      <c r="H944" s="7" t="str">
        <f>IF(Plantilla_SCAN_EQ3_COUNT_2[[#This Row],[ID MATERIAL]]="","",$B$13)</f>
        <v/>
      </c>
      <c r="I944" s="7" t="str">
        <f>IF(Plantilla_SCAN_EQ3_COUNT_2[[#This Row],[ID MATERIAL]]="","","Segundo Conteo")</f>
        <v/>
      </c>
    </row>
    <row r="945" spans="1:9" s="7" customFormat="1" ht="15" x14ac:dyDescent="0.2">
      <c r="A945" s="7" t="str">
        <f>IF(Plantilla_SCAN_EQ3_COUNT_2[[#This Row],[ID MATERIAL]]="","",SIGN(Plantilla_SCAN_EQ3_COUNT_2[[#This Row],[Cantidad]])+A944)</f>
        <v/>
      </c>
      <c r="B945" s="21" t="str">
        <f>IF(Plantilla_SCAN_EQ3_COUNT_2[[#This Row],[ID MATERIAL]]="","",B944)</f>
        <v/>
      </c>
      <c r="C945" s="21"/>
      <c r="D945" s="21"/>
      <c r="E945" s="7" t="str">
        <f>IF(Plantilla_SCAN_EQ3_COUNT_2[[#This Row],[ID MATERIAL]]="","",VLOOKUP(Plantilla_SCAN_EQ3_COUNT_2[[#This Row],[ID MATERIAL]],INVENTARIO!$A:$D,2,FALSE))</f>
        <v/>
      </c>
      <c r="F945" s="7" t="str">
        <f>IF(Plantilla_SCAN_EQ3_COUNT_2[[#This Row],[ID MATERIAL]]="","",IF(Plantilla_SCAN_EQ3_COUNT_2[[#This Row],[No. Empaques]]="",1,Plantilla_SCAN_EQ3_COUNT_2[[#This Row],[No. Empaques]]*1))</f>
        <v/>
      </c>
      <c r="G945" s="7" t="str">
        <f>IF(Plantilla_SCAN_EQ3_COUNT_2[[#This Row],[ID MATERIAL]]="","","PZ")</f>
        <v/>
      </c>
      <c r="H945" s="7" t="str">
        <f>IF(Plantilla_SCAN_EQ3_COUNT_2[[#This Row],[ID MATERIAL]]="","",$B$13)</f>
        <v/>
      </c>
      <c r="I945" s="7" t="str">
        <f>IF(Plantilla_SCAN_EQ3_COUNT_2[[#This Row],[ID MATERIAL]]="","","Segundo Conteo")</f>
        <v/>
      </c>
    </row>
    <row r="946" spans="1:9" s="7" customFormat="1" ht="15" x14ac:dyDescent="0.2">
      <c r="A946" s="7" t="str">
        <f>IF(Plantilla_SCAN_EQ3_COUNT_2[[#This Row],[ID MATERIAL]]="","",SIGN(Plantilla_SCAN_EQ3_COUNT_2[[#This Row],[Cantidad]])+A945)</f>
        <v/>
      </c>
      <c r="B946" s="21" t="str">
        <f>IF(Plantilla_SCAN_EQ3_COUNT_2[[#This Row],[ID MATERIAL]]="","",B945)</f>
        <v/>
      </c>
      <c r="C946" s="21"/>
      <c r="D946" s="21"/>
      <c r="E946" s="7" t="str">
        <f>IF(Plantilla_SCAN_EQ3_COUNT_2[[#This Row],[ID MATERIAL]]="","",VLOOKUP(Plantilla_SCAN_EQ3_COUNT_2[[#This Row],[ID MATERIAL]],INVENTARIO!$A:$D,2,FALSE))</f>
        <v/>
      </c>
      <c r="F946" s="7" t="str">
        <f>IF(Plantilla_SCAN_EQ3_COUNT_2[[#This Row],[ID MATERIAL]]="","",IF(Plantilla_SCAN_EQ3_COUNT_2[[#This Row],[No. Empaques]]="",1,Plantilla_SCAN_EQ3_COUNT_2[[#This Row],[No. Empaques]]*1))</f>
        <v/>
      </c>
      <c r="G946" s="7" t="str">
        <f>IF(Plantilla_SCAN_EQ3_COUNT_2[[#This Row],[ID MATERIAL]]="","","PZ")</f>
        <v/>
      </c>
      <c r="H946" s="7" t="str">
        <f>IF(Plantilla_SCAN_EQ3_COUNT_2[[#This Row],[ID MATERIAL]]="","",$B$13)</f>
        <v/>
      </c>
      <c r="I946" s="7" t="str">
        <f>IF(Plantilla_SCAN_EQ3_COUNT_2[[#This Row],[ID MATERIAL]]="","","Segundo Conteo")</f>
        <v/>
      </c>
    </row>
    <row r="947" spans="1:9" s="7" customFormat="1" ht="15" x14ac:dyDescent="0.2">
      <c r="A947" s="7" t="str">
        <f>IF(Plantilla_SCAN_EQ3_COUNT_2[[#This Row],[ID MATERIAL]]="","",SIGN(Plantilla_SCAN_EQ3_COUNT_2[[#This Row],[Cantidad]])+A946)</f>
        <v/>
      </c>
      <c r="B947" s="21" t="str">
        <f>IF(Plantilla_SCAN_EQ3_COUNT_2[[#This Row],[ID MATERIAL]]="","",B946)</f>
        <v/>
      </c>
      <c r="C947" s="21"/>
      <c r="D947" s="21"/>
      <c r="E947" s="7" t="str">
        <f>IF(Plantilla_SCAN_EQ3_COUNT_2[[#This Row],[ID MATERIAL]]="","",VLOOKUP(Plantilla_SCAN_EQ3_COUNT_2[[#This Row],[ID MATERIAL]],INVENTARIO!$A:$D,2,FALSE))</f>
        <v/>
      </c>
      <c r="F947" s="7" t="str">
        <f>IF(Plantilla_SCAN_EQ3_COUNT_2[[#This Row],[ID MATERIAL]]="","",IF(Plantilla_SCAN_EQ3_COUNT_2[[#This Row],[No. Empaques]]="",1,Plantilla_SCAN_EQ3_COUNT_2[[#This Row],[No. Empaques]]*1))</f>
        <v/>
      </c>
      <c r="G947" s="7" t="str">
        <f>IF(Plantilla_SCAN_EQ3_COUNT_2[[#This Row],[ID MATERIAL]]="","","PZ")</f>
        <v/>
      </c>
      <c r="H947" s="7" t="str">
        <f>IF(Plantilla_SCAN_EQ3_COUNT_2[[#This Row],[ID MATERIAL]]="","",$B$13)</f>
        <v/>
      </c>
      <c r="I947" s="7" t="str">
        <f>IF(Plantilla_SCAN_EQ3_COUNT_2[[#This Row],[ID MATERIAL]]="","","Segundo Conteo")</f>
        <v/>
      </c>
    </row>
    <row r="948" spans="1:9" s="7" customFormat="1" ht="15" x14ac:dyDescent="0.2">
      <c r="A948" s="7" t="str">
        <f>IF(Plantilla_SCAN_EQ3_COUNT_2[[#This Row],[ID MATERIAL]]="","",SIGN(Plantilla_SCAN_EQ3_COUNT_2[[#This Row],[Cantidad]])+A947)</f>
        <v/>
      </c>
      <c r="B948" s="21" t="str">
        <f>IF(Plantilla_SCAN_EQ3_COUNT_2[[#This Row],[ID MATERIAL]]="","",B947)</f>
        <v/>
      </c>
      <c r="C948" s="21"/>
      <c r="D948" s="21"/>
      <c r="E948" s="7" t="str">
        <f>IF(Plantilla_SCAN_EQ3_COUNT_2[[#This Row],[ID MATERIAL]]="","",VLOOKUP(Plantilla_SCAN_EQ3_COUNT_2[[#This Row],[ID MATERIAL]],INVENTARIO!$A:$D,2,FALSE))</f>
        <v/>
      </c>
      <c r="F948" s="7" t="str">
        <f>IF(Plantilla_SCAN_EQ3_COUNT_2[[#This Row],[ID MATERIAL]]="","",IF(Plantilla_SCAN_EQ3_COUNT_2[[#This Row],[No. Empaques]]="",1,Plantilla_SCAN_EQ3_COUNT_2[[#This Row],[No. Empaques]]*1))</f>
        <v/>
      </c>
      <c r="G948" s="7" t="str">
        <f>IF(Plantilla_SCAN_EQ3_COUNT_2[[#This Row],[ID MATERIAL]]="","","PZ")</f>
        <v/>
      </c>
      <c r="H948" s="7" t="str">
        <f>IF(Plantilla_SCAN_EQ3_COUNT_2[[#This Row],[ID MATERIAL]]="","",$B$13)</f>
        <v/>
      </c>
      <c r="I948" s="7" t="str">
        <f>IF(Plantilla_SCAN_EQ3_COUNT_2[[#This Row],[ID MATERIAL]]="","","Segundo Conteo")</f>
        <v/>
      </c>
    </row>
    <row r="949" spans="1:9" s="7" customFormat="1" ht="15" x14ac:dyDescent="0.2">
      <c r="A949" s="7" t="str">
        <f>IF(Plantilla_SCAN_EQ3_COUNT_2[[#This Row],[ID MATERIAL]]="","",SIGN(Plantilla_SCAN_EQ3_COUNT_2[[#This Row],[Cantidad]])+A948)</f>
        <v/>
      </c>
      <c r="B949" s="21" t="str">
        <f>IF(Plantilla_SCAN_EQ3_COUNT_2[[#This Row],[ID MATERIAL]]="","",B948)</f>
        <v/>
      </c>
      <c r="C949" s="21"/>
      <c r="D949" s="21"/>
      <c r="E949" s="7" t="str">
        <f>IF(Plantilla_SCAN_EQ3_COUNT_2[[#This Row],[ID MATERIAL]]="","",VLOOKUP(Plantilla_SCAN_EQ3_COUNT_2[[#This Row],[ID MATERIAL]],INVENTARIO!$A:$D,2,FALSE))</f>
        <v/>
      </c>
      <c r="F949" s="7" t="str">
        <f>IF(Plantilla_SCAN_EQ3_COUNT_2[[#This Row],[ID MATERIAL]]="","",IF(Plantilla_SCAN_EQ3_COUNT_2[[#This Row],[No. Empaques]]="",1,Plantilla_SCAN_EQ3_COUNT_2[[#This Row],[No. Empaques]]*1))</f>
        <v/>
      </c>
      <c r="G949" s="7" t="str">
        <f>IF(Plantilla_SCAN_EQ3_COUNT_2[[#This Row],[ID MATERIAL]]="","","PZ")</f>
        <v/>
      </c>
      <c r="H949" s="7" t="str">
        <f>IF(Plantilla_SCAN_EQ3_COUNT_2[[#This Row],[ID MATERIAL]]="","",$B$13)</f>
        <v/>
      </c>
      <c r="I949" s="7" t="str">
        <f>IF(Plantilla_SCAN_EQ3_COUNT_2[[#This Row],[ID MATERIAL]]="","","Segundo Conteo")</f>
        <v/>
      </c>
    </row>
    <row r="950" spans="1:9" s="7" customFormat="1" ht="15" x14ac:dyDescent="0.2">
      <c r="A950" s="7" t="str">
        <f>IF(Plantilla_SCAN_EQ3_COUNT_2[[#This Row],[ID MATERIAL]]="","",SIGN(Plantilla_SCAN_EQ3_COUNT_2[[#This Row],[Cantidad]])+A949)</f>
        <v/>
      </c>
      <c r="B950" s="21" t="str">
        <f>IF(Plantilla_SCAN_EQ3_COUNT_2[[#This Row],[ID MATERIAL]]="","",B949)</f>
        <v/>
      </c>
      <c r="C950" s="21"/>
      <c r="D950" s="21"/>
      <c r="E950" s="7" t="str">
        <f>IF(Plantilla_SCAN_EQ3_COUNT_2[[#This Row],[ID MATERIAL]]="","",VLOOKUP(Plantilla_SCAN_EQ3_COUNT_2[[#This Row],[ID MATERIAL]],INVENTARIO!$A:$D,2,FALSE))</f>
        <v/>
      </c>
      <c r="F950" s="7" t="str">
        <f>IF(Plantilla_SCAN_EQ3_COUNT_2[[#This Row],[ID MATERIAL]]="","",IF(Plantilla_SCAN_EQ3_COUNT_2[[#This Row],[No. Empaques]]="",1,Plantilla_SCAN_EQ3_COUNT_2[[#This Row],[No. Empaques]]*1))</f>
        <v/>
      </c>
      <c r="G950" s="7" t="str">
        <f>IF(Plantilla_SCAN_EQ3_COUNT_2[[#This Row],[ID MATERIAL]]="","","PZ")</f>
        <v/>
      </c>
      <c r="H950" s="7" t="str">
        <f>IF(Plantilla_SCAN_EQ3_COUNT_2[[#This Row],[ID MATERIAL]]="","",$B$13)</f>
        <v/>
      </c>
      <c r="I950" s="7" t="str">
        <f>IF(Plantilla_SCAN_EQ3_COUNT_2[[#This Row],[ID MATERIAL]]="","","Segundo Conteo")</f>
        <v/>
      </c>
    </row>
    <row r="951" spans="1:9" s="7" customFormat="1" ht="15" x14ac:dyDescent="0.2">
      <c r="A951" s="7" t="str">
        <f>IF(Plantilla_SCAN_EQ3_COUNT_2[[#This Row],[ID MATERIAL]]="","",SIGN(Plantilla_SCAN_EQ3_COUNT_2[[#This Row],[Cantidad]])+A950)</f>
        <v/>
      </c>
      <c r="B951" s="21" t="str">
        <f>IF(Plantilla_SCAN_EQ3_COUNT_2[[#This Row],[ID MATERIAL]]="","",B950)</f>
        <v/>
      </c>
      <c r="C951" s="21"/>
      <c r="D951" s="21"/>
      <c r="E951" s="7" t="str">
        <f>IF(Plantilla_SCAN_EQ3_COUNT_2[[#This Row],[ID MATERIAL]]="","",VLOOKUP(Plantilla_SCAN_EQ3_COUNT_2[[#This Row],[ID MATERIAL]],INVENTARIO!$A:$D,2,FALSE))</f>
        <v/>
      </c>
      <c r="F951" s="7" t="str">
        <f>IF(Plantilla_SCAN_EQ3_COUNT_2[[#This Row],[ID MATERIAL]]="","",IF(Plantilla_SCAN_EQ3_COUNT_2[[#This Row],[No. Empaques]]="",1,Plantilla_SCAN_EQ3_COUNT_2[[#This Row],[No. Empaques]]*1))</f>
        <v/>
      </c>
      <c r="G951" s="7" t="str">
        <f>IF(Plantilla_SCAN_EQ3_COUNT_2[[#This Row],[ID MATERIAL]]="","","PZ")</f>
        <v/>
      </c>
      <c r="H951" s="7" t="str">
        <f>IF(Plantilla_SCAN_EQ3_COUNT_2[[#This Row],[ID MATERIAL]]="","",$B$13)</f>
        <v/>
      </c>
      <c r="I951" s="7" t="str">
        <f>IF(Plantilla_SCAN_EQ3_COUNT_2[[#This Row],[ID MATERIAL]]="","","Segundo Conteo")</f>
        <v/>
      </c>
    </row>
    <row r="952" spans="1:9" s="7" customFormat="1" ht="15" x14ac:dyDescent="0.2">
      <c r="A952" s="7" t="str">
        <f>IF(Plantilla_SCAN_EQ3_COUNT_2[[#This Row],[ID MATERIAL]]="","",SIGN(Plantilla_SCAN_EQ3_COUNT_2[[#This Row],[Cantidad]])+A951)</f>
        <v/>
      </c>
      <c r="B952" s="21" t="str">
        <f>IF(Plantilla_SCAN_EQ3_COUNT_2[[#This Row],[ID MATERIAL]]="","",B951)</f>
        <v/>
      </c>
      <c r="C952" s="21"/>
      <c r="D952" s="21"/>
      <c r="E952" s="7" t="str">
        <f>IF(Plantilla_SCAN_EQ3_COUNT_2[[#This Row],[ID MATERIAL]]="","",VLOOKUP(Plantilla_SCAN_EQ3_COUNT_2[[#This Row],[ID MATERIAL]],INVENTARIO!$A:$D,2,FALSE))</f>
        <v/>
      </c>
      <c r="F952" s="7" t="str">
        <f>IF(Plantilla_SCAN_EQ3_COUNT_2[[#This Row],[ID MATERIAL]]="","",IF(Plantilla_SCAN_EQ3_COUNT_2[[#This Row],[No. Empaques]]="",1,Plantilla_SCAN_EQ3_COUNT_2[[#This Row],[No. Empaques]]*1))</f>
        <v/>
      </c>
      <c r="G952" s="7" t="str">
        <f>IF(Plantilla_SCAN_EQ3_COUNT_2[[#This Row],[ID MATERIAL]]="","","PZ")</f>
        <v/>
      </c>
      <c r="H952" s="7" t="str">
        <f>IF(Plantilla_SCAN_EQ3_COUNT_2[[#This Row],[ID MATERIAL]]="","",$B$13)</f>
        <v/>
      </c>
      <c r="I952" s="7" t="str">
        <f>IF(Plantilla_SCAN_EQ3_COUNT_2[[#This Row],[ID MATERIAL]]="","","Segundo Conteo")</f>
        <v/>
      </c>
    </row>
    <row r="953" spans="1:9" s="7" customFormat="1" ht="15" x14ac:dyDescent="0.2">
      <c r="A953" s="7" t="str">
        <f>IF(Plantilla_SCAN_EQ3_COUNT_2[[#This Row],[ID MATERIAL]]="","",SIGN(Plantilla_SCAN_EQ3_COUNT_2[[#This Row],[Cantidad]])+A952)</f>
        <v/>
      </c>
      <c r="B953" s="21" t="str">
        <f>IF(Plantilla_SCAN_EQ3_COUNT_2[[#This Row],[ID MATERIAL]]="","",B952)</f>
        <v/>
      </c>
      <c r="C953" s="21"/>
      <c r="D953" s="21"/>
      <c r="E953" s="7" t="str">
        <f>IF(Plantilla_SCAN_EQ3_COUNT_2[[#This Row],[ID MATERIAL]]="","",VLOOKUP(Plantilla_SCAN_EQ3_COUNT_2[[#This Row],[ID MATERIAL]],INVENTARIO!$A:$D,2,FALSE))</f>
        <v/>
      </c>
      <c r="F953" s="7" t="str">
        <f>IF(Plantilla_SCAN_EQ3_COUNT_2[[#This Row],[ID MATERIAL]]="","",IF(Plantilla_SCAN_EQ3_COUNT_2[[#This Row],[No. Empaques]]="",1,Plantilla_SCAN_EQ3_COUNT_2[[#This Row],[No. Empaques]]*1))</f>
        <v/>
      </c>
      <c r="G953" s="7" t="str">
        <f>IF(Plantilla_SCAN_EQ3_COUNT_2[[#This Row],[ID MATERIAL]]="","","PZ")</f>
        <v/>
      </c>
      <c r="H953" s="7" t="str">
        <f>IF(Plantilla_SCAN_EQ3_COUNT_2[[#This Row],[ID MATERIAL]]="","",$B$13)</f>
        <v/>
      </c>
      <c r="I953" s="7" t="str">
        <f>IF(Plantilla_SCAN_EQ3_COUNT_2[[#This Row],[ID MATERIAL]]="","","Segundo Conteo")</f>
        <v/>
      </c>
    </row>
    <row r="954" spans="1:9" s="7" customFormat="1" ht="15" x14ac:dyDescent="0.2">
      <c r="A954" s="7" t="str">
        <f>IF(Plantilla_SCAN_EQ3_COUNT_2[[#This Row],[ID MATERIAL]]="","",SIGN(Plantilla_SCAN_EQ3_COUNT_2[[#This Row],[Cantidad]])+A953)</f>
        <v/>
      </c>
      <c r="B954" s="21" t="str">
        <f>IF(Plantilla_SCAN_EQ3_COUNT_2[[#This Row],[ID MATERIAL]]="","",B953)</f>
        <v/>
      </c>
      <c r="C954" s="21"/>
      <c r="D954" s="21"/>
      <c r="E954" s="7" t="str">
        <f>IF(Plantilla_SCAN_EQ3_COUNT_2[[#This Row],[ID MATERIAL]]="","",VLOOKUP(Plantilla_SCAN_EQ3_COUNT_2[[#This Row],[ID MATERIAL]],INVENTARIO!$A:$D,2,FALSE))</f>
        <v/>
      </c>
      <c r="F954" s="7" t="str">
        <f>IF(Plantilla_SCAN_EQ3_COUNT_2[[#This Row],[ID MATERIAL]]="","",IF(Plantilla_SCAN_EQ3_COUNT_2[[#This Row],[No. Empaques]]="",1,Plantilla_SCAN_EQ3_COUNT_2[[#This Row],[No. Empaques]]*1))</f>
        <v/>
      </c>
      <c r="G954" s="7" t="str">
        <f>IF(Plantilla_SCAN_EQ3_COUNT_2[[#This Row],[ID MATERIAL]]="","","PZ")</f>
        <v/>
      </c>
      <c r="H954" s="7" t="str">
        <f>IF(Plantilla_SCAN_EQ3_COUNT_2[[#This Row],[ID MATERIAL]]="","",$B$13)</f>
        <v/>
      </c>
      <c r="I954" s="7" t="str">
        <f>IF(Plantilla_SCAN_EQ3_COUNT_2[[#This Row],[ID MATERIAL]]="","","Segundo Conteo")</f>
        <v/>
      </c>
    </row>
    <row r="955" spans="1:9" s="7" customFormat="1" ht="15" x14ac:dyDescent="0.2">
      <c r="A955" s="7" t="str">
        <f>IF(Plantilla_SCAN_EQ3_COUNT_2[[#This Row],[ID MATERIAL]]="","",SIGN(Plantilla_SCAN_EQ3_COUNT_2[[#This Row],[Cantidad]])+A954)</f>
        <v/>
      </c>
      <c r="B955" s="21" t="str">
        <f>IF(Plantilla_SCAN_EQ3_COUNT_2[[#This Row],[ID MATERIAL]]="","",B954)</f>
        <v/>
      </c>
      <c r="C955" s="21"/>
      <c r="D955" s="21"/>
      <c r="E955" s="7" t="str">
        <f>IF(Plantilla_SCAN_EQ3_COUNT_2[[#This Row],[ID MATERIAL]]="","",VLOOKUP(Plantilla_SCAN_EQ3_COUNT_2[[#This Row],[ID MATERIAL]],INVENTARIO!$A:$D,2,FALSE))</f>
        <v/>
      </c>
      <c r="F955" s="7" t="str">
        <f>IF(Plantilla_SCAN_EQ3_COUNT_2[[#This Row],[ID MATERIAL]]="","",IF(Plantilla_SCAN_EQ3_COUNT_2[[#This Row],[No. Empaques]]="",1,Plantilla_SCAN_EQ3_COUNT_2[[#This Row],[No. Empaques]]*1))</f>
        <v/>
      </c>
      <c r="G955" s="7" t="str">
        <f>IF(Plantilla_SCAN_EQ3_COUNT_2[[#This Row],[ID MATERIAL]]="","","PZ")</f>
        <v/>
      </c>
      <c r="H955" s="7" t="str">
        <f>IF(Plantilla_SCAN_EQ3_COUNT_2[[#This Row],[ID MATERIAL]]="","",$B$13)</f>
        <v/>
      </c>
      <c r="I955" s="7" t="str">
        <f>IF(Plantilla_SCAN_EQ3_COUNT_2[[#This Row],[ID MATERIAL]]="","","Segundo Conteo")</f>
        <v/>
      </c>
    </row>
    <row r="956" spans="1:9" s="7" customFormat="1" ht="15" x14ac:dyDescent="0.2">
      <c r="A956" s="7" t="str">
        <f>IF(Plantilla_SCAN_EQ3_COUNT_2[[#This Row],[ID MATERIAL]]="","",SIGN(Plantilla_SCAN_EQ3_COUNT_2[[#This Row],[Cantidad]])+A955)</f>
        <v/>
      </c>
      <c r="B956" s="21" t="str">
        <f>IF(Plantilla_SCAN_EQ3_COUNT_2[[#This Row],[ID MATERIAL]]="","",B955)</f>
        <v/>
      </c>
      <c r="C956" s="21"/>
      <c r="D956" s="21"/>
      <c r="E956" s="7" t="str">
        <f>IF(Plantilla_SCAN_EQ3_COUNT_2[[#This Row],[ID MATERIAL]]="","",VLOOKUP(Plantilla_SCAN_EQ3_COUNT_2[[#This Row],[ID MATERIAL]],INVENTARIO!$A:$D,2,FALSE))</f>
        <v/>
      </c>
      <c r="F956" s="7" t="str">
        <f>IF(Plantilla_SCAN_EQ3_COUNT_2[[#This Row],[ID MATERIAL]]="","",IF(Plantilla_SCAN_EQ3_COUNT_2[[#This Row],[No. Empaques]]="",1,Plantilla_SCAN_EQ3_COUNT_2[[#This Row],[No. Empaques]]*1))</f>
        <v/>
      </c>
      <c r="G956" s="7" t="str">
        <f>IF(Plantilla_SCAN_EQ3_COUNT_2[[#This Row],[ID MATERIAL]]="","","PZ")</f>
        <v/>
      </c>
      <c r="H956" s="7" t="str">
        <f>IF(Plantilla_SCAN_EQ3_COUNT_2[[#This Row],[ID MATERIAL]]="","",$B$13)</f>
        <v/>
      </c>
      <c r="I956" s="7" t="str">
        <f>IF(Plantilla_SCAN_EQ3_COUNT_2[[#This Row],[ID MATERIAL]]="","","Segundo Conteo")</f>
        <v/>
      </c>
    </row>
    <row r="957" spans="1:9" s="7" customFormat="1" ht="15" x14ac:dyDescent="0.2">
      <c r="A957" s="7" t="str">
        <f>IF(Plantilla_SCAN_EQ3_COUNT_2[[#This Row],[ID MATERIAL]]="","",SIGN(Plantilla_SCAN_EQ3_COUNT_2[[#This Row],[Cantidad]])+A956)</f>
        <v/>
      </c>
      <c r="B957" s="21" t="str">
        <f>IF(Plantilla_SCAN_EQ3_COUNT_2[[#This Row],[ID MATERIAL]]="","",B956)</f>
        <v/>
      </c>
      <c r="C957" s="21"/>
      <c r="D957" s="21"/>
      <c r="E957" s="7" t="str">
        <f>IF(Plantilla_SCAN_EQ3_COUNT_2[[#This Row],[ID MATERIAL]]="","",VLOOKUP(Plantilla_SCAN_EQ3_COUNT_2[[#This Row],[ID MATERIAL]],INVENTARIO!$A:$D,2,FALSE))</f>
        <v/>
      </c>
      <c r="F957" s="7" t="str">
        <f>IF(Plantilla_SCAN_EQ3_COUNT_2[[#This Row],[ID MATERIAL]]="","",IF(Plantilla_SCAN_EQ3_COUNT_2[[#This Row],[No. Empaques]]="",1,Plantilla_SCAN_EQ3_COUNT_2[[#This Row],[No. Empaques]]*1))</f>
        <v/>
      </c>
      <c r="G957" s="7" t="str">
        <f>IF(Plantilla_SCAN_EQ3_COUNT_2[[#This Row],[ID MATERIAL]]="","","PZ")</f>
        <v/>
      </c>
      <c r="H957" s="7" t="str">
        <f>IF(Plantilla_SCAN_EQ3_COUNT_2[[#This Row],[ID MATERIAL]]="","",$B$13)</f>
        <v/>
      </c>
      <c r="I957" s="7" t="str">
        <f>IF(Plantilla_SCAN_EQ3_COUNT_2[[#This Row],[ID MATERIAL]]="","","Segundo Conteo")</f>
        <v/>
      </c>
    </row>
    <row r="958" spans="1:9" s="7" customFormat="1" ht="15" x14ac:dyDescent="0.2">
      <c r="A958" s="7" t="str">
        <f>IF(Plantilla_SCAN_EQ3_COUNT_2[[#This Row],[ID MATERIAL]]="","",SIGN(Plantilla_SCAN_EQ3_COUNT_2[[#This Row],[Cantidad]])+A957)</f>
        <v/>
      </c>
      <c r="B958" s="21" t="str">
        <f>IF(Plantilla_SCAN_EQ3_COUNT_2[[#This Row],[ID MATERIAL]]="","",B957)</f>
        <v/>
      </c>
      <c r="C958" s="21"/>
      <c r="D958" s="21"/>
      <c r="E958" s="7" t="str">
        <f>IF(Plantilla_SCAN_EQ3_COUNT_2[[#This Row],[ID MATERIAL]]="","",VLOOKUP(Plantilla_SCAN_EQ3_COUNT_2[[#This Row],[ID MATERIAL]],INVENTARIO!$A:$D,2,FALSE))</f>
        <v/>
      </c>
      <c r="F958" s="7" t="str">
        <f>IF(Plantilla_SCAN_EQ3_COUNT_2[[#This Row],[ID MATERIAL]]="","",IF(Plantilla_SCAN_EQ3_COUNT_2[[#This Row],[No. Empaques]]="",1,Plantilla_SCAN_EQ3_COUNT_2[[#This Row],[No. Empaques]]*1))</f>
        <v/>
      </c>
      <c r="G958" s="7" t="str">
        <f>IF(Plantilla_SCAN_EQ3_COUNT_2[[#This Row],[ID MATERIAL]]="","","PZ")</f>
        <v/>
      </c>
      <c r="H958" s="7" t="str">
        <f>IF(Plantilla_SCAN_EQ3_COUNT_2[[#This Row],[ID MATERIAL]]="","",$B$13)</f>
        <v/>
      </c>
      <c r="I958" s="7" t="str">
        <f>IF(Plantilla_SCAN_EQ3_COUNT_2[[#This Row],[ID MATERIAL]]="","","Segundo Conteo")</f>
        <v/>
      </c>
    </row>
    <row r="959" spans="1:9" s="7" customFormat="1" ht="15" x14ac:dyDescent="0.2">
      <c r="A959" s="7" t="str">
        <f>IF(Plantilla_SCAN_EQ3_COUNT_2[[#This Row],[ID MATERIAL]]="","",SIGN(Plantilla_SCAN_EQ3_COUNT_2[[#This Row],[Cantidad]])+A958)</f>
        <v/>
      </c>
      <c r="B959" s="21" t="str">
        <f>IF(Plantilla_SCAN_EQ3_COUNT_2[[#This Row],[ID MATERIAL]]="","",B958)</f>
        <v/>
      </c>
      <c r="C959" s="21"/>
      <c r="D959" s="21"/>
      <c r="E959" s="7" t="str">
        <f>IF(Plantilla_SCAN_EQ3_COUNT_2[[#This Row],[ID MATERIAL]]="","",VLOOKUP(Plantilla_SCAN_EQ3_COUNT_2[[#This Row],[ID MATERIAL]],INVENTARIO!$A:$D,2,FALSE))</f>
        <v/>
      </c>
      <c r="F959" s="7" t="str">
        <f>IF(Plantilla_SCAN_EQ3_COUNT_2[[#This Row],[ID MATERIAL]]="","",IF(Plantilla_SCAN_EQ3_COUNT_2[[#This Row],[No. Empaques]]="",1,Plantilla_SCAN_EQ3_COUNT_2[[#This Row],[No. Empaques]]*1))</f>
        <v/>
      </c>
      <c r="G959" s="7" t="str">
        <f>IF(Plantilla_SCAN_EQ3_COUNT_2[[#This Row],[ID MATERIAL]]="","","PZ")</f>
        <v/>
      </c>
      <c r="H959" s="7" t="str">
        <f>IF(Plantilla_SCAN_EQ3_COUNT_2[[#This Row],[ID MATERIAL]]="","",$B$13)</f>
        <v/>
      </c>
      <c r="I959" s="7" t="str">
        <f>IF(Plantilla_SCAN_EQ3_COUNT_2[[#This Row],[ID MATERIAL]]="","","Segundo Conteo")</f>
        <v/>
      </c>
    </row>
    <row r="960" spans="1:9" s="7" customFormat="1" ht="15" x14ac:dyDescent="0.2">
      <c r="A960" s="7" t="str">
        <f>IF(Plantilla_SCAN_EQ3_COUNT_2[[#This Row],[ID MATERIAL]]="","",SIGN(Plantilla_SCAN_EQ3_COUNT_2[[#This Row],[Cantidad]])+A959)</f>
        <v/>
      </c>
      <c r="B960" s="21" t="str">
        <f>IF(Plantilla_SCAN_EQ3_COUNT_2[[#This Row],[ID MATERIAL]]="","",B959)</f>
        <v/>
      </c>
      <c r="C960" s="21"/>
      <c r="D960" s="21"/>
      <c r="E960" s="7" t="str">
        <f>IF(Plantilla_SCAN_EQ3_COUNT_2[[#This Row],[ID MATERIAL]]="","",VLOOKUP(Plantilla_SCAN_EQ3_COUNT_2[[#This Row],[ID MATERIAL]],INVENTARIO!$A:$D,2,FALSE))</f>
        <v/>
      </c>
      <c r="F960" s="7" t="str">
        <f>IF(Plantilla_SCAN_EQ3_COUNT_2[[#This Row],[ID MATERIAL]]="","",IF(Plantilla_SCAN_EQ3_COUNT_2[[#This Row],[No. Empaques]]="",1,Plantilla_SCAN_EQ3_COUNT_2[[#This Row],[No. Empaques]]*1))</f>
        <v/>
      </c>
      <c r="G960" s="7" t="str">
        <f>IF(Plantilla_SCAN_EQ3_COUNT_2[[#This Row],[ID MATERIAL]]="","","PZ")</f>
        <v/>
      </c>
      <c r="H960" s="7" t="str">
        <f>IF(Plantilla_SCAN_EQ3_COUNT_2[[#This Row],[ID MATERIAL]]="","",$B$13)</f>
        <v/>
      </c>
      <c r="I960" s="7" t="str">
        <f>IF(Plantilla_SCAN_EQ3_COUNT_2[[#This Row],[ID MATERIAL]]="","","Segundo Conteo")</f>
        <v/>
      </c>
    </row>
    <row r="961" spans="1:9" s="7" customFormat="1" ht="15" x14ac:dyDescent="0.2">
      <c r="A961" s="7" t="str">
        <f>IF(Plantilla_SCAN_EQ3_COUNT_2[[#This Row],[ID MATERIAL]]="","",SIGN(Plantilla_SCAN_EQ3_COUNT_2[[#This Row],[Cantidad]])+A960)</f>
        <v/>
      </c>
      <c r="B961" s="21" t="str">
        <f>IF(Plantilla_SCAN_EQ3_COUNT_2[[#This Row],[ID MATERIAL]]="","",B960)</f>
        <v/>
      </c>
      <c r="C961" s="21"/>
      <c r="D961" s="21"/>
      <c r="E961" s="7" t="str">
        <f>IF(Plantilla_SCAN_EQ3_COUNT_2[[#This Row],[ID MATERIAL]]="","",VLOOKUP(Plantilla_SCAN_EQ3_COUNT_2[[#This Row],[ID MATERIAL]],INVENTARIO!$A:$D,2,FALSE))</f>
        <v/>
      </c>
      <c r="F961" s="7" t="str">
        <f>IF(Plantilla_SCAN_EQ3_COUNT_2[[#This Row],[ID MATERIAL]]="","",IF(Plantilla_SCAN_EQ3_COUNT_2[[#This Row],[No. Empaques]]="",1,Plantilla_SCAN_EQ3_COUNT_2[[#This Row],[No. Empaques]]*1))</f>
        <v/>
      </c>
      <c r="G961" s="7" t="str">
        <f>IF(Plantilla_SCAN_EQ3_COUNT_2[[#This Row],[ID MATERIAL]]="","","PZ")</f>
        <v/>
      </c>
      <c r="H961" s="7" t="str">
        <f>IF(Plantilla_SCAN_EQ3_COUNT_2[[#This Row],[ID MATERIAL]]="","",$B$13)</f>
        <v/>
      </c>
      <c r="I961" s="7" t="str">
        <f>IF(Plantilla_SCAN_EQ3_COUNT_2[[#This Row],[ID MATERIAL]]="","","Segundo Conteo")</f>
        <v/>
      </c>
    </row>
    <row r="962" spans="1:9" s="7" customFormat="1" ht="15" x14ac:dyDescent="0.2">
      <c r="A962" s="7" t="str">
        <f>IF(Plantilla_SCAN_EQ3_COUNT_2[[#This Row],[ID MATERIAL]]="","",SIGN(Plantilla_SCAN_EQ3_COUNT_2[[#This Row],[Cantidad]])+A961)</f>
        <v/>
      </c>
      <c r="B962" s="21" t="str">
        <f>IF(Plantilla_SCAN_EQ3_COUNT_2[[#This Row],[ID MATERIAL]]="","",B961)</f>
        <v/>
      </c>
      <c r="C962" s="21"/>
      <c r="D962" s="21"/>
      <c r="E962" s="7" t="str">
        <f>IF(Plantilla_SCAN_EQ3_COUNT_2[[#This Row],[ID MATERIAL]]="","",VLOOKUP(Plantilla_SCAN_EQ3_COUNT_2[[#This Row],[ID MATERIAL]],INVENTARIO!$A:$D,2,FALSE))</f>
        <v/>
      </c>
      <c r="F962" s="7" t="str">
        <f>IF(Plantilla_SCAN_EQ3_COUNT_2[[#This Row],[ID MATERIAL]]="","",IF(Plantilla_SCAN_EQ3_COUNT_2[[#This Row],[No. Empaques]]="",1,Plantilla_SCAN_EQ3_COUNT_2[[#This Row],[No. Empaques]]*1))</f>
        <v/>
      </c>
      <c r="G962" s="7" t="str">
        <f>IF(Plantilla_SCAN_EQ3_COUNT_2[[#This Row],[ID MATERIAL]]="","","PZ")</f>
        <v/>
      </c>
      <c r="H962" s="7" t="str">
        <f>IF(Plantilla_SCAN_EQ3_COUNT_2[[#This Row],[ID MATERIAL]]="","",$B$13)</f>
        <v/>
      </c>
      <c r="I962" s="7" t="str">
        <f>IF(Plantilla_SCAN_EQ3_COUNT_2[[#This Row],[ID MATERIAL]]="","","Segundo Conteo")</f>
        <v/>
      </c>
    </row>
    <row r="963" spans="1:9" s="7" customFormat="1" ht="15" x14ac:dyDescent="0.2">
      <c r="A963" s="7" t="str">
        <f>IF(Plantilla_SCAN_EQ3_COUNT_2[[#This Row],[ID MATERIAL]]="","",SIGN(Plantilla_SCAN_EQ3_COUNT_2[[#This Row],[Cantidad]])+A962)</f>
        <v/>
      </c>
      <c r="B963" s="21" t="str">
        <f>IF(Plantilla_SCAN_EQ3_COUNT_2[[#This Row],[ID MATERIAL]]="","",B962)</f>
        <v/>
      </c>
      <c r="C963" s="21"/>
      <c r="D963" s="21"/>
      <c r="E963" s="7" t="str">
        <f>IF(Plantilla_SCAN_EQ3_COUNT_2[[#This Row],[ID MATERIAL]]="","",VLOOKUP(Plantilla_SCAN_EQ3_COUNT_2[[#This Row],[ID MATERIAL]],INVENTARIO!$A:$D,2,FALSE))</f>
        <v/>
      </c>
      <c r="F963" s="7" t="str">
        <f>IF(Plantilla_SCAN_EQ3_COUNT_2[[#This Row],[ID MATERIAL]]="","",IF(Plantilla_SCAN_EQ3_COUNT_2[[#This Row],[No. Empaques]]="",1,Plantilla_SCAN_EQ3_COUNT_2[[#This Row],[No. Empaques]]*1))</f>
        <v/>
      </c>
      <c r="G963" s="7" t="str">
        <f>IF(Plantilla_SCAN_EQ3_COUNT_2[[#This Row],[ID MATERIAL]]="","","PZ")</f>
        <v/>
      </c>
      <c r="H963" s="7" t="str">
        <f>IF(Plantilla_SCAN_EQ3_COUNT_2[[#This Row],[ID MATERIAL]]="","",$B$13)</f>
        <v/>
      </c>
      <c r="I963" s="7" t="str">
        <f>IF(Plantilla_SCAN_EQ3_COUNT_2[[#This Row],[ID MATERIAL]]="","","Segundo Conteo")</f>
        <v/>
      </c>
    </row>
    <row r="964" spans="1:9" s="7" customFormat="1" ht="15" x14ac:dyDescent="0.2">
      <c r="A964" s="7" t="str">
        <f>IF(Plantilla_SCAN_EQ3_COUNT_2[[#This Row],[ID MATERIAL]]="","",SIGN(Plantilla_SCAN_EQ3_COUNT_2[[#This Row],[Cantidad]])+A963)</f>
        <v/>
      </c>
      <c r="B964" s="21" t="str">
        <f>IF(Plantilla_SCAN_EQ3_COUNT_2[[#This Row],[ID MATERIAL]]="","",B963)</f>
        <v/>
      </c>
      <c r="C964" s="21"/>
      <c r="D964" s="21"/>
      <c r="E964" s="7" t="str">
        <f>IF(Plantilla_SCAN_EQ3_COUNT_2[[#This Row],[ID MATERIAL]]="","",VLOOKUP(Plantilla_SCAN_EQ3_COUNT_2[[#This Row],[ID MATERIAL]],INVENTARIO!$A:$D,2,FALSE))</f>
        <v/>
      </c>
      <c r="F964" s="7" t="str">
        <f>IF(Plantilla_SCAN_EQ3_COUNT_2[[#This Row],[ID MATERIAL]]="","",IF(Plantilla_SCAN_EQ3_COUNT_2[[#This Row],[No. Empaques]]="",1,Plantilla_SCAN_EQ3_COUNT_2[[#This Row],[No. Empaques]]*1))</f>
        <v/>
      </c>
      <c r="G964" s="7" t="str">
        <f>IF(Plantilla_SCAN_EQ3_COUNT_2[[#This Row],[ID MATERIAL]]="","","PZ")</f>
        <v/>
      </c>
      <c r="H964" s="7" t="str">
        <f>IF(Plantilla_SCAN_EQ3_COUNT_2[[#This Row],[ID MATERIAL]]="","",$B$13)</f>
        <v/>
      </c>
      <c r="I964" s="7" t="str">
        <f>IF(Plantilla_SCAN_EQ3_COUNT_2[[#This Row],[ID MATERIAL]]="","","Segundo Conteo")</f>
        <v/>
      </c>
    </row>
    <row r="965" spans="1:9" s="7" customFormat="1" ht="15" x14ac:dyDescent="0.2">
      <c r="A965" s="7" t="str">
        <f>IF(Plantilla_SCAN_EQ3_COUNT_2[[#This Row],[ID MATERIAL]]="","",SIGN(Plantilla_SCAN_EQ3_COUNT_2[[#This Row],[Cantidad]])+A964)</f>
        <v/>
      </c>
      <c r="B965" s="21" t="str">
        <f>IF(Plantilla_SCAN_EQ3_COUNT_2[[#This Row],[ID MATERIAL]]="","",B964)</f>
        <v/>
      </c>
      <c r="C965" s="21"/>
      <c r="D965" s="21"/>
      <c r="E965" s="7" t="str">
        <f>IF(Plantilla_SCAN_EQ3_COUNT_2[[#This Row],[ID MATERIAL]]="","",VLOOKUP(Plantilla_SCAN_EQ3_COUNT_2[[#This Row],[ID MATERIAL]],INVENTARIO!$A:$D,2,FALSE))</f>
        <v/>
      </c>
      <c r="F965" s="7" t="str">
        <f>IF(Plantilla_SCAN_EQ3_COUNT_2[[#This Row],[ID MATERIAL]]="","",IF(Plantilla_SCAN_EQ3_COUNT_2[[#This Row],[No. Empaques]]="",1,Plantilla_SCAN_EQ3_COUNT_2[[#This Row],[No. Empaques]]*1))</f>
        <v/>
      </c>
      <c r="G965" s="7" t="str">
        <f>IF(Plantilla_SCAN_EQ3_COUNT_2[[#This Row],[ID MATERIAL]]="","","PZ")</f>
        <v/>
      </c>
      <c r="H965" s="7" t="str">
        <f>IF(Plantilla_SCAN_EQ3_COUNT_2[[#This Row],[ID MATERIAL]]="","",$B$13)</f>
        <v/>
      </c>
      <c r="I965" s="7" t="str">
        <f>IF(Plantilla_SCAN_EQ3_COUNT_2[[#This Row],[ID MATERIAL]]="","","Segundo Conteo")</f>
        <v/>
      </c>
    </row>
    <row r="966" spans="1:9" s="7" customFormat="1" ht="15" x14ac:dyDescent="0.2">
      <c r="A966" s="7" t="str">
        <f>IF(Plantilla_SCAN_EQ3_COUNT_2[[#This Row],[ID MATERIAL]]="","",SIGN(Plantilla_SCAN_EQ3_COUNT_2[[#This Row],[Cantidad]])+A965)</f>
        <v/>
      </c>
      <c r="B966" s="21" t="str">
        <f>IF(Plantilla_SCAN_EQ3_COUNT_2[[#This Row],[ID MATERIAL]]="","",B965)</f>
        <v/>
      </c>
      <c r="C966" s="21"/>
      <c r="D966" s="21"/>
      <c r="E966" s="7" t="str">
        <f>IF(Plantilla_SCAN_EQ3_COUNT_2[[#This Row],[ID MATERIAL]]="","",VLOOKUP(Plantilla_SCAN_EQ3_COUNT_2[[#This Row],[ID MATERIAL]],INVENTARIO!$A:$D,2,FALSE))</f>
        <v/>
      </c>
      <c r="F966" s="7" t="str">
        <f>IF(Plantilla_SCAN_EQ3_COUNT_2[[#This Row],[ID MATERIAL]]="","",IF(Plantilla_SCAN_EQ3_COUNT_2[[#This Row],[No. Empaques]]="",1,Plantilla_SCAN_EQ3_COUNT_2[[#This Row],[No. Empaques]]*1))</f>
        <v/>
      </c>
      <c r="G966" s="7" t="str">
        <f>IF(Plantilla_SCAN_EQ3_COUNT_2[[#This Row],[ID MATERIAL]]="","","PZ")</f>
        <v/>
      </c>
      <c r="H966" s="7" t="str">
        <f>IF(Plantilla_SCAN_EQ3_COUNT_2[[#This Row],[ID MATERIAL]]="","",$B$13)</f>
        <v/>
      </c>
      <c r="I966" s="7" t="str">
        <f>IF(Plantilla_SCAN_EQ3_COUNT_2[[#This Row],[ID MATERIAL]]="","","Segundo Conteo")</f>
        <v/>
      </c>
    </row>
    <row r="967" spans="1:9" s="7" customFormat="1" ht="15" x14ac:dyDescent="0.2">
      <c r="A967" s="7" t="str">
        <f>IF(Plantilla_SCAN_EQ3_COUNT_2[[#This Row],[ID MATERIAL]]="","",SIGN(Plantilla_SCAN_EQ3_COUNT_2[[#This Row],[Cantidad]])+A966)</f>
        <v/>
      </c>
      <c r="B967" s="21" t="str">
        <f>IF(Plantilla_SCAN_EQ3_COUNT_2[[#This Row],[ID MATERIAL]]="","",B966)</f>
        <v/>
      </c>
      <c r="C967" s="21"/>
      <c r="D967" s="21"/>
      <c r="E967" s="7" t="str">
        <f>IF(Plantilla_SCAN_EQ3_COUNT_2[[#This Row],[ID MATERIAL]]="","",VLOOKUP(Plantilla_SCAN_EQ3_COUNT_2[[#This Row],[ID MATERIAL]],INVENTARIO!$A:$D,2,FALSE))</f>
        <v/>
      </c>
      <c r="F967" s="7" t="str">
        <f>IF(Plantilla_SCAN_EQ3_COUNT_2[[#This Row],[ID MATERIAL]]="","",IF(Plantilla_SCAN_EQ3_COUNT_2[[#This Row],[No. Empaques]]="",1,Plantilla_SCAN_EQ3_COUNT_2[[#This Row],[No. Empaques]]*1))</f>
        <v/>
      </c>
      <c r="G967" s="7" t="str">
        <f>IF(Plantilla_SCAN_EQ3_COUNT_2[[#This Row],[ID MATERIAL]]="","","PZ")</f>
        <v/>
      </c>
      <c r="H967" s="7" t="str">
        <f>IF(Plantilla_SCAN_EQ3_COUNT_2[[#This Row],[ID MATERIAL]]="","",$B$13)</f>
        <v/>
      </c>
      <c r="I967" s="7" t="str">
        <f>IF(Plantilla_SCAN_EQ3_COUNT_2[[#This Row],[ID MATERIAL]]="","","Segundo Conteo")</f>
        <v/>
      </c>
    </row>
    <row r="968" spans="1:9" s="7" customFormat="1" ht="15" x14ac:dyDescent="0.2">
      <c r="A968" s="7" t="str">
        <f>IF(Plantilla_SCAN_EQ3_COUNT_2[[#This Row],[ID MATERIAL]]="","",SIGN(Plantilla_SCAN_EQ3_COUNT_2[[#This Row],[Cantidad]])+A967)</f>
        <v/>
      </c>
      <c r="B968" s="21" t="str">
        <f>IF(Plantilla_SCAN_EQ3_COUNT_2[[#This Row],[ID MATERIAL]]="","",B967)</f>
        <v/>
      </c>
      <c r="C968" s="21"/>
      <c r="D968" s="21"/>
      <c r="E968" s="7" t="str">
        <f>IF(Plantilla_SCAN_EQ3_COUNT_2[[#This Row],[ID MATERIAL]]="","",VLOOKUP(Plantilla_SCAN_EQ3_COUNT_2[[#This Row],[ID MATERIAL]],INVENTARIO!$A:$D,2,FALSE))</f>
        <v/>
      </c>
      <c r="F968" s="7" t="str">
        <f>IF(Plantilla_SCAN_EQ3_COUNT_2[[#This Row],[ID MATERIAL]]="","",IF(Plantilla_SCAN_EQ3_COUNT_2[[#This Row],[No. Empaques]]="",1,Plantilla_SCAN_EQ3_COUNT_2[[#This Row],[No. Empaques]]*1))</f>
        <v/>
      </c>
      <c r="G968" s="7" t="str">
        <f>IF(Plantilla_SCAN_EQ3_COUNT_2[[#This Row],[ID MATERIAL]]="","","PZ")</f>
        <v/>
      </c>
      <c r="H968" s="7" t="str">
        <f>IF(Plantilla_SCAN_EQ3_COUNT_2[[#This Row],[ID MATERIAL]]="","",$B$13)</f>
        <v/>
      </c>
      <c r="I968" s="7" t="str">
        <f>IF(Plantilla_SCAN_EQ3_COUNT_2[[#This Row],[ID MATERIAL]]="","","Segundo Conteo")</f>
        <v/>
      </c>
    </row>
    <row r="969" spans="1:9" s="7" customFormat="1" ht="15" x14ac:dyDescent="0.2">
      <c r="A969" s="7" t="str">
        <f>IF(Plantilla_SCAN_EQ3_COUNT_2[[#This Row],[ID MATERIAL]]="","",SIGN(Plantilla_SCAN_EQ3_COUNT_2[[#This Row],[Cantidad]])+A968)</f>
        <v/>
      </c>
      <c r="B969" s="21" t="str">
        <f>IF(Plantilla_SCAN_EQ3_COUNT_2[[#This Row],[ID MATERIAL]]="","",B968)</f>
        <v/>
      </c>
      <c r="C969" s="21"/>
      <c r="D969" s="21"/>
      <c r="E969" s="7" t="str">
        <f>IF(Plantilla_SCAN_EQ3_COUNT_2[[#This Row],[ID MATERIAL]]="","",VLOOKUP(Plantilla_SCAN_EQ3_COUNT_2[[#This Row],[ID MATERIAL]],INVENTARIO!$A:$D,2,FALSE))</f>
        <v/>
      </c>
      <c r="F969" s="7" t="str">
        <f>IF(Plantilla_SCAN_EQ3_COUNT_2[[#This Row],[ID MATERIAL]]="","",IF(Plantilla_SCAN_EQ3_COUNT_2[[#This Row],[No. Empaques]]="",1,Plantilla_SCAN_EQ3_COUNT_2[[#This Row],[No. Empaques]]*1))</f>
        <v/>
      </c>
      <c r="G969" s="7" t="str">
        <f>IF(Plantilla_SCAN_EQ3_COUNT_2[[#This Row],[ID MATERIAL]]="","","PZ")</f>
        <v/>
      </c>
      <c r="H969" s="7" t="str">
        <f>IF(Plantilla_SCAN_EQ3_COUNT_2[[#This Row],[ID MATERIAL]]="","",$B$13)</f>
        <v/>
      </c>
      <c r="I969" s="7" t="str">
        <f>IF(Plantilla_SCAN_EQ3_COUNT_2[[#This Row],[ID MATERIAL]]="","","Segundo Conteo")</f>
        <v/>
      </c>
    </row>
    <row r="970" spans="1:9" s="7" customFormat="1" ht="15" x14ac:dyDescent="0.2">
      <c r="A970" s="7" t="str">
        <f>IF(Plantilla_SCAN_EQ3_COUNT_2[[#This Row],[ID MATERIAL]]="","",SIGN(Plantilla_SCAN_EQ3_COUNT_2[[#This Row],[Cantidad]])+A969)</f>
        <v/>
      </c>
      <c r="B970" s="21" t="str">
        <f>IF(Plantilla_SCAN_EQ3_COUNT_2[[#This Row],[ID MATERIAL]]="","",B969)</f>
        <v/>
      </c>
      <c r="C970" s="21"/>
      <c r="D970" s="21"/>
      <c r="E970" s="7" t="str">
        <f>IF(Plantilla_SCAN_EQ3_COUNT_2[[#This Row],[ID MATERIAL]]="","",VLOOKUP(Plantilla_SCAN_EQ3_COUNT_2[[#This Row],[ID MATERIAL]],INVENTARIO!$A:$D,2,FALSE))</f>
        <v/>
      </c>
      <c r="F970" s="7" t="str">
        <f>IF(Plantilla_SCAN_EQ3_COUNT_2[[#This Row],[ID MATERIAL]]="","",IF(Plantilla_SCAN_EQ3_COUNT_2[[#This Row],[No. Empaques]]="",1,Plantilla_SCAN_EQ3_COUNT_2[[#This Row],[No. Empaques]]*1))</f>
        <v/>
      </c>
      <c r="G970" s="7" t="str">
        <f>IF(Plantilla_SCAN_EQ3_COUNT_2[[#This Row],[ID MATERIAL]]="","","PZ")</f>
        <v/>
      </c>
      <c r="H970" s="7" t="str">
        <f>IF(Plantilla_SCAN_EQ3_COUNT_2[[#This Row],[ID MATERIAL]]="","",$B$13)</f>
        <v/>
      </c>
      <c r="I970" s="7" t="str">
        <f>IF(Plantilla_SCAN_EQ3_COUNT_2[[#This Row],[ID MATERIAL]]="","","Segundo Conteo")</f>
        <v/>
      </c>
    </row>
    <row r="971" spans="1:9" s="7" customFormat="1" ht="15" x14ac:dyDescent="0.2">
      <c r="A971" s="7" t="str">
        <f>IF(Plantilla_SCAN_EQ3_COUNT_2[[#This Row],[ID MATERIAL]]="","",SIGN(Plantilla_SCAN_EQ3_COUNT_2[[#This Row],[Cantidad]])+A970)</f>
        <v/>
      </c>
      <c r="B971" s="21" t="str">
        <f>IF(Plantilla_SCAN_EQ3_COUNT_2[[#This Row],[ID MATERIAL]]="","",B970)</f>
        <v/>
      </c>
      <c r="C971" s="21"/>
      <c r="D971" s="21"/>
      <c r="E971" s="7" t="str">
        <f>IF(Plantilla_SCAN_EQ3_COUNT_2[[#This Row],[ID MATERIAL]]="","",VLOOKUP(Plantilla_SCAN_EQ3_COUNT_2[[#This Row],[ID MATERIAL]],INVENTARIO!$A:$D,2,FALSE))</f>
        <v/>
      </c>
      <c r="F971" s="7" t="str">
        <f>IF(Plantilla_SCAN_EQ3_COUNT_2[[#This Row],[ID MATERIAL]]="","",IF(Plantilla_SCAN_EQ3_COUNT_2[[#This Row],[No. Empaques]]="",1,Plantilla_SCAN_EQ3_COUNT_2[[#This Row],[No. Empaques]]*1))</f>
        <v/>
      </c>
      <c r="G971" s="7" t="str">
        <f>IF(Plantilla_SCAN_EQ3_COUNT_2[[#This Row],[ID MATERIAL]]="","","PZ")</f>
        <v/>
      </c>
      <c r="H971" s="7" t="str">
        <f>IF(Plantilla_SCAN_EQ3_COUNT_2[[#This Row],[ID MATERIAL]]="","",$B$13)</f>
        <v/>
      </c>
      <c r="I971" s="7" t="str">
        <f>IF(Plantilla_SCAN_EQ3_COUNT_2[[#This Row],[ID MATERIAL]]="","","Segundo Conteo")</f>
        <v/>
      </c>
    </row>
    <row r="972" spans="1:9" s="7" customFormat="1" ht="15" x14ac:dyDescent="0.2">
      <c r="A972" s="7" t="str">
        <f>IF(Plantilla_SCAN_EQ3_COUNT_2[[#This Row],[ID MATERIAL]]="","",SIGN(Plantilla_SCAN_EQ3_COUNT_2[[#This Row],[Cantidad]])+A971)</f>
        <v/>
      </c>
      <c r="B972" s="21" t="str">
        <f>IF(Plantilla_SCAN_EQ3_COUNT_2[[#This Row],[ID MATERIAL]]="","",B971)</f>
        <v/>
      </c>
      <c r="C972" s="21"/>
      <c r="D972" s="21"/>
      <c r="E972" s="7" t="str">
        <f>IF(Plantilla_SCAN_EQ3_COUNT_2[[#This Row],[ID MATERIAL]]="","",VLOOKUP(Plantilla_SCAN_EQ3_COUNT_2[[#This Row],[ID MATERIAL]],INVENTARIO!$A:$D,2,FALSE))</f>
        <v/>
      </c>
      <c r="F972" s="7" t="str">
        <f>IF(Plantilla_SCAN_EQ3_COUNT_2[[#This Row],[ID MATERIAL]]="","",IF(Plantilla_SCAN_EQ3_COUNT_2[[#This Row],[No. Empaques]]="",1,Plantilla_SCAN_EQ3_COUNT_2[[#This Row],[No. Empaques]]*1))</f>
        <v/>
      </c>
      <c r="G972" s="7" t="str">
        <f>IF(Plantilla_SCAN_EQ3_COUNT_2[[#This Row],[ID MATERIAL]]="","","PZ")</f>
        <v/>
      </c>
      <c r="H972" s="7" t="str">
        <f>IF(Plantilla_SCAN_EQ3_COUNT_2[[#This Row],[ID MATERIAL]]="","",$B$13)</f>
        <v/>
      </c>
      <c r="I972" s="7" t="str">
        <f>IF(Plantilla_SCAN_EQ3_COUNT_2[[#This Row],[ID MATERIAL]]="","","Segundo Conteo")</f>
        <v/>
      </c>
    </row>
    <row r="973" spans="1:9" s="7" customFormat="1" ht="15" x14ac:dyDescent="0.2">
      <c r="A973" s="7" t="str">
        <f>IF(Plantilla_SCAN_EQ3_COUNT_2[[#This Row],[ID MATERIAL]]="","",SIGN(Plantilla_SCAN_EQ3_COUNT_2[[#This Row],[Cantidad]])+A972)</f>
        <v/>
      </c>
      <c r="B973" s="21" t="str">
        <f>IF(Plantilla_SCAN_EQ3_COUNT_2[[#This Row],[ID MATERIAL]]="","",B972)</f>
        <v/>
      </c>
      <c r="C973" s="21"/>
      <c r="D973" s="21"/>
      <c r="E973" s="7" t="str">
        <f>IF(Plantilla_SCAN_EQ3_COUNT_2[[#This Row],[ID MATERIAL]]="","",VLOOKUP(Plantilla_SCAN_EQ3_COUNT_2[[#This Row],[ID MATERIAL]],INVENTARIO!$A:$D,2,FALSE))</f>
        <v/>
      </c>
      <c r="F973" s="7" t="str">
        <f>IF(Plantilla_SCAN_EQ3_COUNT_2[[#This Row],[ID MATERIAL]]="","",IF(Plantilla_SCAN_EQ3_COUNT_2[[#This Row],[No. Empaques]]="",1,Plantilla_SCAN_EQ3_COUNT_2[[#This Row],[No. Empaques]]*1))</f>
        <v/>
      </c>
      <c r="G973" s="7" t="str">
        <f>IF(Plantilla_SCAN_EQ3_COUNT_2[[#This Row],[ID MATERIAL]]="","","PZ")</f>
        <v/>
      </c>
      <c r="H973" s="7" t="str">
        <f>IF(Plantilla_SCAN_EQ3_COUNT_2[[#This Row],[ID MATERIAL]]="","",$B$13)</f>
        <v/>
      </c>
      <c r="I973" s="7" t="str">
        <f>IF(Plantilla_SCAN_EQ3_COUNT_2[[#This Row],[ID MATERIAL]]="","","Segundo Conteo")</f>
        <v/>
      </c>
    </row>
    <row r="974" spans="1:9" s="7" customFormat="1" ht="15" x14ac:dyDescent="0.2">
      <c r="A974" s="7" t="str">
        <f>IF(Plantilla_SCAN_EQ3_COUNT_2[[#This Row],[ID MATERIAL]]="","",SIGN(Plantilla_SCAN_EQ3_COUNT_2[[#This Row],[Cantidad]])+A973)</f>
        <v/>
      </c>
      <c r="B974" s="21" t="str">
        <f>IF(Plantilla_SCAN_EQ3_COUNT_2[[#This Row],[ID MATERIAL]]="","",B973)</f>
        <v/>
      </c>
      <c r="C974" s="21"/>
      <c r="D974" s="21"/>
      <c r="E974" s="7" t="str">
        <f>IF(Plantilla_SCAN_EQ3_COUNT_2[[#This Row],[ID MATERIAL]]="","",VLOOKUP(Plantilla_SCAN_EQ3_COUNT_2[[#This Row],[ID MATERIAL]],INVENTARIO!$A:$D,2,FALSE))</f>
        <v/>
      </c>
      <c r="F974" s="7" t="str">
        <f>IF(Plantilla_SCAN_EQ3_COUNT_2[[#This Row],[ID MATERIAL]]="","",IF(Plantilla_SCAN_EQ3_COUNT_2[[#This Row],[No. Empaques]]="",1,Plantilla_SCAN_EQ3_COUNT_2[[#This Row],[No. Empaques]]*1))</f>
        <v/>
      </c>
      <c r="G974" s="7" t="str">
        <f>IF(Plantilla_SCAN_EQ3_COUNT_2[[#This Row],[ID MATERIAL]]="","","PZ")</f>
        <v/>
      </c>
      <c r="H974" s="7" t="str">
        <f>IF(Plantilla_SCAN_EQ3_COUNT_2[[#This Row],[ID MATERIAL]]="","",$B$13)</f>
        <v/>
      </c>
      <c r="I974" s="7" t="str">
        <f>IF(Plantilla_SCAN_EQ3_COUNT_2[[#This Row],[ID MATERIAL]]="","","Segundo Conteo")</f>
        <v/>
      </c>
    </row>
    <row r="975" spans="1:9" s="7" customFormat="1" ht="15" x14ac:dyDescent="0.2">
      <c r="A975" s="7" t="str">
        <f>IF(Plantilla_SCAN_EQ3_COUNT_2[[#This Row],[ID MATERIAL]]="","",SIGN(Plantilla_SCAN_EQ3_COUNT_2[[#This Row],[Cantidad]])+A974)</f>
        <v/>
      </c>
      <c r="B975" s="21" t="str">
        <f>IF(Plantilla_SCAN_EQ3_COUNT_2[[#This Row],[ID MATERIAL]]="","",B974)</f>
        <v/>
      </c>
      <c r="C975" s="21"/>
      <c r="D975" s="21"/>
      <c r="E975" s="7" t="str">
        <f>IF(Plantilla_SCAN_EQ3_COUNT_2[[#This Row],[ID MATERIAL]]="","",VLOOKUP(Plantilla_SCAN_EQ3_COUNT_2[[#This Row],[ID MATERIAL]],INVENTARIO!$A:$D,2,FALSE))</f>
        <v/>
      </c>
      <c r="F975" s="7" t="str">
        <f>IF(Plantilla_SCAN_EQ3_COUNT_2[[#This Row],[ID MATERIAL]]="","",IF(Plantilla_SCAN_EQ3_COUNT_2[[#This Row],[No. Empaques]]="",1,Plantilla_SCAN_EQ3_COUNT_2[[#This Row],[No. Empaques]]*1))</f>
        <v/>
      </c>
      <c r="G975" s="7" t="str">
        <f>IF(Plantilla_SCAN_EQ3_COUNT_2[[#This Row],[ID MATERIAL]]="","","PZ")</f>
        <v/>
      </c>
      <c r="H975" s="7" t="str">
        <f>IF(Plantilla_SCAN_EQ3_COUNT_2[[#This Row],[ID MATERIAL]]="","",$B$13)</f>
        <v/>
      </c>
      <c r="I975" s="7" t="str">
        <f>IF(Plantilla_SCAN_EQ3_COUNT_2[[#This Row],[ID MATERIAL]]="","","Segundo Conteo")</f>
        <v/>
      </c>
    </row>
    <row r="976" spans="1:9" s="7" customFormat="1" ht="15" x14ac:dyDescent="0.2">
      <c r="A976" s="7" t="str">
        <f>IF(Plantilla_SCAN_EQ3_COUNT_2[[#This Row],[ID MATERIAL]]="","",SIGN(Plantilla_SCAN_EQ3_COUNT_2[[#This Row],[Cantidad]])+A975)</f>
        <v/>
      </c>
      <c r="B976" s="21" t="str">
        <f>IF(Plantilla_SCAN_EQ3_COUNT_2[[#This Row],[ID MATERIAL]]="","",B975)</f>
        <v/>
      </c>
      <c r="C976" s="21"/>
      <c r="D976" s="21"/>
      <c r="E976" s="7" t="str">
        <f>IF(Plantilla_SCAN_EQ3_COUNT_2[[#This Row],[ID MATERIAL]]="","",VLOOKUP(Plantilla_SCAN_EQ3_COUNT_2[[#This Row],[ID MATERIAL]],INVENTARIO!$A:$D,2,FALSE))</f>
        <v/>
      </c>
      <c r="F976" s="7" t="str">
        <f>IF(Plantilla_SCAN_EQ3_COUNT_2[[#This Row],[ID MATERIAL]]="","",IF(Plantilla_SCAN_EQ3_COUNT_2[[#This Row],[No. Empaques]]="",1,Plantilla_SCAN_EQ3_COUNT_2[[#This Row],[No. Empaques]]*1))</f>
        <v/>
      </c>
      <c r="G976" s="7" t="str">
        <f>IF(Plantilla_SCAN_EQ3_COUNT_2[[#This Row],[ID MATERIAL]]="","","PZ")</f>
        <v/>
      </c>
      <c r="H976" s="7" t="str">
        <f>IF(Plantilla_SCAN_EQ3_COUNT_2[[#This Row],[ID MATERIAL]]="","",$B$13)</f>
        <v/>
      </c>
      <c r="I976" s="7" t="str">
        <f>IF(Plantilla_SCAN_EQ3_COUNT_2[[#This Row],[ID MATERIAL]]="","","Segundo Conteo")</f>
        <v/>
      </c>
    </row>
    <row r="977" spans="1:9" s="7" customFormat="1" ht="15" x14ac:dyDescent="0.2">
      <c r="A977" s="7" t="str">
        <f>IF(Plantilla_SCAN_EQ3_COUNT_2[[#This Row],[ID MATERIAL]]="","",SIGN(Plantilla_SCAN_EQ3_COUNT_2[[#This Row],[Cantidad]])+A976)</f>
        <v/>
      </c>
      <c r="B977" s="21" t="str">
        <f>IF(Plantilla_SCAN_EQ3_COUNT_2[[#This Row],[ID MATERIAL]]="","",B976)</f>
        <v/>
      </c>
      <c r="C977" s="21"/>
      <c r="D977" s="21"/>
      <c r="E977" s="7" t="str">
        <f>IF(Plantilla_SCAN_EQ3_COUNT_2[[#This Row],[ID MATERIAL]]="","",VLOOKUP(Plantilla_SCAN_EQ3_COUNT_2[[#This Row],[ID MATERIAL]],INVENTARIO!$A:$D,2,FALSE))</f>
        <v/>
      </c>
      <c r="F977" s="7" t="str">
        <f>IF(Plantilla_SCAN_EQ3_COUNT_2[[#This Row],[ID MATERIAL]]="","",IF(Plantilla_SCAN_EQ3_COUNT_2[[#This Row],[No. Empaques]]="",1,Plantilla_SCAN_EQ3_COUNT_2[[#This Row],[No. Empaques]]*1))</f>
        <v/>
      </c>
      <c r="G977" s="7" t="str">
        <f>IF(Plantilla_SCAN_EQ3_COUNT_2[[#This Row],[ID MATERIAL]]="","","PZ")</f>
        <v/>
      </c>
      <c r="H977" s="7" t="str">
        <f>IF(Plantilla_SCAN_EQ3_COUNT_2[[#This Row],[ID MATERIAL]]="","",$B$13)</f>
        <v/>
      </c>
      <c r="I977" s="7" t="str">
        <f>IF(Plantilla_SCAN_EQ3_COUNT_2[[#This Row],[ID MATERIAL]]="","","Segundo Conteo")</f>
        <v/>
      </c>
    </row>
    <row r="978" spans="1:9" s="7" customFormat="1" ht="15" x14ac:dyDescent="0.2">
      <c r="A978" s="7" t="str">
        <f>IF(Plantilla_SCAN_EQ3_COUNT_2[[#This Row],[ID MATERIAL]]="","",SIGN(Plantilla_SCAN_EQ3_COUNT_2[[#This Row],[Cantidad]])+A977)</f>
        <v/>
      </c>
      <c r="B978" s="21" t="str">
        <f>IF(Plantilla_SCAN_EQ3_COUNT_2[[#This Row],[ID MATERIAL]]="","",B977)</f>
        <v/>
      </c>
      <c r="C978" s="21"/>
      <c r="D978" s="21"/>
      <c r="E978" s="7" t="str">
        <f>IF(Plantilla_SCAN_EQ3_COUNT_2[[#This Row],[ID MATERIAL]]="","",VLOOKUP(Plantilla_SCAN_EQ3_COUNT_2[[#This Row],[ID MATERIAL]],INVENTARIO!$A:$D,2,FALSE))</f>
        <v/>
      </c>
      <c r="F978" s="7" t="str">
        <f>IF(Plantilla_SCAN_EQ3_COUNT_2[[#This Row],[ID MATERIAL]]="","",IF(Plantilla_SCAN_EQ3_COUNT_2[[#This Row],[No. Empaques]]="",1,Plantilla_SCAN_EQ3_COUNT_2[[#This Row],[No. Empaques]]*1))</f>
        <v/>
      </c>
      <c r="G978" s="7" t="str">
        <f>IF(Plantilla_SCAN_EQ3_COUNT_2[[#This Row],[ID MATERIAL]]="","","PZ")</f>
        <v/>
      </c>
      <c r="H978" s="7" t="str">
        <f>IF(Plantilla_SCAN_EQ3_COUNT_2[[#This Row],[ID MATERIAL]]="","",$B$13)</f>
        <v/>
      </c>
      <c r="I978" s="7" t="str">
        <f>IF(Plantilla_SCAN_EQ3_COUNT_2[[#This Row],[ID MATERIAL]]="","","Segundo Conteo")</f>
        <v/>
      </c>
    </row>
    <row r="979" spans="1:9" s="7" customFormat="1" ht="15" x14ac:dyDescent="0.2">
      <c r="A979" s="7" t="str">
        <f>IF(Plantilla_SCAN_EQ3_COUNT_2[[#This Row],[ID MATERIAL]]="","",SIGN(Plantilla_SCAN_EQ3_COUNT_2[[#This Row],[Cantidad]])+A978)</f>
        <v/>
      </c>
      <c r="B979" s="21" t="str">
        <f>IF(Plantilla_SCAN_EQ3_COUNT_2[[#This Row],[ID MATERIAL]]="","",B978)</f>
        <v/>
      </c>
      <c r="C979" s="21"/>
      <c r="D979" s="21"/>
      <c r="E979" s="7" t="str">
        <f>IF(Plantilla_SCAN_EQ3_COUNT_2[[#This Row],[ID MATERIAL]]="","",VLOOKUP(Plantilla_SCAN_EQ3_COUNT_2[[#This Row],[ID MATERIAL]],INVENTARIO!$A:$D,2,FALSE))</f>
        <v/>
      </c>
      <c r="F979" s="7" t="str">
        <f>IF(Plantilla_SCAN_EQ3_COUNT_2[[#This Row],[ID MATERIAL]]="","",IF(Plantilla_SCAN_EQ3_COUNT_2[[#This Row],[No. Empaques]]="",1,Plantilla_SCAN_EQ3_COUNT_2[[#This Row],[No. Empaques]]*1))</f>
        <v/>
      </c>
      <c r="G979" s="7" t="str">
        <f>IF(Plantilla_SCAN_EQ3_COUNT_2[[#This Row],[ID MATERIAL]]="","","PZ")</f>
        <v/>
      </c>
      <c r="H979" s="7" t="str">
        <f>IF(Plantilla_SCAN_EQ3_COUNT_2[[#This Row],[ID MATERIAL]]="","",$B$13)</f>
        <v/>
      </c>
      <c r="I979" s="7" t="str">
        <f>IF(Plantilla_SCAN_EQ3_COUNT_2[[#This Row],[ID MATERIAL]]="","","Segundo Conteo")</f>
        <v/>
      </c>
    </row>
    <row r="980" spans="1:9" s="7" customFormat="1" ht="15" x14ac:dyDescent="0.2">
      <c r="A980" s="7" t="str">
        <f>IF(Plantilla_SCAN_EQ3_COUNT_2[[#This Row],[ID MATERIAL]]="","",SIGN(Plantilla_SCAN_EQ3_COUNT_2[[#This Row],[Cantidad]])+A979)</f>
        <v/>
      </c>
      <c r="B980" s="21" t="str">
        <f>IF(Plantilla_SCAN_EQ3_COUNT_2[[#This Row],[ID MATERIAL]]="","",B979)</f>
        <v/>
      </c>
      <c r="C980" s="21"/>
      <c r="D980" s="21"/>
      <c r="E980" s="7" t="str">
        <f>IF(Plantilla_SCAN_EQ3_COUNT_2[[#This Row],[ID MATERIAL]]="","",VLOOKUP(Plantilla_SCAN_EQ3_COUNT_2[[#This Row],[ID MATERIAL]],INVENTARIO!$A:$D,2,FALSE))</f>
        <v/>
      </c>
      <c r="F980" s="7" t="str">
        <f>IF(Plantilla_SCAN_EQ3_COUNT_2[[#This Row],[ID MATERIAL]]="","",IF(Plantilla_SCAN_EQ3_COUNT_2[[#This Row],[No. Empaques]]="",1,Plantilla_SCAN_EQ3_COUNT_2[[#This Row],[No. Empaques]]*1))</f>
        <v/>
      </c>
      <c r="G980" s="7" t="str">
        <f>IF(Plantilla_SCAN_EQ3_COUNT_2[[#This Row],[ID MATERIAL]]="","","PZ")</f>
        <v/>
      </c>
      <c r="H980" s="7" t="str">
        <f>IF(Plantilla_SCAN_EQ3_COUNT_2[[#This Row],[ID MATERIAL]]="","",$B$13)</f>
        <v/>
      </c>
      <c r="I980" s="7" t="str">
        <f>IF(Plantilla_SCAN_EQ3_COUNT_2[[#This Row],[ID MATERIAL]]="","","Segundo Conteo")</f>
        <v/>
      </c>
    </row>
    <row r="981" spans="1:9" s="7" customFormat="1" ht="15" x14ac:dyDescent="0.2">
      <c r="A981" s="7" t="str">
        <f>IF(Plantilla_SCAN_EQ3_COUNT_2[[#This Row],[ID MATERIAL]]="","",SIGN(Plantilla_SCAN_EQ3_COUNT_2[[#This Row],[Cantidad]])+A980)</f>
        <v/>
      </c>
      <c r="B981" s="21" t="str">
        <f>IF(Plantilla_SCAN_EQ3_COUNT_2[[#This Row],[ID MATERIAL]]="","",B980)</f>
        <v/>
      </c>
      <c r="C981" s="21"/>
      <c r="D981" s="21"/>
      <c r="E981" s="7" t="str">
        <f>IF(Plantilla_SCAN_EQ3_COUNT_2[[#This Row],[ID MATERIAL]]="","",VLOOKUP(Plantilla_SCAN_EQ3_COUNT_2[[#This Row],[ID MATERIAL]],INVENTARIO!$A:$D,2,FALSE))</f>
        <v/>
      </c>
      <c r="F981" s="7" t="str">
        <f>IF(Plantilla_SCAN_EQ3_COUNT_2[[#This Row],[ID MATERIAL]]="","",IF(Plantilla_SCAN_EQ3_COUNT_2[[#This Row],[No. Empaques]]="",1,Plantilla_SCAN_EQ3_COUNT_2[[#This Row],[No. Empaques]]*1))</f>
        <v/>
      </c>
      <c r="G981" s="7" t="str">
        <f>IF(Plantilla_SCAN_EQ3_COUNT_2[[#This Row],[ID MATERIAL]]="","","PZ")</f>
        <v/>
      </c>
      <c r="H981" s="7" t="str">
        <f>IF(Plantilla_SCAN_EQ3_COUNT_2[[#This Row],[ID MATERIAL]]="","",$B$13)</f>
        <v/>
      </c>
      <c r="I981" s="7" t="str">
        <f>IF(Plantilla_SCAN_EQ3_COUNT_2[[#This Row],[ID MATERIAL]]="","","Segundo Conteo")</f>
        <v/>
      </c>
    </row>
    <row r="982" spans="1:9" s="7" customFormat="1" ht="15" x14ac:dyDescent="0.2">
      <c r="A982" s="7" t="str">
        <f>IF(Plantilla_SCAN_EQ3_COUNT_2[[#This Row],[ID MATERIAL]]="","",SIGN(Plantilla_SCAN_EQ3_COUNT_2[[#This Row],[Cantidad]])+A981)</f>
        <v/>
      </c>
      <c r="B982" s="21" t="str">
        <f>IF(Plantilla_SCAN_EQ3_COUNT_2[[#This Row],[ID MATERIAL]]="","",B981)</f>
        <v/>
      </c>
      <c r="C982" s="21"/>
      <c r="D982" s="21"/>
      <c r="E982" s="7" t="str">
        <f>IF(Plantilla_SCAN_EQ3_COUNT_2[[#This Row],[ID MATERIAL]]="","",VLOOKUP(Plantilla_SCAN_EQ3_COUNT_2[[#This Row],[ID MATERIAL]],INVENTARIO!$A:$D,2,FALSE))</f>
        <v/>
      </c>
      <c r="F982" s="7" t="str">
        <f>IF(Plantilla_SCAN_EQ3_COUNT_2[[#This Row],[ID MATERIAL]]="","",IF(Plantilla_SCAN_EQ3_COUNT_2[[#This Row],[No. Empaques]]="",1,Plantilla_SCAN_EQ3_COUNT_2[[#This Row],[No. Empaques]]*1))</f>
        <v/>
      </c>
      <c r="G982" s="7" t="str">
        <f>IF(Plantilla_SCAN_EQ3_COUNT_2[[#This Row],[ID MATERIAL]]="","","PZ")</f>
        <v/>
      </c>
      <c r="H982" s="7" t="str">
        <f>IF(Plantilla_SCAN_EQ3_COUNT_2[[#This Row],[ID MATERIAL]]="","",$B$13)</f>
        <v/>
      </c>
      <c r="I982" s="7" t="str">
        <f>IF(Plantilla_SCAN_EQ3_COUNT_2[[#This Row],[ID MATERIAL]]="","","Segundo Conteo")</f>
        <v/>
      </c>
    </row>
    <row r="983" spans="1:9" s="7" customFormat="1" ht="15" x14ac:dyDescent="0.2">
      <c r="A983" s="7" t="str">
        <f>IF(Plantilla_SCAN_EQ3_COUNT_2[[#This Row],[ID MATERIAL]]="","",SIGN(Plantilla_SCAN_EQ3_COUNT_2[[#This Row],[Cantidad]])+A982)</f>
        <v/>
      </c>
      <c r="B983" s="21" t="str">
        <f>IF(Plantilla_SCAN_EQ3_COUNT_2[[#This Row],[ID MATERIAL]]="","",B982)</f>
        <v/>
      </c>
      <c r="C983" s="21"/>
      <c r="D983" s="21"/>
      <c r="E983" s="7" t="str">
        <f>IF(Plantilla_SCAN_EQ3_COUNT_2[[#This Row],[ID MATERIAL]]="","",VLOOKUP(Plantilla_SCAN_EQ3_COUNT_2[[#This Row],[ID MATERIAL]],INVENTARIO!$A:$D,2,FALSE))</f>
        <v/>
      </c>
      <c r="F983" s="7" t="str">
        <f>IF(Plantilla_SCAN_EQ3_COUNT_2[[#This Row],[ID MATERIAL]]="","",IF(Plantilla_SCAN_EQ3_COUNT_2[[#This Row],[No. Empaques]]="",1,Plantilla_SCAN_EQ3_COUNT_2[[#This Row],[No. Empaques]]*1))</f>
        <v/>
      </c>
      <c r="G983" s="7" t="str">
        <f>IF(Plantilla_SCAN_EQ3_COUNT_2[[#This Row],[ID MATERIAL]]="","","PZ")</f>
        <v/>
      </c>
      <c r="H983" s="7" t="str">
        <f>IF(Plantilla_SCAN_EQ3_COUNT_2[[#This Row],[ID MATERIAL]]="","",$B$13)</f>
        <v/>
      </c>
      <c r="I983" s="7" t="str">
        <f>IF(Plantilla_SCAN_EQ3_COUNT_2[[#This Row],[ID MATERIAL]]="","","Segundo Conteo")</f>
        <v/>
      </c>
    </row>
    <row r="984" spans="1:9" s="7" customFormat="1" ht="15" x14ac:dyDescent="0.2">
      <c r="A984" s="7" t="str">
        <f>IF(Plantilla_SCAN_EQ3_COUNT_2[[#This Row],[ID MATERIAL]]="","",SIGN(Plantilla_SCAN_EQ3_COUNT_2[[#This Row],[Cantidad]])+A983)</f>
        <v/>
      </c>
      <c r="B984" s="21" t="str">
        <f>IF(Plantilla_SCAN_EQ3_COUNT_2[[#This Row],[ID MATERIAL]]="","",B983)</f>
        <v/>
      </c>
      <c r="C984" s="21"/>
      <c r="D984" s="21"/>
      <c r="E984" s="7" t="str">
        <f>IF(Plantilla_SCAN_EQ3_COUNT_2[[#This Row],[ID MATERIAL]]="","",VLOOKUP(Plantilla_SCAN_EQ3_COUNT_2[[#This Row],[ID MATERIAL]],INVENTARIO!$A:$D,2,FALSE))</f>
        <v/>
      </c>
      <c r="F984" s="7" t="str">
        <f>IF(Plantilla_SCAN_EQ3_COUNT_2[[#This Row],[ID MATERIAL]]="","",IF(Plantilla_SCAN_EQ3_COUNT_2[[#This Row],[No. Empaques]]="",1,Plantilla_SCAN_EQ3_COUNT_2[[#This Row],[No. Empaques]]*1))</f>
        <v/>
      </c>
      <c r="G984" s="7" t="str">
        <f>IF(Plantilla_SCAN_EQ3_COUNT_2[[#This Row],[ID MATERIAL]]="","","PZ")</f>
        <v/>
      </c>
      <c r="H984" s="7" t="str">
        <f>IF(Plantilla_SCAN_EQ3_COUNT_2[[#This Row],[ID MATERIAL]]="","",$B$13)</f>
        <v/>
      </c>
      <c r="I984" s="7" t="str">
        <f>IF(Plantilla_SCAN_EQ3_COUNT_2[[#This Row],[ID MATERIAL]]="","","Segundo Conteo")</f>
        <v/>
      </c>
    </row>
    <row r="985" spans="1:9" s="7" customFormat="1" ht="15" x14ac:dyDescent="0.2">
      <c r="A985" s="7" t="str">
        <f>IF(Plantilla_SCAN_EQ3_COUNT_2[[#This Row],[ID MATERIAL]]="","",SIGN(Plantilla_SCAN_EQ3_COUNT_2[[#This Row],[Cantidad]])+A984)</f>
        <v/>
      </c>
      <c r="B985" s="21" t="str">
        <f>IF(Plantilla_SCAN_EQ3_COUNT_2[[#This Row],[ID MATERIAL]]="","",B984)</f>
        <v/>
      </c>
      <c r="C985" s="21"/>
      <c r="D985" s="21"/>
      <c r="E985" s="7" t="str">
        <f>IF(Plantilla_SCAN_EQ3_COUNT_2[[#This Row],[ID MATERIAL]]="","",VLOOKUP(Plantilla_SCAN_EQ3_COUNT_2[[#This Row],[ID MATERIAL]],INVENTARIO!$A:$D,2,FALSE))</f>
        <v/>
      </c>
      <c r="F985" s="7" t="str">
        <f>IF(Plantilla_SCAN_EQ3_COUNT_2[[#This Row],[ID MATERIAL]]="","",IF(Plantilla_SCAN_EQ3_COUNT_2[[#This Row],[No. Empaques]]="",1,Plantilla_SCAN_EQ3_COUNT_2[[#This Row],[No. Empaques]]*1))</f>
        <v/>
      </c>
      <c r="G985" s="7" t="str">
        <f>IF(Plantilla_SCAN_EQ3_COUNT_2[[#This Row],[ID MATERIAL]]="","","PZ")</f>
        <v/>
      </c>
      <c r="H985" s="7" t="str">
        <f>IF(Plantilla_SCAN_EQ3_COUNT_2[[#This Row],[ID MATERIAL]]="","",$B$13)</f>
        <v/>
      </c>
      <c r="I985" s="7" t="str">
        <f>IF(Plantilla_SCAN_EQ3_COUNT_2[[#This Row],[ID MATERIAL]]="","","Segundo Conteo")</f>
        <v/>
      </c>
    </row>
    <row r="986" spans="1:9" s="7" customFormat="1" ht="15" x14ac:dyDescent="0.2">
      <c r="A986" s="7" t="str">
        <f>IF(Plantilla_SCAN_EQ3_COUNT_2[[#This Row],[ID MATERIAL]]="","",SIGN(Plantilla_SCAN_EQ3_COUNT_2[[#This Row],[Cantidad]])+A985)</f>
        <v/>
      </c>
      <c r="B986" s="21" t="str">
        <f>IF(Plantilla_SCAN_EQ3_COUNT_2[[#This Row],[ID MATERIAL]]="","",B985)</f>
        <v/>
      </c>
      <c r="C986" s="21"/>
      <c r="D986" s="21"/>
      <c r="E986" s="7" t="str">
        <f>IF(Plantilla_SCAN_EQ3_COUNT_2[[#This Row],[ID MATERIAL]]="","",VLOOKUP(Plantilla_SCAN_EQ3_COUNT_2[[#This Row],[ID MATERIAL]],INVENTARIO!$A:$D,2,FALSE))</f>
        <v/>
      </c>
      <c r="F986" s="7" t="str">
        <f>IF(Plantilla_SCAN_EQ3_COUNT_2[[#This Row],[ID MATERIAL]]="","",IF(Plantilla_SCAN_EQ3_COUNT_2[[#This Row],[No. Empaques]]="",1,Plantilla_SCAN_EQ3_COUNT_2[[#This Row],[No. Empaques]]*1))</f>
        <v/>
      </c>
      <c r="G986" s="7" t="str">
        <f>IF(Plantilla_SCAN_EQ3_COUNT_2[[#This Row],[ID MATERIAL]]="","","PZ")</f>
        <v/>
      </c>
      <c r="H986" s="7" t="str">
        <f>IF(Plantilla_SCAN_EQ3_COUNT_2[[#This Row],[ID MATERIAL]]="","",$B$13)</f>
        <v/>
      </c>
      <c r="I986" s="7" t="str">
        <f>IF(Plantilla_SCAN_EQ3_COUNT_2[[#This Row],[ID MATERIAL]]="","","Segundo Conteo")</f>
        <v/>
      </c>
    </row>
    <row r="987" spans="1:9" s="7" customFormat="1" ht="15" x14ac:dyDescent="0.2">
      <c r="A987" s="7" t="str">
        <f>IF(Plantilla_SCAN_EQ3_COUNT_2[[#This Row],[ID MATERIAL]]="","",SIGN(Plantilla_SCAN_EQ3_COUNT_2[[#This Row],[Cantidad]])+A986)</f>
        <v/>
      </c>
      <c r="B987" s="21" t="str">
        <f>IF(Plantilla_SCAN_EQ3_COUNT_2[[#This Row],[ID MATERIAL]]="","",B986)</f>
        <v/>
      </c>
      <c r="C987" s="21"/>
      <c r="D987" s="21"/>
      <c r="E987" s="7" t="str">
        <f>IF(Plantilla_SCAN_EQ3_COUNT_2[[#This Row],[ID MATERIAL]]="","",VLOOKUP(Plantilla_SCAN_EQ3_COUNT_2[[#This Row],[ID MATERIAL]],INVENTARIO!$A:$D,2,FALSE))</f>
        <v/>
      </c>
      <c r="F987" s="7" t="str">
        <f>IF(Plantilla_SCAN_EQ3_COUNT_2[[#This Row],[ID MATERIAL]]="","",IF(Plantilla_SCAN_EQ3_COUNT_2[[#This Row],[No. Empaques]]="",1,Plantilla_SCAN_EQ3_COUNT_2[[#This Row],[No. Empaques]]*1))</f>
        <v/>
      </c>
      <c r="G987" s="7" t="str">
        <f>IF(Plantilla_SCAN_EQ3_COUNT_2[[#This Row],[ID MATERIAL]]="","","PZ")</f>
        <v/>
      </c>
      <c r="H987" s="7" t="str">
        <f>IF(Plantilla_SCAN_EQ3_COUNT_2[[#This Row],[ID MATERIAL]]="","",$B$13)</f>
        <v/>
      </c>
      <c r="I987" s="7" t="str">
        <f>IF(Plantilla_SCAN_EQ3_COUNT_2[[#This Row],[ID MATERIAL]]="","","Segundo Conteo")</f>
        <v/>
      </c>
    </row>
    <row r="988" spans="1:9" s="7" customFormat="1" ht="15" x14ac:dyDescent="0.2">
      <c r="A988" s="7" t="str">
        <f>IF(Plantilla_SCAN_EQ3_COUNT_2[[#This Row],[ID MATERIAL]]="","",SIGN(Plantilla_SCAN_EQ3_COUNT_2[[#This Row],[Cantidad]])+A987)</f>
        <v/>
      </c>
      <c r="B988" s="21" t="str">
        <f>IF(Plantilla_SCAN_EQ3_COUNT_2[[#This Row],[ID MATERIAL]]="","",B987)</f>
        <v/>
      </c>
      <c r="C988" s="21"/>
      <c r="D988" s="21"/>
      <c r="E988" s="7" t="str">
        <f>IF(Plantilla_SCAN_EQ3_COUNT_2[[#This Row],[ID MATERIAL]]="","",VLOOKUP(Plantilla_SCAN_EQ3_COUNT_2[[#This Row],[ID MATERIAL]],INVENTARIO!$A:$D,2,FALSE))</f>
        <v/>
      </c>
      <c r="F988" s="7" t="str">
        <f>IF(Plantilla_SCAN_EQ3_COUNT_2[[#This Row],[ID MATERIAL]]="","",IF(Plantilla_SCAN_EQ3_COUNT_2[[#This Row],[No. Empaques]]="",1,Plantilla_SCAN_EQ3_COUNT_2[[#This Row],[No. Empaques]]*1))</f>
        <v/>
      </c>
      <c r="G988" s="7" t="str">
        <f>IF(Plantilla_SCAN_EQ3_COUNT_2[[#This Row],[ID MATERIAL]]="","","PZ")</f>
        <v/>
      </c>
      <c r="H988" s="7" t="str">
        <f>IF(Plantilla_SCAN_EQ3_COUNT_2[[#This Row],[ID MATERIAL]]="","",$B$13)</f>
        <v/>
      </c>
      <c r="I988" s="7" t="str">
        <f>IF(Plantilla_SCAN_EQ3_COUNT_2[[#This Row],[ID MATERIAL]]="","","Segundo Conteo")</f>
        <v/>
      </c>
    </row>
    <row r="989" spans="1:9" s="7" customFormat="1" ht="15" x14ac:dyDescent="0.2">
      <c r="A989" s="7" t="str">
        <f>IF(Plantilla_SCAN_EQ3_COUNT_2[[#This Row],[ID MATERIAL]]="","",SIGN(Plantilla_SCAN_EQ3_COUNT_2[[#This Row],[Cantidad]])+A988)</f>
        <v/>
      </c>
      <c r="B989" s="21" t="str">
        <f>IF(Plantilla_SCAN_EQ3_COUNT_2[[#This Row],[ID MATERIAL]]="","",B988)</f>
        <v/>
      </c>
      <c r="C989" s="21"/>
      <c r="D989" s="21"/>
      <c r="E989" s="7" t="str">
        <f>IF(Plantilla_SCAN_EQ3_COUNT_2[[#This Row],[ID MATERIAL]]="","",VLOOKUP(Plantilla_SCAN_EQ3_COUNT_2[[#This Row],[ID MATERIAL]],INVENTARIO!$A:$D,2,FALSE))</f>
        <v/>
      </c>
      <c r="F989" s="7" t="str">
        <f>IF(Plantilla_SCAN_EQ3_COUNT_2[[#This Row],[ID MATERIAL]]="","",IF(Plantilla_SCAN_EQ3_COUNT_2[[#This Row],[No. Empaques]]="",1,Plantilla_SCAN_EQ3_COUNT_2[[#This Row],[No. Empaques]]*1))</f>
        <v/>
      </c>
      <c r="G989" s="7" t="str">
        <f>IF(Plantilla_SCAN_EQ3_COUNT_2[[#This Row],[ID MATERIAL]]="","","PZ")</f>
        <v/>
      </c>
      <c r="H989" s="7" t="str">
        <f>IF(Plantilla_SCAN_EQ3_COUNT_2[[#This Row],[ID MATERIAL]]="","",$B$13)</f>
        <v/>
      </c>
      <c r="I989" s="7" t="str">
        <f>IF(Plantilla_SCAN_EQ3_COUNT_2[[#This Row],[ID MATERIAL]]="","","Segundo Conteo")</f>
        <v/>
      </c>
    </row>
    <row r="990" spans="1:9" s="7" customFormat="1" ht="15" x14ac:dyDescent="0.2">
      <c r="A990" s="7" t="str">
        <f>IF(Plantilla_SCAN_EQ3_COUNT_2[[#This Row],[ID MATERIAL]]="","",SIGN(Plantilla_SCAN_EQ3_COUNT_2[[#This Row],[Cantidad]])+A989)</f>
        <v/>
      </c>
      <c r="B990" s="21" t="str">
        <f>IF(Plantilla_SCAN_EQ3_COUNT_2[[#This Row],[ID MATERIAL]]="","",B989)</f>
        <v/>
      </c>
      <c r="C990" s="21"/>
      <c r="D990" s="21"/>
      <c r="E990" s="7" t="str">
        <f>IF(Plantilla_SCAN_EQ3_COUNT_2[[#This Row],[ID MATERIAL]]="","",VLOOKUP(Plantilla_SCAN_EQ3_COUNT_2[[#This Row],[ID MATERIAL]],INVENTARIO!$A:$D,2,FALSE))</f>
        <v/>
      </c>
      <c r="F990" s="7" t="str">
        <f>IF(Plantilla_SCAN_EQ3_COUNT_2[[#This Row],[ID MATERIAL]]="","",IF(Plantilla_SCAN_EQ3_COUNT_2[[#This Row],[No. Empaques]]="",1,Plantilla_SCAN_EQ3_COUNT_2[[#This Row],[No. Empaques]]*1))</f>
        <v/>
      </c>
      <c r="G990" s="7" t="str">
        <f>IF(Plantilla_SCAN_EQ3_COUNT_2[[#This Row],[ID MATERIAL]]="","","PZ")</f>
        <v/>
      </c>
      <c r="H990" s="7" t="str">
        <f>IF(Plantilla_SCAN_EQ3_COUNT_2[[#This Row],[ID MATERIAL]]="","",$B$13)</f>
        <v/>
      </c>
      <c r="I990" s="7" t="str">
        <f>IF(Plantilla_SCAN_EQ3_COUNT_2[[#This Row],[ID MATERIAL]]="","","Segundo Conteo")</f>
        <v/>
      </c>
    </row>
    <row r="991" spans="1:9" s="7" customFormat="1" ht="15" x14ac:dyDescent="0.2">
      <c r="A991" s="7" t="str">
        <f>IF(Plantilla_SCAN_EQ3_COUNT_2[[#This Row],[ID MATERIAL]]="","",SIGN(Plantilla_SCAN_EQ3_COUNT_2[[#This Row],[Cantidad]])+A990)</f>
        <v/>
      </c>
      <c r="B991" s="21" t="str">
        <f>IF(Plantilla_SCAN_EQ3_COUNT_2[[#This Row],[ID MATERIAL]]="","",B990)</f>
        <v/>
      </c>
      <c r="C991" s="21"/>
      <c r="D991" s="21"/>
      <c r="E991" s="7" t="str">
        <f>IF(Plantilla_SCAN_EQ3_COUNT_2[[#This Row],[ID MATERIAL]]="","",VLOOKUP(Plantilla_SCAN_EQ3_COUNT_2[[#This Row],[ID MATERIAL]],INVENTARIO!$A:$D,2,FALSE))</f>
        <v/>
      </c>
      <c r="F991" s="7" t="str">
        <f>IF(Plantilla_SCAN_EQ3_COUNT_2[[#This Row],[ID MATERIAL]]="","",IF(Plantilla_SCAN_EQ3_COUNT_2[[#This Row],[No. Empaques]]="",1,Plantilla_SCAN_EQ3_COUNT_2[[#This Row],[No. Empaques]]*1))</f>
        <v/>
      </c>
      <c r="G991" s="7" t="str">
        <f>IF(Plantilla_SCAN_EQ3_COUNT_2[[#This Row],[ID MATERIAL]]="","","PZ")</f>
        <v/>
      </c>
      <c r="H991" s="7" t="str">
        <f>IF(Plantilla_SCAN_EQ3_COUNT_2[[#This Row],[ID MATERIAL]]="","",$B$13)</f>
        <v/>
      </c>
      <c r="I991" s="7" t="str">
        <f>IF(Plantilla_SCAN_EQ3_COUNT_2[[#This Row],[ID MATERIAL]]="","","Segundo Conteo")</f>
        <v/>
      </c>
    </row>
    <row r="992" spans="1:9" s="7" customFormat="1" ht="15" x14ac:dyDescent="0.2">
      <c r="A992" s="7" t="str">
        <f>IF(Plantilla_SCAN_EQ3_COUNT_2[[#This Row],[ID MATERIAL]]="","",SIGN(Plantilla_SCAN_EQ3_COUNT_2[[#This Row],[Cantidad]])+A991)</f>
        <v/>
      </c>
      <c r="B992" s="21" t="str">
        <f>IF(Plantilla_SCAN_EQ3_COUNT_2[[#This Row],[ID MATERIAL]]="","",B991)</f>
        <v/>
      </c>
      <c r="C992" s="21"/>
      <c r="D992" s="21"/>
      <c r="E992" s="7" t="str">
        <f>IF(Plantilla_SCAN_EQ3_COUNT_2[[#This Row],[ID MATERIAL]]="","",VLOOKUP(Plantilla_SCAN_EQ3_COUNT_2[[#This Row],[ID MATERIAL]],INVENTARIO!$A:$D,2,FALSE))</f>
        <v/>
      </c>
      <c r="F992" s="7" t="str">
        <f>IF(Plantilla_SCAN_EQ3_COUNT_2[[#This Row],[ID MATERIAL]]="","",IF(Plantilla_SCAN_EQ3_COUNT_2[[#This Row],[No. Empaques]]="",1,Plantilla_SCAN_EQ3_COUNT_2[[#This Row],[No. Empaques]]*1))</f>
        <v/>
      </c>
      <c r="G992" s="7" t="str">
        <f>IF(Plantilla_SCAN_EQ3_COUNT_2[[#This Row],[ID MATERIAL]]="","","PZ")</f>
        <v/>
      </c>
      <c r="H992" s="7" t="str">
        <f>IF(Plantilla_SCAN_EQ3_COUNT_2[[#This Row],[ID MATERIAL]]="","",$B$13)</f>
        <v/>
      </c>
      <c r="I992" s="7" t="str">
        <f>IF(Plantilla_SCAN_EQ3_COUNT_2[[#This Row],[ID MATERIAL]]="","","Segundo Conteo")</f>
        <v/>
      </c>
    </row>
    <row r="993" spans="1:9" s="7" customFormat="1" ht="15" x14ac:dyDescent="0.2">
      <c r="A993" s="7" t="str">
        <f>IF(Plantilla_SCAN_EQ3_COUNT_2[[#This Row],[ID MATERIAL]]="","",SIGN(Plantilla_SCAN_EQ3_COUNT_2[[#This Row],[Cantidad]])+A992)</f>
        <v/>
      </c>
      <c r="B993" s="21" t="str">
        <f>IF(Plantilla_SCAN_EQ3_COUNT_2[[#This Row],[ID MATERIAL]]="","",B992)</f>
        <v/>
      </c>
      <c r="C993" s="21"/>
      <c r="D993" s="21"/>
      <c r="E993" s="7" t="str">
        <f>IF(Plantilla_SCAN_EQ3_COUNT_2[[#This Row],[ID MATERIAL]]="","",VLOOKUP(Plantilla_SCAN_EQ3_COUNT_2[[#This Row],[ID MATERIAL]],INVENTARIO!$A:$D,2,FALSE))</f>
        <v/>
      </c>
      <c r="F993" s="7" t="str">
        <f>IF(Plantilla_SCAN_EQ3_COUNT_2[[#This Row],[ID MATERIAL]]="","",IF(Plantilla_SCAN_EQ3_COUNT_2[[#This Row],[No. Empaques]]="",1,Plantilla_SCAN_EQ3_COUNT_2[[#This Row],[No. Empaques]]*1))</f>
        <v/>
      </c>
      <c r="G993" s="7" t="str">
        <f>IF(Plantilla_SCAN_EQ3_COUNT_2[[#This Row],[ID MATERIAL]]="","","PZ")</f>
        <v/>
      </c>
      <c r="H993" s="7" t="str">
        <f>IF(Plantilla_SCAN_EQ3_COUNT_2[[#This Row],[ID MATERIAL]]="","",$B$13)</f>
        <v/>
      </c>
      <c r="I993" s="7" t="str">
        <f>IF(Plantilla_SCAN_EQ3_COUNT_2[[#This Row],[ID MATERIAL]]="","","Segundo Conteo")</f>
        <v/>
      </c>
    </row>
    <row r="994" spans="1:9" s="7" customFormat="1" ht="15" x14ac:dyDescent="0.2">
      <c r="A994" s="7" t="str">
        <f>IF(Plantilla_SCAN_EQ3_COUNT_2[[#This Row],[ID MATERIAL]]="","",SIGN(Plantilla_SCAN_EQ3_COUNT_2[[#This Row],[Cantidad]])+A993)</f>
        <v/>
      </c>
      <c r="B994" s="21" t="str">
        <f>IF(Plantilla_SCAN_EQ3_COUNT_2[[#This Row],[ID MATERIAL]]="","",B993)</f>
        <v/>
      </c>
      <c r="C994" s="21"/>
      <c r="D994" s="21"/>
      <c r="E994" s="7" t="str">
        <f>IF(Plantilla_SCAN_EQ3_COUNT_2[[#This Row],[ID MATERIAL]]="","",VLOOKUP(Plantilla_SCAN_EQ3_COUNT_2[[#This Row],[ID MATERIAL]],INVENTARIO!$A:$D,2,FALSE))</f>
        <v/>
      </c>
      <c r="F994" s="7" t="str">
        <f>IF(Plantilla_SCAN_EQ3_COUNT_2[[#This Row],[ID MATERIAL]]="","",IF(Plantilla_SCAN_EQ3_COUNT_2[[#This Row],[No. Empaques]]="",1,Plantilla_SCAN_EQ3_COUNT_2[[#This Row],[No. Empaques]]*1))</f>
        <v/>
      </c>
      <c r="G994" s="7" t="str">
        <f>IF(Plantilla_SCAN_EQ3_COUNT_2[[#This Row],[ID MATERIAL]]="","","PZ")</f>
        <v/>
      </c>
      <c r="H994" s="7" t="str">
        <f>IF(Plantilla_SCAN_EQ3_COUNT_2[[#This Row],[ID MATERIAL]]="","",$B$13)</f>
        <v/>
      </c>
      <c r="I994" s="7" t="str">
        <f>IF(Plantilla_SCAN_EQ3_COUNT_2[[#This Row],[ID MATERIAL]]="","","Segundo Conteo")</f>
        <v/>
      </c>
    </row>
    <row r="995" spans="1:9" s="7" customFormat="1" ht="15" x14ac:dyDescent="0.2">
      <c r="A995" s="7" t="str">
        <f>IF(Plantilla_SCAN_EQ3_COUNT_2[[#This Row],[ID MATERIAL]]="","",SIGN(Plantilla_SCAN_EQ3_COUNT_2[[#This Row],[Cantidad]])+A994)</f>
        <v/>
      </c>
      <c r="B995" s="21" t="str">
        <f>IF(Plantilla_SCAN_EQ3_COUNT_2[[#This Row],[ID MATERIAL]]="","",B994)</f>
        <v/>
      </c>
      <c r="C995" s="21"/>
      <c r="D995" s="21"/>
      <c r="E995" s="7" t="str">
        <f>IF(Plantilla_SCAN_EQ3_COUNT_2[[#This Row],[ID MATERIAL]]="","",VLOOKUP(Plantilla_SCAN_EQ3_COUNT_2[[#This Row],[ID MATERIAL]],INVENTARIO!$A:$D,2,FALSE))</f>
        <v/>
      </c>
      <c r="F995" s="7" t="str">
        <f>IF(Plantilla_SCAN_EQ3_COUNT_2[[#This Row],[ID MATERIAL]]="","",IF(Plantilla_SCAN_EQ3_COUNT_2[[#This Row],[No. Empaques]]="",1,Plantilla_SCAN_EQ3_COUNT_2[[#This Row],[No. Empaques]]*1))</f>
        <v/>
      </c>
      <c r="G995" s="7" t="str">
        <f>IF(Plantilla_SCAN_EQ3_COUNT_2[[#This Row],[ID MATERIAL]]="","","PZ")</f>
        <v/>
      </c>
      <c r="H995" s="7" t="str">
        <f>IF(Plantilla_SCAN_EQ3_COUNT_2[[#This Row],[ID MATERIAL]]="","",$B$13)</f>
        <v/>
      </c>
      <c r="I995" s="7" t="str">
        <f>IF(Plantilla_SCAN_EQ3_COUNT_2[[#This Row],[ID MATERIAL]]="","","Segundo Conteo")</f>
        <v/>
      </c>
    </row>
    <row r="996" spans="1:9" s="7" customFormat="1" ht="15" x14ac:dyDescent="0.2">
      <c r="A996" s="7" t="str">
        <f>IF(Plantilla_SCAN_EQ3_COUNT_2[[#This Row],[ID MATERIAL]]="","",SIGN(Plantilla_SCAN_EQ3_COUNT_2[[#This Row],[Cantidad]])+A995)</f>
        <v/>
      </c>
      <c r="B996" s="21" t="str">
        <f>IF(Plantilla_SCAN_EQ3_COUNT_2[[#This Row],[ID MATERIAL]]="","",B995)</f>
        <v/>
      </c>
      <c r="C996" s="21"/>
      <c r="D996" s="21"/>
      <c r="E996" s="7" t="str">
        <f>IF(Plantilla_SCAN_EQ3_COUNT_2[[#This Row],[ID MATERIAL]]="","",VLOOKUP(Plantilla_SCAN_EQ3_COUNT_2[[#This Row],[ID MATERIAL]],INVENTARIO!$A:$D,2,FALSE))</f>
        <v/>
      </c>
      <c r="F996" s="7" t="str">
        <f>IF(Plantilla_SCAN_EQ3_COUNT_2[[#This Row],[ID MATERIAL]]="","",IF(Plantilla_SCAN_EQ3_COUNT_2[[#This Row],[No. Empaques]]="",1,Plantilla_SCAN_EQ3_COUNT_2[[#This Row],[No. Empaques]]*1))</f>
        <v/>
      </c>
      <c r="G996" s="7" t="str">
        <f>IF(Plantilla_SCAN_EQ3_COUNT_2[[#This Row],[ID MATERIAL]]="","","PZ")</f>
        <v/>
      </c>
      <c r="H996" s="7" t="str">
        <f>IF(Plantilla_SCAN_EQ3_COUNT_2[[#This Row],[ID MATERIAL]]="","",$B$13)</f>
        <v/>
      </c>
      <c r="I996" s="7" t="str">
        <f>IF(Plantilla_SCAN_EQ3_COUNT_2[[#This Row],[ID MATERIAL]]="","","Segundo Conteo")</f>
        <v/>
      </c>
    </row>
    <row r="997" spans="1:9" s="7" customFormat="1" ht="15" x14ac:dyDescent="0.2">
      <c r="A997" s="7" t="str">
        <f>IF(Plantilla_SCAN_EQ3_COUNT_2[[#This Row],[ID MATERIAL]]="","",SIGN(Plantilla_SCAN_EQ3_COUNT_2[[#This Row],[Cantidad]])+A996)</f>
        <v/>
      </c>
      <c r="B997" s="21" t="str">
        <f>IF(Plantilla_SCAN_EQ3_COUNT_2[[#This Row],[ID MATERIAL]]="","",B996)</f>
        <v/>
      </c>
      <c r="C997" s="21"/>
      <c r="D997" s="21"/>
      <c r="E997" s="7" t="str">
        <f>IF(Plantilla_SCAN_EQ3_COUNT_2[[#This Row],[ID MATERIAL]]="","",VLOOKUP(Plantilla_SCAN_EQ3_COUNT_2[[#This Row],[ID MATERIAL]],INVENTARIO!$A:$D,2,FALSE))</f>
        <v/>
      </c>
      <c r="F997" s="7" t="str">
        <f>IF(Plantilla_SCAN_EQ3_COUNT_2[[#This Row],[ID MATERIAL]]="","",IF(Plantilla_SCAN_EQ3_COUNT_2[[#This Row],[No. Empaques]]="",1,Plantilla_SCAN_EQ3_COUNT_2[[#This Row],[No. Empaques]]*1))</f>
        <v/>
      </c>
      <c r="G997" s="7" t="str">
        <f>IF(Plantilla_SCAN_EQ3_COUNT_2[[#This Row],[ID MATERIAL]]="","","PZ")</f>
        <v/>
      </c>
      <c r="H997" s="7" t="str">
        <f>IF(Plantilla_SCAN_EQ3_COUNT_2[[#This Row],[ID MATERIAL]]="","",$B$13)</f>
        <v/>
      </c>
      <c r="I997" s="7" t="str">
        <f>IF(Plantilla_SCAN_EQ3_COUNT_2[[#This Row],[ID MATERIAL]]="","","Segundo Conteo")</f>
        <v/>
      </c>
    </row>
    <row r="998" spans="1:9" s="7" customFormat="1" ht="15" x14ac:dyDescent="0.2">
      <c r="A998" s="7" t="str">
        <f>IF(Plantilla_SCAN_EQ3_COUNT_2[[#This Row],[ID MATERIAL]]="","",SIGN(Plantilla_SCAN_EQ3_COUNT_2[[#This Row],[Cantidad]])+A997)</f>
        <v/>
      </c>
      <c r="B998" s="21" t="str">
        <f>IF(Plantilla_SCAN_EQ3_COUNT_2[[#This Row],[ID MATERIAL]]="","",B997)</f>
        <v/>
      </c>
      <c r="C998" s="21"/>
      <c r="D998" s="21"/>
      <c r="E998" s="7" t="str">
        <f>IF(Plantilla_SCAN_EQ3_COUNT_2[[#This Row],[ID MATERIAL]]="","",VLOOKUP(Plantilla_SCAN_EQ3_COUNT_2[[#This Row],[ID MATERIAL]],INVENTARIO!$A:$D,2,FALSE))</f>
        <v/>
      </c>
      <c r="F998" s="7" t="str">
        <f>IF(Plantilla_SCAN_EQ3_COUNT_2[[#This Row],[ID MATERIAL]]="","",IF(Plantilla_SCAN_EQ3_COUNT_2[[#This Row],[No. Empaques]]="",1,Plantilla_SCAN_EQ3_COUNT_2[[#This Row],[No. Empaques]]*1))</f>
        <v/>
      </c>
      <c r="G998" s="7" t="str">
        <f>IF(Plantilla_SCAN_EQ3_COUNT_2[[#This Row],[ID MATERIAL]]="","","PZ")</f>
        <v/>
      </c>
      <c r="H998" s="7" t="str">
        <f>IF(Plantilla_SCAN_EQ3_COUNT_2[[#This Row],[ID MATERIAL]]="","",$B$13)</f>
        <v/>
      </c>
      <c r="I998" s="7" t="str">
        <f>IF(Plantilla_SCAN_EQ3_COUNT_2[[#This Row],[ID MATERIAL]]="","","Segundo Conteo")</f>
        <v/>
      </c>
    </row>
    <row r="999" spans="1:9" s="7" customFormat="1" ht="15" x14ac:dyDescent="0.2">
      <c r="A999" s="7" t="str">
        <f>IF(Plantilla_SCAN_EQ3_COUNT_2[[#This Row],[ID MATERIAL]]="","",SIGN(Plantilla_SCAN_EQ3_COUNT_2[[#This Row],[Cantidad]])+A998)</f>
        <v/>
      </c>
      <c r="B999" s="21" t="str">
        <f>IF(Plantilla_SCAN_EQ3_COUNT_2[[#This Row],[ID MATERIAL]]="","",B998)</f>
        <v/>
      </c>
      <c r="C999" s="21"/>
      <c r="D999" s="21"/>
      <c r="E999" s="7" t="str">
        <f>IF(Plantilla_SCAN_EQ3_COUNT_2[[#This Row],[ID MATERIAL]]="","",VLOOKUP(Plantilla_SCAN_EQ3_COUNT_2[[#This Row],[ID MATERIAL]],INVENTARIO!$A:$D,2,FALSE))</f>
        <v/>
      </c>
      <c r="F999" s="7" t="str">
        <f>IF(Plantilla_SCAN_EQ3_COUNT_2[[#This Row],[ID MATERIAL]]="","",IF(Plantilla_SCAN_EQ3_COUNT_2[[#This Row],[No. Empaques]]="",1,Plantilla_SCAN_EQ3_COUNT_2[[#This Row],[No. Empaques]]*1))</f>
        <v/>
      </c>
      <c r="G999" s="7" t="str">
        <f>IF(Plantilla_SCAN_EQ3_COUNT_2[[#This Row],[ID MATERIAL]]="","","PZ")</f>
        <v/>
      </c>
      <c r="H999" s="7" t="str">
        <f>IF(Plantilla_SCAN_EQ3_COUNT_2[[#This Row],[ID MATERIAL]]="","",$B$13)</f>
        <v/>
      </c>
      <c r="I999" s="7" t="str">
        <f>IF(Plantilla_SCAN_EQ3_COUNT_2[[#This Row],[ID MATERIAL]]="","","Segundo Conteo")</f>
        <v/>
      </c>
    </row>
    <row r="1000" spans="1:9" s="7" customFormat="1" ht="15" x14ac:dyDescent="0.2">
      <c r="A1000" s="7" t="str">
        <f>IF(Plantilla_SCAN_EQ3_COUNT_2[[#This Row],[ID MATERIAL]]="","",SIGN(Plantilla_SCAN_EQ3_COUNT_2[[#This Row],[Cantidad]])+A999)</f>
        <v/>
      </c>
      <c r="B1000" s="21" t="str">
        <f>IF(Plantilla_SCAN_EQ3_COUNT_2[[#This Row],[ID MATERIAL]]="","",B999)</f>
        <v/>
      </c>
      <c r="C1000" s="21"/>
      <c r="D1000" s="21"/>
      <c r="E1000" s="7" t="str">
        <f>IF(Plantilla_SCAN_EQ3_COUNT_2[[#This Row],[ID MATERIAL]]="","",VLOOKUP(Plantilla_SCAN_EQ3_COUNT_2[[#This Row],[ID MATERIAL]],INVENTARIO!$A:$D,2,FALSE))</f>
        <v/>
      </c>
      <c r="F1000" s="7" t="str">
        <f>IF(Plantilla_SCAN_EQ3_COUNT_2[[#This Row],[ID MATERIAL]]="","",IF(Plantilla_SCAN_EQ3_COUNT_2[[#This Row],[No. Empaques]]="",1,Plantilla_SCAN_EQ3_COUNT_2[[#This Row],[No. Empaques]]*1))</f>
        <v/>
      </c>
      <c r="G1000" s="7" t="str">
        <f>IF(Plantilla_SCAN_EQ3_COUNT_2[[#This Row],[ID MATERIAL]]="","","PZ")</f>
        <v/>
      </c>
      <c r="H1000" s="7" t="str">
        <f>IF(Plantilla_SCAN_EQ3_COUNT_2[[#This Row],[ID MATERIAL]]="","",$B$13)</f>
        <v/>
      </c>
      <c r="I1000" s="7" t="str">
        <f>IF(Plantilla_SCAN_EQ3_COUNT_2[[#This Row],[ID MATERIAL]]="","","Segundo Conteo")</f>
        <v/>
      </c>
    </row>
    <row r="1001" spans="1:9" s="7" customFormat="1" ht="15" x14ac:dyDescent="0.2">
      <c r="A1001" s="7" t="str">
        <f>IF(Plantilla_SCAN_EQ3_COUNT_2[[#This Row],[ID MATERIAL]]="","",SIGN(Plantilla_SCAN_EQ3_COUNT_2[[#This Row],[Cantidad]])+A1000)</f>
        <v/>
      </c>
      <c r="B1001" s="21" t="str">
        <f>IF(Plantilla_SCAN_EQ3_COUNT_2[[#This Row],[ID MATERIAL]]="","",B1000)</f>
        <v/>
      </c>
      <c r="C1001" s="21"/>
      <c r="D1001" s="21"/>
      <c r="E1001" s="7" t="str">
        <f>IF(Plantilla_SCAN_EQ3_COUNT_2[[#This Row],[ID MATERIAL]]="","",VLOOKUP(Plantilla_SCAN_EQ3_COUNT_2[[#This Row],[ID MATERIAL]],INVENTARIO!$A:$D,2,FALSE))</f>
        <v/>
      </c>
      <c r="F1001" s="7" t="str">
        <f>IF(Plantilla_SCAN_EQ3_COUNT_2[[#This Row],[ID MATERIAL]]="","",IF(Plantilla_SCAN_EQ3_COUNT_2[[#This Row],[No. Empaques]]="",1,Plantilla_SCAN_EQ3_COUNT_2[[#This Row],[No. Empaques]]*1))</f>
        <v/>
      </c>
      <c r="G1001" s="7" t="str">
        <f>IF(Plantilla_SCAN_EQ3_COUNT_2[[#This Row],[ID MATERIAL]]="","","PZ")</f>
        <v/>
      </c>
      <c r="H1001" s="7" t="str">
        <f>IF(Plantilla_SCAN_EQ3_COUNT_2[[#This Row],[ID MATERIAL]]="","",$B$13)</f>
        <v/>
      </c>
      <c r="I1001" s="7" t="str">
        <f>IF(Plantilla_SCAN_EQ3_COUNT_2[[#This Row],[ID MATERIAL]]="","","Segundo Conteo")</f>
        <v/>
      </c>
    </row>
    <row r="1002" spans="1:9" s="7" customFormat="1" ht="15" x14ac:dyDescent="0.2">
      <c r="A1002" s="7" t="str">
        <f>IF(Plantilla_SCAN_EQ3_COUNT_2[[#This Row],[ID MATERIAL]]="","",SIGN(Plantilla_SCAN_EQ3_COUNT_2[[#This Row],[Cantidad]])+A1001)</f>
        <v/>
      </c>
      <c r="B1002" s="21" t="str">
        <f>IF(Plantilla_SCAN_EQ3_COUNT_2[[#This Row],[ID MATERIAL]]="","",B1001)</f>
        <v/>
      </c>
      <c r="C1002" s="21"/>
      <c r="D1002" s="21"/>
      <c r="E1002" s="7" t="str">
        <f>IF(Plantilla_SCAN_EQ3_COUNT_2[[#This Row],[ID MATERIAL]]="","",VLOOKUP(Plantilla_SCAN_EQ3_COUNT_2[[#This Row],[ID MATERIAL]],INVENTARIO!$A:$D,2,FALSE))</f>
        <v/>
      </c>
      <c r="F1002" s="7" t="str">
        <f>IF(Plantilla_SCAN_EQ3_COUNT_2[[#This Row],[ID MATERIAL]]="","",IF(Plantilla_SCAN_EQ3_COUNT_2[[#This Row],[No. Empaques]]="",1,Plantilla_SCAN_EQ3_COUNT_2[[#This Row],[No. Empaques]]*1))</f>
        <v/>
      </c>
      <c r="G1002" s="7" t="str">
        <f>IF(Plantilla_SCAN_EQ3_COUNT_2[[#This Row],[ID MATERIAL]]="","","PZ")</f>
        <v/>
      </c>
      <c r="H1002" s="7" t="str">
        <f>IF(Plantilla_SCAN_EQ3_COUNT_2[[#This Row],[ID MATERIAL]]="","",$B$13)</f>
        <v/>
      </c>
      <c r="I1002" s="7" t="str">
        <f>IF(Plantilla_SCAN_EQ3_COUNT_2[[#This Row],[ID MATERIAL]]="","","Segundo Conteo")</f>
        <v/>
      </c>
    </row>
    <row r="1003" spans="1:9" s="7" customFormat="1" ht="15" x14ac:dyDescent="0.2">
      <c r="A1003" s="7" t="str">
        <f>IF(Plantilla_SCAN_EQ3_COUNT_2[[#This Row],[ID MATERIAL]]="","",SIGN(Plantilla_SCAN_EQ3_COUNT_2[[#This Row],[Cantidad]])+A1002)</f>
        <v/>
      </c>
      <c r="B1003" s="21" t="str">
        <f>IF(Plantilla_SCAN_EQ3_COUNT_2[[#This Row],[ID MATERIAL]]="","",B1002)</f>
        <v/>
      </c>
      <c r="C1003" s="21"/>
      <c r="D1003" s="21"/>
      <c r="E1003" s="7" t="str">
        <f>IF(Plantilla_SCAN_EQ3_COUNT_2[[#This Row],[ID MATERIAL]]="","",VLOOKUP(Plantilla_SCAN_EQ3_COUNT_2[[#This Row],[ID MATERIAL]],INVENTARIO!$A:$D,2,FALSE))</f>
        <v/>
      </c>
      <c r="F1003" s="7" t="str">
        <f>IF(Plantilla_SCAN_EQ3_COUNT_2[[#This Row],[ID MATERIAL]]="","",IF(Plantilla_SCAN_EQ3_COUNT_2[[#This Row],[No. Empaques]]="",1,Plantilla_SCAN_EQ3_COUNT_2[[#This Row],[No. Empaques]]*1))</f>
        <v/>
      </c>
      <c r="G1003" s="7" t="str">
        <f>IF(Plantilla_SCAN_EQ3_COUNT_2[[#This Row],[ID MATERIAL]]="","","PZ")</f>
        <v/>
      </c>
      <c r="H1003" s="7" t="str">
        <f>IF(Plantilla_SCAN_EQ3_COUNT_2[[#This Row],[ID MATERIAL]]="","",$B$13)</f>
        <v/>
      </c>
      <c r="I1003" s="7" t="str">
        <f>IF(Plantilla_SCAN_EQ3_COUNT_2[[#This Row],[ID MATERIAL]]="","","Segundo Conteo")</f>
        <v/>
      </c>
    </row>
    <row r="1004" spans="1:9" s="7" customFormat="1" ht="15" x14ac:dyDescent="0.2">
      <c r="A1004" s="7" t="str">
        <f>IF(Plantilla_SCAN_EQ3_COUNT_2[[#This Row],[ID MATERIAL]]="","",SIGN(Plantilla_SCAN_EQ3_COUNT_2[[#This Row],[Cantidad]])+A1003)</f>
        <v/>
      </c>
      <c r="B1004" s="21" t="str">
        <f>IF(Plantilla_SCAN_EQ3_COUNT_2[[#This Row],[ID MATERIAL]]="","",B1003)</f>
        <v/>
      </c>
      <c r="C1004" s="21"/>
      <c r="D1004" s="21"/>
      <c r="E1004" s="7" t="str">
        <f>IF(Plantilla_SCAN_EQ3_COUNT_2[[#This Row],[ID MATERIAL]]="","",VLOOKUP(Plantilla_SCAN_EQ3_COUNT_2[[#This Row],[ID MATERIAL]],INVENTARIO!$A:$D,2,FALSE))</f>
        <v/>
      </c>
      <c r="F1004" s="7" t="str">
        <f>IF(Plantilla_SCAN_EQ3_COUNT_2[[#This Row],[ID MATERIAL]]="","",IF(Plantilla_SCAN_EQ3_COUNT_2[[#This Row],[No. Empaques]]="",1,Plantilla_SCAN_EQ3_COUNT_2[[#This Row],[No. Empaques]]*1))</f>
        <v/>
      </c>
      <c r="G1004" s="7" t="str">
        <f>IF(Plantilla_SCAN_EQ3_COUNT_2[[#This Row],[ID MATERIAL]]="","","PZ")</f>
        <v/>
      </c>
      <c r="H1004" s="7" t="str">
        <f>IF(Plantilla_SCAN_EQ3_COUNT_2[[#This Row],[ID MATERIAL]]="","",$B$13)</f>
        <v/>
      </c>
      <c r="I1004" s="7" t="str">
        <f>IF(Plantilla_SCAN_EQ3_COUNT_2[[#This Row],[ID MATERIAL]]="","","Segundo Conteo")</f>
        <v/>
      </c>
    </row>
    <row r="1005" spans="1:9" s="7" customFormat="1" ht="15" x14ac:dyDescent="0.2">
      <c r="A1005" s="7" t="str">
        <f>IF(Plantilla_SCAN_EQ3_COUNT_2[[#This Row],[ID MATERIAL]]="","",SIGN(Plantilla_SCAN_EQ3_COUNT_2[[#This Row],[Cantidad]])+A1004)</f>
        <v/>
      </c>
      <c r="B1005" s="21" t="str">
        <f>IF(Plantilla_SCAN_EQ3_COUNT_2[[#This Row],[ID MATERIAL]]="","",B1004)</f>
        <v/>
      </c>
      <c r="C1005" s="21"/>
      <c r="D1005" s="21"/>
      <c r="E1005" s="7" t="str">
        <f>IF(Plantilla_SCAN_EQ3_COUNT_2[[#This Row],[ID MATERIAL]]="","",VLOOKUP(Plantilla_SCAN_EQ3_COUNT_2[[#This Row],[ID MATERIAL]],INVENTARIO!$A:$D,2,FALSE))</f>
        <v/>
      </c>
      <c r="F1005" s="7" t="str">
        <f>IF(Plantilla_SCAN_EQ3_COUNT_2[[#This Row],[ID MATERIAL]]="","",IF(Plantilla_SCAN_EQ3_COUNT_2[[#This Row],[No. Empaques]]="",1,Plantilla_SCAN_EQ3_COUNT_2[[#This Row],[No. Empaques]]*1))</f>
        <v/>
      </c>
      <c r="G1005" s="7" t="str">
        <f>IF(Plantilla_SCAN_EQ3_COUNT_2[[#This Row],[ID MATERIAL]]="","","PZ")</f>
        <v/>
      </c>
      <c r="H1005" s="7" t="str">
        <f>IF(Plantilla_SCAN_EQ3_COUNT_2[[#This Row],[ID MATERIAL]]="","",$B$13)</f>
        <v/>
      </c>
      <c r="I1005" s="7" t="str">
        <f>IF(Plantilla_SCAN_EQ3_COUNT_2[[#This Row],[ID MATERIAL]]="","","Segundo Conteo")</f>
        <v/>
      </c>
    </row>
    <row r="1006" spans="1:9" s="7" customFormat="1" ht="15" x14ac:dyDescent="0.2">
      <c r="A1006" s="7" t="str">
        <f>IF(Plantilla_SCAN_EQ3_COUNT_2[[#This Row],[ID MATERIAL]]="","",SIGN(Plantilla_SCAN_EQ3_COUNT_2[[#This Row],[Cantidad]])+A1005)</f>
        <v/>
      </c>
      <c r="B1006" s="21" t="str">
        <f>IF(Plantilla_SCAN_EQ3_COUNT_2[[#This Row],[ID MATERIAL]]="","",B1005)</f>
        <v/>
      </c>
      <c r="C1006" s="21"/>
      <c r="D1006" s="21"/>
      <c r="E1006" s="7" t="str">
        <f>IF(Plantilla_SCAN_EQ3_COUNT_2[[#This Row],[ID MATERIAL]]="","",VLOOKUP(Plantilla_SCAN_EQ3_COUNT_2[[#This Row],[ID MATERIAL]],INVENTARIO!$A:$D,2,FALSE))</f>
        <v/>
      </c>
      <c r="F1006" s="7" t="str">
        <f>IF(Plantilla_SCAN_EQ3_COUNT_2[[#This Row],[ID MATERIAL]]="","",IF(Plantilla_SCAN_EQ3_COUNT_2[[#This Row],[No. Empaques]]="",1,Plantilla_SCAN_EQ3_COUNT_2[[#This Row],[No. Empaques]]*1))</f>
        <v/>
      </c>
      <c r="G1006" s="7" t="str">
        <f>IF(Plantilla_SCAN_EQ3_COUNT_2[[#This Row],[ID MATERIAL]]="","","PZ")</f>
        <v/>
      </c>
      <c r="H1006" s="7" t="str">
        <f>IF(Plantilla_SCAN_EQ3_COUNT_2[[#This Row],[ID MATERIAL]]="","",$B$13)</f>
        <v/>
      </c>
      <c r="I1006" s="7" t="str">
        <f>IF(Plantilla_SCAN_EQ3_COUNT_2[[#This Row],[ID MATERIAL]]="","","Segundo Conteo")</f>
        <v/>
      </c>
    </row>
    <row r="1007" spans="1:9" s="7" customFormat="1" ht="15" x14ac:dyDescent="0.2">
      <c r="A1007" s="7" t="str">
        <f>IF(Plantilla_SCAN_EQ3_COUNT_2[[#This Row],[ID MATERIAL]]="","",SIGN(Plantilla_SCAN_EQ3_COUNT_2[[#This Row],[Cantidad]])+A1006)</f>
        <v/>
      </c>
      <c r="B1007" s="21" t="str">
        <f>IF(Plantilla_SCAN_EQ3_COUNT_2[[#This Row],[ID MATERIAL]]="","",B1006)</f>
        <v/>
      </c>
      <c r="C1007" s="21"/>
      <c r="D1007" s="21"/>
      <c r="E1007" s="7" t="str">
        <f>IF(Plantilla_SCAN_EQ3_COUNT_2[[#This Row],[ID MATERIAL]]="","",VLOOKUP(Plantilla_SCAN_EQ3_COUNT_2[[#This Row],[ID MATERIAL]],INVENTARIO!$A:$D,2,FALSE))</f>
        <v/>
      </c>
      <c r="F1007" s="7" t="str">
        <f>IF(Plantilla_SCAN_EQ3_COUNT_2[[#This Row],[ID MATERIAL]]="","",IF(Plantilla_SCAN_EQ3_COUNT_2[[#This Row],[No. Empaques]]="",1,Plantilla_SCAN_EQ3_COUNT_2[[#This Row],[No. Empaques]]*1))</f>
        <v/>
      </c>
      <c r="G1007" s="7" t="str">
        <f>IF(Plantilla_SCAN_EQ3_COUNT_2[[#This Row],[ID MATERIAL]]="","","PZ")</f>
        <v/>
      </c>
      <c r="H1007" s="7" t="str">
        <f>IF(Plantilla_SCAN_EQ3_COUNT_2[[#This Row],[ID MATERIAL]]="","",$B$13)</f>
        <v/>
      </c>
      <c r="I1007" s="7" t="str">
        <f>IF(Plantilla_SCAN_EQ3_COUNT_2[[#This Row],[ID MATERIAL]]="","","Segundo Conteo")</f>
        <v/>
      </c>
    </row>
    <row r="1008" spans="1:9" s="7" customFormat="1" ht="15" x14ac:dyDescent="0.2">
      <c r="A1008" s="7" t="str">
        <f>IF(Plantilla_SCAN_EQ3_COUNT_2[[#This Row],[ID MATERIAL]]="","",SIGN(Plantilla_SCAN_EQ3_COUNT_2[[#This Row],[Cantidad]])+A1007)</f>
        <v/>
      </c>
      <c r="B1008" s="21" t="str">
        <f>IF(Plantilla_SCAN_EQ3_COUNT_2[[#This Row],[ID MATERIAL]]="","",B1007)</f>
        <v/>
      </c>
      <c r="C1008" s="21"/>
      <c r="D1008" s="21"/>
      <c r="E1008" s="7" t="str">
        <f>IF(Plantilla_SCAN_EQ3_COUNT_2[[#This Row],[ID MATERIAL]]="","",VLOOKUP(Plantilla_SCAN_EQ3_COUNT_2[[#This Row],[ID MATERIAL]],INVENTARIO!$A:$D,2,FALSE))</f>
        <v/>
      </c>
      <c r="F1008" s="7" t="str">
        <f>IF(Plantilla_SCAN_EQ3_COUNT_2[[#This Row],[ID MATERIAL]]="","",IF(Plantilla_SCAN_EQ3_COUNT_2[[#This Row],[No. Empaques]]="",1,Plantilla_SCAN_EQ3_COUNT_2[[#This Row],[No. Empaques]]*1))</f>
        <v/>
      </c>
      <c r="G1008" s="7" t="str">
        <f>IF(Plantilla_SCAN_EQ3_COUNT_2[[#This Row],[ID MATERIAL]]="","","PZ")</f>
        <v/>
      </c>
      <c r="H1008" s="7" t="str">
        <f>IF(Plantilla_SCAN_EQ3_COUNT_2[[#This Row],[ID MATERIAL]]="","",$B$13)</f>
        <v/>
      </c>
      <c r="I1008" s="7" t="str">
        <f>IF(Plantilla_SCAN_EQ3_COUNT_2[[#This Row],[ID MATERIAL]]="","","Segundo Conteo")</f>
        <v/>
      </c>
    </row>
    <row r="1009" spans="1:9" s="7" customFormat="1" ht="15" x14ac:dyDescent="0.2">
      <c r="A1009" s="7" t="str">
        <f>IF(Plantilla_SCAN_EQ3_COUNT_2[[#This Row],[ID MATERIAL]]="","",SIGN(Plantilla_SCAN_EQ3_COUNT_2[[#This Row],[Cantidad]])+A1008)</f>
        <v/>
      </c>
      <c r="B1009" s="21" t="str">
        <f>IF(Plantilla_SCAN_EQ3_COUNT_2[[#This Row],[ID MATERIAL]]="","",B1008)</f>
        <v/>
      </c>
      <c r="C1009" s="21"/>
      <c r="D1009" s="21"/>
      <c r="E1009" s="7" t="str">
        <f>IF(Plantilla_SCAN_EQ3_COUNT_2[[#This Row],[ID MATERIAL]]="","",VLOOKUP(Plantilla_SCAN_EQ3_COUNT_2[[#This Row],[ID MATERIAL]],INVENTARIO!$A:$D,2,FALSE))</f>
        <v/>
      </c>
      <c r="F1009" s="7" t="str">
        <f>IF(Plantilla_SCAN_EQ3_COUNT_2[[#This Row],[ID MATERIAL]]="","",IF(Plantilla_SCAN_EQ3_COUNT_2[[#This Row],[No. Empaques]]="",1,Plantilla_SCAN_EQ3_COUNT_2[[#This Row],[No. Empaques]]*1))</f>
        <v/>
      </c>
      <c r="G1009" s="7" t="str">
        <f>IF(Plantilla_SCAN_EQ3_COUNT_2[[#This Row],[ID MATERIAL]]="","","PZ")</f>
        <v/>
      </c>
      <c r="H1009" s="7" t="str">
        <f>IF(Plantilla_SCAN_EQ3_COUNT_2[[#This Row],[ID MATERIAL]]="","",$B$13)</f>
        <v/>
      </c>
      <c r="I1009" s="7" t="str">
        <f>IF(Plantilla_SCAN_EQ3_COUNT_2[[#This Row],[ID MATERIAL]]="","","Segundo Conteo")</f>
        <v/>
      </c>
    </row>
    <row r="1010" spans="1:9" s="7" customFormat="1" ht="15" x14ac:dyDescent="0.2">
      <c r="A1010" s="7" t="str">
        <f>IF(Plantilla_SCAN_EQ3_COUNT_2[[#This Row],[ID MATERIAL]]="","",SIGN(Plantilla_SCAN_EQ3_COUNT_2[[#This Row],[Cantidad]])+A1009)</f>
        <v/>
      </c>
      <c r="B1010" s="21" t="str">
        <f>IF(Plantilla_SCAN_EQ3_COUNT_2[[#This Row],[ID MATERIAL]]="","",B1009)</f>
        <v/>
      </c>
      <c r="C1010" s="21"/>
      <c r="D1010" s="21"/>
      <c r="E1010" s="7" t="str">
        <f>IF(Plantilla_SCAN_EQ3_COUNT_2[[#This Row],[ID MATERIAL]]="","",VLOOKUP(Plantilla_SCAN_EQ3_COUNT_2[[#This Row],[ID MATERIAL]],INVENTARIO!$A:$D,2,FALSE))</f>
        <v/>
      </c>
      <c r="F1010" s="7" t="str">
        <f>IF(Plantilla_SCAN_EQ3_COUNT_2[[#This Row],[ID MATERIAL]]="","",IF(Plantilla_SCAN_EQ3_COUNT_2[[#This Row],[No. Empaques]]="",1,Plantilla_SCAN_EQ3_COUNT_2[[#This Row],[No. Empaques]]*1))</f>
        <v/>
      </c>
      <c r="G1010" s="7" t="str">
        <f>IF(Plantilla_SCAN_EQ3_COUNT_2[[#This Row],[ID MATERIAL]]="","","PZ")</f>
        <v/>
      </c>
      <c r="H1010" s="7" t="str">
        <f>IF(Plantilla_SCAN_EQ3_COUNT_2[[#This Row],[ID MATERIAL]]="","",$B$13)</f>
        <v/>
      </c>
      <c r="I1010" s="7" t="str">
        <f>IF(Plantilla_SCAN_EQ3_COUNT_2[[#This Row],[ID MATERIAL]]="","","Segundo Conteo")</f>
        <v/>
      </c>
    </row>
    <row r="1011" spans="1:9" s="7" customFormat="1" ht="15" x14ac:dyDescent="0.2">
      <c r="A1011" s="7" t="str">
        <f>IF(Plantilla_SCAN_EQ3_COUNT_2[[#This Row],[ID MATERIAL]]="","",SIGN(Plantilla_SCAN_EQ3_COUNT_2[[#This Row],[Cantidad]])+A1010)</f>
        <v/>
      </c>
      <c r="B1011" s="21" t="str">
        <f>IF(Plantilla_SCAN_EQ3_COUNT_2[[#This Row],[ID MATERIAL]]="","",B1010)</f>
        <v/>
      </c>
      <c r="C1011" s="21"/>
      <c r="D1011" s="21"/>
      <c r="E1011" s="7" t="str">
        <f>IF(Plantilla_SCAN_EQ3_COUNT_2[[#This Row],[ID MATERIAL]]="","",VLOOKUP(Plantilla_SCAN_EQ3_COUNT_2[[#This Row],[ID MATERIAL]],INVENTARIO!$A:$D,2,FALSE))</f>
        <v/>
      </c>
      <c r="F1011" s="7" t="str">
        <f>IF(Plantilla_SCAN_EQ3_COUNT_2[[#This Row],[ID MATERIAL]]="","",IF(Plantilla_SCAN_EQ3_COUNT_2[[#This Row],[No. Empaques]]="",1,Plantilla_SCAN_EQ3_COUNT_2[[#This Row],[No. Empaques]]*1))</f>
        <v/>
      </c>
      <c r="G1011" s="7" t="str">
        <f>IF(Plantilla_SCAN_EQ3_COUNT_2[[#This Row],[ID MATERIAL]]="","","PZ")</f>
        <v/>
      </c>
      <c r="H1011" s="7" t="str">
        <f>IF(Plantilla_SCAN_EQ3_COUNT_2[[#This Row],[ID MATERIAL]]="","",$B$13)</f>
        <v/>
      </c>
      <c r="I1011" s="7" t="str">
        <f>IF(Plantilla_SCAN_EQ3_COUNT_2[[#This Row],[ID MATERIAL]]="","","Segundo Conteo")</f>
        <v/>
      </c>
    </row>
    <row r="1012" spans="1:9" s="7" customFormat="1" ht="15" x14ac:dyDescent="0.2">
      <c r="A1012" s="7" t="str">
        <f>IF(Plantilla_SCAN_EQ3_COUNT_2[[#This Row],[ID MATERIAL]]="","",SIGN(Plantilla_SCAN_EQ3_COUNT_2[[#This Row],[Cantidad]])+A1011)</f>
        <v/>
      </c>
      <c r="B1012" s="21" t="str">
        <f>IF(Plantilla_SCAN_EQ3_COUNT_2[[#This Row],[ID MATERIAL]]="","",B1011)</f>
        <v/>
      </c>
      <c r="C1012" s="21"/>
      <c r="D1012" s="21"/>
      <c r="E1012" s="7" t="str">
        <f>IF(Plantilla_SCAN_EQ3_COUNT_2[[#This Row],[ID MATERIAL]]="","",VLOOKUP(Plantilla_SCAN_EQ3_COUNT_2[[#This Row],[ID MATERIAL]],INVENTARIO!$A:$D,2,FALSE))</f>
        <v/>
      </c>
      <c r="F1012" s="7" t="str">
        <f>IF(Plantilla_SCAN_EQ3_COUNT_2[[#This Row],[ID MATERIAL]]="","",IF(Plantilla_SCAN_EQ3_COUNT_2[[#This Row],[No. Empaques]]="",1,Plantilla_SCAN_EQ3_COUNT_2[[#This Row],[No. Empaques]]*1))</f>
        <v/>
      </c>
      <c r="G1012" s="7" t="str">
        <f>IF(Plantilla_SCAN_EQ3_COUNT_2[[#This Row],[ID MATERIAL]]="","","PZ")</f>
        <v/>
      </c>
      <c r="H1012" s="7" t="str">
        <f>IF(Plantilla_SCAN_EQ3_COUNT_2[[#This Row],[ID MATERIAL]]="","",$B$13)</f>
        <v/>
      </c>
      <c r="I1012" s="7" t="str">
        <f>IF(Plantilla_SCAN_EQ3_COUNT_2[[#This Row],[ID MATERIAL]]="","","Segundo Conteo")</f>
        <v/>
      </c>
    </row>
    <row r="1013" spans="1:9" s="7" customFormat="1" ht="15" x14ac:dyDescent="0.2">
      <c r="A1013" s="7" t="str">
        <f>IF(Plantilla_SCAN_EQ3_COUNT_2[[#This Row],[ID MATERIAL]]="","",SIGN(Plantilla_SCAN_EQ3_COUNT_2[[#This Row],[Cantidad]])+A1012)</f>
        <v/>
      </c>
      <c r="B1013" s="21" t="str">
        <f>IF(Plantilla_SCAN_EQ3_COUNT_2[[#This Row],[ID MATERIAL]]="","",B1012)</f>
        <v/>
      </c>
      <c r="C1013" s="21"/>
      <c r="D1013" s="21"/>
      <c r="E1013" s="7" t="str">
        <f>IF(Plantilla_SCAN_EQ3_COUNT_2[[#This Row],[ID MATERIAL]]="","",VLOOKUP(Plantilla_SCAN_EQ3_COUNT_2[[#This Row],[ID MATERIAL]],INVENTARIO!$A:$D,2,FALSE))</f>
        <v/>
      </c>
      <c r="F1013" s="7" t="str">
        <f>IF(Plantilla_SCAN_EQ3_COUNT_2[[#This Row],[ID MATERIAL]]="","",IF(Plantilla_SCAN_EQ3_COUNT_2[[#This Row],[No. Empaques]]="",1,Plantilla_SCAN_EQ3_COUNT_2[[#This Row],[No. Empaques]]*1))</f>
        <v/>
      </c>
      <c r="G1013" s="7" t="str">
        <f>IF(Plantilla_SCAN_EQ3_COUNT_2[[#This Row],[ID MATERIAL]]="","","PZ")</f>
        <v/>
      </c>
      <c r="H1013" s="7" t="str">
        <f>IF(Plantilla_SCAN_EQ3_COUNT_2[[#This Row],[ID MATERIAL]]="","",$B$13)</f>
        <v/>
      </c>
      <c r="I1013" s="7" t="str">
        <f>IF(Plantilla_SCAN_EQ3_COUNT_2[[#This Row],[ID MATERIAL]]="","","Segundo Conteo")</f>
        <v/>
      </c>
    </row>
    <row r="1014" spans="1:9" s="7" customFormat="1" ht="15" x14ac:dyDescent="0.2">
      <c r="A1014" s="7" t="str">
        <f>IF(Plantilla_SCAN_EQ3_COUNT_2[[#This Row],[ID MATERIAL]]="","",SIGN(Plantilla_SCAN_EQ3_COUNT_2[[#This Row],[Cantidad]])+A1013)</f>
        <v/>
      </c>
      <c r="B1014" s="21" t="str">
        <f>IF(Plantilla_SCAN_EQ3_COUNT_2[[#This Row],[ID MATERIAL]]="","",B1013)</f>
        <v/>
      </c>
      <c r="C1014" s="21"/>
      <c r="D1014" s="21"/>
      <c r="E1014" s="7" t="str">
        <f>IF(Plantilla_SCAN_EQ3_COUNT_2[[#This Row],[ID MATERIAL]]="","",VLOOKUP(Plantilla_SCAN_EQ3_COUNT_2[[#This Row],[ID MATERIAL]],INVENTARIO!$A:$D,2,FALSE))</f>
        <v/>
      </c>
      <c r="F1014" s="7" t="str">
        <f>IF(Plantilla_SCAN_EQ3_COUNT_2[[#This Row],[ID MATERIAL]]="","",IF(Plantilla_SCAN_EQ3_COUNT_2[[#This Row],[No. Empaques]]="",1,Plantilla_SCAN_EQ3_COUNT_2[[#This Row],[No. Empaques]]*1))</f>
        <v/>
      </c>
      <c r="G1014" s="7" t="str">
        <f>IF(Plantilla_SCAN_EQ3_COUNT_2[[#This Row],[ID MATERIAL]]="","","PZ")</f>
        <v/>
      </c>
      <c r="H1014" s="7" t="str">
        <f>IF(Plantilla_SCAN_EQ3_COUNT_2[[#This Row],[ID MATERIAL]]="","",$B$13)</f>
        <v/>
      </c>
      <c r="I1014" s="7" t="str">
        <f>IF(Plantilla_SCAN_EQ3_COUNT_2[[#This Row],[ID MATERIAL]]="","","Segundo Conteo")</f>
        <v/>
      </c>
    </row>
    <row r="1015" spans="1:9" s="7" customFormat="1" ht="15" x14ac:dyDescent="0.2">
      <c r="A1015" s="7" t="str">
        <f>IF(Plantilla_SCAN_EQ3_COUNT_2[[#This Row],[ID MATERIAL]]="","",SIGN(Plantilla_SCAN_EQ3_COUNT_2[[#This Row],[Cantidad]])+A1014)</f>
        <v/>
      </c>
      <c r="B1015" s="21" t="str">
        <f>IF(Plantilla_SCAN_EQ3_COUNT_2[[#This Row],[ID MATERIAL]]="","",B1014)</f>
        <v/>
      </c>
      <c r="C1015" s="21"/>
      <c r="D1015" s="21"/>
      <c r="E1015" s="7" t="str">
        <f>IF(Plantilla_SCAN_EQ3_COUNT_2[[#This Row],[ID MATERIAL]]="","",VLOOKUP(Plantilla_SCAN_EQ3_COUNT_2[[#This Row],[ID MATERIAL]],INVENTARIO!$A:$D,2,FALSE))</f>
        <v/>
      </c>
      <c r="F1015" s="7" t="str">
        <f>IF(Plantilla_SCAN_EQ3_COUNT_2[[#This Row],[ID MATERIAL]]="","",IF(Plantilla_SCAN_EQ3_COUNT_2[[#This Row],[No. Empaques]]="",1,Plantilla_SCAN_EQ3_COUNT_2[[#This Row],[No. Empaques]]*1))</f>
        <v/>
      </c>
      <c r="G1015" s="7" t="str">
        <f>IF(Plantilla_SCAN_EQ3_COUNT_2[[#This Row],[ID MATERIAL]]="","","PZ")</f>
        <v/>
      </c>
      <c r="H1015" s="7" t="str">
        <f>IF(Plantilla_SCAN_EQ3_COUNT_2[[#This Row],[ID MATERIAL]]="","",$B$13)</f>
        <v/>
      </c>
      <c r="I1015" s="7" t="str">
        <f>IF(Plantilla_SCAN_EQ3_COUNT_2[[#This Row],[ID MATERIAL]]="","","Segundo Conteo")</f>
        <v/>
      </c>
    </row>
    <row r="1016" spans="1:9" s="7" customFormat="1" ht="15" x14ac:dyDescent="0.2">
      <c r="A1016" s="7" t="str">
        <f>IF(Plantilla_SCAN_EQ3_COUNT_2[[#This Row],[ID MATERIAL]]="","",SIGN(Plantilla_SCAN_EQ3_COUNT_2[[#This Row],[Cantidad]])+A1015)</f>
        <v/>
      </c>
      <c r="B1016" s="21" t="str">
        <f>IF(Plantilla_SCAN_EQ3_COUNT_2[[#This Row],[ID MATERIAL]]="","",B1015)</f>
        <v/>
      </c>
      <c r="C1016" s="21"/>
      <c r="D1016" s="21"/>
      <c r="E1016" s="7" t="str">
        <f>IF(Plantilla_SCAN_EQ3_COUNT_2[[#This Row],[ID MATERIAL]]="","",VLOOKUP(Plantilla_SCAN_EQ3_COUNT_2[[#This Row],[ID MATERIAL]],INVENTARIO!$A:$D,2,FALSE))</f>
        <v/>
      </c>
      <c r="F1016" s="7" t="str">
        <f>IF(Plantilla_SCAN_EQ3_COUNT_2[[#This Row],[ID MATERIAL]]="","",IF(Plantilla_SCAN_EQ3_COUNT_2[[#This Row],[No. Empaques]]="",1,Plantilla_SCAN_EQ3_COUNT_2[[#This Row],[No. Empaques]]*1))</f>
        <v/>
      </c>
      <c r="G1016" s="7" t="str">
        <f>IF(Plantilla_SCAN_EQ3_COUNT_2[[#This Row],[ID MATERIAL]]="","","PZ")</f>
        <v/>
      </c>
      <c r="H1016" s="7" t="str">
        <f>IF(Plantilla_SCAN_EQ3_COUNT_2[[#This Row],[ID MATERIAL]]="","",$B$13)</f>
        <v/>
      </c>
      <c r="I1016" s="7" t="str">
        <f>IF(Plantilla_SCAN_EQ3_COUNT_2[[#This Row],[ID MATERIAL]]="","","Segundo Conteo")</f>
        <v/>
      </c>
    </row>
    <row r="1017" spans="1:9" s="7" customFormat="1" ht="15" x14ac:dyDescent="0.2">
      <c r="A1017" s="7" t="str">
        <f>IF(Plantilla_SCAN_EQ3_COUNT_2[[#This Row],[ID MATERIAL]]="","",SIGN(Plantilla_SCAN_EQ3_COUNT_2[[#This Row],[Cantidad]])+A1016)</f>
        <v/>
      </c>
      <c r="B1017" s="21" t="str">
        <f>IF(Plantilla_SCAN_EQ3_COUNT_2[[#This Row],[ID MATERIAL]]="","",B1016)</f>
        <v/>
      </c>
      <c r="C1017" s="21"/>
      <c r="D1017" s="21"/>
      <c r="E1017" s="7" t="str">
        <f>IF(Plantilla_SCAN_EQ3_COUNT_2[[#This Row],[ID MATERIAL]]="","",VLOOKUP(Plantilla_SCAN_EQ3_COUNT_2[[#This Row],[ID MATERIAL]],INVENTARIO!$A:$D,2,FALSE))</f>
        <v/>
      </c>
      <c r="F1017" s="7" t="str">
        <f>IF(Plantilla_SCAN_EQ3_COUNT_2[[#This Row],[ID MATERIAL]]="","",IF(Plantilla_SCAN_EQ3_COUNT_2[[#This Row],[No. Empaques]]="",1,Plantilla_SCAN_EQ3_COUNT_2[[#This Row],[No. Empaques]]*1))</f>
        <v/>
      </c>
      <c r="G1017" s="7" t="str">
        <f>IF(Plantilla_SCAN_EQ3_COUNT_2[[#This Row],[ID MATERIAL]]="","","PZ")</f>
        <v/>
      </c>
      <c r="H1017" s="7" t="str">
        <f>IF(Plantilla_SCAN_EQ3_COUNT_2[[#This Row],[ID MATERIAL]]="","",$B$13)</f>
        <v/>
      </c>
      <c r="I1017" s="7" t="str">
        <f>IF(Plantilla_SCAN_EQ3_COUNT_2[[#This Row],[ID MATERIAL]]="","","Segundo Conteo")</f>
        <v/>
      </c>
    </row>
    <row r="1018" spans="1:9" s="7" customFormat="1" ht="15" x14ac:dyDescent="0.2">
      <c r="A1018" s="7" t="str">
        <f>IF(Plantilla_SCAN_EQ3_COUNT_2[[#This Row],[ID MATERIAL]]="","",SIGN(Plantilla_SCAN_EQ3_COUNT_2[[#This Row],[Cantidad]])+A1017)</f>
        <v/>
      </c>
      <c r="B1018" s="21" t="str">
        <f>IF(Plantilla_SCAN_EQ3_COUNT_2[[#This Row],[ID MATERIAL]]="","",B1017)</f>
        <v/>
      </c>
      <c r="C1018" s="21"/>
      <c r="D1018" s="21"/>
      <c r="E1018" s="7" t="str">
        <f>IF(Plantilla_SCAN_EQ3_COUNT_2[[#This Row],[ID MATERIAL]]="","",VLOOKUP(Plantilla_SCAN_EQ3_COUNT_2[[#This Row],[ID MATERIAL]],INVENTARIO!$A:$D,2,FALSE))</f>
        <v/>
      </c>
      <c r="F1018" s="7" t="str">
        <f>IF(Plantilla_SCAN_EQ3_COUNT_2[[#This Row],[ID MATERIAL]]="","",IF(Plantilla_SCAN_EQ3_COUNT_2[[#This Row],[No. Empaques]]="",1,Plantilla_SCAN_EQ3_COUNT_2[[#This Row],[No. Empaques]]*1))</f>
        <v/>
      </c>
      <c r="G1018" s="7" t="str">
        <f>IF(Plantilla_SCAN_EQ3_COUNT_2[[#This Row],[ID MATERIAL]]="","","PZ")</f>
        <v/>
      </c>
      <c r="H1018" s="7" t="str">
        <f>IF(Plantilla_SCAN_EQ3_COUNT_2[[#This Row],[ID MATERIAL]]="","",$B$13)</f>
        <v/>
      </c>
      <c r="I1018" s="7" t="str">
        <f>IF(Plantilla_SCAN_EQ3_COUNT_2[[#This Row],[ID MATERIAL]]="","","Segundo Conteo")</f>
        <v/>
      </c>
    </row>
    <row r="1019" spans="1:9" s="7" customFormat="1" ht="15" x14ac:dyDescent="0.2">
      <c r="A1019" s="7" t="str">
        <f>IF(Plantilla_SCAN_EQ3_COUNT_2[[#This Row],[ID MATERIAL]]="","",SIGN(Plantilla_SCAN_EQ3_COUNT_2[[#This Row],[Cantidad]])+A1018)</f>
        <v/>
      </c>
      <c r="B1019" s="21" t="str">
        <f>IF(Plantilla_SCAN_EQ3_COUNT_2[[#This Row],[ID MATERIAL]]="","",B1018)</f>
        <v/>
      </c>
      <c r="C1019" s="21"/>
      <c r="D1019" s="21"/>
      <c r="E1019" s="7" t="str">
        <f>IF(Plantilla_SCAN_EQ3_COUNT_2[[#This Row],[ID MATERIAL]]="","",VLOOKUP(Plantilla_SCAN_EQ3_COUNT_2[[#This Row],[ID MATERIAL]],INVENTARIO!$A:$D,2,FALSE))</f>
        <v/>
      </c>
      <c r="F1019" s="7" t="str">
        <f>IF(Plantilla_SCAN_EQ3_COUNT_2[[#This Row],[ID MATERIAL]]="","",IF(Plantilla_SCAN_EQ3_COUNT_2[[#This Row],[No. Empaques]]="",1,Plantilla_SCAN_EQ3_COUNT_2[[#This Row],[No. Empaques]]*1))</f>
        <v/>
      </c>
      <c r="G1019" s="7" t="str">
        <f>IF(Plantilla_SCAN_EQ3_COUNT_2[[#This Row],[ID MATERIAL]]="","","PZ")</f>
        <v/>
      </c>
      <c r="H1019" s="7" t="str">
        <f>IF(Plantilla_SCAN_EQ3_COUNT_2[[#This Row],[ID MATERIAL]]="","",$B$13)</f>
        <v/>
      </c>
      <c r="I1019" s="7" t="str">
        <f>IF(Plantilla_SCAN_EQ3_COUNT_2[[#This Row],[ID MATERIAL]]="","","Segundo Conteo")</f>
        <v/>
      </c>
    </row>
    <row r="1020" spans="1:9" s="7" customFormat="1" ht="15" x14ac:dyDescent="0.2">
      <c r="A1020" s="7" t="str">
        <f>IF(Plantilla_SCAN_EQ3_COUNT_2[[#This Row],[ID MATERIAL]]="","",SIGN(Plantilla_SCAN_EQ3_COUNT_2[[#This Row],[Cantidad]])+A1019)</f>
        <v/>
      </c>
      <c r="B1020" s="21" t="str">
        <f>IF(Plantilla_SCAN_EQ3_COUNT_2[[#This Row],[ID MATERIAL]]="","",B1019)</f>
        <v/>
      </c>
      <c r="C1020" s="21"/>
      <c r="D1020" s="21"/>
      <c r="E1020" s="7" t="str">
        <f>IF(Plantilla_SCAN_EQ3_COUNT_2[[#This Row],[ID MATERIAL]]="","",VLOOKUP(Plantilla_SCAN_EQ3_COUNT_2[[#This Row],[ID MATERIAL]],INVENTARIO!$A:$D,2,FALSE))</f>
        <v/>
      </c>
      <c r="F1020" s="7" t="str">
        <f>IF(Plantilla_SCAN_EQ3_COUNT_2[[#This Row],[ID MATERIAL]]="","",IF(Plantilla_SCAN_EQ3_COUNT_2[[#This Row],[No. Empaques]]="",1,Plantilla_SCAN_EQ3_COUNT_2[[#This Row],[No. Empaques]]*1))</f>
        <v/>
      </c>
      <c r="G1020" s="7" t="str">
        <f>IF(Plantilla_SCAN_EQ3_COUNT_2[[#This Row],[ID MATERIAL]]="","","PZ")</f>
        <v/>
      </c>
      <c r="H1020" s="7" t="str">
        <f>IF(Plantilla_SCAN_EQ3_COUNT_2[[#This Row],[ID MATERIAL]]="","",$B$13)</f>
        <v/>
      </c>
      <c r="I1020" s="7" t="str">
        <f>IF(Plantilla_SCAN_EQ3_COUNT_2[[#This Row],[ID MATERIAL]]="","","Segundo Conteo")</f>
        <v/>
      </c>
    </row>
    <row r="1021" spans="1:9" s="7" customFormat="1" ht="15" x14ac:dyDescent="0.2">
      <c r="A1021" s="7" t="str">
        <f>IF(Plantilla_SCAN_EQ3_COUNT_2[[#This Row],[ID MATERIAL]]="","",SIGN(Plantilla_SCAN_EQ3_COUNT_2[[#This Row],[Cantidad]])+A1020)</f>
        <v/>
      </c>
      <c r="B1021" s="21" t="str">
        <f>IF(Plantilla_SCAN_EQ3_COUNT_2[[#This Row],[ID MATERIAL]]="","",B1020)</f>
        <v/>
      </c>
      <c r="C1021" s="21"/>
      <c r="D1021" s="21"/>
      <c r="E1021" s="7" t="str">
        <f>IF(Plantilla_SCAN_EQ3_COUNT_2[[#This Row],[ID MATERIAL]]="","",VLOOKUP(Plantilla_SCAN_EQ3_COUNT_2[[#This Row],[ID MATERIAL]],INVENTARIO!$A:$D,2,FALSE))</f>
        <v/>
      </c>
      <c r="F1021" s="7" t="str">
        <f>IF(Plantilla_SCAN_EQ3_COUNT_2[[#This Row],[ID MATERIAL]]="","",IF(Plantilla_SCAN_EQ3_COUNT_2[[#This Row],[No. Empaques]]="",1,Plantilla_SCAN_EQ3_COUNT_2[[#This Row],[No. Empaques]]*1))</f>
        <v/>
      </c>
      <c r="G1021" s="7" t="str">
        <f>IF(Plantilla_SCAN_EQ3_COUNT_2[[#This Row],[ID MATERIAL]]="","","PZ")</f>
        <v/>
      </c>
      <c r="H1021" s="7" t="str">
        <f>IF(Plantilla_SCAN_EQ3_COUNT_2[[#This Row],[ID MATERIAL]]="","",$B$13)</f>
        <v/>
      </c>
      <c r="I1021" s="7" t="str">
        <f>IF(Plantilla_SCAN_EQ3_COUNT_2[[#This Row],[ID MATERIAL]]="","","Segundo Conteo")</f>
        <v/>
      </c>
    </row>
    <row r="1022" spans="1:9" s="7" customFormat="1" ht="15" x14ac:dyDescent="0.2">
      <c r="A1022" s="7" t="str">
        <f>IF(Plantilla_SCAN_EQ3_COUNT_2[[#This Row],[ID MATERIAL]]="","",SIGN(Plantilla_SCAN_EQ3_COUNT_2[[#This Row],[Cantidad]])+A1021)</f>
        <v/>
      </c>
      <c r="B1022" s="21" t="str">
        <f>IF(Plantilla_SCAN_EQ3_COUNT_2[[#This Row],[ID MATERIAL]]="","",B1021)</f>
        <v/>
      </c>
      <c r="C1022" s="21"/>
      <c r="D1022" s="21"/>
      <c r="E1022" s="7" t="str">
        <f>IF(Plantilla_SCAN_EQ3_COUNT_2[[#This Row],[ID MATERIAL]]="","",VLOOKUP(Plantilla_SCAN_EQ3_COUNT_2[[#This Row],[ID MATERIAL]],INVENTARIO!$A:$D,2,FALSE))</f>
        <v/>
      </c>
      <c r="F1022" s="7" t="str">
        <f>IF(Plantilla_SCAN_EQ3_COUNT_2[[#This Row],[ID MATERIAL]]="","",IF(Plantilla_SCAN_EQ3_COUNT_2[[#This Row],[No. Empaques]]="",1,Plantilla_SCAN_EQ3_COUNT_2[[#This Row],[No. Empaques]]*1))</f>
        <v/>
      </c>
      <c r="G1022" s="7" t="str">
        <f>IF(Plantilla_SCAN_EQ3_COUNT_2[[#This Row],[ID MATERIAL]]="","","PZ")</f>
        <v/>
      </c>
      <c r="H1022" s="7" t="str">
        <f>IF(Plantilla_SCAN_EQ3_COUNT_2[[#This Row],[ID MATERIAL]]="","",$B$13)</f>
        <v/>
      </c>
      <c r="I1022" s="7" t="str">
        <f>IF(Plantilla_SCAN_EQ3_COUNT_2[[#This Row],[ID MATERIAL]]="","","Segundo Conteo")</f>
        <v/>
      </c>
    </row>
    <row r="1023" spans="1:9" s="7" customFormat="1" ht="15" x14ac:dyDescent="0.2">
      <c r="A1023" s="7" t="str">
        <f>IF(Plantilla_SCAN_EQ3_COUNT_2[[#This Row],[ID MATERIAL]]="","",SIGN(Plantilla_SCAN_EQ3_COUNT_2[[#This Row],[Cantidad]])+A1022)</f>
        <v/>
      </c>
      <c r="B1023" s="21" t="str">
        <f>IF(Plantilla_SCAN_EQ3_COUNT_2[[#This Row],[ID MATERIAL]]="","",B1022)</f>
        <v/>
      </c>
      <c r="C1023" s="21"/>
      <c r="D1023" s="21"/>
      <c r="E1023" s="7" t="str">
        <f>IF(Plantilla_SCAN_EQ3_COUNT_2[[#This Row],[ID MATERIAL]]="","",VLOOKUP(Plantilla_SCAN_EQ3_COUNT_2[[#This Row],[ID MATERIAL]],INVENTARIO!$A:$D,2,FALSE))</f>
        <v/>
      </c>
      <c r="F1023" s="7" t="str">
        <f>IF(Plantilla_SCAN_EQ3_COUNT_2[[#This Row],[ID MATERIAL]]="","",IF(Plantilla_SCAN_EQ3_COUNT_2[[#This Row],[No. Empaques]]="",1,Plantilla_SCAN_EQ3_COUNT_2[[#This Row],[No. Empaques]]*1))</f>
        <v/>
      </c>
      <c r="G1023" s="7" t="str">
        <f>IF(Plantilla_SCAN_EQ3_COUNT_2[[#This Row],[ID MATERIAL]]="","","PZ")</f>
        <v/>
      </c>
      <c r="H1023" s="7" t="str">
        <f>IF(Plantilla_SCAN_EQ3_COUNT_2[[#This Row],[ID MATERIAL]]="","",$B$13)</f>
        <v/>
      </c>
      <c r="I1023" s="7" t="str">
        <f>IF(Plantilla_SCAN_EQ3_COUNT_2[[#This Row],[ID MATERIAL]]="","","Segundo Conteo")</f>
        <v/>
      </c>
    </row>
    <row r="1024" spans="1:9" s="7" customFormat="1" ht="15" x14ac:dyDescent="0.2">
      <c r="A1024" s="7" t="str">
        <f>IF(Plantilla_SCAN_EQ3_COUNT_2[[#This Row],[ID MATERIAL]]="","",SIGN(Plantilla_SCAN_EQ3_COUNT_2[[#This Row],[Cantidad]])+A1023)</f>
        <v/>
      </c>
      <c r="B1024" s="21" t="str">
        <f>IF(Plantilla_SCAN_EQ3_COUNT_2[[#This Row],[ID MATERIAL]]="","",B1023)</f>
        <v/>
      </c>
      <c r="C1024" s="21"/>
      <c r="D1024" s="21"/>
      <c r="E1024" s="7" t="str">
        <f>IF(Plantilla_SCAN_EQ3_COUNT_2[[#This Row],[ID MATERIAL]]="","",VLOOKUP(Plantilla_SCAN_EQ3_COUNT_2[[#This Row],[ID MATERIAL]],INVENTARIO!$A:$D,2,FALSE))</f>
        <v/>
      </c>
      <c r="F1024" s="7" t="str">
        <f>IF(Plantilla_SCAN_EQ3_COUNT_2[[#This Row],[ID MATERIAL]]="","",IF(Plantilla_SCAN_EQ3_COUNT_2[[#This Row],[No. Empaques]]="",1,Plantilla_SCAN_EQ3_COUNT_2[[#This Row],[No. Empaques]]*1))</f>
        <v/>
      </c>
      <c r="G1024" s="7" t="str">
        <f>IF(Plantilla_SCAN_EQ3_COUNT_2[[#This Row],[ID MATERIAL]]="","","PZ")</f>
        <v/>
      </c>
      <c r="H1024" s="7" t="str">
        <f>IF(Plantilla_SCAN_EQ3_COUNT_2[[#This Row],[ID MATERIAL]]="","",$B$13)</f>
        <v/>
      </c>
      <c r="I1024" s="7" t="str">
        <f>IF(Plantilla_SCAN_EQ3_COUNT_2[[#This Row],[ID MATERIAL]]="","","Segundo Conteo")</f>
        <v/>
      </c>
    </row>
    <row r="1025" spans="1:9" s="7" customFormat="1" ht="15" x14ac:dyDescent="0.2">
      <c r="A1025" s="7" t="str">
        <f>IF(Plantilla_SCAN_EQ3_COUNT_2[[#This Row],[ID MATERIAL]]="","",SIGN(Plantilla_SCAN_EQ3_COUNT_2[[#This Row],[Cantidad]])+A1024)</f>
        <v/>
      </c>
      <c r="B1025" s="21" t="str">
        <f>IF(Plantilla_SCAN_EQ3_COUNT_2[[#This Row],[ID MATERIAL]]="","",B1024)</f>
        <v/>
      </c>
      <c r="C1025" s="21"/>
      <c r="D1025" s="21"/>
      <c r="E1025" s="7" t="str">
        <f>IF(Plantilla_SCAN_EQ3_COUNT_2[[#This Row],[ID MATERIAL]]="","",VLOOKUP(Plantilla_SCAN_EQ3_COUNT_2[[#This Row],[ID MATERIAL]],INVENTARIO!$A:$D,2,FALSE))</f>
        <v/>
      </c>
      <c r="F1025" s="7" t="str">
        <f>IF(Plantilla_SCAN_EQ3_COUNT_2[[#This Row],[ID MATERIAL]]="","",IF(Plantilla_SCAN_EQ3_COUNT_2[[#This Row],[No. Empaques]]="",1,Plantilla_SCAN_EQ3_COUNT_2[[#This Row],[No. Empaques]]*1))</f>
        <v/>
      </c>
      <c r="G1025" s="7" t="str">
        <f>IF(Plantilla_SCAN_EQ3_COUNT_2[[#This Row],[ID MATERIAL]]="","","PZ")</f>
        <v/>
      </c>
      <c r="H1025" s="7" t="str">
        <f>IF(Plantilla_SCAN_EQ3_COUNT_2[[#This Row],[ID MATERIAL]]="","",$B$13)</f>
        <v/>
      </c>
      <c r="I1025" s="7" t="str">
        <f>IF(Plantilla_SCAN_EQ3_COUNT_2[[#This Row],[ID MATERIAL]]="","","Segundo Conteo")</f>
        <v/>
      </c>
    </row>
    <row r="1026" spans="1:9" s="7" customFormat="1" ht="15" x14ac:dyDescent="0.2">
      <c r="A1026" s="7" t="str">
        <f>IF(Plantilla_SCAN_EQ3_COUNT_2[[#This Row],[ID MATERIAL]]="","",SIGN(Plantilla_SCAN_EQ3_COUNT_2[[#This Row],[Cantidad]])+A1025)</f>
        <v/>
      </c>
      <c r="B1026" s="21" t="str">
        <f>IF(Plantilla_SCAN_EQ3_COUNT_2[[#This Row],[ID MATERIAL]]="","",B1025)</f>
        <v/>
      </c>
      <c r="C1026" s="21"/>
      <c r="D1026" s="21"/>
      <c r="E1026" s="7" t="str">
        <f>IF(Plantilla_SCAN_EQ3_COUNT_2[[#This Row],[ID MATERIAL]]="","",VLOOKUP(Plantilla_SCAN_EQ3_COUNT_2[[#This Row],[ID MATERIAL]],INVENTARIO!$A:$D,2,FALSE))</f>
        <v/>
      </c>
      <c r="F1026" s="7" t="str">
        <f>IF(Plantilla_SCAN_EQ3_COUNT_2[[#This Row],[ID MATERIAL]]="","",IF(Plantilla_SCAN_EQ3_COUNT_2[[#This Row],[No. Empaques]]="",1,Plantilla_SCAN_EQ3_COUNT_2[[#This Row],[No. Empaques]]*1))</f>
        <v/>
      </c>
      <c r="G1026" s="7" t="str">
        <f>IF(Plantilla_SCAN_EQ3_COUNT_2[[#This Row],[ID MATERIAL]]="","","PZ")</f>
        <v/>
      </c>
      <c r="H1026" s="7" t="str">
        <f>IF(Plantilla_SCAN_EQ3_COUNT_2[[#This Row],[ID MATERIAL]]="","",$B$13)</f>
        <v/>
      </c>
      <c r="I1026" s="7" t="str">
        <f>IF(Plantilla_SCAN_EQ3_COUNT_2[[#This Row],[ID MATERIAL]]="","","Segundo Conteo")</f>
        <v/>
      </c>
    </row>
    <row r="1027" spans="1:9" s="7" customFormat="1" ht="15" x14ac:dyDescent="0.2">
      <c r="A1027" s="7" t="str">
        <f>IF(Plantilla_SCAN_EQ3_COUNT_2[[#This Row],[ID MATERIAL]]="","",SIGN(Plantilla_SCAN_EQ3_COUNT_2[[#This Row],[Cantidad]])+A1026)</f>
        <v/>
      </c>
      <c r="B1027" s="21" t="str">
        <f>IF(Plantilla_SCAN_EQ3_COUNT_2[[#This Row],[ID MATERIAL]]="","",B1026)</f>
        <v/>
      </c>
      <c r="C1027" s="21"/>
      <c r="D1027" s="21"/>
      <c r="E1027" s="7" t="str">
        <f>IF(Plantilla_SCAN_EQ3_COUNT_2[[#This Row],[ID MATERIAL]]="","",VLOOKUP(Plantilla_SCAN_EQ3_COUNT_2[[#This Row],[ID MATERIAL]],INVENTARIO!$A:$D,2,FALSE))</f>
        <v/>
      </c>
      <c r="F1027" s="7" t="str">
        <f>IF(Plantilla_SCAN_EQ3_COUNT_2[[#This Row],[ID MATERIAL]]="","",IF(Plantilla_SCAN_EQ3_COUNT_2[[#This Row],[No. Empaques]]="",1,Plantilla_SCAN_EQ3_COUNT_2[[#This Row],[No. Empaques]]*1))</f>
        <v/>
      </c>
      <c r="G1027" s="7" t="str">
        <f>IF(Plantilla_SCAN_EQ3_COUNT_2[[#This Row],[ID MATERIAL]]="","","PZ")</f>
        <v/>
      </c>
      <c r="H1027" s="7" t="str">
        <f>IF(Plantilla_SCAN_EQ3_COUNT_2[[#This Row],[ID MATERIAL]]="","",$B$13)</f>
        <v/>
      </c>
      <c r="I1027" s="7" t="str">
        <f>IF(Plantilla_SCAN_EQ3_COUNT_2[[#This Row],[ID MATERIAL]]="","","Segundo Conteo")</f>
        <v/>
      </c>
    </row>
    <row r="1028" spans="1:9" s="7" customFormat="1" ht="15" x14ac:dyDescent="0.2">
      <c r="A1028" s="7" t="str">
        <f>IF(Plantilla_SCAN_EQ3_COUNT_2[[#This Row],[ID MATERIAL]]="","",SIGN(Plantilla_SCAN_EQ3_COUNT_2[[#This Row],[Cantidad]])+A1027)</f>
        <v/>
      </c>
      <c r="B1028" s="21" t="str">
        <f>IF(Plantilla_SCAN_EQ3_COUNT_2[[#This Row],[ID MATERIAL]]="","",B1027)</f>
        <v/>
      </c>
      <c r="C1028" s="21"/>
      <c r="D1028" s="21"/>
      <c r="E1028" s="7" t="str">
        <f>IF(Plantilla_SCAN_EQ3_COUNT_2[[#This Row],[ID MATERIAL]]="","",VLOOKUP(Plantilla_SCAN_EQ3_COUNT_2[[#This Row],[ID MATERIAL]],INVENTARIO!$A:$D,2,FALSE))</f>
        <v/>
      </c>
      <c r="F1028" s="7" t="str">
        <f>IF(Plantilla_SCAN_EQ3_COUNT_2[[#This Row],[ID MATERIAL]]="","",IF(Plantilla_SCAN_EQ3_COUNT_2[[#This Row],[No. Empaques]]="",1,Plantilla_SCAN_EQ3_COUNT_2[[#This Row],[No. Empaques]]*1))</f>
        <v/>
      </c>
      <c r="G1028" s="7" t="str">
        <f>IF(Plantilla_SCAN_EQ3_COUNT_2[[#This Row],[ID MATERIAL]]="","","PZ")</f>
        <v/>
      </c>
      <c r="H1028" s="7" t="str">
        <f>IF(Plantilla_SCAN_EQ3_COUNT_2[[#This Row],[ID MATERIAL]]="","",$B$13)</f>
        <v/>
      </c>
      <c r="I1028" s="7" t="str">
        <f>IF(Plantilla_SCAN_EQ3_COUNT_2[[#This Row],[ID MATERIAL]]="","","Segundo Conteo")</f>
        <v/>
      </c>
    </row>
    <row r="1029" spans="1:9" s="7" customFormat="1" ht="15" x14ac:dyDescent="0.2">
      <c r="A1029" s="7" t="str">
        <f>IF(Plantilla_SCAN_EQ3_COUNT_2[[#This Row],[ID MATERIAL]]="","",SIGN(Plantilla_SCAN_EQ3_COUNT_2[[#This Row],[Cantidad]])+A1028)</f>
        <v/>
      </c>
      <c r="B1029" s="21" t="str">
        <f>IF(Plantilla_SCAN_EQ3_COUNT_2[[#This Row],[ID MATERIAL]]="","",B1028)</f>
        <v/>
      </c>
      <c r="C1029" s="21"/>
      <c r="D1029" s="21"/>
      <c r="E1029" s="7" t="str">
        <f>IF(Plantilla_SCAN_EQ3_COUNT_2[[#This Row],[ID MATERIAL]]="","",VLOOKUP(Plantilla_SCAN_EQ3_COUNT_2[[#This Row],[ID MATERIAL]],INVENTARIO!$A:$D,2,FALSE))</f>
        <v/>
      </c>
      <c r="F1029" s="7" t="str">
        <f>IF(Plantilla_SCAN_EQ3_COUNT_2[[#This Row],[ID MATERIAL]]="","",IF(Plantilla_SCAN_EQ3_COUNT_2[[#This Row],[No. Empaques]]="",1,Plantilla_SCAN_EQ3_COUNT_2[[#This Row],[No. Empaques]]*1))</f>
        <v/>
      </c>
      <c r="G1029" s="7" t="str">
        <f>IF(Plantilla_SCAN_EQ3_COUNT_2[[#This Row],[ID MATERIAL]]="","","PZ")</f>
        <v/>
      </c>
      <c r="H1029" s="7" t="str">
        <f>IF(Plantilla_SCAN_EQ3_COUNT_2[[#This Row],[ID MATERIAL]]="","",$B$13)</f>
        <v/>
      </c>
      <c r="I1029" s="7" t="str">
        <f>IF(Plantilla_SCAN_EQ3_COUNT_2[[#This Row],[ID MATERIAL]]="","","Segundo Conteo")</f>
        <v/>
      </c>
    </row>
    <row r="1030" spans="1:9" s="7" customFormat="1" ht="15" x14ac:dyDescent="0.2">
      <c r="A1030" s="7" t="str">
        <f>IF(Plantilla_SCAN_EQ3_COUNT_2[[#This Row],[ID MATERIAL]]="","",SIGN(Plantilla_SCAN_EQ3_COUNT_2[[#This Row],[Cantidad]])+A1029)</f>
        <v/>
      </c>
      <c r="B1030" s="21" t="str">
        <f>IF(Plantilla_SCAN_EQ3_COUNT_2[[#This Row],[ID MATERIAL]]="","",B1029)</f>
        <v/>
      </c>
      <c r="C1030" s="21"/>
      <c r="D1030" s="21"/>
      <c r="E1030" s="7" t="str">
        <f>IF(Plantilla_SCAN_EQ3_COUNT_2[[#This Row],[ID MATERIAL]]="","",VLOOKUP(Plantilla_SCAN_EQ3_COUNT_2[[#This Row],[ID MATERIAL]],INVENTARIO!$A:$D,2,FALSE))</f>
        <v/>
      </c>
      <c r="F1030" s="7" t="str">
        <f>IF(Plantilla_SCAN_EQ3_COUNT_2[[#This Row],[ID MATERIAL]]="","",IF(Plantilla_SCAN_EQ3_COUNT_2[[#This Row],[No. Empaques]]="",1,Plantilla_SCAN_EQ3_COUNT_2[[#This Row],[No. Empaques]]*1))</f>
        <v/>
      </c>
      <c r="G1030" s="7" t="str">
        <f>IF(Plantilla_SCAN_EQ3_COUNT_2[[#This Row],[ID MATERIAL]]="","","PZ")</f>
        <v/>
      </c>
      <c r="H1030" s="7" t="str">
        <f>IF(Plantilla_SCAN_EQ3_COUNT_2[[#This Row],[ID MATERIAL]]="","",$B$13)</f>
        <v/>
      </c>
      <c r="I1030" s="7" t="str">
        <f>IF(Plantilla_SCAN_EQ3_COUNT_2[[#This Row],[ID MATERIAL]]="","","Segundo Conteo")</f>
        <v/>
      </c>
    </row>
    <row r="1031" spans="1:9" s="7" customFormat="1" ht="15" x14ac:dyDescent="0.2">
      <c r="A1031" s="7" t="str">
        <f>IF(Plantilla_SCAN_EQ3_COUNT_2[[#This Row],[ID MATERIAL]]="","",SIGN(Plantilla_SCAN_EQ3_COUNT_2[[#This Row],[Cantidad]])+A1030)</f>
        <v/>
      </c>
      <c r="B1031" s="21" t="str">
        <f>IF(Plantilla_SCAN_EQ3_COUNT_2[[#This Row],[ID MATERIAL]]="","",B1030)</f>
        <v/>
      </c>
      <c r="C1031" s="21"/>
      <c r="D1031" s="21"/>
      <c r="E1031" s="7" t="str">
        <f>IF(Plantilla_SCAN_EQ3_COUNT_2[[#This Row],[ID MATERIAL]]="","",VLOOKUP(Plantilla_SCAN_EQ3_COUNT_2[[#This Row],[ID MATERIAL]],INVENTARIO!$A:$D,2,FALSE))</f>
        <v/>
      </c>
      <c r="F1031" s="7" t="str">
        <f>IF(Plantilla_SCAN_EQ3_COUNT_2[[#This Row],[ID MATERIAL]]="","",IF(Plantilla_SCAN_EQ3_COUNT_2[[#This Row],[No. Empaques]]="",1,Plantilla_SCAN_EQ3_COUNT_2[[#This Row],[No. Empaques]]*1))</f>
        <v/>
      </c>
      <c r="G1031" s="7" t="str">
        <f>IF(Plantilla_SCAN_EQ3_COUNT_2[[#This Row],[ID MATERIAL]]="","","PZ")</f>
        <v/>
      </c>
      <c r="H1031" s="7" t="str">
        <f>IF(Plantilla_SCAN_EQ3_COUNT_2[[#This Row],[ID MATERIAL]]="","",$B$13)</f>
        <v/>
      </c>
      <c r="I1031" s="7" t="str">
        <f>IF(Plantilla_SCAN_EQ3_COUNT_2[[#This Row],[ID MATERIAL]]="","","Segundo Conteo")</f>
        <v/>
      </c>
    </row>
    <row r="1032" spans="1:9" s="7" customFormat="1" ht="15" x14ac:dyDescent="0.2">
      <c r="A1032" s="7" t="str">
        <f>IF(Plantilla_SCAN_EQ3_COUNT_2[[#This Row],[ID MATERIAL]]="","",SIGN(Plantilla_SCAN_EQ3_COUNT_2[[#This Row],[Cantidad]])+A1031)</f>
        <v/>
      </c>
      <c r="B1032" s="21" t="str">
        <f>IF(Plantilla_SCAN_EQ3_COUNT_2[[#This Row],[ID MATERIAL]]="","",B1031)</f>
        <v/>
      </c>
      <c r="C1032" s="21"/>
      <c r="D1032" s="21"/>
      <c r="E1032" s="7" t="str">
        <f>IF(Plantilla_SCAN_EQ3_COUNT_2[[#This Row],[ID MATERIAL]]="","",VLOOKUP(Plantilla_SCAN_EQ3_COUNT_2[[#This Row],[ID MATERIAL]],INVENTARIO!$A:$D,2,FALSE))</f>
        <v/>
      </c>
      <c r="F1032" s="7" t="str">
        <f>IF(Plantilla_SCAN_EQ3_COUNT_2[[#This Row],[ID MATERIAL]]="","",IF(Plantilla_SCAN_EQ3_COUNT_2[[#This Row],[No. Empaques]]="",1,Plantilla_SCAN_EQ3_COUNT_2[[#This Row],[No. Empaques]]*1))</f>
        <v/>
      </c>
      <c r="G1032" s="7" t="str">
        <f>IF(Plantilla_SCAN_EQ3_COUNT_2[[#This Row],[ID MATERIAL]]="","","PZ")</f>
        <v/>
      </c>
      <c r="H1032" s="7" t="str">
        <f>IF(Plantilla_SCAN_EQ3_COUNT_2[[#This Row],[ID MATERIAL]]="","",$B$13)</f>
        <v/>
      </c>
      <c r="I1032" s="7" t="str">
        <f>IF(Plantilla_SCAN_EQ3_COUNT_2[[#This Row],[ID MATERIAL]]="","","Segundo Conteo")</f>
        <v/>
      </c>
    </row>
    <row r="1033" spans="1:9" s="7" customFormat="1" ht="15" x14ac:dyDescent="0.2">
      <c r="A1033" s="7" t="str">
        <f>IF(Plantilla_SCAN_EQ3_COUNT_2[[#This Row],[ID MATERIAL]]="","",SIGN(Plantilla_SCAN_EQ3_COUNT_2[[#This Row],[Cantidad]])+A1032)</f>
        <v/>
      </c>
      <c r="B1033" s="21" t="str">
        <f>IF(Plantilla_SCAN_EQ3_COUNT_2[[#This Row],[ID MATERIAL]]="","",B1032)</f>
        <v/>
      </c>
      <c r="C1033" s="21"/>
      <c r="D1033" s="21"/>
      <c r="E1033" s="7" t="str">
        <f>IF(Plantilla_SCAN_EQ3_COUNT_2[[#This Row],[ID MATERIAL]]="","",VLOOKUP(Plantilla_SCAN_EQ3_COUNT_2[[#This Row],[ID MATERIAL]],INVENTARIO!$A:$D,2,FALSE))</f>
        <v/>
      </c>
      <c r="F1033" s="7" t="str">
        <f>IF(Plantilla_SCAN_EQ3_COUNT_2[[#This Row],[ID MATERIAL]]="","",IF(Plantilla_SCAN_EQ3_COUNT_2[[#This Row],[No. Empaques]]="",1,Plantilla_SCAN_EQ3_COUNT_2[[#This Row],[No. Empaques]]*1))</f>
        <v/>
      </c>
      <c r="G1033" s="7" t="str">
        <f>IF(Plantilla_SCAN_EQ3_COUNT_2[[#This Row],[ID MATERIAL]]="","","PZ")</f>
        <v/>
      </c>
      <c r="H1033" s="7" t="str">
        <f>IF(Plantilla_SCAN_EQ3_COUNT_2[[#This Row],[ID MATERIAL]]="","",$B$13)</f>
        <v/>
      </c>
      <c r="I1033" s="7" t="str">
        <f>IF(Plantilla_SCAN_EQ3_COUNT_2[[#This Row],[ID MATERIAL]]="","","Segundo Conteo")</f>
        <v/>
      </c>
    </row>
    <row r="1034" spans="1:9" s="7" customFormat="1" ht="15" x14ac:dyDescent="0.2">
      <c r="A1034" s="7" t="str">
        <f>IF(Plantilla_SCAN_EQ3_COUNT_2[[#This Row],[ID MATERIAL]]="","",SIGN(Plantilla_SCAN_EQ3_COUNT_2[[#This Row],[Cantidad]])+A1033)</f>
        <v/>
      </c>
      <c r="B1034" s="21" t="str">
        <f>IF(Plantilla_SCAN_EQ3_COUNT_2[[#This Row],[ID MATERIAL]]="","",B1033)</f>
        <v/>
      </c>
      <c r="C1034" s="21"/>
      <c r="D1034" s="21"/>
      <c r="E1034" s="7" t="str">
        <f>IF(Plantilla_SCAN_EQ3_COUNT_2[[#This Row],[ID MATERIAL]]="","",VLOOKUP(Plantilla_SCAN_EQ3_COUNT_2[[#This Row],[ID MATERIAL]],INVENTARIO!$A:$D,2,FALSE))</f>
        <v/>
      </c>
      <c r="F1034" s="7" t="str">
        <f>IF(Plantilla_SCAN_EQ3_COUNT_2[[#This Row],[ID MATERIAL]]="","",IF(Plantilla_SCAN_EQ3_COUNT_2[[#This Row],[No. Empaques]]="",1,Plantilla_SCAN_EQ3_COUNT_2[[#This Row],[No. Empaques]]*1))</f>
        <v/>
      </c>
      <c r="G1034" s="7" t="str">
        <f>IF(Plantilla_SCAN_EQ3_COUNT_2[[#This Row],[ID MATERIAL]]="","","PZ")</f>
        <v/>
      </c>
      <c r="H1034" s="7" t="str">
        <f>IF(Plantilla_SCAN_EQ3_COUNT_2[[#This Row],[ID MATERIAL]]="","",$B$13)</f>
        <v/>
      </c>
      <c r="I1034" s="7" t="str">
        <f>IF(Plantilla_SCAN_EQ3_COUNT_2[[#This Row],[ID MATERIAL]]="","","Segundo Conteo")</f>
        <v/>
      </c>
    </row>
    <row r="1035" spans="1:9" s="7" customFormat="1" ht="15" x14ac:dyDescent="0.2">
      <c r="A1035" s="7" t="str">
        <f>IF(Plantilla_SCAN_EQ3_COUNT_2[[#This Row],[ID MATERIAL]]="","",SIGN(Plantilla_SCAN_EQ3_COUNT_2[[#This Row],[Cantidad]])+A1034)</f>
        <v/>
      </c>
      <c r="B1035" s="21" t="str">
        <f>IF(Plantilla_SCAN_EQ3_COUNT_2[[#This Row],[ID MATERIAL]]="","",B1034)</f>
        <v/>
      </c>
      <c r="C1035" s="21"/>
      <c r="D1035" s="21"/>
      <c r="E1035" s="7" t="str">
        <f>IF(Plantilla_SCAN_EQ3_COUNT_2[[#This Row],[ID MATERIAL]]="","",VLOOKUP(Plantilla_SCAN_EQ3_COUNT_2[[#This Row],[ID MATERIAL]],INVENTARIO!$A:$D,2,FALSE))</f>
        <v/>
      </c>
      <c r="F1035" s="7" t="str">
        <f>IF(Plantilla_SCAN_EQ3_COUNT_2[[#This Row],[ID MATERIAL]]="","",IF(Plantilla_SCAN_EQ3_COUNT_2[[#This Row],[No. Empaques]]="",1,Plantilla_SCAN_EQ3_COUNT_2[[#This Row],[No. Empaques]]*1))</f>
        <v/>
      </c>
      <c r="G1035" s="7" t="str">
        <f>IF(Plantilla_SCAN_EQ3_COUNT_2[[#This Row],[ID MATERIAL]]="","","PZ")</f>
        <v/>
      </c>
      <c r="H1035" s="7" t="str">
        <f>IF(Plantilla_SCAN_EQ3_COUNT_2[[#This Row],[ID MATERIAL]]="","",$B$13)</f>
        <v/>
      </c>
      <c r="I1035" s="7" t="str">
        <f>IF(Plantilla_SCAN_EQ3_COUNT_2[[#This Row],[ID MATERIAL]]="","","Segundo Conteo")</f>
        <v/>
      </c>
    </row>
    <row r="1036" spans="1:9" s="7" customFormat="1" ht="15" x14ac:dyDescent="0.2">
      <c r="A1036" s="7" t="str">
        <f>IF(Plantilla_SCAN_EQ3_COUNT_2[[#This Row],[ID MATERIAL]]="","",SIGN(Plantilla_SCAN_EQ3_COUNT_2[[#This Row],[Cantidad]])+A1035)</f>
        <v/>
      </c>
      <c r="B1036" s="21" t="str">
        <f>IF(Plantilla_SCAN_EQ3_COUNT_2[[#This Row],[ID MATERIAL]]="","",B1035)</f>
        <v/>
      </c>
      <c r="C1036" s="21"/>
      <c r="D1036" s="21"/>
      <c r="E1036" s="7" t="str">
        <f>IF(Plantilla_SCAN_EQ3_COUNT_2[[#This Row],[ID MATERIAL]]="","",VLOOKUP(Plantilla_SCAN_EQ3_COUNT_2[[#This Row],[ID MATERIAL]],INVENTARIO!$A:$D,2,FALSE))</f>
        <v/>
      </c>
      <c r="F1036" s="7" t="str">
        <f>IF(Plantilla_SCAN_EQ3_COUNT_2[[#This Row],[ID MATERIAL]]="","",IF(Plantilla_SCAN_EQ3_COUNT_2[[#This Row],[No. Empaques]]="",1,Plantilla_SCAN_EQ3_COUNT_2[[#This Row],[No. Empaques]]*1))</f>
        <v/>
      </c>
      <c r="G1036" s="7" t="str">
        <f>IF(Plantilla_SCAN_EQ3_COUNT_2[[#This Row],[ID MATERIAL]]="","","PZ")</f>
        <v/>
      </c>
      <c r="H1036" s="7" t="str">
        <f>IF(Plantilla_SCAN_EQ3_COUNT_2[[#This Row],[ID MATERIAL]]="","",$B$13)</f>
        <v/>
      </c>
      <c r="I1036" s="7" t="str">
        <f>IF(Plantilla_SCAN_EQ3_COUNT_2[[#This Row],[ID MATERIAL]]="","","Segundo Conteo")</f>
        <v/>
      </c>
    </row>
    <row r="1037" spans="1:9" s="7" customFormat="1" ht="15" x14ac:dyDescent="0.2">
      <c r="A1037" s="7" t="str">
        <f>IF(Plantilla_SCAN_EQ3_COUNT_2[[#This Row],[ID MATERIAL]]="","",SIGN(Plantilla_SCAN_EQ3_COUNT_2[[#This Row],[Cantidad]])+A1036)</f>
        <v/>
      </c>
      <c r="B1037" s="21" t="str">
        <f>IF(Plantilla_SCAN_EQ3_COUNT_2[[#This Row],[ID MATERIAL]]="","",B1036)</f>
        <v/>
      </c>
      <c r="C1037" s="21"/>
      <c r="D1037" s="21"/>
      <c r="E1037" s="7" t="str">
        <f>IF(Plantilla_SCAN_EQ3_COUNT_2[[#This Row],[ID MATERIAL]]="","",VLOOKUP(Plantilla_SCAN_EQ3_COUNT_2[[#This Row],[ID MATERIAL]],INVENTARIO!$A:$D,2,FALSE))</f>
        <v/>
      </c>
      <c r="F1037" s="7" t="str">
        <f>IF(Plantilla_SCAN_EQ3_COUNT_2[[#This Row],[ID MATERIAL]]="","",IF(Plantilla_SCAN_EQ3_COUNT_2[[#This Row],[No. Empaques]]="",1,Plantilla_SCAN_EQ3_COUNT_2[[#This Row],[No. Empaques]]*1))</f>
        <v/>
      </c>
      <c r="G1037" s="7" t="str">
        <f>IF(Plantilla_SCAN_EQ3_COUNT_2[[#This Row],[ID MATERIAL]]="","","PZ")</f>
        <v/>
      </c>
      <c r="H1037" s="7" t="str">
        <f>IF(Plantilla_SCAN_EQ3_COUNT_2[[#This Row],[ID MATERIAL]]="","",$B$13)</f>
        <v/>
      </c>
      <c r="I1037" s="7" t="str">
        <f>IF(Plantilla_SCAN_EQ3_COUNT_2[[#This Row],[ID MATERIAL]]="","","Segundo Conteo")</f>
        <v/>
      </c>
    </row>
    <row r="1038" spans="1:9" s="7" customFormat="1" ht="15" x14ac:dyDescent="0.2">
      <c r="A1038" s="7" t="str">
        <f>IF(Plantilla_SCAN_EQ3_COUNT_2[[#This Row],[ID MATERIAL]]="","",SIGN(Plantilla_SCAN_EQ3_COUNT_2[[#This Row],[Cantidad]])+A1037)</f>
        <v/>
      </c>
      <c r="B1038" s="21" t="str">
        <f>IF(Plantilla_SCAN_EQ3_COUNT_2[[#This Row],[ID MATERIAL]]="","",B1037)</f>
        <v/>
      </c>
      <c r="C1038" s="21"/>
      <c r="D1038" s="21"/>
      <c r="E1038" s="7" t="str">
        <f>IF(Plantilla_SCAN_EQ3_COUNT_2[[#This Row],[ID MATERIAL]]="","",VLOOKUP(Plantilla_SCAN_EQ3_COUNT_2[[#This Row],[ID MATERIAL]],INVENTARIO!$A:$D,2,FALSE))</f>
        <v/>
      </c>
      <c r="F1038" s="7" t="str">
        <f>IF(Plantilla_SCAN_EQ3_COUNT_2[[#This Row],[ID MATERIAL]]="","",IF(Plantilla_SCAN_EQ3_COUNT_2[[#This Row],[No. Empaques]]="",1,Plantilla_SCAN_EQ3_COUNT_2[[#This Row],[No. Empaques]]*1))</f>
        <v/>
      </c>
      <c r="G1038" s="7" t="str">
        <f>IF(Plantilla_SCAN_EQ3_COUNT_2[[#This Row],[ID MATERIAL]]="","","PZ")</f>
        <v/>
      </c>
      <c r="H1038" s="7" t="str">
        <f>IF(Plantilla_SCAN_EQ3_COUNT_2[[#This Row],[ID MATERIAL]]="","",$B$13)</f>
        <v/>
      </c>
      <c r="I1038" s="7" t="str">
        <f>IF(Plantilla_SCAN_EQ3_COUNT_2[[#This Row],[ID MATERIAL]]="","","Segundo Conteo")</f>
        <v/>
      </c>
    </row>
    <row r="1039" spans="1:9" s="7" customFormat="1" ht="15" x14ac:dyDescent="0.2">
      <c r="A1039" s="7" t="str">
        <f>IF(Plantilla_SCAN_EQ3_COUNT_2[[#This Row],[ID MATERIAL]]="","",SIGN(Plantilla_SCAN_EQ3_COUNT_2[[#This Row],[Cantidad]])+A1038)</f>
        <v/>
      </c>
      <c r="B1039" s="21" t="str">
        <f>IF(Plantilla_SCAN_EQ3_COUNT_2[[#This Row],[ID MATERIAL]]="","",B1038)</f>
        <v/>
      </c>
      <c r="C1039" s="21"/>
      <c r="D1039" s="21"/>
      <c r="E1039" s="7" t="str">
        <f>IF(Plantilla_SCAN_EQ3_COUNT_2[[#This Row],[ID MATERIAL]]="","",VLOOKUP(Plantilla_SCAN_EQ3_COUNT_2[[#This Row],[ID MATERIAL]],INVENTARIO!$A:$D,2,FALSE))</f>
        <v/>
      </c>
      <c r="F1039" s="7" t="str">
        <f>IF(Plantilla_SCAN_EQ3_COUNT_2[[#This Row],[ID MATERIAL]]="","",IF(Plantilla_SCAN_EQ3_COUNT_2[[#This Row],[No. Empaques]]="",1,Plantilla_SCAN_EQ3_COUNT_2[[#This Row],[No. Empaques]]*1))</f>
        <v/>
      </c>
      <c r="G1039" s="7" t="str">
        <f>IF(Plantilla_SCAN_EQ3_COUNT_2[[#This Row],[ID MATERIAL]]="","","PZ")</f>
        <v/>
      </c>
      <c r="H1039" s="7" t="str">
        <f>IF(Plantilla_SCAN_EQ3_COUNT_2[[#This Row],[ID MATERIAL]]="","",$B$13)</f>
        <v/>
      </c>
      <c r="I1039" s="7" t="str">
        <f>IF(Plantilla_SCAN_EQ3_COUNT_2[[#This Row],[ID MATERIAL]]="","","Segundo Conteo")</f>
        <v/>
      </c>
    </row>
    <row r="1040" spans="1:9" s="7" customFormat="1" ht="15" x14ac:dyDescent="0.2">
      <c r="A1040" s="7" t="str">
        <f>IF(Plantilla_SCAN_EQ3_COUNT_2[[#This Row],[ID MATERIAL]]="","",SIGN(Plantilla_SCAN_EQ3_COUNT_2[[#This Row],[Cantidad]])+A1039)</f>
        <v/>
      </c>
      <c r="B1040" s="21" t="str">
        <f>IF(Plantilla_SCAN_EQ3_COUNT_2[[#This Row],[ID MATERIAL]]="","",B1039)</f>
        <v/>
      </c>
      <c r="C1040" s="21"/>
      <c r="D1040" s="21"/>
      <c r="E1040" s="7" t="str">
        <f>IF(Plantilla_SCAN_EQ3_COUNT_2[[#This Row],[ID MATERIAL]]="","",VLOOKUP(Plantilla_SCAN_EQ3_COUNT_2[[#This Row],[ID MATERIAL]],INVENTARIO!$A:$D,2,FALSE))</f>
        <v/>
      </c>
      <c r="F1040" s="7" t="str">
        <f>IF(Plantilla_SCAN_EQ3_COUNT_2[[#This Row],[ID MATERIAL]]="","",IF(Plantilla_SCAN_EQ3_COUNT_2[[#This Row],[No. Empaques]]="",1,Plantilla_SCAN_EQ3_COUNT_2[[#This Row],[No. Empaques]]*1))</f>
        <v/>
      </c>
      <c r="G1040" s="7" t="str">
        <f>IF(Plantilla_SCAN_EQ3_COUNT_2[[#This Row],[ID MATERIAL]]="","","PZ")</f>
        <v/>
      </c>
      <c r="H1040" s="7" t="str">
        <f>IF(Plantilla_SCAN_EQ3_COUNT_2[[#This Row],[ID MATERIAL]]="","",$B$13)</f>
        <v/>
      </c>
      <c r="I1040" s="7" t="str">
        <f>IF(Plantilla_SCAN_EQ3_COUNT_2[[#This Row],[ID MATERIAL]]="","","Segundo Conteo")</f>
        <v/>
      </c>
    </row>
    <row r="1041" spans="1:9" s="7" customFormat="1" ht="15" x14ac:dyDescent="0.2">
      <c r="A1041" s="7" t="str">
        <f>IF(Plantilla_SCAN_EQ3_COUNT_2[[#This Row],[ID MATERIAL]]="","",SIGN(Plantilla_SCAN_EQ3_COUNT_2[[#This Row],[Cantidad]])+A1040)</f>
        <v/>
      </c>
      <c r="B1041" s="21" t="str">
        <f>IF(Plantilla_SCAN_EQ3_COUNT_2[[#This Row],[ID MATERIAL]]="","",B1040)</f>
        <v/>
      </c>
      <c r="C1041" s="21"/>
      <c r="D1041" s="21"/>
      <c r="E1041" s="7" t="str">
        <f>IF(Plantilla_SCAN_EQ3_COUNT_2[[#This Row],[ID MATERIAL]]="","",VLOOKUP(Plantilla_SCAN_EQ3_COUNT_2[[#This Row],[ID MATERIAL]],INVENTARIO!$A:$D,2,FALSE))</f>
        <v/>
      </c>
      <c r="F1041" s="7" t="str">
        <f>IF(Plantilla_SCAN_EQ3_COUNT_2[[#This Row],[ID MATERIAL]]="","",IF(Plantilla_SCAN_EQ3_COUNT_2[[#This Row],[No. Empaques]]="",1,Plantilla_SCAN_EQ3_COUNT_2[[#This Row],[No. Empaques]]*1))</f>
        <v/>
      </c>
      <c r="G1041" s="7" t="str">
        <f>IF(Plantilla_SCAN_EQ3_COUNT_2[[#This Row],[ID MATERIAL]]="","","PZ")</f>
        <v/>
      </c>
      <c r="H1041" s="7" t="str">
        <f>IF(Plantilla_SCAN_EQ3_COUNT_2[[#This Row],[ID MATERIAL]]="","",$B$13)</f>
        <v/>
      </c>
      <c r="I1041" s="7" t="str">
        <f>IF(Plantilla_SCAN_EQ3_COUNT_2[[#This Row],[ID MATERIAL]]="","","Segundo Conteo")</f>
        <v/>
      </c>
    </row>
    <row r="1042" spans="1:9" s="7" customFormat="1" ht="15" x14ac:dyDescent="0.2">
      <c r="A1042" s="7" t="str">
        <f>IF(Plantilla_SCAN_EQ3_COUNT_2[[#This Row],[ID MATERIAL]]="","",SIGN(Plantilla_SCAN_EQ3_COUNT_2[[#This Row],[Cantidad]])+A1041)</f>
        <v/>
      </c>
      <c r="B1042" s="21" t="str">
        <f>IF(Plantilla_SCAN_EQ3_COUNT_2[[#This Row],[ID MATERIAL]]="","",B1041)</f>
        <v/>
      </c>
      <c r="C1042" s="21"/>
      <c r="D1042" s="21"/>
      <c r="E1042" s="7" t="str">
        <f>IF(Plantilla_SCAN_EQ3_COUNT_2[[#This Row],[ID MATERIAL]]="","",VLOOKUP(Plantilla_SCAN_EQ3_COUNT_2[[#This Row],[ID MATERIAL]],INVENTARIO!$A:$D,2,FALSE))</f>
        <v/>
      </c>
      <c r="F1042" s="7" t="str">
        <f>IF(Plantilla_SCAN_EQ3_COUNT_2[[#This Row],[ID MATERIAL]]="","",IF(Plantilla_SCAN_EQ3_COUNT_2[[#This Row],[No. Empaques]]="",1,Plantilla_SCAN_EQ3_COUNT_2[[#This Row],[No. Empaques]]*1))</f>
        <v/>
      </c>
      <c r="G1042" s="7" t="str">
        <f>IF(Plantilla_SCAN_EQ3_COUNT_2[[#This Row],[ID MATERIAL]]="","","PZ")</f>
        <v/>
      </c>
      <c r="H1042" s="7" t="str">
        <f>IF(Plantilla_SCAN_EQ3_COUNT_2[[#This Row],[ID MATERIAL]]="","",$B$13)</f>
        <v/>
      </c>
      <c r="I1042" s="7" t="str">
        <f>IF(Plantilla_SCAN_EQ3_COUNT_2[[#This Row],[ID MATERIAL]]="","","Segundo Conteo")</f>
        <v/>
      </c>
    </row>
    <row r="1043" spans="1:9" s="7" customFormat="1" ht="15" x14ac:dyDescent="0.2">
      <c r="A1043" s="7" t="str">
        <f>IF(Plantilla_SCAN_EQ3_COUNT_2[[#This Row],[ID MATERIAL]]="","",SIGN(Plantilla_SCAN_EQ3_COUNT_2[[#This Row],[Cantidad]])+A1042)</f>
        <v/>
      </c>
      <c r="B1043" s="21" t="str">
        <f>IF(Plantilla_SCAN_EQ3_COUNT_2[[#This Row],[ID MATERIAL]]="","",B1042)</f>
        <v/>
      </c>
      <c r="C1043" s="21"/>
      <c r="D1043" s="21"/>
      <c r="E1043" s="7" t="str">
        <f>IF(Plantilla_SCAN_EQ3_COUNT_2[[#This Row],[ID MATERIAL]]="","",VLOOKUP(Plantilla_SCAN_EQ3_COUNT_2[[#This Row],[ID MATERIAL]],INVENTARIO!$A:$D,2,FALSE))</f>
        <v/>
      </c>
      <c r="F1043" s="7" t="str">
        <f>IF(Plantilla_SCAN_EQ3_COUNT_2[[#This Row],[ID MATERIAL]]="","",IF(Plantilla_SCAN_EQ3_COUNT_2[[#This Row],[No. Empaques]]="",1,Plantilla_SCAN_EQ3_COUNT_2[[#This Row],[No. Empaques]]*1))</f>
        <v/>
      </c>
      <c r="G1043" s="7" t="str">
        <f>IF(Plantilla_SCAN_EQ3_COUNT_2[[#This Row],[ID MATERIAL]]="","","PZ")</f>
        <v/>
      </c>
      <c r="H1043" s="7" t="str">
        <f>IF(Plantilla_SCAN_EQ3_COUNT_2[[#This Row],[ID MATERIAL]]="","",$B$13)</f>
        <v/>
      </c>
      <c r="I1043" s="7" t="str">
        <f>IF(Plantilla_SCAN_EQ3_COUNT_2[[#This Row],[ID MATERIAL]]="","","Segundo Conteo")</f>
        <v/>
      </c>
    </row>
    <row r="1044" spans="1:9" s="7" customFormat="1" ht="15" x14ac:dyDescent="0.2">
      <c r="A1044" s="7" t="str">
        <f>IF(Plantilla_SCAN_EQ3_COUNT_2[[#This Row],[ID MATERIAL]]="","",SIGN(Plantilla_SCAN_EQ3_COUNT_2[[#This Row],[Cantidad]])+A1043)</f>
        <v/>
      </c>
      <c r="B1044" s="21" t="str">
        <f>IF(Plantilla_SCAN_EQ3_COUNT_2[[#This Row],[ID MATERIAL]]="","",B1043)</f>
        <v/>
      </c>
      <c r="C1044" s="21"/>
      <c r="D1044" s="21"/>
      <c r="E1044" s="7" t="str">
        <f>IF(Plantilla_SCAN_EQ3_COUNT_2[[#This Row],[ID MATERIAL]]="","",VLOOKUP(Plantilla_SCAN_EQ3_COUNT_2[[#This Row],[ID MATERIAL]],INVENTARIO!$A:$D,2,FALSE))</f>
        <v/>
      </c>
      <c r="F1044" s="7" t="str">
        <f>IF(Plantilla_SCAN_EQ3_COUNT_2[[#This Row],[ID MATERIAL]]="","",IF(Plantilla_SCAN_EQ3_COUNT_2[[#This Row],[No. Empaques]]="",1,Plantilla_SCAN_EQ3_COUNT_2[[#This Row],[No. Empaques]]*1))</f>
        <v/>
      </c>
      <c r="G1044" s="7" t="str">
        <f>IF(Plantilla_SCAN_EQ3_COUNT_2[[#This Row],[ID MATERIAL]]="","","PZ")</f>
        <v/>
      </c>
      <c r="H1044" s="7" t="str">
        <f>IF(Plantilla_SCAN_EQ3_COUNT_2[[#This Row],[ID MATERIAL]]="","",$B$13)</f>
        <v/>
      </c>
      <c r="I1044" s="7" t="str">
        <f>IF(Plantilla_SCAN_EQ3_COUNT_2[[#This Row],[ID MATERIAL]]="","","Segundo Conteo")</f>
        <v/>
      </c>
    </row>
    <row r="1045" spans="1:9" s="7" customFormat="1" ht="15" x14ac:dyDescent="0.2">
      <c r="A1045" s="7" t="str">
        <f>IF(Plantilla_SCAN_EQ3_COUNT_2[[#This Row],[ID MATERIAL]]="","",SIGN(Plantilla_SCAN_EQ3_COUNT_2[[#This Row],[Cantidad]])+A1044)</f>
        <v/>
      </c>
      <c r="B1045" s="21" t="str">
        <f>IF(Plantilla_SCAN_EQ3_COUNT_2[[#This Row],[ID MATERIAL]]="","",B1044)</f>
        <v/>
      </c>
      <c r="C1045" s="21"/>
      <c r="D1045" s="21"/>
      <c r="E1045" s="7" t="str">
        <f>IF(Plantilla_SCAN_EQ3_COUNT_2[[#This Row],[ID MATERIAL]]="","",VLOOKUP(Plantilla_SCAN_EQ3_COUNT_2[[#This Row],[ID MATERIAL]],INVENTARIO!$A:$D,2,FALSE))</f>
        <v/>
      </c>
      <c r="F1045" s="7" t="str">
        <f>IF(Plantilla_SCAN_EQ3_COUNT_2[[#This Row],[ID MATERIAL]]="","",IF(Plantilla_SCAN_EQ3_COUNT_2[[#This Row],[No. Empaques]]="",1,Plantilla_SCAN_EQ3_COUNT_2[[#This Row],[No. Empaques]]*1))</f>
        <v/>
      </c>
      <c r="G1045" s="7" t="str">
        <f>IF(Plantilla_SCAN_EQ3_COUNT_2[[#This Row],[ID MATERIAL]]="","","PZ")</f>
        <v/>
      </c>
      <c r="H1045" s="7" t="str">
        <f>IF(Plantilla_SCAN_EQ3_COUNT_2[[#This Row],[ID MATERIAL]]="","",$B$13)</f>
        <v/>
      </c>
      <c r="I1045" s="7" t="str">
        <f>IF(Plantilla_SCAN_EQ3_COUNT_2[[#This Row],[ID MATERIAL]]="","","Segundo Conteo")</f>
        <v/>
      </c>
    </row>
    <row r="1046" spans="1:9" s="7" customFormat="1" ht="15" x14ac:dyDescent="0.2">
      <c r="A1046" s="7" t="str">
        <f>IF(Plantilla_SCAN_EQ3_COUNT_2[[#This Row],[ID MATERIAL]]="","",SIGN(Plantilla_SCAN_EQ3_COUNT_2[[#This Row],[Cantidad]])+A1045)</f>
        <v/>
      </c>
      <c r="B1046" s="21" t="str">
        <f>IF(Plantilla_SCAN_EQ3_COUNT_2[[#This Row],[ID MATERIAL]]="","",B1045)</f>
        <v/>
      </c>
      <c r="C1046" s="21"/>
      <c r="D1046" s="21"/>
      <c r="E1046" s="7" t="str">
        <f>IF(Plantilla_SCAN_EQ3_COUNT_2[[#This Row],[ID MATERIAL]]="","",VLOOKUP(Plantilla_SCAN_EQ3_COUNT_2[[#This Row],[ID MATERIAL]],INVENTARIO!$A:$D,2,FALSE))</f>
        <v/>
      </c>
      <c r="F1046" s="7" t="str">
        <f>IF(Plantilla_SCAN_EQ3_COUNT_2[[#This Row],[ID MATERIAL]]="","",IF(Plantilla_SCAN_EQ3_COUNT_2[[#This Row],[No. Empaques]]="",1,Plantilla_SCAN_EQ3_COUNT_2[[#This Row],[No. Empaques]]*1))</f>
        <v/>
      </c>
      <c r="G1046" s="7" t="str">
        <f>IF(Plantilla_SCAN_EQ3_COUNT_2[[#This Row],[ID MATERIAL]]="","","PZ")</f>
        <v/>
      </c>
      <c r="H1046" s="7" t="str">
        <f>IF(Plantilla_SCAN_EQ3_COUNT_2[[#This Row],[ID MATERIAL]]="","",$B$13)</f>
        <v/>
      </c>
      <c r="I1046" s="7" t="str">
        <f>IF(Plantilla_SCAN_EQ3_COUNT_2[[#This Row],[ID MATERIAL]]="","","Segundo Conteo")</f>
        <v/>
      </c>
    </row>
    <row r="1047" spans="1:9" s="7" customFormat="1" ht="15" x14ac:dyDescent="0.2">
      <c r="A1047" s="7" t="str">
        <f>IF(Plantilla_SCAN_EQ3_COUNT_2[[#This Row],[ID MATERIAL]]="","",SIGN(Plantilla_SCAN_EQ3_COUNT_2[[#This Row],[Cantidad]])+A1046)</f>
        <v/>
      </c>
      <c r="B1047" s="21" t="str">
        <f>IF(Plantilla_SCAN_EQ3_COUNT_2[[#This Row],[ID MATERIAL]]="","",B1046)</f>
        <v/>
      </c>
      <c r="C1047" s="21"/>
      <c r="D1047" s="21"/>
      <c r="E1047" s="7" t="str">
        <f>IF(Plantilla_SCAN_EQ3_COUNT_2[[#This Row],[ID MATERIAL]]="","",VLOOKUP(Plantilla_SCAN_EQ3_COUNT_2[[#This Row],[ID MATERIAL]],INVENTARIO!$A:$D,2,FALSE))</f>
        <v/>
      </c>
      <c r="F1047" s="7" t="str">
        <f>IF(Plantilla_SCAN_EQ3_COUNT_2[[#This Row],[ID MATERIAL]]="","",IF(Plantilla_SCAN_EQ3_COUNT_2[[#This Row],[No. Empaques]]="",1,Plantilla_SCAN_EQ3_COUNT_2[[#This Row],[No. Empaques]]*1))</f>
        <v/>
      </c>
      <c r="G1047" s="7" t="str">
        <f>IF(Plantilla_SCAN_EQ3_COUNT_2[[#This Row],[ID MATERIAL]]="","","PZ")</f>
        <v/>
      </c>
      <c r="H1047" s="7" t="str">
        <f>IF(Plantilla_SCAN_EQ3_COUNT_2[[#This Row],[ID MATERIAL]]="","",$B$13)</f>
        <v/>
      </c>
      <c r="I1047" s="7" t="str">
        <f>IF(Plantilla_SCAN_EQ3_COUNT_2[[#This Row],[ID MATERIAL]]="","","Segundo Conteo")</f>
        <v/>
      </c>
    </row>
    <row r="1048" spans="1:9" s="7" customFormat="1" ht="15" x14ac:dyDescent="0.2">
      <c r="A1048" s="7" t="str">
        <f>IF(Plantilla_SCAN_EQ3_COUNT_2[[#This Row],[ID MATERIAL]]="","",SIGN(Plantilla_SCAN_EQ3_COUNT_2[[#This Row],[Cantidad]])+A1047)</f>
        <v/>
      </c>
      <c r="B1048" s="21" t="str">
        <f>IF(Plantilla_SCAN_EQ3_COUNT_2[[#This Row],[ID MATERIAL]]="","",B1047)</f>
        <v/>
      </c>
      <c r="C1048" s="21"/>
      <c r="D1048" s="21"/>
      <c r="E1048" s="7" t="str">
        <f>IF(Plantilla_SCAN_EQ3_COUNT_2[[#This Row],[ID MATERIAL]]="","",VLOOKUP(Plantilla_SCAN_EQ3_COUNT_2[[#This Row],[ID MATERIAL]],INVENTARIO!$A:$D,2,FALSE))</f>
        <v/>
      </c>
      <c r="F1048" s="7" t="str">
        <f>IF(Plantilla_SCAN_EQ3_COUNT_2[[#This Row],[ID MATERIAL]]="","",IF(Plantilla_SCAN_EQ3_COUNT_2[[#This Row],[No. Empaques]]="",1,Plantilla_SCAN_EQ3_COUNT_2[[#This Row],[No. Empaques]]*1))</f>
        <v/>
      </c>
      <c r="G1048" s="7" t="str">
        <f>IF(Plantilla_SCAN_EQ3_COUNT_2[[#This Row],[ID MATERIAL]]="","","PZ")</f>
        <v/>
      </c>
      <c r="H1048" s="7" t="str">
        <f>IF(Plantilla_SCAN_EQ3_COUNT_2[[#This Row],[ID MATERIAL]]="","",$B$13)</f>
        <v/>
      </c>
      <c r="I1048" s="7" t="str">
        <f>IF(Plantilla_SCAN_EQ3_COUNT_2[[#This Row],[ID MATERIAL]]="","","Segundo Conteo")</f>
        <v/>
      </c>
    </row>
    <row r="1049" spans="1:9" s="7" customFormat="1" ht="15" x14ac:dyDescent="0.2">
      <c r="A1049" s="7" t="str">
        <f>IF(Plantilla_SCAN_EQ3_COUNT_2[[#This Row],[ID MATERIAL]]="","",SIGN(Plantilla_SCAN_EQ3_COUNT_2[[#This Row],[Cantidad]])+A1048)</f>
        <v/>
      </c>
      <c r="B1049" s="21" t="str">
        <f>IF(Plantilla_SCAN_EQ3_COUNT_2[[#This Row],[ID MATERIAL]]="","",B1048)</f>
        <v/>
      </c>
      <c r="C1049" s="21"/>
      <c r="D1049" s="21"/>
      <c r="E1049" s="7" t="str">
        <f>IF(Plantilla_SCAN_EQ3_COUNT_2[[#This Row],[ID MATERIAL]]="","",VLOOKUP(Plantilla_SCAN_EQ3_COUNT_2[[#This Row],[ID MATERIAL]],INVENTARIO!$A:$D,2,FALSE))</f>
        <v/>
      </c>
      <c r="F1049" s="7" t="str">
        <f>IF(Plantilla_SCAN_EQ3_COUNT_2[[#This Row],[ID MATERIAL]]="","",IF(Plantilla_SCAN_EQ3_COUNT_2[[#This Row],[No. Empaques]]="",1,Plantilla_SCAN_EQ3_COUNT_2[[#This Row],[No. Empaques]]*1))</f>
        <v/>
      </c>
      <c r="G1049" s="7" t="str">
        <f>IF(Plantilla_SCAN_EQ3_COUNT_2[[#This Row],[ID MATERIAL]]="","","PZ")</f>
        <v/>
      </c>
      <c r="H1049" s="7" t="str">
        <f>IF(Plantilla_SCAN_EQ3_COUNT_2[[#This Row],[ID MATERIAL]]="","",$B$13)</f>
        <v/>
      </c>
      <c r="I1049" s="7" t="str">
        <f>IF(Plantilla_SCAN_EQ3_COUNT_2[[#This Row],[ID MATERIAL]]="","","Segundo Conteo")</f>
        <v/>
      </c>
    </row>
    <row r="1050" spans="1:9" s="7" customFormat="1" ht="15" x14ac:dyDescent="0.2">
      <c r="A1050" s="7" t="str">
        <f>IF(Plantilla_SCAN_EQ3_COUNT_2[[#This Row],[ID MATERIAL]]="","",SIGN(Plantilla_SCAN_EQ3_COUNT_2[[#This Row],[Cantidad]])+A1049)</f>
        <v/>
      </c>
      <c r="B1050" s="21" t="str">
        <f>IF(Plantilla_SCAN_EQ3_COUNT_2[[#This Row],[ID MATERIAL]]="","",B1049)</f>
        <v/>
      </c>
      <c r="C1050" s="21"/>
      <c r="D1050" s="21"/>
      <c r="E1050" s="7" t="str">
        <f>IF(Plantilla_SCAN_EQ3_COUNT_2[[#This Row],[ID MATERIAL]]="","",VLOOKUP(Plantilla_SCAN_EQ3_COUNT_2[[#This Row],[ID MATERIAL]],INVENTARIO!$A:$D,2,FALSE))</f>
        <v/>
      </c>
      <c r="F1050" s="7" t="str">
        <f>IF(Plantilla_SCAN_EQ3_COUNT_2[[#This Row],[ID MATERIAL]]="","",IF(Plantilla_SCAN_EQ3_COUNT_2[[#This Row],[No. Empaques]]="",1,Plantilla_SCAN_EQ3_COUNT_2[[#This Row],[No. Empaques]]*1))</f>
        <v/>
      </c>
      <c r="G1050" s="7" t="str">
        <f>IF(Plantilla_SCAN_EQ3_COUNT_2[[#This Row],[ID MATERIAL]]="","","PZ")</f>
        <v/>
      </c>
      <c r="H1050" s="7" t="str">
        <f>IF(Plantilla_SCAN_EQ3_COUNT_2[[#This Row],[ID MATERIAL]]="","",$B$13)</f>
        <v/>
      </c>
      <c r="I1050" s="7" t="str">
        <f>IF(Plantilla_SCAN_EQ3_COUNT_2[[#This Row],[ID MATERIAL]]="","","Segundo Conteo")</f>
        <v/>
      </c>
    </row>
    <row r="1051" spans="1:9" s="7" customFormat="1" ht="15" x14ac:dyDescent="0.2">
      <c r="A1051" s="7" t="str">
        <f>IF(Plantilla_SCAN_EQ3_COUNT_2[[#This Row],[ID MATERIAL]]="","",SIGN(Plantilla_SCAN_EQ3_COUNT_2[[#This Row],[Cantidad]])+A1050)</f>
        <v/>
      </c>
      <c r="B1051" s="21" t="str">
        <f>IF(Plantilla_SCAN_EQ3_COUNT_2[[#This Row],[ID MATERIAL]]="","",B1050)</f>
        <v/>
      </c>
      <c r="C1051" s="21"/>
      <c r="D1051" s="21"/>
      <c r="E1051" s="7" t="str">
        <f>IF(Plantilla_SCAN_EQ3_COUNT_2[[#This Row],[ID MATERIAL]]="","",VLOOKUP(Plantilla_SCAN_EQ3_COUNT_2[[#This Row],[ID MATERIAL]],INVENTARIO!$A:$D,2,FALSE))</f>
        <v/>
      </c>
      <c r="F1051" s="7" t="str">
        <f>IF(Plantilla_SCAN_EQ3_COUNT_2[[#This Row],[ID MATERIAL]]="","",IF(Plantilla_SCAN_EQ3_COUNT_2[[#This Row],[No. Empaques]]="",1,Plantilla_SCAN_EQ3_COUNT_2[[#This Row],[No. Empaques]]*1))</f>
        <v/>
      </c>
      <c r="G1051" s="7" t="str">
        <f>IF(Plantilla_SCAN_EQ3_COUNT_2[[#This Row],[ID MATERIAL]]="","","PZ")</f>
        <v/>
      </c>
      <c r="H1051" s="7" t="str">
        <f>IF(Plantilla_SCAN_EQ3_COUNT_2[[#This Row],[ID MATERIAL]]="","",$B$13)</f>
        <v/>
      </c>
      <c r="I1051" s="7" t="str">
        <f>IF(Plantilla_SCAN_EQ3_COUNT_2[[#This Row],[ID MATERIAL]]="","","Segundo Conteo")</f>
        <v/>
      </c>
    </row>
    <row r="1052" spans="1:9" s="7" customFormat="1" ht="15" x14ac:dyDescent="0.2">
      <c r="A1052" s="7" t="str">
        <f>IF(Plantilla_SCAN_EQ3_COUNT_2[[#This Row],[ID MATERIAL]]="","",SIGN(Plantilla_SCAN_EQ3_COUNT_2[[#This Row],[Cantidad]])+A1051)</f>
        <v/>
      </c>
      <c r="B1052" s="21" t="str">
        <f>IF(Plantilla_SCAN_EQ3_COUNT_2[[#This Row],[ID MATERIAL]]="","",B1051)</f>
        <v/>
      </c>
      <c r="C1052" s="21"/>
      <c r="D1052" s="21"/>
      <c r="E1052" s="7" t="str">
        <f>IF(Plantilla_SCAN_EQ3_COUNT_2[[#This Row],[ID MATERIAL]]="","",VLOOKUP(Plantilla_SCAN_EQ3_COUNT_2[[#This Row],[ID MATERIAL]],INVENTARIO!$A:$D,2,FALSE))</f>
        <v/>
      </c>
      <c r="F1052" s="7" t="str">
        <f>IF(Plantilla_SCAN_EQ3_COUNT_2[[#This Row],[ID MATERIAL]]="","",IF(Plantilla_SCAN_EQ3_COUNT_2[[#This Row],[No. Empaques]]="",1,Plantilla_SCAN_EQ3_COUNT_2[[#This Row],[No. Empaques]]*1))</f>
        <v/>
      </c>
      <c r="G1052" s="7" t="str">
        <f>IF(Plantilla_SCAN_EQ3_COUNT_2[[#This Row],[ID MATERIAL]]="","","PZ")</f>
        <v/>
      </c>
      <c r="H1052" s="7" t="str">
        <f>IF(Plantilla_SCAN_EQ3_COUNT_2[[#This Row],[ID MATERIAL]]="","",$B$13)</f>
        <v/>
      </c>
      <c r="I1052" s="7" t="str">
        <f>IF(Plantilla_SCAN_EQ3_COUNT_2[[#This Row],[ID MATERIAL]]="","","Segundo Conteo")</f>
        <v/>
      </c>
    </row>
    <row r="1053" spans="1:9" s="7" customFormat="1" ht="15" x14ac:dyDescent="0.2">
      <c r="A1053" s="7" t="str">
        <f>IF(Plantilla_SCAN_EQ3_COUNT_2[[#This Row],[ID MATERIAL]]="","",SIGN(Plantilla_SCAN_EQ3_COUNT_2[[#This Row],[Cantidad]])+A1052)</f>
        <v/>
      </c>
      <c r="B1053" s="21" t="str">
        <f>IF(Plantilla_SCAN_EQ3_COUNT_2[[#This Row],[ID MATERIAL]]="","",B1052)</f>
        <v/>
      </c>
      <c r="C1053" s="21"/>
      <c r="D1053" s="21"/>
      <c r="E1053" s="7" t="str">
        <f>IF(Plantilla_SCAN_EQ3_COUNT_2[[#This Row],[ID MATERIAL]]="","",VLOOKUP(Plantilla_SCAN_EQ3_COUNT_2[[#This Row],[ID MATERIAL]],INVENTARIO!$A:$D,2,FALSE))</f>
        <v/>
      </c>
      <c r="F1053" s="7" t="str">
        <f>IF(Plantilla_SCAN_EQ3_COUNT_2[[#This Row],[ID MATERIAL]]="","",IF(Plantilla_SCAN_EQ3_COUNT_2[[#This Row],[No. Empaques]]="",1,Plantilla_SCAN_EQ3_COUNT_2[[#This Row],[No. Empaques]]*1))</f>
        <v/>
      </c>
      <c r="G1053" s="7" t="str">
        <f>IF(Plantilla_SCAN_EQ3_COUNT_2[[#This Row],[ID MATERIAL]]="","","PZ")</f>
        <v/>
      </c>
      <c r="H1053" s="7" t="str">
        <f>IF(Plantilla_SCAN_EQ3_COUNT_2[[#This Row],[ID MATERIAL]]="","",$B$13)</f>
        <v/>
      </c>
      <c r="I1053" s="7" t="str">
        <f>IF(Plantilla_SCAN_EQ3_COUNT_2[[#This Row],[ID MATERIAL]]="","","Segundo Conteo")</f>
        <v/>
      </c>
    </row>
    <row r="1054" spans="1:9" s="7" customFormat="1" ht="15" x14ac:dyDescent="0.2">
      <c r="A1054" s="7" t="str">
        <f>IF(Plantilla_SCAN_EQ3_COUNT_2[[#This Row],[ID MATERIAL]]="","",SIGN(Plantilla_SCAN_EQ3_COUNT_2[[#This Row],[Cantidad]])+A1053)</f>
        <v/>
      </c>
      <c r="B1054" s="21" t="str">
        <f>IF(Plantilla_SCAN_EQ3_COUNT_2[[#This Row],[ID MATERIAL]]="","",B1053)</f>
        <v/>
      </c>
      <c r="C1054" s="21"/>
      <c r="D1054" s="21"/>
      <c r="E1054" s="7" t="str">
        <f>IF(Plantilla_SCAN_EQ3_COUNT_2[[#This Row],[ID MATERIAL]]="","",VLOOKUP(Plantilla_SCAN_EQ3_COUNT_2[[#This Row],[ID MATERIAL]],INVENTARIO!$A:$D,2,FALSE))</f>
        <v/>
      </c>
      <c r="F1054" s="7" t="str">
        <f>IF(Plantilla_SCAN_EQ3_COUNT_2[[#This Row],[ID MATERIAL]]="","",IF(Plantilla_SCAN_EQ3_COUNT_2[[#This Row],[No. Empaques]]="",1,Plantilla_SCAN_EQ3_COUNT_2[[#This Row],[No. Empaques]]*1))</f>
        <v/>
      </c>
      <c r="G1054" s="7" t="str">
        <f>IF(Plantilla_SCAN_EQ3_COUNT_2[[#This Row],[ID MATERIAL]]="","","PZ")</f>
        <v/>
      </c>
      <c r="H1054" s="7" t="str">
        <f>IF(Plantilla_SCAN_EQ3_COUNT_2[[#This Row],[ID MATERIAL]]="","",$B$13)</f>
        <v/>
      </c>
      <c r="I1054" s="7" t="str">
        <f>IF(Plantilla_SCAN_EQ3_COUNT_2[[#This Row],[ID MATERIAL]]="","","Segundo Conteo")</f>
        <v/>
      </c>
    </row>
    <row r="1055" spans="1:9" s="7" customFormat="1" ht="15" x14ac:dyDescent="0.2">
      <c r="A1055" s="7" t="str">
        <f>IF(Plantilla_SCAN_EQ3_COUNT_2[[#This Row],[ID MATERIAL]]="","",SIGN(Plantilla_SCAN_EQ3_COUNT_2[[#This Row],[Cantidad]])+A1054)</f>
        <v/>
      </c>
      <c r="B1055" s="21" t="str">
        <f>IF(Plantilla_SCAN_EQ3_COUNT_2[[#This Row],[ID MATERIAL]]="","",B1054)</f>
        <v/>
      </c>
      <c r="C1055" s="21"/>
      <c r="D1055" s="21"/>
      <c r="E1055" s="7" t="str">
        <f>IF(Plantilla_SCAN_EQ3_COUNT_2[[#This Row],[ID MATERIAL]]="","",VLOOKUP(Plantilla_SCAN_EQ3_COUNT_2[[#This Row],[ID MATERIAL]],INVENTARIO!$A:$D,2,FALSE))</f>
        <v/>
      </c>
      <c r="F1055" s="7" t="str">
        <f>IF(Plantilla_SCAN_EQ3_COUNT_2[[#This Row],[ID MATERIAL]]="","",IF(Plantilla_SCAN_EQ3_COUNT_2[[#This Row],[No. Empaques]]="",1,Plantilla_SCAN_EQ3_COUNT_2[[#This Row],[No. Empaques]]*1))</f>
        <v/>
      </c>
      <c r="G1055" s="7" t="str">
        <f>IF(Plantilla_SCAN_EQ3_COUNT_2[[#This Row],[ID MATERIAL]]="","","PZ")</f>
        <v/>
      </c>
      <c r="H1055" s="7" t="str">
        <f>IF(Plantilla_SCAN_EQ3_COUNT_2[[#This Row],[ID MATERIAL]]="","",$B$13)</f>
        <v/>
      </c>
      <c r="I1055" s="7" t="str">
        <f>IF(Plantilla_SCAN_EQ3_COUNT_2[[#This Row],[ID MATERIAL]]="","","Segundo Conteo")</f>
        <v/>
      </c>
    </row>
    <row r="1056" spans="1:9" s="7" customFormat="1" ht="15" x14ac:dyDescent="0.2">
      <c r="A1056" s="7" t="str">
        <f>IF(Plantilla_SCAN_EQ3_COUNT_2[[#This Row],[ID MATERIAL]]="","",SIGN(Plantilla_SCAN_EQ3_COUNT_2[[#This Row],[Cantidad]])+A1055)</f>
        <v/>
      </c>
      <c r="B1056" s="21" t="str">
        <f>IF(Plantilla_SCAN_EQ3_COUNT_2[[#This Row],[ID MATERIAL]]="","",B1055)</f>
        <v/>
      </c>
      <c r="C1056" s="21"/>
      <c r="D1056" s="21"/>
      <c r="E1056" s="7" t="str">
        <f>IF(Plantilla_SCAN_EQ3_COUNT_2[[#This Row],[ID MATERIAL]]="","",VLOOKUP(Plantilla_SCAN_EQ3_COUNT_2[[#This Row],[ID MATERIAL]],INVENTARIO!$A:$D,2,FALSE))</f>
        <v/>
      </c>
      <c r="F1056" s="7" t="str">
        <f>IF(Plantilla_SCAN_EQ3_COUNT_2[[#This Row],[ID MATERIAL]]="","",IF(Plantilla_SCAN_EQ3_COUNT_2[[#This Row],[No. Empaques]]="",1,Plantilla_SCAN_EQ3_COUNT_2[[#This Row],[No. Empaques]]*1))</f>
        <v/>
      </c>
      <c r="G1056" s="7" t="str">
        <f>IF(Plantilla_SCAN_EQ3_COUNT_2[[#This Row],[ID MATERIAL]]="","","PZ")</f>
        <v/>
      </c>
      <c r="H1056" s="7" t="str">
        <f>IF(Plantilla_SCAN_EQ3_COUNT_2[[#This Row],[ID MATERIAL]]="","",$B$13)</f>
        <v/>
      </c>
      <c r="I1056" s="7" t="str">
        <f>IF(Plantilla_SCAN_EQ3_COUNT_2[[#This Row],[ID MATERIAL]]="","","Segundo Conteo")</f>
        <v/>
      </c>
    </row>
    <row r="1057" spans="1:9" s="7" customFormat="1" ht="15" x14ac:dyDescent="0.2">
      <c r="A1057" s="7" t="str">
        <f>IF(Plantilla_SCAN_EQ3_COUNT_2[[#This Row],[ID MATERIAL]]="","",SIGN(Plantilla_SCAN_EQ3_COUNT_2[[#This Row],[Cantidad]])+A1056)</f>
        <v/>
      </c>
      <c r="B1057" s="21" t="str">
        <f>IF(Plantilla_SCAN_EQ3_COUNT_2[[#This Row],[ID MATERIAL]]="","",B1056)</f>
        <v/>
      </c>
      <c r="C1057" s="21"/>
      <c r="D1057" s="21"/>
      <c r="E1057" s="7" t="str">
        <f>IF(Plantilla_SCAN_EQ3_COUNT_2[[#This Row],[ID MATERIAL]]="","",VLOOKUP(Plantilla_SCAN_EQ3_COUNT_2[[#This Row],[ID MATERIAL]],INVENTARIO!$A:$D,2,FALSE))</f>
        <v/>
      </c>
      <c r="F1057" s="7" t="str">
        <f>IF(Plantilla_SCAN_EQ3_COUNT_2[[#This Row],[ID MATERIAL]]="","",IF(Plantilla_SCAN_EQ3_COUNT_2[[#This Row],[No. Empaques]]="",1,Plantilla_SCAN_EQ3_COUNT_2[[#This Row],[No. Empaques]]*1))</f>
        <v/>
      </c>
      <c r="G1057" s="7" t="str">
        <f>IF(Plantilla_SCAN_EQ3_COUNT_2[[#This Row],[ID MATERIAL]]="","","PZ")</f>
        <v/>
      </c>
      <c r="H1057" s="7" t="str">
        <f>IF(Plantilla_SCAN_EQ3_COUNT_2[[#This Row],[ID MATERIAL]]="","",$B$13)</f>
        <v/>
      </c>
      <c r="I1057" s="7" t="str">
        <f>IF(Plantilla_SCAN_EQ3_COUNT_2[[#This Row],[ID MATERIAL]]="","","Segundo Conteo")</f>
        <v/>
      </c>
    </row>
    <row r="1058" spans="1:9" s="7" customFormat="1" ht="15" x14ac:dyDescent="0.2">
      <c r="A1058" s="7" t="str">
        <f>IF(Plantilla_SCAN_EQ3_COUNT_2[[#This Row],[ID MATERIAL]]="","",SIGN(Plantilla_SCAN_EQ3_COUNT_2[[#This Row],[Cantidad]])+A1057)</f>
        <v/>
      </c>
      <c r="B1058" s="21" t="str">
        <f>IF(Plantilla_SCAN_EQ3_COUNT_2[[#This Row],[ID MATERIAL]]="","",B1057)</f>
        <v/>
      </c>
      <c r="C1058" s="21"/>
      <c r="D1058" s="21"/>
      <c r="E1058" s="7" t="str">
        <f>IF(Plantilla_SCAN_EQ3_COUNT_2[[#This Row],[ID MATERIAL]]="","",VLOOKUP(Plantilla_SCAN_EQ3_COUNT_2[[#This Row],[ID MATERIAL]],INVENTARIO!$A:$D,2,FALSE))</f>
        <v/>
      </c>
      <c r="F1058" s="7" t="str">
        <f>IF(Plantilla_SCAN_EQ3_COUNT_2[[#This Row],[ID MATERIAL]]="","",IF(Plantilla_SCAN_EQ3_COUNT_2[[#This Row],[No. Empaques]]="",1,Plantilla_SCAN_EQ3_COUNT_2[[#This Row],[No. Empaques]]*1))</f>
        <v/>
      </c>
      <c r="G1058" s="7" t="str">
        <f>IF(Plantilla_SCAN_EQ3_COUNT_2[[#This Row],[ID MATERIAL]]="","","PZ")</f>
        <v/>
      </c>
      <c r="H1058" s="7" t="str">
        <f>IF(Plantilla_SCAN_EQ3_COUNT_2[[#This Row],[ID MATERIAL]]="","",$B$13)</f>
        <v/>
      </c>
      <c r="I1058" s="7" t="str">
        <f>IF(Plantilla_SCAN_EQ3_COUNT_2[[#This Row],[ID MATERIAL]]="","","Segundo Conteo")</f>
        <v/>
      </c>
    </row>
    <row r="1059" spans="1:9" s="7" customFormat="1" ht="15" x14ac:dyDescent="0.2">
      <c r="A1059" s="7" t="str">
        <f>IF(Plantilla_SCAN_EQ3_COUNT_2[[#This Row],[ID MATERIAL]]="","",SIGN(Plantilla_SCAN_EQ3_COUNT_2[[#This Row],[Cantidad]])+A1058)</f>
        <v/>
      </c>
      <c r="B1059" s="21" t="str">
        <f>IF(Plantilla_SCAN_EQ3_COUNT_2[[#This Row],[ID MATERIAL]]="","",B1058)</f>
        <v/>
      </c>
      <c r="C1059" s="21"/>
      <c r="D1059" s="21"/>
      <c r="E1059" s="7" t="str">
        <f>IF(Plantilla_SCAN_EQ3_COUNT_2[[#This Row],[ID MATERIAL]]="","",VLOOKUP(Plantilla_SCAN_EQ3_COUNT_2[[#This Row],[ID MATERIAL]],INVENTARIO!$A:$D,2,FALSE))</f>
        <v/>
      </c>
      <c r="F1059" s="7" t="str">
        <f>IF(Plantilla_SCAN_EQ3_COUNT_2[[#This Row],[ID MATERIAL]]="","",IF(Plantilla_SCAN_EQ3_COUNT_2[[#This Row],[No. Empaques]]="",1,Plantilla_SCAN_EQ3_COUNT_2[[#This Row],[No. Empaques]]*1))</f>
        <v/>
      </c>
      <c r="G1059" s="7" t="str">
        <f>IF(Plantilla_SCAN_EQ3_COUNT_2[[#This Row],[ID MATERIAL]]="","","PZ")</f>
        <v/>
      </c>
      <c r="H1059" s="7" t="str">
        <f>IF(Plantilla_SCAN_EQ3_COUNT_2[[#This Row],[ID MATERIAL]]="","",$B$13)</f>
        <v/>
      </c>
      <c r="I1059" s="7" t="str">
        <f>IF(Plantilla_SCAN_EQ3_COUNT_2[[#This Row],[ID MATERIAL]]="","","Segundo Conteo")</f>
        <v/>
      </c>
    </row>
    <row r="1060" spans="1:9" s="7" customFormat="1" ht="15" x14ac:dyDescent="0.2">
      <c r="A1060" s="7" t="str">
        <f>IF(Plantilla_SCAN_EQ3_COUNT_2[[#This Row],[ID MATERIAL]]="","",SIGN(Plantilla_SCAN_EQ3_COUNT_2[[#This Row],[Cantidad]])+A1059)</f>
        <v/>
      </c>
      <c r="B1060" s="21" t="str">
        <f>IF(Plantilla_SCAN_EQ3_COUNT_2[[#This Row],[ID MATERIAL]]="","",B1059)</f>
        <v/>
      </c>
      <c r="C1060" s="21"/>
      <c r="D1060" s="21"/>
      <c r="E1060" s="7" t="str">
        <f>IF(Plantilla_SCAN_EQ3_COUNT_2[[#This Row],[ID MATERIAL]]="","",VLOOKUP(Plantilla_SCAN_EQ3_COUNT_2[[#This Row],[ID MATERIAL]],INVENTARIO!$A:$D,2,FALSE))</f>
        <v/>
      </c>
      <c r="F1060" s="7" t="str">
        <f>IF(Plantilla_SCAN_EQ3_COUNT_2[[#This Row],[ID MATERIAL]]="","",IF(Plantilla_SCAN_EQ3_COUNT_2[[#This Row],[No. Empaques]]="",1,Plantilla_SCAN_EQ3_COUNT_2[[#This Row],[No. Empaques]]*1))</f>
        <v/>
      </c>
      <c r="G1060" s="7" t="str">
        <f>IF(Plantilla_SCAN_EQ3_COUNT_2[[#This Row],[ID MATERIAL]]="","","PZ")</f>
        <v/>
      </c>
      <c r="H1060" s="7" t="str">
        <f>IF(Plantilla_SCAN_EQ3_COUNT_2[[#This Row],[ID MATERIAL]]="","",$B$13)</f>
        <v/>
      </c>
      <c r="I1060" s="7" t="str">
        <f>IF(Plantilla_SCAN_EQ3_COUNT_2[[#This Row],[ID MATERIAL]]="","","Segundo Conteo")</f>
        <v/>
      </c>
    </row>
    <row r="1061" spans="1:9" s="7" customFormat="1" ht="15" x14ac:dyDescent="0.2">
      <c r="A1061" s="7" t="str">
        <f>IF(Plantilla_SCAN_EQ3_COUNT_2[[#This Row],[ID MATERIAL]]="","",SIGN(Plantilla_SCAN_EQ3_COUNT_2[[#This Row],[Cantidad]])+A1060)</f>
        <v/>
      </c>
      <c r="B1061" s="21" t="str">
        <f>IF(Plantilla_SCAN_EQ3_COUNT_2[[#This Row],[ID MATERIAL]]="","",B1060)</f>
        <v/>
      </c>
      <c r="C1061" s="21"/>
      <c r="D1061" s="21"/>
      <c r="E1061" s="7" t="str">
        <f>IF(Plantilla_SCAN_EQ3_COUNT_2[[#This Row],[ID MATERIAL]]="","",VLOOKUP(Plantilla_SCAN_EQ3_COUNT_2[[#This Row],[ID MATERIAL]],INVENTARIO!$A:$D,2,FALSE))</f>
        <v/>
      </c>
      <c r="F1061" s="7" t="str">
        <f>IF(Plantilla_SCAN_EQ3_COUNT_2[[#This Row],[ID MATERIAL]]="","",IF(Plantilla_SCAN_EQ3_COUNT_2[[#This Row],[No. Empaques]]="",1,Plantilla_SCAN_EQ3_COUNT_2[[#This Row],[No. Empaques]]*1))</f>
        <v/>
      </c>
      <c r="G1061" s="7" t="str">
        <f>IF(Plantilla_SCAN_EQ3_COUNT_2[[#This Row],[ID MATERIAL]]="","","PZ")</f>
        <v/>
      </c>
      <c r="H1061" s="7" t="str">
        <f>IF(Plantilla_SCAN_EQ3_COUNT_2[[#This Row],[ID MATERIAL]]="","",$B$13)</f>
        <v/>
      </c>
      <c r="I1061" s="7" t="str">
        <f>IF(Plantilla_SCAN_EQ3_COUNT_2[[#This Row],[ID MATERIAL]]="","","Segundo Conteo")</f>
        <v/>
      </c>
    </row>
    <row r="1062" spans="1:9" s="7" customFormat="1" ht="15" x14ac:dyDescent="0.2">
      <c r="A1062" s="7" t="str">
        <f>IF(Plantilla_SCAN_EQ3_COUNT_2[[#This Row],[ID MATERIAL]]="","",SIGN(Plantilla_SCAN_EQ3_COUNT_2[[#This Row],[Cantidad]])+A1061)</f>
        <v/>
      </c>
      <c r="B1062" s="21" t="str">
        <f>IF(Plantilla_SCAN_EQ3_COUNT_2[[#This Row],[ID MATERIAL]]="","",B1061)</f>
        <v/>
      </c>
      <c r="C1062" s="21"/>
      <c r="D1062" s="21"/>
      <c r="E1062" s="7" t="str">
        <f>IF(Plantilla_SCAN_EQ3_COUNT_2[[#This Row],[ID MATERIAL]]="","",VLOOKUP(Plantilla_SCAN_EQ3_COUNT_2[[#This Row],[ID MATERIAL]],INVENTARIO!$A:$D,2,FALSE))</f>
        <v/>
      </c>
      <c r="F1062" s="7" t="str">
        <f>IF(Plantilla_SCAN_EQ3_COUNT_2[[#This Row],[ID MATERIAL]]="","",IF(Plantilla_SCAN_EQ3_COUNT_2[[#This Row],[No. Empaques]]="",1,Plantilla_SCAN_EQ3_COUNT_2[[#This Row],[No. Empaques]]*1))</f>
        <v/>
      </c>
      <c r="G1062" s="7" t="str">
        <f>IF(Plantilla_SCAN_EQ3_COUNT_2[[#This Row],[ID MATERIAL]]="","","PZ")</f>
        <v/>
      </c>
      <c r="H1062" s="7" t="str">
        <f>IF(Plantilla_SCAN_EQ3_COUNT_2[[#This Row],[ID MATERIAL]]="","",$B$13)</f>
        <v/>
      </c>
      <c r="I1062" s="7" t="str">
        <f>IF(Plantilla_SCAN_EQ3_COUNT_2[[#This Row],[ID MATERIAL]]="","","Segundo Conteo")</f>
        <v/>
      </c>
    </row>
    <row r="1063" spans="1:9" s="7" customFormat="1" ht="15" x14ac:dyDescent="0.2">
      <c r="A1063" s="7" t="str">
        <f>IF(Plantilla_SCAN_EQ3_COUNT_2[[#This Row],[ID MATERIAL]]="","",SIGN(Plantilla_SCAN_EQ3_COUNT_2[[#This Row],[Cantidad]])+A1062)</f>
        <v/>
      </c>
      <c r="B1063" s="21" t="str">
        <f>IF(Plantilla_SCAN_EQ3_COUNT_2[[#This Row],[ID MATERIAL]]="","",B1062)</f>
        <v/>
      </c>
      <c r="C1063" s="21"/>
      <c r="D1063" s="21"/>
      <c r="E1063" s="7" t="str">
        <f>IF(Plantilla_SCAN_EQ3_COUNT_2[[#This Row],[ID MATERIAL]]="","",VLOOKUP(Plantilla_SCAN_EQ3_COUNT_2[[#This Row],[ID MATERIAL]],INVENTARIO!$A:$D,2,FALSE))</f>
        <v/>
      </c>
      <c r="F1063" s="7" t="str">
        <f>IF(Plantilla_SCAN_EQ3_COUNT_2[[#This Row],[ID MATERIAL]]="","",IF(Plantilla_SCAN_EQ3_COUNT_2[[#This Row],[No. Empaques]]="",1,Plantilla_SCAN_EQ3_COUNT_2[[#This Row],[No. Empaques]]*1))</f>
        <v/>
      </c>
      <c r="G1063" s="7" t="str">
        <f>IF(Plantilla_SCAN_EQ3_COUNT_2[[#This Row],[ID MATERIAL]]="","","PZ")</f>
        <v/>
      </c>
      <c r="H1063" s="7" t="str">
        <f>IF(Plantilla_SCAN_EQ3_COUNT_2[[#This Row],[ID MATERIAL]]="","",$B$13)</f>
        <v/>
      </c>
      <c r="I1063" s="7" t="str">
        <f>IF(Plantilla_SCAN_EQ3_COUNT_2[[#This Row],[ID MATERIAL]]="","","Segundo Conteo")</f>
        <v/>
      </c>
    </row>
    <row r="1064" spans="1:9" s="7" customFormat="1" ht="15" x14ac:dyDescent="0.2">
      <c r="A1064" s="7" t="str">
        <f>IF(Plantilla_SCAN_EQ3_COUNT_2[[#This Row],[ID MATERIAL]]="","",SIGN(Plantilla_SCAN_EQ3_COUNT_2[[#This Row],[Cantidad]])+A1063)</f>
        <v/>
      </c>
      <c r="B1064" s="21" t="str">
        <f>IF(Plantilla_SCAN_EQ3_COUNT_2[[#This Row],[ID MATERIAL]]="","",B1063)</f>
        <v/>
      </c>
      <c r="C1064" s="21"/>
      <c r="D1064" s="21"/>
      <c r="E1064" s="7" t="str">
        <f>IF(Plantilla_SCAN_EQ3_COUNT_2[[#This Row],[ID MATERIAL]]="","",VLOOKUP(Plantilla_SCAN_EQ3_COUNT_2[[#This Row],[ID MATERIAL]],INVENTARIO!$A:$D,2,FALSE))</f>
        <v/>
      </c>
      <c r="F1064" s="7" t="str">
        <f>IF(Plantilla_SCAN_EQ3_COUNT_2[[#This Row],[ID MATERIAL]]="","",IF(Plantilla_SCAN_EQ3_COUNT_2[[#This Row],[No. Empaques]]="",1,Plantilla_SCAN_EQ3_COUNT_2[[#This Row],[No. Empaques]]*1))</f>
        <v/>
      </c>
      <c r="G1064" s="7" t="str">
        <f>IF(Plantilla_SCAN_EQ3_COUNT_2[[#This Row],[ID MATERIAL]]="","","PZ")</f>
        <v/>
      </c>
      <c r="H1064" s="7" t="str">
        <f>IF(Plantilla_SCAN_EQ3_COUNT_2[[#This Row],[ID MATERIAL]]="","",$B$13)</f>
        <v/>
      </c>
      <c r="I1064" s="7" t="str">
        <f>IF(Plantilla_SCAN_EQ3_COUNT_2[[#This Row],[ID MATERIAL]]="","","Segundo Conteo")</f>
        <v/>
      </c>
    </row>
    <row r="1065" spans="1:9" s="7" customFormat="1" ht="15" x14ac:dyDescent="0.2">
      <c r="A1065" s="7" t="str">
        <f>IF(Plantilla_SCAN_EQ3_COUNT_2[[#This Row],[ID MATERIAL]]="","",SIGN(Plantilla_SCAN_EQ3_COUNT_2[[#This Row],[Cantidad]])+A1064)</f>
        <v/>
      </c>
      <c r="B1065" s="21" t="str">
        <f>IF(Plantilla_SCAN_EQ3_COUNT_2[[#This Row],[ID MATERIAL]]="","",B1064)</f>
        <v/>
      </c>
      <c r="C1065" s="21"/>
      <c r="D1065" s="21"/>
      <c r="E1065" s="7" t="str">
        <f>IF(Plantilla_SCAN_EQ3_COUNT_2[[#This Row],[ID MATERIAL]]="","",VLOOKUP(Plantilla_SCAN_EQ3_COUNT_2[[#This Row],[ID MATERIAL]],INVENTARIO!$A:$D,2,FALSE))</f>
        <v/>
      </c>
      <c r="F1065" s="7" t="str">
        <f>IF(Plantilla_SCAN_EQ3_COUNT_2[[#This Row],[ID MATERIAL]]="","",IF(Plantilla_SCAN_EQ3_COUNT_2[[#This Row],[No. Empaques]]="",1,Plantilla_SCAN_EQ3_COUNT_2[[#This Row],[No. Empaques]]*1))</f>
        <v/>
      </c>
      <c r="G1065" s="7" t="str">
        <f>IF(Plantilla_SCAN_EQ3_COUNT_2[[#This Row],[ID MATERIAL]]="","","PZ")</f>
        <v/>
      </c>
      <c r="H1065" s="7" t="str">
        <f>IF(Plantilla_SCAN_EQ3_COUNT_2[[#This Row],[ID MATERIAL]]="","",$B$13)</f>
        <v/>
      </c>
      <c r="I1065" s="7" t="str">
        <f>IF(Plantilla_SCAN_EQ3_COUNT_2[[#This Row],[ID MATERIAL]]="","","Segundo Conteo")</f>
        <v/>
      </c>
    </row>
    <row r="1066" spans="1:9" s="7" customFormat="1" ht="15" x14ac:dyDescent="0.2">
      <c r="A1066" s="7" t="str">
        <f>IF(Plantilla_SCAN_EQ3_COUNT_2[[#This Row],[ID MATERIAL]]="","",SIGN(Plantilla_SCAN_EQ3_COUNT_2[[#This Row],[Cantidad]])+A1065)</f>
        <v/>
      </c>
      <c r="B1066" s="21" t="str">
        <f>IF(Plantilla_SCAN_EQ3_COUNT_2[[#This Row],[ID MATERIAL]]="","",B1065)</f>
        <v/>
      </c>
      <c r="C1066" s="21"/>
      <c r="D1066" s="21"/>
      <c r="E1066" s="7" t="str">
        <f>IF(Plantilla_SCAN_EQ3_COUNT_2[[#This Row],[ID MATERIAL]]="","",VLOOKUP(Plantilla_SCAN_EQ3_COUNT_2[[#This Row],[ID MATERIAL]],INVENTARIO!$A:$D,2,FALSE))</f>
        <v/>
      </c>
      <c r="F1066" s="7" t="str">
        <f>IF(Plantilla_SCAN_EQ3_COUNT_2[[#This Row],[ID MATERIAL]]="","",IF(Plantilla_SCAN_EQ3_COUNT_2[[#This Row],[No. Empaques]]="",1,Plantilla_SCAN_EQ3_COUNT_2[[#This Row],[No. Empaques]]*1))</f>
        <v/>
      </c>
      <c r="G1066" s="7" t="str">
        <f>IF(Plantilla_SCAN_EQ3_COUNT_2[[#This Row],[ID MATERIAL]]="","","PZ")</f>
        <v/>
      </c>
      <c r="H1066" s="7" t="str">
        <f>IF(Plantilla_SCAN_EQ3_COUNT_2[[#This Row],[ID MATERIAL]]="","",$B$13)</f>
        <v/>
      </c>
      <c r="I1066" s="7" t="str">
        <f>IF(Plantilla_SCAN_EQ3_COUNT_2[[#This Row],[ID MATERIAL]]="","","Segundo Conteo")</f>
        <v/>
      </c>
    </row>
    <row r="1067" spans="1:9" s="7" customFormat="1" ht="15" x14ac:dyDescent="0.2">
      <c r="A1067" s="7" t="str">
        <f>IF(Plantilla_SCAN_EQ3_COUNT_2[[#This Row],[ID MATERIAL]]="","",SIGN(Plantilla_SCAN_EQ3_COUNT_2[[#This Row],[Cantidad]])+A1066)</f>
        <v/>
      </c>
      <c r="B1067" s="21" t="str">
        <f>IF(Plantilla_SCAN_EQ3_COUNT_2[[#This Row],[ID MATERIAL]]="","",B1066)</f>
        <v/>
      </c>
      <c r="C1067" s="21"/>
      <c r="D1067" s="21"/>
      <c r="E1067" s="7" t="str">
        <f>IF(Plantilla_SCAN_EQ3_COUNT_2[[#This Row],[ID MATERIAL]]="","",VLOOKUP(Plantilla_SCAN_EQ3_COUNT_2[[#This Row],[ID MATERIAL]],INVENTARIO!$A:$D,2,FALSE))</f>
        <v/>
      </c>
      <c r="F1067" s="7" t="str">
        <f>IF(Plantilla_SCAN_EQ3_COUNT_2[[#This Row],[ID MATERIAL]]="","",IF(Plantilla_SCAN_EQ3_COUNT_2[[#This Row],[No. Empaques]]="",1,Plantilla_SCAN_EQ3_COUNT_2[[#This Row],[No. Empaques]]*1))</f>
        <v/>
      </c>
      <c r="G1067" s="7" t="str">
        <f>IF(Plantilla_SCAN_EQ3_COUNT_2[[#This Row],[ID MATERIAL]]="","","PZ")</f>
        <v/>
      </c>
      <c r="H1067" s="7" t="str">
        <f>IF(Plantilla_SCAN_EQ3_COUNT_2[[#This Row],[ID MATERIAL]]="","",$B$13)</f>
        <v/>
      </c>
      <c r="I1067" s="7" t="str">
        <f>IF(Plantilla_SCAN_EQ3_COUNT_2[[#This Row],[ID MATERIAL]]="","","Segundo Conteo")</f>
        <v/>
      </c>
    </row>
    <row r="1068" spans="1:9" s="7" customFormat="1" ht="15" x14ac:dyDescent="0.2">
      <c r="A1068" s="7" t="str">
        <f>IF(Plantilla_SCAN_EQ3_COUNT_2[[#This Row],[ID MATERIAL]]="","",SIGN(Plantilla_SCAN_EQ3_COUNT_2[[#This Row],[Cantidad]])+A1067)</f>
        <v/>
      </c>
      <c r="B1068" s="21" t="str">
        <f>IF(Plantilla_SCAN_EQ3_COUNT_2[[#This Row],[ID MATERIAL]]="","",B1067)</f>
        <v/>
      </c>
      <c r="C1068" s="21"/>
      <c r="D1068" s="21"/>
      <c r="E1068" s="7" t="str">
        <f>IF(Plantilla_SCAN_EQ3_COUNT_2[[#This Row],[ID MATERIAL]]="","",VLOOKUP(Plantilla_SCAN_EQ3_COUNT_2[[#This Row],[ID MATERIAL]],INVENTARIO!$A:$D,2,FALSE))</f>
        <v/>
      </c>
      <c r="F1068" s="7" t="str">
        <f>IF(Plantilla_SCAN_EQ3_COUNT_2[[#This Row],[ID MATERIAL]]="","",IF(Plantilla_SCAN_EQ3_COUNT_2[[#This Row],[No. Empaques]]="",1,Plantilla_SCAN_EQ3_COUNT_2[[#This Row],[No. Empaques]]*1))</f>
        <v/>
      </c>
      <c r="G1068" s="7" t="str">
        <f>IF(Plantilla_SCAN_EQ3_COUNT_2[[#This Row],[ID MATERIAL]]="","","PZ")</f>
        <v/>
      </c>
      <c r="H1068" s="7" t="str">
        <f>IF(Plantilla_SCAN_EQ3_COUNT_2[[#This Row],[ID MATERIAL]]="","",$B$13)</f>
        <v/>
      </c>
      <c r="I1068" s="7" t="str">
        <f>IF(Plantilla_SCAN_EQ3_COUNT_2[[#This Row],[ID MATERIAL]]="","","Segundo Conteo")</f>
        <v/>
      </c>
    </row>
    <row r="1069" spans="1:9" s="7" customFormat="1" ht="15" x14ac:dyDescent="0.2">
      <c r="A1069" s="7" t="str">
        <f>IF(Plantilla_SCAN_EQ3_COUNT_2[[#This Row],[ID MATERIAL]]="","",SIGN(Plantilla_SCAN_EQ3_COUNT_2[[#This Row],[Cantidad]])+A1068)</f>
        <v/>
      </c>
      <c r="B1069" s="21" t="str">
        <f>IF(Plantilla_SCAN_EQ3_COUNT_2[[#This Row],[ID MATERIAL]]="","",B1068)</f>
        <v/>
      </c>
      <c r="C1069" s="21"/>
      <c r="D1069" s="21"/>
      <c r="E1069" s="7" t="str">
        <f>IF(Plantilla_SCAN_EQ3_COUNT_2[[#This Row],[ID MATERIAL]]="","",VLOOKUP(Plantilla_SCAN_EQ3_COUNT_2[[#This Row],[ID MATERIAL]],INVENTARIO!$A:$D,2,FALSE))</f>
        <v/>
      </c>
      <c r="F1069" s="7" t="str">
        <f>IF(Plantilla_SCAN_EQ3_COUNT_2[[#This Row],[ID MATERIAL]]="","",IF(Plantilla_SCAN_EQ3_COUNT_2[[#This Row],[No. Empaques]]="",1,Plantilla_SCAN_EQ3_COUNT_2[[#This Row],[No. Empaques]]*1))</f>
        <v/>
      </c>
      <c r="G1069" s="7" t="str">
        <f>IF(Plantilla_SCAN_EQ3_COUNT_2[[#This Row],[ID MATERIAL]]="","","PZ")</f>
        <v/>
      </c>
      <c r="H1069" s="7" t="str">
        <f>IF(Plantilla_SCAN_EQ3_COUNT_2[[#This Row],[ID MATERIAL]]="","",$B$13)</f>
        <v/>
      </c>
      <c r="I1069" s="7" t="str">
        <f>IF(Plantilla_SCAN_EQ3_COUNT_2[[#This Row],[ID MATERIAL]]="","","Segundo Conteo")</f>
        <v/>
      </c>
    </row>
    <row r="1070" spans="1:9" s="7" customFormat="1" ht="15" x14ac:dyDescent="0.2">
      <c r="A1070" s="7" t="str">
        <f>IF(Plantilla_SCAN_EQ3_COUNT_2[[#This Row],[ID MATERIAL]]="","",SIGN(Plantilla_SCAN_EQ3_COUNT_2[[#This Row],[Cantidad]])+A1069)</f>
        <v/>
      </c>
      <c r="B1070" s="21" t="str">
        <f>IF(Plantilla_SCAN_EQ3_COUNT_2[[#This Row],[ID MATERIAL]]="","",B1069)</f>
        <v/>
      </c>
      <c r="C1070" s="21"/>
      <c r="D1070" s="21"/>
      <c r="E1070" s="7" t="str">
        <f>IF(Plantilla_SCAN_EQ3_COUNT_2[[#This Row],[ID MATERIAL]]="","",VLOOKUP(Plantilla_SCAN_EQ3_COUNT_2[[#This Row],[ID MATERIAL]],INVENTARIO!$A:$D,2,FALSE))</f>
        <v/>
      </c>
      <c r="F1070" s="7" t="str">
        <f>IF(Plantilla_SCAN_EQ3_COUNT_2[[#This Row],[ID MATERIAL]]="","",IF(Plantilla_SCAN_EQ3_COUNT_2[[#This Row],[No. Empaques]]="",1,Plantilla_SCAN_EQ3_COUNT_2[[#This Row],[No. Empaques]]*1))</f>
        <v/>
      </c>
      <c r="G1070" s="7" t="str">
        <f>IF(Plantilla_SCAN_EQ3_COUNT_2[[#This Row],[ID MATERIAL]]="","","PZ")</f>
        <v/>
      </c>
      <c r="H1070" s="7" t="str">
        <f>IF(Plantilla_SCAN_EQ3_COUNT_2[[#This Row],[ID MATERIAL]]="","",$B$13)</f>
        <v/>
      </c>
      <c r="I1070" s="7" t="str">
        <f>IF(Plantilla_SCAN_EQ3_COUNT_2[[#This Row],[ID MATERIAL]]="","","Segundo Conteo")</f>
        <v/>
      </c>
    </row>
    <row r="1071" spans="1:9" s="7" customFormat="1" ht="15" x14ac:dyDescent="0.2">
      <c r="A1071" s="7" t="str">
        <f>IF(Plantilla_SCAN_EQ3_COUNT_2[[#This Row],[ID MATERIAL]]="","",SIGN(Plantilla_SCAN_EQ3_COUNT_2[[#This Row],[Cantidad]])+A1070)</f>
        <v/>
      </c>
      <c r="B1071" s="21" t="str">
        <f>IF(Plantilla_SCAN_EQ3_COUNT_2[[#This Row],[ID MATERIAL]]="","",B1070)</f>
        <v/>
      </c>
      <c r="C1071" s="21"/>
      <c r="D1071" s="21"/>
      <c r="E1071" s="7" t="str">
        <f>IF(Plantilla_SCAN_EQ3_COUNT_2[[#This Row],[ID MATERIAL]]="","",VLOOKUP(Plantilla_SCAN_EQ3_COUNT_2[[#This Row],[ID MATERIAL]],INVENTARIO!$A:$D,2,FALSE))</f>
        <v/>
      </c>
      <c r="F1071" s="7" t="str">
        <f>IF(Plantilla_SCAN_EQ3_COUNT_2[[#This Row],[ID MATERIAL]]="","",IF(Plantilla_SCAN_EQ3_COUNT_2[[#This Row],[No. Empaques]]="",1,Plantilla_SCAN_EQ3_COUNT_2[[#This Row],[No. Empaques]]*1))</f>
        <v/>
      </c>
      <c r="G1071" s="7" t="str">
        <f>IF(Plantilla_SCAN_EQ3_COUNT_2[[#This Row],[ID MATERIAL]]="","","PZ")</f>
        <v/>
      </c>
      <c r="H1071" s="7" t="str">
        <f>IF(Plantilla_SCAN_EQ3_COUNT_2[[#This Row],[ID MATERIAL]]="","",$B$13)</f>
        <v/>
      </c>
      <c r="I1071" s="7" t="str">
        <f>IF(Plantilla_SCAN_EQ3_COUNT_2[[#This Row],[ID MATERIAL]]="","","Segundo Conteo")</f>
        <v/>
      </c>
    </row>
    <row r="1072" spans="1:9" s="7" customFormat="1" ht="15" x14ac:dyDescent="0.2">
      <c r="A1072" s="7" t="str">
        <f>IF(Plantilla_SCAN_EQ3_COUNT_2[[#This Row],[ID MATERIAL]]="","",SIGN(Plantilla_SCAN_EQ3_COUNT_2[[#This Row],[Cantidad]])+A1071)</f>
        <v/>
      </c>
      <c r="B1072" s="21" t="str">
        <f>IF(Plantilla_SCAN_EQ3_COUNT_2[[#This Row],[ID MATERIAL]]="","",B1071)</f>
        <v/>
      </c>
      <c r="C1072" s="21"/>
      <c r="D1072" s="21"/>
      <c r="E1072" s="7" t="str">
        <f>IF(Plantilla_SCAN_EQ3_COUNT_2[[#This Row],[ID MATERIAL]]="","",VLOOKUP(Plantilla_SCAN_EQ3_COUNT_2[[#This Row],[ID MATERIAL]],INVENTARIO!$A:$D,2,FALSE))</f>
        <v/>
      </c>
      <c r="F1072" s="7" t="str">
        <f>IF(Plantilla_SCAN_EQ3_COUNT_2[[#This Row],[ID MATERIAL]]="","",IF(Plantilla_SCAN_EQ3_COUNT_2[[#This Row],[No. Empaques]]="",1,Plantilla_SCAN_EQ3_COUNT_2[[#This Row],[No. Empaques]]*1))</f>
        <v/>
      </c>
      <c r="G1072" s="7" t="str">
        <f>IF(Plantilla_SCAN_EQ3_COUNT_2[[#This Row],[ID MATERIAL]]="","","PZ")</f>
        <v/>
      </c>
      <c r="H1072" s="7" t="str">
        <f>IF(Plantilla_SCAN_EQ3_COUNT_2[[#This Row],[ID MATERIAL]]="","",$B$13)</f>
        <v/>
      </c>
      <c r="I1072" s="7" t="str">
        <f>IF(Plantilla_SCAN_EQ3_COUNT_2[[#This Row],[ID MATERIAL]]="","","Segundo Conteo")</f>
        <v/>
      </c>
    </row>
    <row r="1073" spans="1:9" s="7" customFormat="1" ht="15" x14ac:dyDescent="0.2">
      <c r="A1073" s="7" t="str">
        <f>IF(Plantilla_SCAN_EQ3_COUNT_2[[#This Row],[ID MATERIAL]]="","",SIGN(Plantilla_SCAN_EQ3_COUNT_2[[#This Row],[Cantidad]])+A1072)</f>
        <v/>
      </c>
      <c r="B1073" s="21" t="str">
        <f>IF(Plantilla_SCAN_EQ3_COUNT_2[[#This Row],[ID MATERIAL]]="","",B1072)</f>
        <v/>
      </c>
      <c r="C1073" s="21"/>
      <c r="D1073" s="21"/>
      <c r="E1073" s="7" t="str">
        <f>IF(Plantilla_SCAN_EQ3_COUNT_2[[#This Row],[ID MATERIAL]]="","",VLOOKUP(Plantilla_SCAN_EQ3_COUNT_2[[#This Row],[ID MATERIAL]],INVENTARIO!$A:$D,2,FALSE))</f>
        <v/>
      </c>
      <c r="F1073" s="7" t="str">
        <f>IF(Plantilla_SCAN_EQ3_COUNT_2[[#This Row],[ID MATERIAL]]="","",IF(Plantilla_SCAN_EQ3_COUNT_2[[#This Row],[No. Empaques]]="",1,Plantilla_SCAN_EQ3_COUNT_2[[#This Row],[No. Empaques]]*1))</f>
        <v/>
      </c>
      <c r="G1073" s="7" t="str">
        <f>IF(Plantilla_SCAN_EQ3_COUNT_2[[#This Row],[ID MATERIAL]]="","","PZ")</f>
        <v/>
      </c>
      <c r="H1073" s="7" t="str">
        <f>IF(Plantilla_SCAN_EQ3_COUNT_2[[#This Row],[ID MATERIAL]]="","",$B$13)</f>
        <v/>
      </c>
      <c r="I1073" s="7" t="str">
        <f>IF(Plantilla_SCAN_EQ3_COUNT_2[[#This Row],[ID MATERIAL]]="","","Segundo Conteo")</f>
        <v/>
      </c>
    </row>
    <row r="1074" spans="1:9" s="7" customFormat="1" ht="15" x14ac:dyDescent="0.2">
      <c r="A1074" s="7" t="str">
        <f>IF(Plantilla_SCAN_EQ3_COUNT_2[[#This Row],[ID MATERIAL]]="","",SIGN(Plantilla_SCAN_EQ3_COUNT_2[[#This Row],[Cantidad]])+A1073)</f>
        <v/>
      </c>
      <c r="B1074" s="21" t="str">
        <f>IF(Plantilla_SCAN_EQ3_COUNT_2[[#This Row],[ID MATERIAL]]="","",B1073)</f>
        <v/>
      </c>
      <c r="C1074" s="21"/>
      <c r="D1074" s="21"/>
      <c r="E1074" s="7" t="str">
        <f>IF(Plantilla_SCAN_EQ3_COUNT_2[[#This Row],[ID MATERIAL]]="","",VLOOKUP(Plantilla_SCAN_EQ3_COUNT_2[[#This Row],[ID MATERIAL]],INVENTARIO!$A:$D,2,FALSE))</f>
        <v/>
      </c>
      <c r="F1074" s="7" t="str">
        <f>IF(Plantilla_SCAN_EQ3_COUNT_2[[#This Row],[ID MATERIAL]]="","",IF(Plantilla_SCAN_EQ3_COUNT_2[[#This Row],[No. Empaques]]="",1,Plantilla_SCAN_EQ3_COUNT_2[[#This Row],[No. Empaques]]*1))</f>
        <v/>
      </c>
      <c r="G1074" s="7" t="str">
        <f>IF(Plantilla_SCAN_EQ3_COUNT_2[[#This Row],[ID MATERIAL]]="","","PZ")</f>
        <v/>
      </c>
      <c r="H1074" s="7" t="str">
        <f>IF(Plantilla_SCAN_EQ3_COUNT_2[[#This Row],[ID MATERIAL]]="","",$B$13)</f>
        <v/>
      </c>
      <c r="I1074" s="7" t="str">
        <f>IF(Plantilla_SCAN_EQ3_COUNT_2[[#This Row],[ID MATERIAL]]="","","Segundo Conteo")</f>
        <v/>
      </c>
    </row>
    <row r="1075" spans="1:9" s="7" customFormat="1" ht="15" x14ac:dyDescent="0.2">
      <c r="A1075" s="7" t="str">
        <f>IF(Plantilla_SCAN_EQ3_COUNT_2[[#This Row],[ID MATERIAL]]="","",SIGN(Plantilla_SCAN_EQ3_COUNT_2[[#This Row],[Cantidad]])+A1074)</f>
        <v/>
      </c>
      <c r="B1075" s="21" t="str">
        <f>IF(Plantilla_SCAN_EQ3_COUNT_2[[#This Row],[ID MATERIAL]]="","",B1074)</f>
        <v/>
      </c>
      <c r="C1075" s="21"/>
      <c r="D1075" s="21"/>
      <c r="E1075" s="7" t="str">
        <f>IF(Plantilla_SCAN_EQ3_COUNT_2[[#This Row],[ID MATERIAL]]="","",VLOOKUP(Plantilla_SCAN_EQ3_COUNT_2[[#This Row],[ID MATERIAL]],INVENTARIO!$A:$D,2,FALSE))</f>
        <v/>
      </c>
      <c r="F1075" s="7" t="str">
        <f>IF(Plantilla_SCAN_EQ3_COUNT_2[[#This Row],[ID MATERIAL]]="","",IF(Plantilla_SCAN_EQ3_COUNT_2[[#This Row],[No. Empaques]]="",1,Plantilla_SCAN_EQ3_COUNT_2[[#This Row],[No. Empaques]]*1))</f>
        <v/>
      </c>
      <c r="G1075" s="7" t="str">
        <f>IF(Plantilla_SCAN_EQ3_COUNT_2[[#This Row],[ID MATERIAL]]="","","PZ")</f>
        <v/>
      </c>
      <c r="H1075" s="7" t="str">
        <f>IF(Plantilla_SCAN_EQ3_COUNT_2[[#This Row],[ID MATERIAL]]="","",$B$13)</f>
        <v/>
      </c>
      <c r="I1075" s="7" t="str">
        <f>IF(Plantilla_SCAN_EQ3_COUNT_2[[#This Row],[ID MATERIAL]]="","","Segundo Conteo")</f>
        <v/>
      </c>
    </row>
    <row r="1076" spans="1:9" s="7" customFormat="1" ht="15" x14ac:dyDescent="0.2">
      <c r="A1076" s="7" t="str">
        <f>IF(Plantilla_SCAN_EQ3_COUNT_2[[#This Row],[ID MATERIAL]]="","",SIGN(Plantilla_SCAN_EQ3_COUNT_2[[#This Row],[Cantidad]])+A1075)</f>
        <v/>
      </c>
      <c r="B1076" s="21" t="str">
        <f>IF(Plantilla_SCAN_EQ3_COUNT_2[[#This Row],[ID MATERIAL]]="","",B1075)</f>
        <v/>
      </c>
      <c r="C1076" s="21"/>
      <c r="D1076" s="21"/>
      <c r="E1076" s="7" t="str">
        <f>IF(Plantilla_SCAN_EQ3_COUNT_2[[#This Row],[ID MATERIAL]]="","",VLOOKUP(Plantilla_SCAN_EQ3_COUNT_2[[#This Row],[ID MATERIAL]],INVENTARIO!$A:$D,2,FALSE))</f>
        <v/>
      </c>
      <c r="F1076" s="7" t="str">
        <f>IF(Plantilla_SCAN_EQ3_COUNT_2[[#This Row],[ID MATERIAL]]="","",IF(Plantilla_SCAN_EQ3_COUNT_2[[#This Row],[No. Empaques]]="",1,Plantilla_SCAN_EQ3_COUNT_2[[#This Row],[No. Empaques]]*1))</f>
        <v/>
      </c>
      <c r="G1076" s="7" t="str">
        <f>IF(Plantilla_SCAN_EQ3_COUNT_2[[#This Row],[ID MATERIAL]]="","","PZ")</f>
        <v/>
      </c>
      <c r="H1076" s="7" t="str">
        <f>IF(Plantilla_SCAN_EQ3_COUNT_2[[#This Row],[ID MATERIAL]]="","",$B$13)</f>
        <v/>
      </c>
      <c r="I1076" s="7" t="str">
        <f>IF(Plantilla_SCAN_EQ3_COUNT_2[[#This Row],[ID MATERIAL]]="","","Segundo Conteo")</f>
        <v/>
      </c>
    </row>
    <row r="1077" spans="1:9" s="7" customFormat="1" ht="15" x14ac:dyDescent="0.2">
      <c r="A1077" s="7" t="str">
        <f>IF(Plantilla_SCAN_EQ3_COUNT_2[[#This Row],[ID MATERIAL]]="","",SIGN(Plantilla_SCAN_EQ3_COUNT_2[[#This Row],[Cantidad]])+A1076)</f>
        <v/>
      </c>
      <c r="B1077" s="21" t="str">
        <f>IF(Plantilla_SCAN_EQ3_COUNT_2[[#This Row],[ID MATERIAL]]="","",B1076)</f>
        <v/>
      </c>
      <c r="C1077" s="21"/>
      <c r="D1077" s="21"/>
      <c r="E1077" s="7" t="str">
        <f>IF(Plantilla_SCAN_EQ3_COUNT_2[[#This Row],[ID MATERIAL]]="","",VLOOKUP(Plantilla_SCAN_EQ3_COUNT_2[[#This Row],[ID MATERIAL]],INVENTARIO!$A:$D,2,FALSE))</f>
        <v/>
      </c>
      <c r="F1077" s="7" t="str">
        <f>IF(Plantilla_SCAN_EQ3_COUNT_2[[#This Row],[ID MATERIAL]]="","",IF(Plantilla_SCAN_EQ3_COUNT_2[[#This Row],[No. Empaques]]="",1,Plantilla_SCAN_EQ3_COUNT_2[[#This Row],[No. Empaques]]*1))</f>
        <v/>
      </c>
      <c r="G1077" s="7" t="str">
        <f>IF(Plantilla_SCAN_EQ3_COUNT_2[[#This Row],[ID MATERIAL]]="","","PZ")</f>
        <v/>
      </c>
      <c r="H1077" s="7" t="str">
        <f>IF(Plantilla_SCAN_EQ3_COUNT_2[[#This Row],[ID MATERIAL]]="","",$B$13)</f>
        <v/>
      </c>
      <c r="I1077" s="7" t="str">
        <f>IF(Plantilla_SCAN_EQ3_COUNT_2[[#This Row],[ID MATERIAL]]="","","Segundo Conteo")</f>
        <v/>
      </c>
    </row>
    <row r="1078" spans="1:9" s="7" customFormat="1" ht="15" x14ac:dyDescent="0.2">
      <c r="A1078" s="7" t="str">
        <f>IF(Plantilla_SCAN_EQ3_COUNT_2[[#This Row],[ID MATERIAL]]="","",SIGN(Plantilla_SCAN_EQ3_COUNT_2[[#This Row],[Cantidad]])+A1077)</f>
        <v/>
      </c>
      <c r="B1078" s="21" t="str">
        <f>IF(Plantilla_SCAN_EQ3_COUNT_2[[#This Row],[ID MATERIAL]]="","",B1077)</f>
        <v/>
      </c>
      <c r="C1078" s="21"/>
      <c r="D1078" s="21"/>
      <c r="E1078" s="7" t="str">
        <f>IF(Plantilla_SCAN_EQ3_COUNT_2[[#This Row],[ID MATERIAL]]="","",VLOOKUP(Plantilla_SCAN_EQ3_COUNT_2[[#This Row],[ID MATERIAL]],INVENTARIO!$A:$D,2,FALSE))</f>
        <v/>
      </c>
      <c r="F1078" s="7" t="str">
        <f>IF(Plantilla_SCAN_EQ3_COUNT_2[[#This Row],[ID MATERIAL]]="","",IF(Plantilla_SCAN_EQ3_COUNT_2[[#This Row],[No. Empaques]]="",1,Plantilla_SCAN_EQ3_COUNT_2[[#This Row],[No. Empaques]]*1))</f>
        <v/>
      </c>
      <c r="G1078" s="7" t="str">
        <f>IF(Plantilla_SCAN_EQ3_COUNT_2[[#This Row],[ID MATERIAL]]="","","PZ")</f>
        <v/>
      </c>
      <c r="H1078" s="7" t="str">
        <f>IF(Plantilla_SCAN_EQ3_COUNT_2[[#This Row],[ID MATERIAL]]="","",$B$13)</f>
        <v/>
      </c>
      <c r="I1078" s="7" t="str">
        <f>IF(Plantilla_SCAN_EQ3_COUNT_2[[#This Row],[ID MATERIAL]]="","","Segundo Conteo")</f>
        <v/>
      </c>
    </row>
    <row r="1079" spans="1:9" s="7" customFormat="1" ht="15" x14ac:dyDescent="0.2">
      <c r="A1079" s="7" t="str">
        <f>IF(Plantilla_SCAN_EQ3_COUNT_2[[#This Row],[ID MATERIAL]]="","",SIGN(Plantilla_SCAN_EQ3_COUNT_2[[#This Row],[Cantidad]])+A1078)</f>
        <v/>
      </c>
      <c r="B1079" s="21" t="str">
        <f>IF(Plantilla_SCAN_EQ3_COUNT_2[[#This Row],[ID MATERIAL]]="","",B1078)</f>
        <v/>
      </c>
      <c r="C1079" s="21"/>
      <c r="D1079" s="21"/>
      <c r="E1079" s="7" t="str">
        <f>IF(Plantilla_SCAN_EQ3_COUNT_2[[#This Row],[ID MATERIAL]]="","",VLOOKUP(Plantilla_SCAN_EQ3_COUNT_2[[#This Row],[ID MATERIAL]],INVENTARIO!$A:$D,2,FALSE))</f>
        <v/>
      </c>
      <c r="F1079" s="7" t="str">
        <f>IF(Plantilla_SCAN_EQ3_COUNT_2[[#This Row],[ID MATERIAL]]="","",IF(Plantilla_SCAN_EQ3_COUNT_2[[#This Row],[No. Empaques]]="",1,Plantilla_SCAN_EQ3_COUNT_2[[#This Row],[No. Empaques]]*1))</f>
        <v/>
      </c>
      <c r="G1079" s="7" t="str">
        <f>IF(Plantilla_SCAN_EQ3_COUNT_2[[#This Row],[ID MATERIAL]]="","","PZ")</f>
        <v/>
      </c>
      <c r="H1079" s="7" t="str">
        <f>IF(Plantilla_SCAN_EQ3_COUNT_2[[#This Row],[ID MATERIAL]]="","",$B$13)</f>
        <v/>
      </c>
      <c r="I1079" s="7" t="str">
        <f>IF(Plantilla_SCAN_EQ3_COUNT_2[[#This Row],[ID MATERIAL]]="","","Segundo Conteo")</f>
        <v/>
      </c>
    </row>
    <row r="1080" spans="1:9" s="7" customFormat="1" ht="15" x14ac:dyDescent="0.2">
      <c r="A1080" s="7" t="str">
        <f>IF(Plantilla_SCAN_EQ3_COUNT_2[[#This Row],[ID MATERIAL]]="","",SIGN(Plantilla_SCAN_EQ3_COUNT_2[[#This Row],[Cantidad]])+A1079)</f>
        <v/>
      </c>
      <c r="B1080" s="21" t="str">
        <f>IF(Plantilla_SCAN_EQ3_COUNT_2[[#This Row],[ID MATERIAL]]="","",B1079)</f>
        <v/>
      </c>
      <c r="C1080" s="21"/>
      <c r="D1080" s="21"/>
      <c r="E1080" s="7" t="str">
        <f>IF(Plantilla_SCAN_EQ3_COUNT_2[[#This Row],[ID MATERIAL]]="","",VLOOKUP(Plantilla_SCAN_EQ3_COUNT_2[[#This Row],[ID MATERIAL]],INVENTARIO!$A:$D,2,FALSE))</f>
        <v/>
      </c>
      <c r="F1080" s="7" t="str">
        <f>IF(Plantilla_SCAN_EQ3_COUNT_2[[#This Row],[ID MATERIAL]]="","",IF(Plantilla_SCAN_EQ3_COUNT_2[[#This Row],[No. Empaques]]="",1,Plantilla_SCAN_EQ3_COUNT_2[[#This Row],[No. Empaques]]*1))</f>
        <v/>
      </c>
      <c r="G1080" s="7" t="str">
        <f>IF(Plantilla_SCAN_EQ3_COUNT_2[[#This Row],[ID MATERIAL]]="","","PZ")</f>
        <v/>
      </c>
      <c r="H1080" s="7" t="str">
        <f>IF(Plantilla_SCAN_EQ3_COUNT_2[[#This Row],[ID MATERIAL]]="","",$B$13)</f>
        <v/>
      </c>
      <c r="I1080" s="7" t="str">
        <f>IF(Plantilla_SCAN_EQ3_COUNT_2[[#This Row],[ID MATERIAL]]="","","Segundo Conteo")</f>
        <v/>
      </c>
    </row>
    <row r="1081" spans="1:9" s="7" customFormat="1" ht="15" x14ac:dyDescent="0.2">
      <c r="A1081" s="7" t="str">
        <f>IF(Plantilla_SCAN_EQ3_COUNT_2[[#This Row],[ID MATERIAL]]="","",SIGN(Plantilla_SCAN_EQ3_COUNT_2[[#This Row],[Cantidad]])+A1080)</f>
        <v/>
      </c>
      <c r="B1081" s="21" t="str">
        <f>IF(Plantilla_SCAN_EQ3_COUNT_2[[#This Row],[ID MATERIAL]]="","",B1080)</f>
        <v/>
      </c>
      <c r="C1081" s="21"/>
      <c r="D1081" s="21"/>
      <c r="E1081" s="7" t="str">
        <f>IF(Plantilla_SCAN_EQ3_COUNT_2[[#This Row],[ID MATERIAL]]="","",VLOOKUP(Plantilla_SCAN_EQ3_COUNT_2[[#This Row],[ID MATERIAL]],INVENTARIO!$A:$D,2,FALSE))</f>
        <v/>
      </c>
      <c r="F1081" s="7" t="str">
        <f>IF(Plantilla_SCAN_EQ3_COUNT_2[[#This Row],[ID MATERIAL]]="","",IF(Plantilla_SCAN_EQ3_COUNT_2[[#This Row],[No. Empaques]]="",1,Plantilla_SCAN_EQ3_COUNT_2[[#This Row],[No. Empaques]]*1))</f>
        <v/>
      </c>
      <c r="G1081" s="7" t="str">
        <f>IF(Plantilla_SCAN_EQ3_COUNT_2[[#This Row],[ID MATERIAL]]="","","PZ")</f>
        <v/>
      </c>
      <c r="H1081" s="7" t="str">
        <f>IF(Plantilla_SCAN_EQ3_COUNT_2[[#This Row],[ID MATERIAL]]="","",$B$13)</f>
        <v/>
      </c>
      <c r="I1081" s="7" t="str">
        <f>IF(Plantilla_SCAN_EQ3_COUNT_2[[#This Row],[ID MATERIAL]]="","","Segundo Conteo")</f>
        <v/>
      </c>
    </row>
    <row r="1082" spans="1:9" s="7" customFormat="1" ht="15" x14ac:dyDescent="0.2">
      <c r="A1082" s="7" t="str">
        <f>IF(Plantilla_SCAN_EQ3_COUNT_2[[#This Row],[ID MATERIAL]]="","",SIGN(Plantilla_SCAN_EQ3_COUNT_2[[#This Row],[Cantidad]])+A1081)</f>
        <v/>
      </c>
      <c r="B1082" s="21" t="str">
        <f>IF(Plantilla_SCAN_EQ3_COUNT_2[[#This Row],[ID MATERIAL]]="","",B1081)</f>
        <v/>
      </c>
      <c r="C1082" s="21"/>
      <c r="D1082" s="21"/>
      <c r="E1082" s="7" t="str">
        <f>IF(Plantilla_SCAN_EQ3_COUNT_2[[#This Row],[ID MATERIAL]]="","",VLOOKUP(Plantilla_SCAN_EQ3_COUNT_2[[#This Row],[ID MATERIAL]],INVENTARIO!$A:$D,2,FALSE))</f>
        <v/>
      </c>
      <c r="F1082" s="7" t="str">
        <f>IF(Plantilla_SCAN_EQ3_COUNT_2[[#This Row],[ID MATERIAL]]="","",IF(Plantilla_SCAN_EQ3_COUNT_2[[#This Row],[No. Empaques]]="",1,Plantilla_SCAN_EQ3_COUNT_2[[#This Row],[No. Empaques]]*1))</f>
        <v/>
      </c>
      <c r="G1082" s="7" t="str">
        <f>IF(Plantilla_SCAN_EQ3_COUNT_2[[#This Row],[ID MATERIAL]]="","","PZ")</f>
        <v/>
      </c>
      <c r="H1082" s="7" t="str">
        <f>IF(Plantilla_SCAN_EQ3_COUNT_2[[#This Row],[ID MATERIAL]]="","",$B$13)</f>
        <v/>
      </c>
      <c r="I1082" s="7" t="str">
        <f>IF(Plantilla_SCAN_EQ3_COUNT_2[[#This Row],[ID MATERIAL]]="","","Segundo Conteo")</f>
        <v/>
      </c>
    </row>
    <row r="1083" spans="1:9" s="7" customFormat="1" ht="15" x14ac:dyDescent="0.2">
      <c r="A1083" s="7" t="str">
        <f>IF(Plantilla_SCAN_EQ3_COUNT_2[[#This Row],[ID MATERIAL]]="","",SIGN(Plantilla_SCAN_EQ3_COUNT_2[[#This Row],[Cantidad]])+A1082)</f>
        <v/>
      </c>
      <c r="B1083" s="21" t="str">
        <f>IF(Plantilla_SCAN_EQ3_COUNT_2[[#This Row],[ID MATERIAL]]="","",B1082)</f>
        <v/>
      </c>
      <c r="C1083" s="21"/>
      <c r="D1083" s="21"/>
      <c r="E1083" s="7" t="str">
        <f>IF(Plantilla_SCAN_EQ3_COUNT_2[[#This Row],[ID MATERIAL]]="","",VLOOKUP(Plantilla_SCAN_EQ3_COUNT_2[[#This Row],[ID MATERIAL]],INVENTARIO!$A:$D,2,FALSE))</f>
        <v/>
      </c>
      <c r="F1083" s="7" t="str">
        <f>IF(Plantilla_SCAN_EQ3_COUNT_2[[#This Row],[ID MATERIAL]]="","",IF(Plantilla_SCAN_EQ3_COUNT_2[[#This Row],[No. Empaques]]="",1,Plantilla_SCAN_EQ3_COUNT_2[[#This Row],[No. Empaques]]*1))</f>
        <v/>
      </c>
      <c r="G1083" s="7" t="str">
        <f>IF(Plantilla_SCAN_EQ3_COUNT_2[[#This Row],[ID MATERIAL]]="","","PZ")</f>
        <v/>
      </c>
      <c r="H1083" s="7" t="str">
        <f>IF(Plantilla_SCAN_EQ3_COUNT_2[[#This Row],[ID MATERIAL]]="","",$B$13)</f>
        <v/>
      </c>
      <c r="I1083" s="7" t="str">
        <f>IF(Plantilla_SCAN_EQ3_COUNT_2[[#This Row],[ID MATERIAL]]="","","Segundo Conteo")</f>
        <v/>
      </c>
    </row>
    <row r="1084" spans="1:9" s="7" customFormat="1" ht="15" x14ac:dyDescent="0.2">
      <c r="A1084" s="7" t="str">
        <f>IF(Plantilla_SCAN_EQ3_COUNT_2[[#This Row],[ID MATERIAL]]="","",SIGN(Plantilla_SCAN_EQ3_COUNT_2[[#This Row],[Cantidad]])+A1083)</f>
        <v/>
      </c>
      <c r="B1084" s="21" t="str">
        <f>IF(Plantilla_SCAN_EQ3_COUNT_2[[#This Row],[ID MATERIAL]]="","",B1083)</f>
        <v/>
      </c>
      <c r="C1084" s="21"/>
      <c r="D1084" s="21"/>
      <c r="E1084" s="7" t="str">
        <f>IF(Plantilla_SCAN_EQ3_COUNT_2[[#This Row],[ID MATERIAL]]="","",VLOOKUP(Plantilla_SCAN_EQ3_COUNT_2[[#This Row],[ID MATERIAL]],INVENTARIO!$A:$D,2,FALSE))</f>
        <v/>
      </c>
      <c r="F1084" s="7" t="str">
        <f>IF(Plantilla_SCAN_EQ3_COUNT_2[[#This Row],[ID MATERIAL]]="","",IF(Plantilla_SCAN_EQ3_COUNT_2[[#This Row],[No. Empaques]]="",1,Plantilla_SCAN_EQ3_COUNT_2[[#This Row],[No. Empaques]]*1))</f>
        <v/>
      </c>
      <c r="G1084" s="7" t="str">
        <f>IF(Plantilla_SCAN_EQ3_COUNT_2[[#This Row],[ID MATERIAL]]="","","PZ")</f>
        <v/>
      </c>
      <c r="H1084" s="7" t="str">
        <f>IF(Plantilla_SCAN_EQ3_COUNT_2[[#This Row],[ID MATERIAL]]="","",$B$13)</f>
        <v/>
      </c>
      <c r="I1084" s="7" t="str">
        <f>IF(Plantilla_SCAN_EQ3_COUNT_2[[#This Row],[ID MATERIAL]]="","","Segundo Conteo")</f>
        <v/>
      </c>
    </row>
    <row r="1085" spans="1:9" s="7" customFormat="1" ht="15" x14ac:dyDescent="0.2">
      <c r="A1085" s="7" t="str">
        <f>IF(Plantilla_SCAN_EQ3_COUNT_2[[#This Row],[ID MATERIAL]]="","",SIGN(Plantilla_SCAN_EQ3_COUNT_2[[#This Row],[Cantidad]])+A1084)</f>
        <v/>
      </c>
      <c r="B1085" s="21" t="str">
        <f>IF(Plantilla_SCAN_EQ3_COUNT_2[[#This Row],[ID MATERIAL]]="","",B1084)</f>
        <v/>
      </c>
      <c r="C1085" s="21"/>
      <c r="D1085" s="21"/>
      <c r="E1085" s="7" t="str">
        <f>IF(Plantilla_SCAN_EQ3_COUNT_2[[#This Row],[ID MATERIAL]]="","",VLOOKUP(Plantilla_SCAN_EQ3_COUNT_2[[#This Row],[ID MATERIAL]],INVENTARIO!$A:$D,2,FALSE))</f>
        <v/>
      </c>
      <c r="F1085" s="7" t="str">
        <f>IF(Plantilla_SCAN_EQ3_COUNT_2[[#This Row],[ID MATERIAL]]="","",IF(Plantilla_SCAN_EQ3_COUNT_2[[#This Row],[No. Empaques]]="",1,Plantilla_SCAN_EQ3_COUNT_2[[#This Row],[No. Empaques]]*1))</f>
        <v/>
      </c>
      <c r="G1085" s="7" t="str">
        <f>IF(Plantilla_SCAN_EQ3_COUNT_2[[#This Row],[ID MATERIAL]]="","","PZ")</f>
        <v/>
      </c>
      <c r="H1085" s="7" t="str">
        <f>IF(Plantilla_SCAN_EQ3_COUNT_2[[#This Row],[ID MATERIAL]]="","",$B$13)</f>
        <v/>
      </c>
      <c r="I1085" s="7" t="str">
        <f>IF(Plantilla_SCAN_EQ3_COUNT_2[[#This Row],[ID MATERIAL]]="","","Segundo Conteo")</f>
        <v/>
      </c>
    </row>
    <row r="1086" spans="1:9" s="7" customFormat="1" ht="15" x14ac:dyDescent="0.2">
      <c r="A1086" s="7" t="str">
        <f>IF(Plantilla_SCAN_EQ3_COUNT_2[[#This Row],[ID MATERIAL]]="","",SIGN(Plantilla_SCAN_EQ3_COUNT_2[[#This Row],[Cantidad]])+A1085)</f>
        <v/>
      </c>
      <c r="B1086" s="21" t="str">
        <f>IF(Plantilla_SCAN_EQ3_COUNT_2[[#This Row],[ID MATERIAL]]="","",B1085)</f>
        <v/>
      </c>
      <c r="C1086" s="21"/>
      <c r="D1086" s="21"/>
      <c r="E1086" s="7" t="str">
        <f>IF(Plantilla_SCAN_EQ3_COUNT_2[[#This Row],[ID MATERIAL]]="","",VLOOKUP(Plantilla_SCAN_EQ3_COUNT_2[[#This Row],[ID MATERIAL]],INVENTARIO!$A:$D,2,FALSE))</f>
        <v/>
      </c>
      <c r="F1086" s="7" t="str">
        <f>IF(Plantilla_SCAN_EQ3_COUNT_2[[#This Row],[ID MATERIAL]]="","",IF(Plantilla_SCAN_EQ3_COUNT_2[[#This Row],[No. Empaques]]="",1,Plantilla_SCAN_EQ3_COUNT_2[[#This Row],[No. Empaques]]*1))</f>
        <v/>
      </c>
      <c r="G1086" s="7" t="str">
        <f>IF(Plantilla_SCAN_EQ3_COUNT_2[[#This Row],[ID MATERIAL]]="","","PZ")</f>
        <v/>
      </c>
      <c r="H1086" s="7" t="str">
        <f>IF(Plantilla_SCAN_EQ3_COUNT_2[[#This Row],[ID MATERIAL]]="","",$B$13)</f>
        <v/>
      </c>
      <c r="I1086" s="7" t="str">
        <f>IF(Plantilla_SCAN_EQ3_COUNT_2[[#This Row],[ID MATERIAL]]="","","Segundo Conteo")</f>
        <v/>
      </c>
    </row>
    <row r="1087" spans="1:9" s="7" customFormat="1" ht="15" x14ac:dyDescent="0.2">
      <c r="A1087" s="7" t="str">
        <f>IF(Plantilla_SCAN_EQ3_COUNT_2[[#This Row],[ID MATERIAL]]="","",SIGN(Plantilla_SCAN_EQ3_COUNT_2[[#This Row],[Cantidad]])+A1086)</f>
        <v/>
      </c>
      <c r="B1087" s="21" t="str">
        <f>IF(Plantilla_SCAN_EQ3_COUNT_2[[#This Row],[ID MATERIAL]]="","",B1086)</f>
        <v/>
      </c>
      <c r="C1087" s="21"/>
      <c r="D1087" s="21"/>
      <c r="E1087" s="7" t="str">
        <f>IF(Plantilla_SCAN_EQ3_COUNT_2[[#This Row],[ID MATERIAL]]="","",VLOOKUP(Plantilla_SCAN_EQ3_COUNT_2[[#This Row],[ID MATERIAL]],INVENTARIO!$A:$D,2,FALSE))</f>
        <v/>
      </c>
      <c r="F1087" s="7" t="str">
        <f>IF(Plantilla_SCAN_EQ3_COUNT_2[[#This Row],[ID MATERIAL]]="","",IF(Plantilla_SCAN_EQ3_COUNT_2[[#This Row],[No. Empaques]]="",1,Plantilla_SCAN_EQ3_COUNT_2[[#This Row],[No. Empaques]]*1))</f>
        <v/>
      </c>
      <c r="G1087" s="7" t="str">
        <f>IF(Plantilla_SCAN_EQ3_COUNT_2[[#This Row],[ID MATERIAL]]="","","PZ")</f>
        <v/>
      </c>
      <c r="H1087" s="7" t="str">
        <f>IF(Plantilla_SCAN_EQ3_COUNT_2[[#This Row],[ID MATERIAL]]="","",$B$13)</f>
        <v/>
      </c>
      <c r="I1087" s="7" t="str">
        <f>IF(Plantilla_SCAN_EQ3_COUNT_2[[#This Row],[ID MATERIAL]]="","","Segundo Conteo")</f>
        <v/>
      </c>
    </row>
    <row r="1088" spans="1:9" s="7" customFormat="1" ht="15" x14ac:dyDescent="0.2">
      <c r="A1088" s="7" t="str">
        <f>IF(Plantilla_SCAN_EQ3_COUNT_2[[#This Row],[ID MATERIAL]]="","",SIGN(Plantilla_SCAN_EQ3_COUNT_2[[#This Row],[Cantidad]])+A1087)</f>
        <v/>
      </c>
      <c r="B1088" s="21" t="str">
        <f>IF(Plantilla_SCAN_EQ3_COUNT_2[[#This Row],[ID MATERIAL]]="","",B1087)</f>
        <v/>
      </c>
      <c r="C1088" s="21"/>
      <c r="D1088" s="21"/>
      <c r="E1088" s="7" t="str">
        <f>IF(Plantilla_SCAN_EQ3_COUNT_2[[#This Row],[ID MATERIAL]]="","",VLOOKUP(Plantilla_SCAN_EQ3_COUNT_2[[#This Row],[ID MATERIAL]],INVENTARIO!$A:$D,2,FALSE))</f>
        <v/>
      </c>
      <c r="F1088" s="7" t="str">
        <f>IF(Plantilla_SCAN_EQ3_COUNT_2[[#This Row],[ID MATERIAL]]="","",IF(Plantilla_SCAN_EQ3_COUNT_2[[#This Row],[No. Empaques]]="",1,Plantilla_SCAN_EQ3_COUNT_2[[#This Row],[No. Empaques]]*1))</f>
        <v/>
      </c>
      <c r="G1088" s="7" t="str">
        <f>IF(Plantilla_SCAN_EQ3_COUNT_2[[#This Row],[ID MATERIAL]]="","","PZ")</f>
        <v/>
      </c>
      <c r="H1088" s="7" t="str">
        <f>IF(Plantilla_SCAN_EQ3_COUNT_2[[#This Row],[ID MATERIAL]]="","",$B$13)</f>
        <v/>
      </c>
      <c r="I1088" s="7" t="str">
        <f>IF(Plantilla_SCAN_EQ3_COUNT_2[[#This Row],[ID MATERIAL]]="","","Segundo Conteo")</f>
        <v/>
      </c>
    </row>
    <row r="1089" spans="1:9" s="7" customFormat="1" ht="15" x14ac:dyDescent="0.2">
      <c r="A1089" s="7" t="str">
        <f>IF(Plantilla_SCAN_EQ3_COUNT_2[[#This Row],[ID MATERIAL]]="","",SIGN(Plantilla_SCAN_EQ3_COUNT_2[[#This Row],[Cantidad]])+A1088)</f>
        <v/>
      </c>
      <c r="B1089" s="21" t="str">
        <f>IF(Plantilla_SCAN_EQ3_COUNT_2[[#This Row],[ID MATERIAL]]="","",B1088)</f>
        <v/>
      </c>
      <c r="C1089" s="21"/>
      <c r="D1089" s="21"/>
      <c r="E1089" s="7" t="str">
        <f>IF(Plantilla_SCAN_EQ3_COUNT_2[[#This Row],[ID MATERIAL]]="","",VLOOKUP(Plantilla_SCAN_EQ3_COUNT_2[[#This Row],[ID MATERIAL]],INVENTARIO!$A:$D,2,FALSE))</f>
        <v/>
      </c>
      <c r="F1089" s="7" t="str">
        <f>IF(Plantilla_SCAN_EQ3_COUNT_2[[#This Row],[ID MATERIAL]]="","",IF(Plantilla_SCAN_EQ3_COUNT_2[[#This Row],[No. Empaques]]="",1,Plantilla_SCAN_EQ3_COUNT_2[[#This Row],[No. Empaques]]*1))</f>
        <v/>
      </c>
      <c r="G1089" s="7" t="str">
        <f>IF(Plantilla_SCAN_EQ3_COUNT_2[[#This Row],[ID MATERIAL]]="","","PZ")</f>
        <v/>
      </c>
      <c r="H1089" s="7" t="str">
        <f>IF(Plantilla_SCAN_EQ3_COUNT_2[[#This Row],[ID MATERIAL]]="","",$B$13)</f>
        <v/>
      </c>
      <c r="I1089" s="7" t="str">
        <f>IF(Plantilla_SCAN_EQ3_COUNT_2[[#This Row],[ID MATERIAL]]="","","Segundo Conteo")</f>
        <v/>
      </c>
    </row>
    <row r="1090" spans="1:9" s="7" customFormat="1" ht="15" x14ac:dyDescent="0.2">
      <c r="A1090" s="7" t="str">
        <f>IF(Plantilla_SCAN_EQ3_COUNT_2[[#This Row],[ID MATERIAL]]="","",SIGN(Plantilla_SCAN_EQ3_COUNT_2[[#This Row],[Cantidad]])+A1089)</f>
        <v/>
      </c>
      <c r="B1090" s="21" t="str">
        <f>IF(Plantilla_SCAN_EQ3_COUNT_2[[#This Row],[ID MATERIAL]]="","",B1089)</f>
        <v/>
      </c>
      <c r="C1090" s="21"/>
      <c r="D1090" s="21"/>
      <c r="E1090" s="7" t="str">
        <f>IF(Plantilla_SCAN_EQ3_COUNT_2[[#This Row],[ID MATERIAL]]="","",VLOOKUP(Plantilla_SCAN_EQ3_COUNT_2[[#This Row],[ID MATERIAL]],INVENTARIO!$A:$D,2,FALSE))</f>
        <v/>
      </c>
      <c r="F1090" s="7" t="str">
        <f>IF(Plantilla_SCAN_EQ3_COUNT_2[[#This Row],[ID MATERIAL]]="","",IF(Plantilla_SCAN_EQ3_COUNT_2[[#This Row],[No. Empaques]]="",1,Plantilla_SCAN_EQ3_COUNT_2[[#This Row],[No. Empaques]]*1))</f>
        <v/>
      </c>
      <c r="G1090" s="7" t="str">
        <f>IF(Plantilla_SCAN_EQ3_COUNT_2[[#This Row],[ID MATERIAL]]="","","PZ")</f>
        <v/>
      </c>
      <c r="H1090" s="7" t="str">
        <f>IF(Plantilla_SCAN_EQ3_COUNT_2[[#This Row],[ID MATERIAL]]="","",$B$13)</f>
        <v/>
      </c>
      <c r="I1090" s="7" t="str">
        <f>IF(Plantilla_SCAN_EQ3_COUNT_2[[#This Row],[ID MATERIAL]]="","","Segundo Conteo")</f>
        <v/>
      </c>
    </row>
    <row r="1091" spans="1:9" s="7" customFormat="1" ht="15" x14ac:dyDescent="0.2">
      <c r="A1091" s="7" t="str">
        <f>IF(Plantilla_SCAN_EQ3_COUNT_2[[#This Row],[ID MATERIAL]]="","",SIGN(Plantilla_SCAN_EQ3_COUNT_2[[#This Row],[Cantidad]])+A1090)</f>
        <v/>
      </c>
      <c r="B1091" s="21" t="str">
        <f>IF(Plantilla_SCAN_EQ3_COUNT_2[[#This Row],[ID MATERIAL]]="","",B1090)</f>
        <v/>
      </c>
      <c r="C1091" s="21"/>
      <c r="D1091" s="21"/>
      <c r="E1091" s="7" t="str">
        <f>IF(Plantilla_SCAN_EQ3_COUNT_2[[#This Row],[ID MATERIAL]]="","",VLOOKUP(Plantilla_SCAN_EQ3_COUNT_2[[#This Row],[ID MATERIAL]],INVENTARIO!$A:$D,2,FALSE))</f>
        <v/>
      </c>
      <c r="F1091" s="7" t="str">
        <f>IF(Plantilla_SCAN_EQ3_COUNT_2[[#This Row],[ID MATERIAL]]="","",IF(Plantilla_SCAN_EQ3_COUNT_2[[#This Row],[No. Empaques]]="",1,Plantilla_SCAN_EQ3_COUNT_2[[#This Row],[No. Empaques]]*1))</f>
        <v/>
      </c>
      <c r="G1091" s="7" t="str">
        <f>IF(Plantilla_SCAN_EQ3_COUNT_2[[#This Row],[ID MATERIAL]]="","","PZ")</f>
        <v/>
      </c>
      <c r="H1091" s="7" t="str">
        <f>IF(Plantilla_SCAN_EQ3_COUNT_2[[#This Row],[ID MATERIAL]]="","",$B$13)</f>
        <v/>
      </c>
      <c r="I1091" s="7" t="str">
        <f>IF(Plantilla_SCAN_EQ3_COUNT_2[[#This Row],[ID MATERIAL]]="","","Segundo Conteo")</f>
        <v/>
      </c>
    </row>
    <row r="1092" spans="1:9" s="7" customFormat="1" ht="15" x14ac:dyDescent="0.2">
      <c r="A1092" s="7" t="str">
        <f>IF(Plantilla_SCAN_EQ3_COUNT_2[[#This Row],[ID MATERIAL]]="","",SIGN(Plantilla_SCAN_EQ3_COUNT_2[[#This Row],[Cantidad]])+A1091)</f>
        <v/>
      </c>
      <c r="B1092" s="21" t="str">
        <f>IF(Plantilla_SCAN_EQ3_COUNT_2[[#This Row],[ID MATERIAL]]="","",B1091)</f>
        <v/>
      </c>
      <c r="C1092" s="21"/>
      <c r="D1092" s="21"/>
      <c r="E1092" s="7" t="str">
        <f>IF(Plantilla_SCAN_EQ3_COUNT_2[[#This Row],[ID MATERIAL]]="","",VLOOKUP(Plantilla_SCAN_EQ3_COUNT_2[[#This Row],[ID MATERIAL]],INVENTARIO!$A:$D,2,FALSE))</f>
        <v/>
      </c>
      <c r="F1092" s="7" t="str">
        <f>IF(Plantilla_SCAN_EQ3_COUNT_2[[#This Row],[ID MATERIAL]]="","",IF(Plantilla_SCAN_EQ3_COUNT_2[[#This Row],[No. Empaques]]="",1,Plantilla_SCAN_EQ3_COUNT_2[[#This Row],[No. Empaques]]*1))</f>
        <v/>
      </c>
      <c r="G1092" s="7" t="str">
        <f>IF(Plantilla_SCAN_EQ3_COUNT_2[[#This Row],[ID MATERIAL]]="","","PZ")</f>
        <v/>
      </c>
      <c r="H1092" s="7" t="str">
        <f>IF(Plantilla_SCAN_EQ3_COUNT_2[[#This Row],[ID MATERIAL]]="","",$B$13)</f>
        <v/>
      </c>
      <c r="I1092" s="7" t="str">
        <f>IF(Plantilla_SCAN_EQ3_COUNT_2[[#This Row],[ID MATERIAL]]="","","Segundo Conteo")</f>
        <v/>
      </c>
    </row>
    <row r="1093" spans="1:9" s="7" customFormat="1" ht="15" x14ac:dyDescent="0.2">
      <c r="A1093" s="7" t="str">
        <f>IF(Plantilla_SCAN_EQ3_COUNT_2[[#This Row],[ID MATERIAL]]="","",SIGN(Plantilla_SCAN_EQ3_COUNT_2[[#This Row],[Cantidad]])+A1092)</f>
        <v/>
      </c>
      <c r="B1093" s="21" t="str">
        <f>IF(Plantilla_SCAN_EQ3_COUNT_2[[#This Row],[ID MATERIAL]]="","",B1092)</f>
        <v/>
      </c>
      <c r="C1093" s="21"/>
      <c r="D1093" s="21"/>
      <c r="E1093" s="7" t="str">
        <f>IF(Plantilla_SCAN_EQ3_COUNT_2[[#This Row],[ID MATERIAL]]="","",VLOOKUP(Plantilla_SCAN_EQ3_COUNT_2[[#This Row],[ID MATERIAL]],INVENTARIO!$A:$D,2,FALSE))</f>
        <v/>
      </c>
      <c r="F1093" s="7" t="str">
        <f>IF(Plantilla_SCAN_EQ3_COUNT_2[[#This Row],[ID MATERIAL]]="","",IF(Plantilla_SCAN_EQ3_COUNT_2[[#This Row],[No. Empaques]]="",1,Plantilla_SCAN_EQ3_COUNT_2[[#This Row],[No. Empaques]]*1))</f>
        <v/>
      </c>
      <c r="G1093" s="7" t="str">
        <f>IF(Plantilla_SCAN_EQ3_COUNT_2[[#This Row],[ID MATERIAL]]="","","PZ")</f>
        <v/>
      </c>
      <c r="H1093" s="7" t="str">
        <f>IF(Plantilla_SCAN_EQ3_COUNT_2[[#This Row],[ID MATERIAL]]="","",$B$13)</f>
        <v/>
      </c>
      <c r="I1093" s="7" t="str">
        <f>IF(Plantilla_SCAN_EQ3_COUNT_2[[#This Row],[ID MATERIAL]]="","","Segundo Conteo")</f>
        <v/>
      </c>
    </row>
    <row r="1094" spans="1:9" s="7" customFormat="1" ht="15" x14ac:dyDescent="0.2">
      <c r="A1094" s="7" t="str">
        <f>IF(Plantilla_SCAN_EQ3_COUNT_2[[#This Row],[ID MATERIAL]]="","",SIGN(Plantilla_SCAN_EQ3_COUNT_2[[#This Row],[Cantidad]])+A1093)</f>
        <v/>
      </c>
      <c r="B1094" s="21" t="str">
        <f>IF(Plantilla_SCAN_EQ3_COUNT_2[[#This Row],[ID MATERIAL]]="","",B1093)</f>
        <v/>
      </c>
      <c r="C1094" s="21"/>
      <c r="D1094" s="21"/>
      <c r="E1094" s="7" t="str">
        <f>IF(Plantilla_SCAN_EQ3_COUNT_2[[#This Row],[ID MATERIAL]]="","",VLOOKUP(Plantilla_SCAN_EQ3_COUNT_2[[#This Row],[ID MATERIAL]],INVENTARIO!$A:$D,2,FALSE))</f>
        <v/>
      </c>
      <c r="F1094" s="7" t="str">
        <f>IF(Plantilla_SCAN_EQ3_COUNT_2[[#This Row],[ID MATERIAL]]="","",IF(Plantilla_SCAN_EQ3_COUNT_2[[#This Row],[No. Empaques]]="",1,Plantilla_SCAN_EQ3_COUNT_2[[#This Row],[No. Empaques]]*1))</f>
        <v/>
      </c>
      <c r="G1094" s="7" t="str">
        <f>IF(Plantilla_SCAN_EQ3_COUNT_2[[#This Row],[ID MATERIAL]]="","","PZ")</f>
        <v/>
      </c>
      <c r="H1094" s="7" t="str">
        <f>IF(Plantilla_SCAN_EQ3_COUNT_2[[#This Row],[ID MATERIAL]]="","",$B$13)</f>
        <v/>
      </c>
      <c r="I1094" s="7" t="str">
        <f>IF(Plantilla_SCAN_EQ3_COUNT_2[[#This Row],[ID MATERIAL]]="","","Segundo Conteo")</f>
        <v/>
      </c>
    </row>
    <row r="1095" spans="1:9" s="7" customFormat="1" ht="15" x14ac:dyDescent="0.2">
      <c r="A1095" s="7" t="str">
        <f>IF(Plantilla_SCAN_EQ3_COUNT_2[[#This Row],[ID MATERIAL]]="","",SIGN(Plantilla_SCAN_EQ3_COUNT_2[[#This Row],[Cantidad]])+A1094)</f>
        <v/>
      </c>
      <c r="B1095" s="21" t="str">
        <f>IF(Plantilla_SCAN_EQ3_COUNT_2[[#This Row],[ID MATERIAL]]="","",B1094)</f>
        <v/>
      </c>
      <c r="C1095" s="21"/>
      <c r="D1095" s="21"/>
      <c r="E1095" s="7" t="str">
        <f>IF(Plantilla_SCAN_EQ3_COUNT_2[[#This Row],[ID MATERIAL]]="","",VLOOKUP(Plantilla_SCAN_EQ3_COUNT_2[[#This Row],[ID MATERIAL]],INVENTARIO!$A:$D,2,FALSE))</f>
        <v/>
      </c>
      <c r="F1095" s="7" t="str">
        <f>IF(Plantilla_SCAN_EQ3_COUNT_2[[#This Row],[ID MATERIAL]]="","",IF(Plantilla_SCAN_EQ3_COUNT_2[[#This Row],[No. Empaques]]="",1,Plantilla_SCAN_EQ3_COUNT_2[[#This Row],[No. Empaques]]*1))</f>
        <v/>
      </c>
      <c r="G1095" s="7" t="str">
        <f>IF(Plantilla_SCAN_EQ3_COUNT_2[[#This Row],[ID MATERIAL]]="","","PZ")</f>
        <v/>
      </c>
      <c r="H1095" s="7" t="str">
        <f>IF(Plantilla_SCAN_EQ3_COUNT_2[[#This Row],[ID MATERIAL]]="","",$B$13)</f>
        <v/>
      </c>
      <c r="I1095" s="7" t="str">
        <f>IF(Plantilla_SCAN_EQ3_COUNT_2[[#This Row],[ID MATERIAL]]="","","Segundo Conteo")</f>
        <v/>
      </c>
    </row>
    <row r="1096" spans="1:9" s="7" customFormat="1" ht="15" x14ac:dyDescent="0.2">
      <c r="A1096" s="7" t="str">
        <f>IF(Plantilla_SCAN_EQ3_COUNT_2[[#This Row],[ID MATERIAL]]="","",SIGN(Plantilla_SCAN_EQ3_COUNT_2[[#This Row],[Cantidad]])+A1095)</f>
        <v/>
      </c>
      <c r="B1096" s="21" t="str">
        <f>IF(Plantilla_SCAN_EQ3_COUNT_2[[#This Row],[ID MATERIAL]]="","",B1095)</f>
        <v/>
      </c>
      <c r="C1096" s="21"/>
      <c r="D1096" s="21"/>
      <c r="E1096" s="7" t="str">
        <f>IF(Plantilla_SCAN_EQ3_COUNT_2[[#This Row],[ID MATERIAL]]="","",VLOOKUP(Plantilla_SCAN_EQ3_COUNT_2[[#This Row],[ID MATERIAL]],INVENTARIO!$A:$D,2,FALSE))</f>
        <v/>
      </c>
      <c r="F1096" s="7" t="str">
        <f>IF(Plantilla_SCAN_EQ3_COUNT_2[[#This Row],[ID MATERIAL]]="","",IF(Plantilla_SCAN_EQ3_COUNT_2[[#This Row],[No. Empaques]]="",1,Plantilla_SCAN_EQ3_COUNT_2[[#This Row],[No. Empaques]]*1))</f>
        <v/>
      </c>
      <c r="G1096" s="7" t="str">
        <f>IF(Plantilla_SCAN_EQ3_COUNT_2[[#This Row],[ID MATERIAL]]="","","PZ")</f>
        <v/>
      </c>
      <c r="H1096" s="7" t="str">
        <f>IF(Plantilla_SCAN_EQ3_COUNT_2[[#This Row],[ID MATERIAL]]="","",$B$13)</f>
        <v/>
      </c>
      <c r="I1096" s="7" t="str">
        <f>IF(Plantilla_SCAN_EQ3_COUNT_2[[#This Row],[ID MATERIAL]]="","","Segundo Conteo")</f>
        <v/>
      </c>
    </row>
    <row r="1097" spans="1:9" s="7" customFormat="1" ht="15" x14ac:dyDescent="0.2">
      <c r="A1097" s="7" t="str">
        <f>IF(Plantilla_SCAN_EQ3_COUNT_2[[#This Row],[ID MATERIAL]]="","",SIGN(Plantilla_SCAN_EQ3_COUNT_2[[#This Row],[Cantidad]])+A1096)</f>
        <v/>
      </c>
      <c r="B1097" s="21" t="str">
        <f>IF(Plantilla_SCAN_EQ3_COUNT_2[[#This Row],[ID MATERIAL]]="","",B1096)</f>
        <v/>
      </c>
      <c r="C1097" s="21"/>
      <c r="D1097" s="21"/>
      <c r="E1097" s="7" t="str">
        <f>IF(Plantilla_SCAN_EQ3_COUNT_2[[#This Row],[ID MATERIAL]]="","",VLOOKUP(Plantilla_SCAN_EQ3_COUNT_2[[#This Row],[ID MATERIAL]],INVENTARIO!$A:$D,2,FALSE))</f>
        <v/>
      </c>
      <c r="F1097" s="7" t="str">
        <f>IF(Plantilla_SCAN_EQ3_COUNT_2[[#This Row],[ID MATERIAL]]="","",IF(Plantilla_SCAN_EQ3_COUNT_2[[#This Row],[No. Empaques]]="",1,Plantilla_SCAN_EQ3_COUNT_2[[#This Row],[No. Empaques]]*1))</f>
        <v/>
      </c>
      <c r="G1097" s="7" t="str">
        <f>IF(Plantilla_SCAN_EQ3_COUNT_2[[#This Row],[ID MATERIAL]]="","","PZ")</f>
        <v/>
      </c>
      <c r="H1097" s="7" t="str">
        <f>IF(Plantilla_SCAN_EQ3_COUNT_2[[#This Row],[ID MATERIAL]]="","",$B$13)</f>
        <v/>
      </c>
      <c r="I1097" s="7" t="str">
        <f>IF(Plantilla_SCAN_EQ3_COUNT_2[[#This Row],[ID MATERIAL]]="","","Segundo Conteo")</f>
        <v/>
      </c>
    </row>
    <row r="1098" spans="1:9" s="7" customFormat="1" ht="15" x14ac:dyDescent="0.2">
      <c r="A1098" s="7" t="str">
        <f>IF(Plantilla_SCAN_EQ3_COUNT_2[[#This Row],[ID MATERIAL]]="","",SIGN(Plantilla_SCAN_EQ3_COUNT_2[[#This Row],[Cantidad]])+A1097)</f>
        <v/>
      </c>
      <c r="B1098" s="21" t="str">
        <f>IF(Plantilla_SCAN_EQ3_COUNT_2[[#This Row],[ID MATERIAL]]="","",B1097)</f>
        <v/>
      </c>
      <c r="C1098" s="21"/>
      <c r="D1098" s="21"/>
      <c r="E1098" s="7" t="str">
        <f>IF(Plantilla_SCAN_EQ3_COUNT_2[[#This Row],[ID MATERIAL]]="","",VLOOKUP(Plantilla_SCAN_EQ3_COUNT_2[[#This Row],[ID MATERIAL]],INVENTARIO!$A:$D,2,FALSE))</f>
        <v/>
      </c>
      <c r="F1098" s="7" t="str">
        <f>IF(Plantilla_SCAN_EQ3_COUNT_2[[#This Row],[ID MATERIAL]]="","",IF(Plantilla_SCAN_EQ3_COUNT_2[[#This Row],[No. Empaques]]="",1,Plantilla_SCAN_EQ3_COUNT_2[[#This Row],[No. Empaques]]*1))</f>
        <v/>
      </c>
      <c r="G1098" s="7" t="str">
        <f>IF(Plantilla_SCAN_EQ3_COUNT_2[[#This Row],[ID MATERIAL]]="","","PZ")</f>
        <v/>
      </c>
      <c r="H1098" s="7" t="str">
        <f>IF(Plantilla_SCAN_EQ3_COUNT_2[[#This Row],[ID MATERIAL]]="","",$B$13)</f>
        <v/>
      </c>
      <c r="I1098" s="7" t="str">
        <f>IF(Plantilla_SCAN_EQ3_COUNT_2[[#This Row],[ID MATERIAL]]="","","Segundo Conteo")</f>
        <v/>
      </c>
    </row>
    <row r="1099" spans="1:9" s="7" customFormat="1" ht="15" x14ac:dyDescent="0.2">
      <c r="A1099" s="7" t="str">
        <f>IF(Plantilla_SCAN_EQ3_COUNT_2[[#This Row],[ID MATERIAL]]="","",SIGN(Plantilla_SCAN_EQ3_COUNT_2[[#This Row],[Cantidad]])+A1098)</f>
        <v/>
      </c>
      <c r="B1099" s="21" t="str">
        <f>IF(Plantilla_SCAN_EQ3_COUNT_2[[#This Row],[ID MATERIAL]]="","",B1098)</f>
        <v/>
      </c>
      <c r="C1099" s="21"/>
      <c r="D1099" s="21"/>
      <c r="E1099" s="7" t="str">
        <f>IF(Plantilla_SCAN_EQ3_COUNT_2[[#This Row],[ID MATERIAL]]="","",VLOOKUP(Plantilla_SCAN_EQ3_COUNT_2[[#This Row],[ID MATERIAL]],INVENTARIO!$A:$D,2,FALSE))</f>
        <v/>
      </c>
      <c r="F1099" s="7" t="str">
        <f>IF(Plantilla_SCAN_EQ3_COUNT_2[[#This Row],[ID MATERIAL]]="","",IF(Plantilla_SCAN_EQ3_COUNT_2[[#This Row],[No. Empaques]]="",1,Plantilla_SCAN_EQ3_COUNT_2[[#This Row],[No. Empaques]]*1))</f>
        <v/>
      </c>
      <c r="G1099" s="7" t="str">
        <f>IF(Plantilla_SCAN_EQ3_COUNT_2[[#This Row],[ID MATERIAL]]="","","PZ")</f>
        <v/>
      </c>
      <c r="H1099" s="7" t="str">
        <f>IF(Plantilla_SCAN_EQ3_COUNT_2[[#This Row],[ID MATERIAL]]="","",$B$13)</f>
        <v/>
      </c>
      <c r="I1099" s="7" t="str">
        <f>IF(Plantilla_SCAN_EQ3_COUNT_2[[#This Row],[ID MATERIAL]]="","","Segundo Conteo")</f>
        <v/>
      </c>
    </row>
    <row r="1100" spans="1:9" s="7" customFormat="1" ht="15" x14ac:dyDescent="0.2">
      <c r="A1100" s="7" t="str">
        <f>IF(Plantilla_SCAN_EQ3_COUNT_2[[#This Row],[ID MATERIAL]]="","",SIGN(Plantilla_SCAN_EQ3_COUNT_2[[#This Row],[Cantidad]])+A1099)</f>
        <v/>
      </c>
      <c r="B1100" s="21" t="str">
        <f>IF(Plantilla_SCAN_EQ3_COUNT_2[[#This Row],[ID MATERIAL]]="","",B1099)</f>
        <v/>
      </c>
      <c r="C1100" s="21"/>
      <c r="D1100" s="21"/>
      <c r="E1100" s="7" t="str">
        <f>IF(Plantilla_SCAN_EQ3_COUNT_2[[#This Row],[ID MATERIAL]]="","",VLOOKUP(Plantilla_SCAN_EQ3_COUNT_2[[#This Row],[ID MATERIAL]],INVENTARIO!$A:$D,2,FALSE))</f>
        <v/>
      </c>
      <c r="F1100" s="7" t="str">
        <f>IF(Plantilla_SCAN_EQ3_COUNT_2[[#This Row],[ID MATERIAL]]="","",IF(Plantilla_SCAN_EQ3_COUNT_2[[#This Row],[No. Empaques]]="",1,Plantilla_SCAN_EQ3_COUNT_2[[#This Row],[No. Empaques]]*1))</f>
        <v/>
      </c>
      <c r="G1100" s="7" t="str">
        <f>IF(Plantilla_SCAN_EQ3_COUNT_2[[#This Row],[ID MATERIAL]]="","","PZ")</f>
        <v/>
      </c>
      <c r="H1100" s="7" t="str">
        <f>IF(Plantilla_SCAN_EQ3_COUNT_2[[#This Row],[ID MATERIAL]]="","",$B$13)</f>
        <v/>
      </c>
      <c r="I1100" s="7" t="str">
        <f>IF(Plantilla_SCAN_EQ3_COUNT_2[[#This Row],[ID MATERIAL]]="","","Segundo Conteo")</f>
        <v/>
      </c>
    </row>
    <row r="1101" spans="1:9" s="7" customFormat="1" ht="15" x14ac:dyDescent="0.2">
      <c r="A1101" s="7" t="str">
        <f>IF(Plantilla_SCAN_EQ3_COUNT_2[[#This Row],[ID MATERIAL]]="","",SIGN(Plantilla_SCAN_EQ3_COUNT_2[[#This Row],[Cantidad]])+A1100)</f>
        <v/>
      </c>
      <c r="B1101" s="21" t="str">
        <f>IF(Plantilla_SCAN_EQ3_COUNT_2[[#This Row],[ID MATERIAL]]="","",B1100)</f>
        <v/>
      </c>
      <c r="C1101" s="21"/>
      <c r="D1101" s="21"/>
      <c r="E1101" s="7" t="str">
        <f>IF(Plantilla_SCAN_EQ3_COUNT_2[[#This Row],[ID MATERIAL]]="","",VLOOKUP(Plantilla_SCAN_EQ3_COUNT_2[[#This Row],[ID MATERIAL]],INVENTARIO!$A:$D,2,FALSE))</f>
        <v/>
      </c>
      <c r="F1101" s="7" t="str">
        <f>IF(Plantilla_SCAN_EQ3_COUNT_2[[#This Row],[ID MATERIAL]]="","",IF(Plantilla_SCAN_EQ3_COUNT_2[[#This Row],[No. Empaques]]="",1,Plantilla_SCAN_EQ3_COUNT_2[[#This Row],[No. Empaques]]*1))</f>
        <v/>
      </c>
      <c r="G1101" s="7" t="str">
        <f>IF(Plantilla_SCAN_EQ3_COUNT_2[[#This Row],[ID MATERIAL]]="","","PZ")</f>
        <v/>
      </c>
      <c r="H1101" s="7" t="str">
        <f>IF(Plantilla_SCAN_EQ3_COUNT_2[[#This Row],[ID MATERIAL]]="","",$B$13)</f>
        <v/>
      </c>
      <c r="I1101" s="7" t="str">
        <f>IF(Plantilla_SCAN_EQ3_COUNT_2[[#This Row],[ID MATERIAL]]="","","Segundo Conteo")</f>
        <v/>
      </c>
    </row>
    <row r="1102" spans="1:9" s="7" customFormat="1" ht="15" x14ac:dyDescent="0.2">
      <c r="A1102" s="7" t="str">
        <f>IF(Plantilla_SCAN_EQ3_COUNT_2[[#This Row],[ID MATERIAL]]="","",SIGN(Plantilla_SCAN_EQ3_COUNT_2[[#This Row],[Cantidad]])+A1101)</f>
        <v/>
      </c>
      <c r="B1102" s="21" t="str">
        <f>IF(Plantilla_SCAN_EQ3_COUNT_2[[#This Row],[ID MATERIAL]]="","",B1101)</f>
        <v/>
      </c>
      <c r="C1102" s="21"/>
      <c r="D1102" s="21"/>
      <c r="E1102" s="7" t="str">
        <f>IF(Plantilla_SCAN_EQ3_COUNT_2[[#This Row],[ID MATERIAL]]="","",VLOOKUP(Plantilla_SCAN_EQ3_COUNT_2[[#This Row],[ID MATERIAL]],INVENTARIO!$A:$D,2,FALSE))</f>
        <v/>
      </c>
      <c r="F1102" s="7" t="str">
        <f>IF(Plantilla_SCAN_EQ3_COUNT_2[[#This Row],[ID MATERIAL]]="","",IF(Plantilla_SCAN_EQ3_COUNT_2[[#This Row],[No. Empaques]]="",1,Plantilla_SCAN_EQ3_COUNT_2[[#This Row],[No. Empaques]]*1))</f>
        <v/>
      </c>
      <c r="G1102" s="7" t="str">
        <f>IF(Plantilla_SCAN_EQ3_COUNT_2[[#This Row],[ID MATERIAL]]="","","PZ")</f>
        <v/>
      </c>
      <c r="H1102" s="7" t="str">
        <f>IF(Plantilla_SCAN_EQ3_COUNT_2[[#This Row],[ID MATERIAL]]="","",$B$13)</f>
        <v/>
      </c>
      <c r="I1102" s="7" t="str">
        <f>IF(Plantilla_SCAN_EQ3_COUNT_2[[#This Row],[ID MATERIAL]]="","","Segundo Conteo")</f>
        <v/>
      </c>
    </row>
    <row r="1103" spans="1:9" s="7" customFormat="1" ht="15" x14ac:dyDescent="0.2">
      <c r="A1103" s="7" t="str">
        <f>IF(Plantilla_SCAN_EQ3_COUNT_2[[#This Row],[ID MATERIAL]]="","",SIGN(Plantilla_SCAN_EQ3_COUNT_2[[#This Row],[Cantidad]])+A1102)</f>
        <v/>
      </c>
      <c r="B1103" s="21" t="str">
        <f>IF(Plantilla_SCAN_EQ3_COUNT_2[[#This Row],[ID MATERIAL]]="","",B1102)</f>
        <v/>
      </c>
      <c r="C1103" s="21"/>
      <c r="D1103" s="21"/>
      <c r="E1103" s="7" t="str">
        <f>IF(Plantilla_SCAN_EQ3_COUNT_2[[#This Row],[ID MATERIAL]]="","",VLOOKUP(Plantilla_SCAN_EQ3_COUNT_2[[#This Row],[ID MATERIAL]],INVENTARIO!$A:$D,2,FALSE))</f>
        <v/>
      </c>
      <c r="F1103" s="7" t="str">
        <f>IF(Plantilla_SCAN_EQ3_COUNT_2[[#This Row],[ID MATERIAL]]="","",IF(Plantilla_SCAN_EQ3_COUNT_2[[#This Row],[No. Empaques]]="",1,Plantilla_SCAN_EQ3_COUNT_2[[#This Row],[No. Empaques]]*1))</f>
        <v/>
      </c>
      <c r="G1103" s="7" t="str">
        <f>IF(Plantilla_SCAN_EQ3_COUNT_2[[#This Row],[ID MATERIAL]]="","","PZ")</f>
        <v/>
      </c>
      <c r="H1103" s="7" t="str">
        <f>IF(Plantilla_SCAN_EQ3_COUNT_2[[#This Row],[ID MATERIAL]]="","",$B$13)</f>
        <v/>
      </c>
      <c r="I1103" s="7" t="str">
        <f>IF(Plantilla_SCAN_EQ3_COUNT_2[[#This Row],[ID MATERIAL]]="","","Segundo Conteo")</f>
        <v/>
      </c>
    </row>
    <row r="1104" spans="1:9" s="7" customFormat="1" ht="15" x14ac:dyDescent="0.2">
      <c r="A1104" s="7" t="str">
        <f>IF(Plantilla_SCAN_EQ3_COUNT_2[[#This Row],[ID MATERIAL]]="","",SIGN(Plantilla_SCAN_EQ3_COUNT_2[[#This Row],[Cantidad]])+A1103)</f>
        <v/>
      </c>
      <c r="B1104" s="21" t="str">
        <f>IF(Plantilla_SCAN_EQ3_COUNT_2[[#This Row],[ID MATERIAL]]="","",B1103)</f>
        <v/>
      </c>
      <c r="C1104" s="21"/>
      <c r="D1104" s="21"/>
      <c r="E1104" s="7" t="str">
        <f>IF(Plantilla_SCAN_EQ3_COUNT_2[[#This Row],[ID MATERIAL]]="","",VLOOKUP(Plantilla_SCAN_EQ3_COUNT_2[[#This Row],[ID MATERIAL]],INVENTARIO!$A:$D,2,FALSE))</f>
        <v/>
      </c>
      <c r="F1104" s="7" t="str">
        <f>IF(Plantilla_SCAN_EQ3_COUNT_2[[#This Row],[ID MATERIAL]]="","",IF(Plantilla_SCAN_EQ3_COUNT_2[[#This Row],[No. Empaques]]="",1,Plantilla_SCAN_EQ3_COUNT_2[[#This Row],[No. Empaques]]*1))</f>
        <v/>
      </c>
      <c r="G1104" s="7" t="str">
        <f>IF(Plantilla_SCAN_EQ3_COUNT_2[[#This Row],[ID MATERIAL]]="","","PZ")</f>
        <v/>
      </c>
      <c r="H1104" s="7" t="str">
        <f>IF(Plantilla_SCAN_EQ3_COUNT_2[[#This Row],[ID MATERIAL]]="","",$B$13)</f>
        <v/>
      </c>
      <c r="I1104" s="7" t="str">
        <f>IF(Plantilla_SCAN_EQ3_COUNT_2[[#This Row],[ID MATERIAL]]="","","Segundo Conteo")</f>
        <v/>
      </c>
    </row>
    <row r="1105" spans="1:9" s="7" customFormat="1" ht="15" x14ac:dyDescent="0.2">
      <c r="A1105" s="7" t="str">
        <f>IF(Plantilla_SCAN_EQ3_COUNT_2[[#This Row],[ID MATERIAL]]="","",SIGN(Plantilla_SCAN_EQ3_COUNT_2[[#This Row],[Cantidad]])+A1104)</f>
        <v/>
      </c>
      <c r="B1105" s="21" t="str">
        <f>IF(Plantilla_SCAN_EQ3_COUNT_2[[#This Row],[ID MATERIAL]]="","",B1104)</f>
        <v/>
      </c>
      <c r="C1105" s="21"/>
      <c r="D1105" s="21"/>
      <c r="E1105" s="7" t="str">
        <f>IF(Plantilla_SCAN_EQ3_COUNT_2[[#This Row],[ID MATERIAL]]="","",VLOOKUP(Plantilla_SCAN_EQ3_COUNT_2[[#This Row],[ID MATERIAL]],INVENTARIO!$A:$D,2,FALSE))</f>
        <v/>
      </c>
      <c r="F1105" s="7" t="str">
        <f>IF(Plantilla_SCAN_EQ3_COUNT_2[[#This Row],[ID MATERIAL]]="","",IF(Plantilla_SCAN_EQ3_COUNT_2[[#This Row],[No. Empaques]]="",1,Plantilla_SCAN_EQ3_COUNT_2[[#This Row],[No. Empaques]]*1))</f>
        <v/>
      </c>
      <c r="G1105" s="7" t="str">
        <f>IF(Plantilla_SCAN_EQ3_COUNT_2[[#This Row],[ID MATERIAL]]="","","PZ")</f>
        <v/>
      </c>
      <c r="H1105" s="7" t="str">
        <f>IF(Plantilla_SCAN_EQ3_COUNT_2[[#This Row],[ID MATERIAL]]="","",$B$13)</f>
        <v/>
      </c>
      <c r="I1105" s="7" t="str">
        <f>IF(Plantilla_SCAN_EQ3_COUNT_2[[#This Row],[ID MATERIAL]]="","","Segundo Conteo")</f>
        <v/>
      </c>
    </row>
    <row r="1106" spans="1:9" s="7" customFormat="1" ht="15" x14ac:dyDescent="0.2">
      <c r="A1106" s="7" t="str">
        <f>IF(Plantilla_SCAN_EQ3_COUNT_2[[#This Row],[ID MATERIAL]]="","",SIGN(Plantilla_SCAN_EQ3_COUNT_2[[#This Row],[Cantidad]])+A1105)</f>
        <v/>
      </c>
      <c r="B1106" s="21" t="str">
        <f>IF(Plantilla_SCAN_EQ3_COUNT_2[[#This Row],[ID MATERIAL]]="","",B1105)</f>
        <v/>
      </c>
      <c r="C1106" s="21"/>
      <c r="D1106" s="21"/>
      <c r="E1106" s="7" t="str">
        <f>IF(Plantilla_SCAN_EQ3_COUNT_2[[#This Row],[ID MATERIAL]]="","",VLOOKUP(Plantilla_SCAN_EQ3_COUNT_2[[#This Row],[ID MATERIAL]],INVENTARIO!$A:$D,2,FALSE))</f>
        <v/>
      </c>
      <c r="F1106" s="7" t="str">
        <f>IF(Plantilla_SCAN_EQ3_COUNT_2[[#This Row],[ID MATERIAL]]="","",IF(Plantilla_SCAN_EQ3_COUNT_2[[#This Row],[No. Empaques]]="",1,Plantilla_SCAN_EQ3_COUNT_2[[#This Row],[No. Empaques]]*1))</f>
        <v/>
      </c>
      <c r="G1106" s="7" t="str">
        <f>IF(Plantilla_SCAN_EQ3_COUNT_2[[#This Row],[ID MATERIAL]]="","","PZ")</f>
        <v/>
      </c>
      <c r="H1106" s="7" t="str">
        <f>IF(Plantilla_SCAN_EQ3_COUNT_2[[#This Row],[ID MATERIAL]]="","",$B$13)</f>
        <v/>
      </c>
      <c r="I1106" s="7" t="str">
        <f>IF(Plantilla_SCAN_EQ3_COUNT_2[[#This Row],[ID MATERIAL]]="","","Segundo Conteo")</f>
        <v/>
      </c>
    </row>
    <row r="1107" spans="1:9" s="7" customFormat="1" ht="15" x14ac:dyDescent="0.2">
      <c r="A1107" s="7" t="str">
        <f>IF(Plantilla_SCAN_EQ3_COUNT_2[[#This Row],[ID MATERIAL]]="","",SIGN(Plantilla_SCAN_EQ3_COUNT_2[[#This Row],[Cantidad]])+A1106)</f>
        <v/>
      </c>
      <c r="B1107" s="21" t="str">
        <f>IF(Plantilla_SCAN_EQ3_COUNT_2[[#This Row],[ID MATERIAL]]="","",B1106)</f>
        <v/>
      </c>
      <c r="C1107" s="21"/>
      <c r="D1107" s="21"/>
      <c r="E1107" s="7" t="str">
        <f>IF(Plantilla_SCAN_EQ3_COUNT_2[[#This Row],[ID MATERIAL]]="","",VLOOKUP(Plantilla_SCAN_EQ3_COUNT_2[[#This Row],[ID MATERIAL]],INVENTARIO!$A:$D,2,FALSE))</f>
        <v/>
      </c>
      <c r="F1107" s="7" t="str">
        <f>IF(Plantilla_SCAN_EQ3_COUNT_2[[#This Row],[ID MATERIAL]]="","",IF(Plantilla_SCAN_EQ3_COUNT_2[[#This Row],[No. Empaques]]="",1,Plantilla_SCAN_EQ3_COUNT_2[[#This Row],[No. Empaques]]*1))</f>
        <v/>
      </c>
      <c r="G1107" s="7" t="str">
        <f>IF(Plantilla_SCAN_EQ3_COUNT_2[[#This Row],[ID MATERIAL]]="","","PZ")</f>
        <v/>
      </c>
      <c r="H1107" s="7" t="str">
        <f>IF(Plantilla_SCAN_EQ3_COUNT_2[[#This Row],[ID MATERIAL]]="","",$B$13)</f>
        <v/>
      </c>
      <c r="I1107" s="7" t="str">
        <f>IF(Plantilla_SCAN_EQ3_COUNT_2[[#This Row],[ID MATERIAL]]="","","Segundo Conteo")</f>
        <v/>
      </c>
    </row>
    <row r="1108" spans="1:9" s="7" customFormat="1" ht="15" x14ac:dyDescent="0.2">
      <c r="A1108" s="7" t="str">
        <f>IF(Plantilla_SCAN_EQ3_COUNT_2[[#This Row],[ID MATERIAL]]="","",SIGN(Plantilla_SCAN_EQ3_COUNT_2[[#This Row],[Cantidad]])+A1107)</f>
        <v/>
      </c>
      <c r="B1108" s="21" t="str">
        <f>IF(Plantilla_SCAN_EQ3_COUNT_2[[#This Row],[ID MATERIAL]]="","",B1107)</f>
        <v/>
      </c>
      <c r="C1108" s="21"/>
      <c r="D1108" s="21"/>
      <c r="E1108" s="7" t="str">
        <f>IF(Plantilla_SCAN_EQ3_COUNT_2[[#This Row],[ID MATERIAL]]="","",VLOOKUP(Plantilla_SCAN_EQ3_COUNT_2[[#This Row],[ID MATERIAL]],INVENTARIO!$A:$D,2,FALSE))</f>
        <v/>
      </c>
      <c r="F1108" s="7" t="str">
        <f>IF(Plantilla_SCAN_EQ3_COUNT_2[[#This Row],[ID MATERIAL]]="","",IF(Plantilla_SCAN_EQ3_COUNT_2[[#This Row],[No. Empaques]]="",1,Plantilla_SCAN_EQ3_COUNT_2[[#This Row],[No. Empaques]]*1))</f>
        <v/>
      </c>
      <c r="G1108" s="7" t="str">
        <f>IF(Plantilla_SCAN_EQ3_COUNT_2[[#This Row],[ID MATERIAL]]="","","PZ")</f>
        <v/>
      </c>
      <c r="H1108" s="7" t="str">
        <f>IF(Plantilla_SCAN_EQ3_COUNT_2[[#This Row],[ID MATERIAL]]="","",$B$13)</f>
        <v/>
      </c>
      <c r="I1108" s="7" t="str">
        <f>IF(Plantilla_SCAN_EQ3_COUNT_2[[#This Row],[ID MATERIAL]]="","","Segundo Conteo")</f>
        <v/>
      </c>
    </row>
    <row r="1109" spans="1:9" s="7" customFormat="1" ht="15" x14ac:dyDescent="0.2">
      <c r="A1109" s="7" t="str">
        <f>IF(Plantilla_SCAN_EQ3_COUNT_2[[#This Row],[ID MATERIAL]]="","",SIGN(Plantilla_SCAN_EQ3_COUNT_2[[#This Row],[Cantidad]])+A1108)</f>
        <v/>
      </c>
      <c r="B1109" s="21" t="str">
        <f>IF(Plantilla_SCAN_EQ3_COUNT_2[[#This Row],[ID MATERIAL]]="","",B1108)</f>
        <v/>
      </c>
      <c r="C1109" s="21"/>
      <c r="D1109" s="21"/>
      <c r="E1109" s="7" t="str">
        <f>IF(Plantilla_SCAN_EQ3_COUNT_2[[#This Row],[ID MATERIAL]]="","",VLOOKUP(Plantilla_SCAN_EQ3_COUNT_2[[#This Row],[ID MATERIAL]],INVENTARIO!$A:$D,2,FALSE))</f>
        <v/>
      </c>
      <c r="F1109" s="7" t="str">
        <f>IF(Plantilla_SCAN_EQ3_COUNT_2[[#This Row],[ID MATERIAL]]="","",IF(Plantilla_SCAN_EQ3_COUNT_2[[#This Row],[No. Empaques]]="",1,Plantilla_SCAN_EQ3_COUNT_2[[#This Row],[No. Empaques]]*1))</f>
        <v/>
      </c>
      <c r="G1109" s="7" t="str">
        <f>IF(Plantilla_SCAN_EQ3_COUNT_2[[#This Row],[ID MATERIAL]]="","","PZ")</f>
        <v/>
      </c>
      <c r="H1109" s="7" t="str">
        <f>IF(Plantilla_SCAN_EQ3_COUNT_2[[#This Row],[ID MATERIAL]]="","",$B$13)</f>
        <v/>
      </c>
      <c r="I1109" s="7" t="str">
        <f>IF(Plantilla_SCAN_EQ3_COUNT_2[[#This Row],[ID MATERIAL]]="","","Segundo Conteo")</f>
        <v/>
      </c>
    </row>
    <row r="1110" spans="1:9" s="7" customFormat="1" ht="15" x14ac:dyDescent="0.2">
      <c r="A1110" s="7" t="str">
        <f>IF(Plantilla_SCAN_EQ3_COUNT_2[[#This Row],[ID MATERIAL]]="","",SIGN(Plantilla_SCAN_EQ3_COUNT_2[[#This Row],[Cantidad]])+A1109)</f>
        <v/>
      </c>
      <c r="B1110" s="21" t="str">
        <f>IF(Plantilla_SCAN_EQ3_COUNT_2[[#This Row],[ID MATERIAL]]="","",B1109)</f>
        <v/>
      </c>
      <c r="C1110" s="21"/>
      <c r="D1110" s="21"/>
      <c r="E1110" s="7" t="str">
        <f>IF(Plantilla_SCAN_EQ3_COUNT_2[[#This Row],[ID MATERIAL]]="","",VLOOKUP(Plantilla_SCAN_EQ3_COUNT_2[[#This Row],[ID MATERIAL]],INVENTARIO!$A:$D,2,FALSE))</f>
        <v/>
      </c>
      <c r="F1110" s="7" t="str">
        <f>IF(Plantilla_SCAN_EQ3_COUNT_2[[#This Row],[ID MATERIAL]]="","",IF(Plantilla_SCAN_EQ3_COUNT_2[[#This Row],[No. Empaques]]="",1,Plantilla_SCAN_EQ3_COUNT_2[[#This Row],[No. Empaques]]*1))</f>
        <v/>
      </c>
      <c r="G1110" s="7" t="str">
        <f>IF(Plantilla_SCAN_EQ3_COUNT_2[[#This Row],[ID MATERIAL]]="","","PZ")</f>
        <v/>
      </c>
      <c r="H1110" s="7" t="str">
        <f>IF(Plantilla_SCAN_EQ3_COUNT_2[[#This Row],[ID MATERIAL]]="","",$B$13)</f>
        <v/>
      </c>
      <c r="I1110" s="7" t="str">
        <f>IF(Plantilla_SCAN_EQ3_COUNT_2[[#This Row],[ID MATERIAL]]="","","Segundo Conteo")</f>
        <v/>
      </c>
    </row>
    <row r="1111" spans="1:9" s="7" customFormat="1" ht="15" x14ac:dyDescent="0.2">
      <c r="A1111" s="7" t="str">
        <f>IF(Plantilla_SCAN_EQ3_COUNT_2[[#This Row],[ID MATERIAL]]="","",SIGN(Plantilla_SCAN_EQ3_COUNT_2[[#This Row],[Cantidad]])+A1110)</f>
        <v/>
      </c>
      <c r="B1111" s="21" t="str">
        <f>IF(Plantilla_SCAN_EQ3_COUNT_2[[#This Row],[ID MATERIAL]]="","",B1110)</f>
        <v/>
      </c>
      <c r="C1111" s="21"/>
      <c r="D1111" s="21"/>
      <c r="E1111" s="7" t="str">
        <f>IF(Plantilla_SCAN_EQ3_COUNT_2[[#This Row],[ID MATERIAL]]="","",VLOOKUP(Plantilla_SCAN_EQ3_COUNT_2[[#This Row],[ID MATERIAL]],INVENTARIO!$A:$D,2,FALSE))</f>
        <v/>
      </c>
      <c r="F1111" s="7" t="str">
        <f>IF(Plantilla_SCAN_EQ3_COUNT_2[[#This Row],[ID MATERIAL]]="","",IF(Plantilla_SCAN_EQ3_COUNT_2[[#This Row],[No. Empaques]]="",1,Plantilla_SCAN_EQ3_COUNT_2[[#This Row],[No. Empaques]]*1))</f>
        <v/>
      </c>
      <c r="G1111" s="7" t="str">
        <f>IF(Plantilla_SCAN_EQ3_COUNT_2[[#This Row],[ID MATERIAL]]="","","PZ")</f>
        <v/>
      </c>
      <c r="H1111" s="7" t="str">
        <f>IF(Plantilla_SCAN_EQ3_COUNT_2[[#This Row],[ID MATERIAL]]="","",$B$13)</f>
        <v/>
      </c>
      <c r="I1111" s="7" t="str">
        <f>IF(Plantilla_SCAN_EQ3_COUNT_2[[#This Row],[ID MATERIAL]]="","","Segundo Conteo")</f>
        <v/>
      </c>
    </row>
    <row r="1112" spans="1:9" s="7" customFormat="1" ht="15" x14ac:dyDescent="0.2">
      <c r="A1112" s="7" t="str">
        <f>IF(Plantilla_SCAN_EQ3_COUNT_2[[#This Row],[ID MATERIAL]]="","",SIGN(Plantilla_SCAN_EQ3_COUNT_2[[#This Row],[Cantidad]])+A1111)</f>
        <v/>
      </c>
      <c r="B1112" s="21" t="str">
        <f>IF(Plantilla_SCAN_EQ3_COUNT_2[[#This Row],[ID MATERIAL]]="","",B1111)</f>
        <v/>
      </c>
      <c r="C1112" s="21"/>
      <c r="D1112" s="21"/>
      <c r="E1112" s="7" t="str">
        <f>IF(Plantilla_SCAN_EQ3_COUNT_2[[#This Row],[ID MATERIAL]]="","",VLOOKUP(Plantilla_SCAN_EQ3_COUNT_2[[#This Row],[ID MATERIAL]],INVENTARIO!$A:$D,2,FALSE))</f>
        <v/>
      </c>
      <c r="F1112" s="7" t="str">
        <f>IF(Plantilla_SCAN_EQ3_COUNT_2[[#This Row],[ID MATERIAL]]="","",IF(Plantilla_SCAN_EQ3_COUNT_2[[#This Row],[No. Empaques]]="",1,Plantilla_SCAN_EQ3_COUNT_2[[#This Row],[No. Empaques]]*1))</f>
        <v/>
      </c>
      <c r="G1112" s="7" t="str">
        <f>IF(Plantilla_SCAN_EQ3_COUNT_2[[#This Row],[ID MATERIAL]]="","","PZ")</f>
        <v/>
      </c>
      <c r="H1112" s="7" t="str">
        <f>IF(Plantilla_SCAN_EQ3_COUNT_2[[#This Row],[ID MATERIAL]]="","",$B$13)</f>
        <v/>
      </c>
      <c r="I1112" s="7" t="str">
        <f>IF(Plantilla_SCAN_EQ3_COUNT_2[[#This Row],[ID MATERIAL]]="","","Segundo Conteo")</f>
        <v/>
      </c>
    </row>
    <row r="1113" spans="1:9" s="7" customFormat="1" ht="15" x14ac:dyDescent="0.2">
      <c r="A1113" s="7" t="str">
        <f>IF(Plantilla_SCAN_EQ3_COUNT_2[[#This Row],[ID MATERIAL]]="","",SIGN(Plantilla_SCAN_EQ3_COUNT_2[[#This Row],[Cantidad]])+A1112)</f>
        <v/>
      </c>
      <c r="B1113" s="21" t="str">
        <f>IF(Plantilla_SCAN_EQ3_COUNT_2[[#This Row],[ID MATERIAL]]="","",B1112)</f>
        <v/>
      </c>
      <c r="C1113" s="21"/>
      <c r="D1113" s="21"/>
      <c r="E1113" s="7" t="str">
        <f>IF(Plantilla_SCAN_EQ3_COUNT_2[[#This Row],[ID MATERIAL]]="","",VLOOKUP(Plantilla_SCAN_EQ3_COUNT_2[[#This Row],[ID MATERIAL]],INVENTARIO!$A:$D,2,FALSE))</f>
        <v/>
      </c>
      <c r="F1113" s="7" t="str">
        <f>IF(Plantilla_SCAN_EQ3_COUNT_2[[#This Row],[ID MATERIAL]]="","",IF(Plantilla_SCAN_EQ3_COUNT_2[[#This Row],[No. Empaques]]="",1,Plantilla_SCAN_EQ3_COUNT_2[[#This Row],[No. Empaques]]*1))</f>
        <v/>
      </c>
      <c r="G1113" s="7" t="str">
        <f>IF(Plantilla_SCAN_EQ3_COUNT_2[[#This Row],[ID MATERIAL]]="","","PZ")</f>
        <v/>
      </c>
      <c r="H1113" s="7" t="str">
        <f>IF(Plantilla_SCAN_EQ3_COUNT_2[[#This Row],[ID MATERIAL]]="","",$B$13)</f>
        <v/>
      </c>
      <c r="I1113" s="7" t="str">
        <f>IF(Plantilla_SCAN_EQ3_COUNT_2[[#This Row],[ID MATERIAL]]="","","Segundo Conteo")</f>
        <v/>
      </c>
    </row>
    <row r="1114" spans="1:9" s="7" customFormat="1" ht="15" x14ac:dyDescent="0.2">
      <c r="A1114" s="7" t="str">
        <f>IF(Plantilla_SCAN_EQ3_COUNT_2[[#This Row],[ID MATERIAL]]="","",SIGN(Plantilla_SCAN_EQ3_COUNT_2[[#This Row],[Cantidad]])+A1113)</f>
        <v/>
      </c>
      <c r="B1114" s="21" t="str">
        <f>IF(Plantilla_SCAN_EQ3_COUNT_2[[#This Row],[ID MATERIAL]]="","",B1113)</f>
        <v/>
      </c>
      <c r="C1114" s="21"/>
      <c r="D1114" s="21"/>
      <c r="E1114" s="7" t="str">
        <f>IF(Plantilla_SCAN_EQ3_COUNT_2[[#This Row],[ID MATERIAL]]="","",VLOOKUP(Plantilla_SCAN_EQ3_COUNT_2[[#This Row],[ID MATERIAL]],INVENTARIO!$A:$D,2,FALSE))</f>
        <v/>
      </c>
      <c r="F1114" s="7" t="str">
        <f>IF(Plantilla_SCAN_EQ3_COUNT_2[[#This Row],[ID MATERIAL]]="","",IF(Plantilla_SCAN_EQ3_COUNT_2[[#This Row],[No. Empaques]]="",1,Plantilla_SCAN_EQ3_COUNT_2[[#This Row],[No. Empaques]]*1))</f>
        <v/>
      </c>
      <c r="G1114" s="7" t="str">
        <f>IF(Plantilla_SCAN_EQ3_COUNT_2[[#This Row],[ID MATERIAL]]="","","PZ")</f>
        <v/>
      </c>
      <c r="H1114" s="7" t="str">
        <f>IF(Plantilla_SCAN_EQ3_COUNT_2[[#This Row],[ID MATERIAL]]="","",$B$13)</f>
        <v/>
      </c>
      <c r="I1114" s="7" t="str">
        <f>IF(Plantilla_SCAN_EQ3_COUNT_2[[#This Row],[ID MATERIAL]]="","","Segundo Conteo")</f>
        <v/>
      </c>
    </row>
    <row r="1115" spans="1:9" s="7" customFormat="1" ht="15" x14ac:dyDescent="0.2">
      <c r="A1115" s="7" t="str">
        <f>IF(Plantilla_SCAN_EQ3_COUNT_2[[#This Row],[ID MATERIAL]]="","",SIGN(Plantilla_SCAN_EQ3_COUNT_2[[#This Row],[Cantidad]])+A1114)</f>
        <v/>
      </c>
      <c r="B1115" s="21" t="str">
        <f>IF(Plantilla_SCAN_EQ3_COUNT_2[[#This Row],[ID MATERIAL]]="","",B1114)</f>
        <v/>
      </c>
      <c r="C1115" s="21"/>
      <c r="D1115" s="21"/>
      <c r="E1115" s="7" t="str">
        <f>IF(Plantilla_SCAN_EQ3_COUNT_2[[#This Row],[ID MATERIAL]]="","",VLOOKUP(Plantilla_SCAN_EQ3_COUNT_2[[#This Row],[ID MATERIAL]],INVENTARIO!$A:$D,2,FALSE))</f>
        <v/>
      </c>
      <c r="F1115" s="7" t="str">
        <f>IF(Plantilla_SCAN_EQ3_COUNT_2[[#This Row],[ID MATERIAL]]="","",IF(Plantilla_SCAN_EQ3_COUNT_2[[#This Row],[No. Empaques]]="",1,Plantilla_SCAN_EQ3_COUNT_2[[#This Row],[No. Empaques]]*1))</f>
        <v/>
      </c>
      <c r="G1115" s="7" t="str">
        <f>IF(Plantilla_SCAN_EQ3_COUNT_2[[#This Row],[ID MATERIAL]]="","","PZ")</f>
        <v/>
      </c>
      <c r="H1115" s="7" t="str">
        <f>IF(Plantilla_SCAN_EQ3_COUNT_2[[#This Row],[ID MATERIAL]]="","",$B$13)</f>
        <v/>
      </c>
      <c r="I1115" s="7" t="str">
        <f>IF(Plantilla_SCAN_EQ3_COUNT_2[[#This Row],[ID MATERIAL]]="","","Segundo Conteo")</f>
        <v/>
      </c>
    </row>
    <row r="1116" spans="1:9" s="7" customFormat="1" ht="15" x14ac:dyDescent="0.2">
      <c r="A1116" s="7" t="str">
        <f>IF(Plantilla_SCAN_EQ3_COUNT_2[[#This Row],[ID MATERIAL]]="","",SIGN(Plantilla_SCAN_EQ3_COUNT_2[[#This Row],[Cantidad]])+A1115)</f>
        <v/>
      </c>
      <c r="B1116" s="21" t="str">
        <f>IF(Plantilla_SCAN_EQ3_COUNT_2[[#This Row],[ID MATERIAL]]="","",B1115)</f>
        <v/>
      </c>
      <c r="C1116" s="21"/>
      <c r="D1116" s="21"/>
      <c r="E1116" s="7" t="str">
        <f>IF(Plantilla_SCAN_EQ3_COUNT_2[[#This Row],[ID MATERIAL]]="","",VLOOKUP(Plantilla_SCAN_EQ3_COUNT_2[[#This Row],[ID MATERIAL]],INVENTARIO!$A:$D,2,FALSE))</f>
        <v/>
      </c>
      <c r="F1116" s="7" t="str">
        <f>IF(Plantilla_SCAN_EQ3_COUNT_2[[#This Row],[ID MATERIAL]]="","",IF(Plantilla_SCAN_EQ3_COUNT_2[[#This Row],[No. Empaques]]="",1,Plantilla_SCAN_EQ3_COUNT_2[[#This Row],[No. Empaques]]*1))</f>
        <v/>
      </c>
      <c r="G1116" s="7" t="str">
        <f>IF(Plantilla_SCAN_EQ3_COUNT_2[[#This Row],[ID MATERIAL]]="","","PZ")</f>
        <v/>
      </c>
      <c r="H1116" s="7" t="str">
        <f>IF(Plantilla_SCAN_EQ3_COUNT_2[[#This Row],[ID MATERIAL]]="","",$B$13)</f>
        <v/>
      </c>
      <c r="I1116" s="7" t="str">
        <f>IF(Plantilla_SCAN_EQ3_COUNT_2[[#This Row],[ID MATERIAL]]="","","Segundo Conteo")</f>
        <v/>
      </c>
    </row>
    <row r="1117" spans="1:9" s="7" customFormat="1" ht="15" x14ac:dyDescent="0.2">
      <c r="A1117" s="7" t="str">
        <f>IF(Plantilla_SCAN_EQ3_COUNT_2[[#This Row],[ID MATERIAL]]="","",SIGN(Plantilla_SCAN_EQ3_COUNT_2[[#This Row],[Cantidad]])+A1116)</f>
        <v/>
      </c>
      <c r="B1117" s="21" t="str">
        <f>IF(Plantilla_SCAN_EQ3_COUNT_2[[#This Row],[ID MATERIAL]]="","",B1116)</f>
        <v/>
      </c>
      <c r="C1117" s="21"/>
      <c r="D1117" s="21"/>
      <c r="E1117" s="7" t="str">
        <f>IF(Plantilla_SCAN_EQ3_COUNT_2[[#This Row],[ID MATERIAL]]="","",VLOOKUP(Plantilla_SCAN_EQ3_COUNT_2[[#This Row],[ID MATERIAL]],INVENTARIO!$A:$D,2,FALSE))</f>
        <v/>
      </c>
      <c r="F1117" s="7" t="str">
        <f>IF(Plantilla_SCAN_EQ3_COUNT_2[[#This Row],[ID MATERIAL]]="","",IF(Plantilla_SCAN_EQ3_COUNT_2[[#This Row],[No. Empaques]]="",1,Plantilla_SCAN_EQ3_COUNT_2[[#This Row],[No. Empaques]]*1))</f>
        <v/>
      </c>
      <c r="G1117" s="7" t="str">
        <f>IF(Plantilla_SCAN_EQ3_COUNT_2[[#This Row],[ID MATERIAL]]="","","PZ")</f>
        <v/>
      </c>
      <c r="H1117" s="7" t="str">
        <f>IF(Plantilla_SCAN_EQ3_COUNT_2[[#This Row],[ID MATERIAL]]="","",$B$13)</f>
        <v/>
      </c>
      <c r="I1117" s="7" t="str">
        <f>IF(Plantilla_SCAN_EQ3_COUNT_2[[#This Row],[ID MATERIAL]]="","","Segundo Conteo")</f>
        <v/>
      </c>
    </row>
    <row r="1118" spans="1:9" s="7" customFormat="1" ht="15" x14ac:dyDescent="0.2">
      <c r="A1118" s="7" t="str">
        <f>IF(Plantilla_SCAN_EQ3_COUNT_2[[#This Row],[ID MATERIAL]]="","",SIGN(Plantilla_SCAN_EQ3_COUNT_2[[#This Row],[Cantidad]])+A1117)</f>
        <v/>
      </c>
      <c r="B1118" s="21" t="str">
        <f>IF(Plantilla_SCAN_EQ3_COUNT_2[[#This Row],[ID MATERIAL]]="","",B1117)</f>
        <v/>
      </c>
      <c r="C1118" s="21"/>
      <c r="D1118" s="21"/>
      <c r="E1118" s="7" t="str">
        <f>IF(Plantilla_SCAN_EQ3_COUNT_2[[#This Row],[ID MATERIAL]]="","",VLOOKUP(Plantilla_SCAN_EQ3_COUNT_2[[#This Row],[ID MATERIAL]],INVENTARIO!$A:$D,2,FALSE))</f>
        <v/>
      </c>
      <c r="F1118" s="7" t="str">
        <f>IF(Plantilla_SCAN_EQ3_COUNT_2[[#This Row],[ID MATERIAL]]="","",IF(Plantilla_SCAN_EQ3_COUNT_2[[#This Row],[No. Empaques]]="",1,Plantilla_SCAN_EQ3_COUNT_2[[#This Row],[No. Empaques]]*1))</f>
        <v/>
      </c>
      <c r="G1118" s="7" t="str">
        <f>IF(Plantilla_SCAN_EQ3_COUNT_2[[#This Row],[ID MATERIAL]]="","","PZ")</f>
        <v/>
      </c>
      <c r="H1118" s="7" t="str">
        <f>IF(Plantilla_SCAN_EQ3_COUNT_2[[#This Row],[ID MATERIAL]]="","",$B$13)</f>
        <v/>
      </c>
      <c r="I1118" s="7" t="str">
        <f>IF(Plantilla_SCAN_EQ3_COUNT_2[[#This Row],[ID MATERIAL]]="","","Segundo Conteo")</f>
        <v/>
      </c>
    </row>
    <row r="1119" spans="1:9" s="7" customFormat="1" ht="15" x14ac:dyDescent="0.2">
      <c r="A1119" s="7" t="str">
        <f>IF(Plantilla_SCAN_EQ3_COUNT_2[[#This Row],[ID MATERIAL]]="","",SIGN(Plantilla_SCAN_EQ3_COUNT_2[[#This Row],[Cantidad]])+A1118)</f>
        <v/>
      </c>
      <c r="B1119" s="21" t="str">
        <f>IF(Plantilla_SCAN_EQ3_COUNT_2[[#This Row],[ID MATERIAL]]="","",B1118)</f>
        <v/>
      </c>
      <c r="C1119" s="21"/>
      <c r="D1119" s="21"/>
      <c r="E1119" s="7" t="str">
        <f>IF(Plantilla_SCAN_EQ3_COUNT_2[[#This Row],[ID MATERIAL]]="","",VLOOKUP(Plantilla_SCAN_EQ3_COUNT_2[[#This Row],[ID MATERIAL]],INVENTARIO!$A:$D,2,FALSE))</f>
        <v/>
      </c>
      <c r="F1119" s="7" t="str">
        <f>IF(Plantilla_SCAN_EQ3_COUNT_2[[#This Row],[ID MATERIAL]]="","",IF(Plantilla_SCAN_EQ3_COUNT_2[[#This Row],[No. Empaques]]="",1,Plantilla_SCAN_EQ3_COUNT_2[[#This Row],[No. Empaques]]*1))</f>
        <v/>
      </c>
      <c r="G1119" s="7" t="str">
        <f>IF(Plantilla_SCAN_EQ3_COUNT_2[[#This Row],[ID MATERIAL]]="","","PZ")</f>
        <v/>
      </c>
      <c r="H1119" s="7" t="str">
        <f>IF(Plantilla_SCAN_EQ3_COUNT_2[[#This Row],[ID MATERIAL]]="","",$B$13)</f>
        <v/>
      </c>
      <c r="I1119" s="7" t="str">
        <f>IF(Plantilla_SCAN_EQ3_COUNT_2[[#This Row],[ID MATERIAL]]="","","Segundo Conteo")</f>
        <v/>
      </c>
    </row>
    <row r="1120" spans="1:9" s="7" customFormat="1" ht="15" x14ac:dyDescent="0.2">
      <c r="A1120" s="7" t="str">
        <f>IF(Plantilla_SCAN_EQ3_COUNT_2[[#This Row],[ID MATERIAL]]="","",SIGN(Plantilla_SCAN_EQ3_COUNT_2[[#This Row],[Cantidad]])+A1119)</f>
        <v/>
      </c>
      <c r="B1120" s="21" t="str">
        <f>IF(Plantilla_SCAN_EQ3_COUNT_2[[#This Row],[ID MATERIAL]]="","",B1119)</f>
        <v/>
      </c>
      <c r="C1120" s="21"/>
      <c r="D1120" s="21"/>
      <c r="E1120" s="7" t="str">
        <f>IF(Plantilla_SCAN_EQ3_COUNT_2[[#This Row],[ID MATERIAL]]="","",VLOOKUP(Plantilla_SCAN_EQ3_COUNT_2[[#This Row],[ID MATERIAL]],INVENTARIO!$A:$D,2,FALSE))</f>
        <v/>
      </c>
      <c r="F1120" s="7" t="str">
        <f>IF(Plantilla_SCAN_EQ3_COUNT_2[[#This Row],[ID MATERIAL]]="","",IF(Plantilla_SCAN_EQ3_COUNT_2[[#This Row],[No. Empaques]]="",1,Plantilla_SCAN_EQ3_COUNT_2[[#This Row],[No. Empaques]]*1))</f>
        <v/>
      </c>
      <c r="G1120" s="7" t="str">
        <f>IF(Plantilla_SCAN_EQ3_COUNT_2[[#This Row],[ID MATERIAL]]="","","PZ")</f>
        <v/>
      </c>
      <c r="H1120" s="7" t="str">
        <f>IF(Plantilla_SCAN_EQ3_COUNT_2[[#This Row],[ID MATERIAL]]="","",$B$13)</f>
        <v/>
      </c>
      <c r="I1120" s="7" t="str">
        <f>IF(Plantilla_SCAN_EQ3_COUNT_2[[#This Row],[ID MATERIAL]]="","","Segundo Conteo")</f>
        <v/>
      </c>
    </row>
    <row r="1121" spans="1:9" s="7" customFormat="1" ht="15" x14ac:dyDescent="0.2">
      <c r="A1121" s="7" t="str">
        <f>IF(Plantilla_SCAN_EQ3_COUNT_2[[#This Row],[ID MATERIAL]]="","",SIGN(Plantilla_SCAN_EQ3_COUNT_2[[#This Row],[Cantidad]])+A1120)</f>
        <v/>
      </c>
      <c r="B1121" s="21" t="str">
        <f>IF(Plantilla_SCAN_EQ3_COUNT_2[[#This Row],[ID MATERIAL]]="","",B1120)</f>
        <v/>
      </c>
      <c r="C1121" s="21"/>
      <c r="D1121" s="21"/>
      <c r="E1121" s="7" t="str">
        <f>IF(Plantilla_SCAN_EQ3_COUNT_2[[#This Row],[ID MATERIAL]]="","",VLOOKUP(Plantilla_SCAN_EQ3_COUNT_2[[#This Row],[ID MATERIAL]],INVENTARIO!$A:$D,2,FALSE))</f>
        <v/>
      </c>
      <c r="F1121" s="7" t="str">
        <f>IF(Plantilla_SCAN_EQ3_COUNT_2[[#This Row],[ID MATERIAL]]="","",IF(Plantilla_SCAN_EQ3_COUNT_2[[#This Row],[No. Empaques]]="",1,Plantilla_SCAN_EQ3_COUNT_2[[#This Row],[No. Empaques]]*1))</f>
        <v/>
      </c>
      <c r="G1121" s="7" t="str">
        <f>IF(Plantilla_SCAN_EQ3_COUNT_2[[#This Row],[ID MATERIAL]]="","","PZ")</f>
        <v/>
      </c>
      <c r="H1121" s="7" t="str">
        <f>IF(Plantilla_SCAN_EQ3_COUNT_2[[#This Row],[ID MATERIAL]]="","",$B$13)</f>
        <v/>
      </c>
      <c r="I1121" s="7" t="str">
        <f>IF(Plantilla_SCAN_EQ3_COUNT_2[[#This Row],[ID MATERIAL]]="","","Segundo Conteo")</f>
        <v/>
      </c>
    </row>
    <row r="1122" spans="1:9" s="7" customFormat="1" ht="15" x14ac:dyDescent="0.2">
      <c r="A1122" s="7" t="str">
        <f>IF(Plantilla_SCAN_EQ3_COUNT_2[[#This Row],[ID MATERIAL]]="","",SIGN(Plantilla_SCAN_EQ3_COUNT_2[[#This Row],[Cantidad]])+A1121)</f>
        <v/>
      </c>
      <c r="B1122" s="21" t="str">
        <f>IF(Plantilla_SCAN_EQ3_COUNT_2[[#This Row],[ID MATERIAL]]="","",B1121)</f>
        <v/>
      </c>
      <c r="C1122" s="21"/>
      <c r="D1122" s="21"/>
      <c r="E1122" s="7" t="str">
        <f>IF(Plantilla_SCAN_EQ3_COUNT_2[[#This Row],[ID MATERIAL]]="","",VLOOKUP(Plantilla_SCAN_EQ3_COUNT_2[[#This Row],[ID MATERIAL]],INVENTARIO!$A:$D,2,FALSE))</f>
        <v/>
      </c>
      <c r="F1122" s="7" t="str">
        <f>IF(Plantilla_SCAN_EQ3_COUNT_2[[#This Row],[ID MATERIAL]]="","",IF(Plantilla_SCAN_EQ3_COUNT_2[[#This Row],[No. Empaques]]="",1,Plantilla_SCAN_EQ3_COUNT_2[[#This Row],[No. Empaques]]*1))</f>
        <v/>
      </c>
      <c r="G1122" s="7" t="str">
        <f>IF(Plantilla_SCAN_EQ3_COUNT_2[[#This Row],[ID MATERIAL]]="","","PZ")</f>
        <v/>
      </c>
      <c r="H1122" s="7" t="str">
        <f>IF(Plantilla_SCAN_EQ3_COUNT_2[[#This Row],[ID MATERIAL]]="","",$B$13)</f>
        <v/>
      </c>
      <c r="I1122" s="7" t="str">
        <f>IF(Plantilla_SCAN_EQ3_COUNT_2[[#This Row],[ID MATERIAL]]="","","Segundo Conteo")</f>
        <v/>
      </c>
    </row>
    <row r="1123" spans="1:9" s="7" customFormat="1" ht="15" x14ac:dyDescent="0.2">
      <c r="A1123" s="7" t="str">
        <f>IF(Plantilla_SCAN_EQ3_COUNT_2[[#This Row],[ID MATERIAL]]="","",SIGN(Plantilla_SCAN_EQ3_COUNT_2[[#This Row],[Cantidad]])+A1122)</f>
        <v/>
      </c>
      <c r="B1123" s="21" t="str">
        <f>IF(Plantilla_SCAN_EQ3_COUNT_2[[#This Row],[ID MATERIAL]]="","",B1122)</f>
        <v/>
      </c>
      <c r="C1123" s="21"/>
      <c r="D1123" s="21"/>
      <c r="E1123" s="7" t="str">
        <f>IF(Plantilla_SCAN_EQ3_COUNT_2[[#This Row],[ID MATERIAL]]="","",VLOOKUP(Plantilla_SCAN_EQ3_COUNT_2[[#This Row],[ID MATERIAL]],INVENTARIO!$A:$D,2,FALSE))</f>
        <v/>
      </c>
      <c r="F1123" s="7" t="str">
        <f>IF(Plantilla_SCAN_EQ3_COUNT_2[[#This Row],[ID MATERIAL]]="","",IF(Plantilla_SCAN_EQ3_COUNT_2[[#This Row],[No. Empaques]]="",1,Plantilla_SCAN_EQ3_COUNT_2[[#This Row],[No. Empaques]]*1))</f>
        <v/>
      </c>
      <c r="G1123" s="7" t="str">
        <f>IF(Plantilla_SCAN_EQ3_COUNT_2[[#This Row],[ID MATERIAL]]="","","PZ")</f>
        <v/>
      </c>
      <c r="H1123" s="7" t="str">
        <f>IF(Plantilla_SCAN_EQ3_COUNT_2[[#This Row],[ID MATERIAL]]="","",$B$13)</f>
        <v/>
      </c>
      <c r="I1123" s="7" t="str">
        <f>IF(Plantilla_SCAN_EQ3_COUNT_2[[#This Row],[ID MATERIAL]]="","","Segundo Conteo")</f>
        <v/>
      </c>
    </row>
    <row r="1124" spans="1:9" s="7" customFormat="1" ht="15" x14ac:dyDescent="0.2">
      <c r="A1124" s="7" t="str">
        <f>IF(Plantilla_SCAN_EQ3_COUNT_2[[#This Row],[ID MATERIAL]]="","",SIGN(Plantilla_SCAN_EQ3_COUNT_2[[#This Row],[Cantidad]])+A1123)</f>
        <v/>
      </c>
      <c r="B1124" s="21" t="str">
        <f>IF(Plantilla_SCAN_EQ3_COUNT_2[[#This Row],[ID MATERIAL]]="","",B1123)</f>
        <v/>
      </c>
      <c r="C1124" s="21"/>
      <c r="D1124" s="21"/>
      <c r="E1124" s="7" t="str">
        <f>IF(Plantilla_SCAN_EQ3_COUNT_2[[#This Row],[ID MATERIAL]]="","",VLOOKUP(Plantilla_SCAN_EQ3_COUNT_2[[#This Row],[ID MATERIAL]],INVENTARIO!$A:$D,2,FALSE))</f>
        <v/>
      </c>
      <c r="F1124" s="7" t="str">
        <f>IF(Plantilla_SCAN_EQ3_COUNT_2[[#This Row],[ID MATERIAL]]="","",IF(Plantilla_SCAN_EQ3_COUNT_2[[#This Row],[No. Empaques]]="",1,Plantilla_SCAN_EQ3_COUNT_2[[#This Row],[No. Empaques]]*1))</f>
        <v/>
      </c>
      <c r="G1124" s="7" t="str">
        <f>IF(Plantilla_SCAN_EQ3_COUNT_2[[#This Row],[ID MATERIAL]]="","","PZ")</f>
        <v/>
      </c>
      <c r="H1124" s="7" t="str">
        <f>IF(Plantilla_SCAN_EQ3_COUNT_2[[#This Row],[ID MATERIAL]]="","",$B$13)</f>
        <v/>
      </c>
      <c r="I1124" s="7" t="str">
        <f>IF(Plantilla_SCAN_EQ3_COUNT_2[[#This Row],[ID MATERIAL]]="","","Segundo Conteo")</f>
        <v/>
      </c>
    </row>
    <row r="1125" spans="1:9" s="7" customFormat="1" ht="15" x14ac:dyDescent="0.2">
      <c r="A1125" s="7" t="str">
        <f>IF(Plantilla_SCAN_EQ3_COUNT_2[[#This Row],[ID MATERIAL]]="","",SIGN(Plantilla_SCAN_EQ3_COUNT_2[[#This Row],[Cantidad]])+A1124)</f>
        <v/>
      </c>
      <c r="B1125" s="21" t="str">
        <f>IF(Plantilla_SCAN_EQ3_COUNT_2[[#This Row],[ID MATERIAL]]="","",B1124)</f>
        <v/>
      </c>
      <c r="C1125" s="21"/>
      <c r="D1125" s="21"/>
      <c r="E1125" s="7" t="str">
        <f>IF(Plantilla_SCAN_EQ3_COUNT_2[[#This Row],[ID MATERIAL]]="","",VLOOKUP(Plantilla_SCAN_EQ3_COUNT_2[[#This Row],[ID MATERIAL]],INVENTARIO!$A:$D,2,FALSE))</f>
        <v/>
      </c>
      <c r="F1125" s="7" t="str">
        <f>IF(Plantilla_SCAN_EQ3_COUNT_2[[#This Row],[ID MATERIAL]]="","",IF(Plantilla_SCAN_EQ3_COUNT_2[[#This Row],[No. Empaques]]="",1,Plantilla_SCAN_EQ3_COUNT_2[[#This Row],[No. Empaques]]*1))</f>
        <v/>
      </c>
      <c r="G1125" s="7" t="str">
        <f>IF(Plantilla_SCAN_EQ3_COUNT_2[[#This Row],[ID MATERIAL]]="","","PZ")</f>
        <v/>
      </c>
      <c r="H1125" s="7" t="str">
        <f>IF(Plantilla_SCAN_EQ3_COUNT_2[[#This Row],[ID MATERIAL]]="","",$B$13)</f>
        <v/>
      </c>
      <c r="I1125" s="7" t="str">
        <f>IF(Plantilla_SCAN_EQ3_COUNT_2[[#This Row],[ID MATERIAL]]="","","Segundo Conteo")</f>
        <v/>
      </c>
    </row>
    <row r="1126" spans="1:9" s="7" customFormat="1" ht="15" x14ac:dyDescent="0.2">
      <c r="A1126" s="7" t="str">
        <f>IF(Plantilla_SCAN_EQ3_COUNT_2[[#This Row],[ID MATERIAL]]="","",SIGN(Plantilla_SCAN_EQ3_COUNT_2[[#This Row],[Cantidad]])+A1125)</f>
        <v/>
      </c>
      <c r="B1126" s="21" t="str">
        <f>IF(Plantilla_SCAN_EQ3_COUNT_2[[#This Row],[ID MATERIAL]]="","",B1125)</f>
        <v/>
      </c>
      <c r="C1126" s="21"/>
      <c r="D1126" s="21"/>
      <c r="E1126" s="7" t="str">
        <f>IF(Plantilla_SCAN_EQ3_COUNT_2[[#This Row],[ID MATERIAL]]="","",VLOOKUP(Plantilla_SCAN_EQ3_COUNT_2[[#This Row],[ID MATERIAL]],INVENTARIO!$A:$D,2,FALSE))</f>
        <v/>
      </c>
      <c r="F1126" s="7" t="str">
        <f>IF(Plantilla_SCAN_EQ3_COUNT_2[[#This Row],[ID MATERIAL]]="","",IF(Plantilla_SCAN_EQ3_COUNT_2[[#This Row],[No. Empaques]]="",1,Plantilla_SCAN_EQ3_COUNT_2[[#This Row],[No. Empaques]]*1))</f>
        <v/>
      </c>
      <c r="G1126" s="7" t="str">
        <f>IF(Plantilla_SCAN_EQ3_COUNT_2[[#This Row],[ID MATERIAL]]="","","PZ")</f>
        <v/>
      </c>
      <c r="H1126" s="7" t="str">
        <f>IF(Plantilla_SCAN_EQ3_COUNT_2[[#This Row],[ID MATERIAL]]="","",$B$13)</f>
        <v/>
      </c>
      <c r="I1126" s="7" t="str">
        <f>IF(Plantilla_SCAN_EQ3_COUNT_2[[#This Row],[ID MATERIAL]]="","","Segundo Conteo")</f>
        <v/>
      </c>
    </row>
    <row r="1127" spans="1:9" s="7" customFormat="1" ht="15" x14ac:dyDescent="0.2">
      <c r="A1127" s="7" t="str">
        <f>IF(Plantilla_SCAN_EQ3_COUNT_2[[#This Row],[ID MATERIAL]]="","",SIGN(Plantilla_SCAN_EQ3_COUNT_2[[#This Row],[Cantidad]])+A1126)</f>
        <v/>
      </c>
      <c r="B1127" s="21" t="str">
        <f>IF(Plantilla_SCAN_EQ3_COUNT_2[[#This Row],[ID MATERIAL]]="","",B1126)</f>
        <v/>
      </c>
      <c r="C1127" s="21"/>
      <c r="D1127" s="21"/>
      <c r="E1127" s="7" t="str">
        <f>IF(Plantilla_SCAN_EQ3_COUNT_2[[#This Row],[ID MATERIAL]]="","",VLOOKUP(Plantilla_SCAN_EQ3_COUNT_2[[#This Row],[ID MATERIAL]],INVENTARIO!$A:$D,2,FALSE))</f>
        <v/>
      </c>
      <c r="F1127" s="7" t="str">
        <f>IF(Plantilla_SCAN_EQ3_COUNT_2[[#This Row],[ID MATERIAL]]="","",IF(Plantilla_SCAN_EQ3_COUNT_2[[#This Row],[No. Empaques]]="",1,Plantilla_SCAN_EQ3_COUNT_2[[#This Row],[No. Empaques]]*1))</f>
        <v/>
      </c>
      <c r="G1127" s="7" t="str">
        <f>IF(Plantilla_SCAN_EQ3_COUNT_2[[#This Row],[ID MATERIAL]]="","","PZ")</f>
        <v/>
      </c>
      <c r="H1127" s="7" t="str">
        <f>IF(Plantilla_SCAN_EQ3_COUNT_2[[#This Row],[ID MATERIAL]]="","",$B$13)</f>
        <v/>
      </c>
      <c r="I1127" s="7" t="str">
        <f>IF(Plantilla_SCAN_EQ3_COUNT_2[[#This Row],[ID MATERIAL]]="","","Segundo Conteo")</f>
        <v/>
      </c>
    </row>
    <row r="1128" spans="1:9" s="7" customFormat="1" ht="15" x14ac:dyDescent="0.2">
      <c r="A1128" s="7" t="str">
        <f>IF(Plantilla_SCAN_EQ3_COUNT_2[[#This Row],[ID MATERIAL]]="","",SIGN(Plantilla_SCAN_EQ3_COUNT_2[[#This Row],[Cantidad]])+A1127)</f>
        <v/>
      </c>
      <c r="B1128" s="21" t="str">
        <f>IF(Plantilla_SCAN_EQ3_COUNT_2[[#This Row],[ID MATERIAL]]="","",B1127)</f>
        <v/>
      </c>
      <c r="C1128" s="21"/>
      <c r="D1128" s="21"/>
      <c r="E1128" s="7" t="str">
        <f>IF(Plantilla_SCAN_EQ3_COUNT_2[[#This Row],[ID MATERIAL]]="","",VLOOKUP(Plantilla_SCAN_EQ3_COUNT_2[[#This Row],[ID MATERIAL]],INVENTARIO!$A:$D,2,FALSE))</f>
        <v/>
      </c>
      <c r="F1128" s="7" t="str">
        <f>IF(Plantilla_SCAN_EQ3_COUNT_2[[#This Row],[ID MATERIAL]]="","",IF(Plantilla_SCAN_EQ3_COUNT_2[[#This Row],[No. Empaques]]="",1,Plantilla_SCAN_EQ3_COUNT_2[[#This Row],[No. Empaques]]*1))</f>
        <v/>
      </c>
      <c r="G1128" s="7" t="str">
        <f>IF(Plantilla_SCAN_EQ3_COUNT_2[[#This Row],[ID MATERIAL]]="","","PZ")</f>
        <v/>
      </c>
      <c r="H1128" s="7" t="str">
        <f>IF(Plantilla_SCAN_EQ3_COUNT_2[[#This Row],[ID MATERIAL]]="","",$B$13)</f>
        <v/>
      </c>
      <c r="I1128" s="7" t="str">
        <f>IF(Plantilla_SCAN_EQ3_COUNT_2[[#This Row],[ID MATERIAL]]="","","Segundo Conteo")</f>
        <v/>
      </c>
    </row>
    <row r="1129" spans="1:9" s="7" customFormat="1" ht="15" x14ac:dyDescent="0.2">
      <c r="A1129" s="7" t="str">
        <f>IF(Plantilla_SCAN_EQ3_COUNT_2[[#This Row],[ID MATERIAL]]="","",SIGN(Plantilla_SCAN_EQ3_COUNT_2[[#This Row],[Cantidad]])+A1128)</f>
        <v/>
      </c>
      <c r="B1129" s="21" t="str">
        <f>IF(Plantilla_SCAN_EQ3_COUNT_2[[#This Row],[ID MATERIAL]]="","",B1128)</f>
        <v/>
      </c>
      <c r="C1129" s="21"/>
      <c r="D1129" s="21"/>
      <c r="E1129" s="7" t="str">
        <f>IF(Plantilla_SCAN_EQ3_COUNT_2[[#This Row],[ID MATERIAL]]="","",VLOOKUP(Plantilla_SCAN_EQ3_COUNT_2[[#This Row],[ID MATERIAL]],INVENTARIO!$A:$D,2,FALSE))</f>
        <v/>
      </c>
      <c r="F1129" s="7" t="str">
        <f>IF(Plantilla_SCAN_EQ3_COUNT_2[[#This Row],[ID MATERIAL]]="","",IF(Plantilla_SCAN_EQ3_COUNT_2[[#This Row],[No. Empaques]]="",1,Plantilla_SCAN_EQ3_COUNT_2[[#This Row],[No. Empaques]]*1))</f>
        <v/>
      </c>
      <c r="G1129" s="7" t="str">
        <f>IF(Plantilla_SCAN_EQ3_COUNT_2[[#This Row],[ID MATERIAL]]="","","PZ")</f>
        <v/>
      </c>
      <c r="H1129" s="7" t="str">
        <f>IF(Plantilla_SCAN_EQ3_COUNT_2[[#This Row],[ID MATERIAL]]="","",$B$13)</f>
        <v/>
      </c>
      <c r="I1129" s="7" t="str">
        <f>IF(Plantilla_SCAN_EQ3_COUNT_2[[#This Row],[ID MATERIAL]]="","","Segundo Conteo")</f>
        <v/>
      </c>
    </row>
    <row r="1130" spans="1:9" s="7" customFormat="1" ht="15" x14ac:dyDescent="0.2">
      <c r="A1130" s="7" t="str">
        <f>IF(Plantilla_SCAN_EQ3_COUNT_2[[#This Row],[ID MATERIAL]]="","",SIGN(Plantilla_SCAN_EQ3_COUNT_2[[#This Row],[Cantidad]])+A1129)</f>
        <v/>
      </c>
      <c r="B1130" s="21" t="str">
        <f>IF(Plantilla_SCAN_EQ3_COUNT_2[[#This Row],[ID MATERIAL]]="","",B1129)</f>
        <v/>
      </c>
      <c r="C1130" s="21"/>
      <c r="D1130" s="21"/>
      <c r="E1130" s="7" t="str">
        <f>IF(Plantilla_SCAN_EQ3_COUNT_2[[#This Row],[ID MATERIAL]]="","",VLOOKUP(Plantilla_SCAN_EQ3_COUNT_2[[#This Row],[ID MATERIAL]],INVENTARIO!$A:$D,2,FALSE))</f>
        <v/>
      </c>
      <c r="F1130" s="7" t="str">
        <f>IF(Plantilla_SCAN_EQ3_COUNT_2[[#This Row],[ID MATERIAL]]="","",IF(Plantilla_SCAN_EQ3_COUNT_2[[#This Row],[No. Empaques]]="",1,Plantilla_SCAN_EQ3_COUNT_2[[#This Row],[No. Empaques]]*1))</f>
        <v/>
      </c>
      <c r="G1130" s="7" t="str">
        <f>IF(Plantilla_SCAN_EQ3_COUNT_2[[#This Row],[ID MATERIAL]]="","","PZ")</f>
        <v/>
      </c>
      <c r="H1130" s="7" t="str">
        <f>IF(Plantilla_SCAN_EQ3_COUNT_2[[#This Row],[ID MATERIAL]]="","",$B$13)</f>
        <v/>
      </c>
      <c r="I1130" s="7" t="str">
        <f>IF(Plantilla_SCAN_EQ3_COUNT_2[[#This Row],[ID MATERIAL]]="","","Segundo Conteo")</f>
        <v/>
      </c>
    </row>
    <row r="1131" spans="1:9" s="7" customFormat="1" ht="15" x14ac:dyDescent="0.2">
      <c r="A1131" s="7" t="str">
        <f>IF(Plantilla_SCAN_EQ3_COUNT_2[[#This Row],[ID MATERIAL]]="","",SIGN(Plantilla_SCAN_EQ3_COUNT_2[[#This Row],[Cantidad]])+A1130)</f>
        <v/>
      </c>
      <c r="B1131" s="21" t="str">
        <f>IF(Plantilla_SCAN_EQ3_COUNT_2[[#This Row],[ID MATERIAL]]="","",B1130)</f>
        <v/>
      </c>
      <c r="C1131" s="21"/>
      <c r="D1131" s="21"/>
      <c r="E1131" s="7" t="str">
        <f>IF(Plantilla_SCAN_EQ3_COUNT_2[[#This Row],[ID MATERIAL]]="","",VLOOKUP(Plantilla_SCAN_EQ3_COUNT_2[[#This Row],[ID MATERIAL]],INVENTARIO!$A:$D,2,FALSE))</f>
        <v/>
      </c>
      <c r="F1131" s="7" t="str">
        <f>IF(Plantilla_SCAN_EQ3_COUNT_2[[#This Row],[ID MATERIAL]]="","",IF(Plantilla_SCAN_EQ3_COUNT_2[[#This Row],[No. Empaques]]="",1,Plantilla_SCAN_EQ3_COUNT_2[[#This Row],[No. Empaques]]*1))</f>
        <v/>
      </c>
      <c r="G1131" s="7" t="str">
        <f>IF(Plantilla_SCAN_EQ3_COUNT_2[[#This Row],[ID MATERIAL]]="","","PZ")</f>
        <v/>
      </c>
      <c r="H1131" s="7" t="str">
        <f>IF(Plantilla_SCAN_EQ3_COUNT_2[[#This Row],[ID MATERIAL]]="","",$B$13)</f>
        <v/>
      </c>
      <c r="I1131" s="7" t="str">
        <f>IF(Plantilla_SCAN_EQ3_COUNT_2[[#This Row],[ID MATERIAL]]="","","Segundo Conteo")</f>
        <v/>
      </c>
    </row>
    <row r="1132" spans="1:9" s="7" customFormat="1" ht="15" x14ac:dyDescent="0.2">
      <c r="A1132" s="7" t="str">
        <f>IF(Plantilla_SCAN_EQ3_COUNT_2[[#This Row],[ID MATERIAL]]="","",SIGN(Plantilla_SCAN_EQ3_COUNT_2[[#This Row],[Cantidad]])+A1131)</f>
        <v/>
      </c>
      <c r="B1132" s="21" t="str">
        <f>IF(Plantilla_SCAN_EQ3_COUNT_2[[#This Row],[ID MATERIAL]]="","",B1131)</f>
        <v/>
      </c>
      <c r="C1132" s="21"/>
      <c r="D1132" s="21"/>
      <c r="E1132" s="7" t="str">
        <f>IF(Plantilla_SCAN_EQ3_COUNT_2[[#This Row],[ID MATERIAL]]="","",VLOOKUP(Plantilla_SCAN_EQ3_COUNT_2[[#This Row],[ID MATERIAL]],INVENTARIO!$A:$D,2,FALSE))</f>
        <v/>
      </c>
      <c r="F1132" s="7" t="str">
        <f>IF(Plantilla_SCAN_EQ3_COUNT_2[[#This Row],[ID MATERIAL]]="","",IF(Plantilla_SCAN_EQ3_COUNT_2[[#This Row],[No. Empaques]]="",1,Plantilla_SCAN_EQ3_COUNT_2[[#This Row],[No. Empaques]]*1))</f>
        <v/>
      </c>
      <c r="G1132" s="7" t="str">
        <f>IF(Plantilla_SCAN_EQ3_COUNT_2[[#This Row],[ID MATERIAL]]="","","PZ")</f>
        <v/>
      </c>
      <c r="H1132" s="7" t="str">
        <f>IF(Plantilla_SCAN_EQ3_COUNT_2[[#This Row],[ID MATERIAL]]="","",$B$13)</f>
        <v/>
      </c>
      <c r="I1132" s="7" t="str">
        <f>IF(Plantilla_SCAN_EQ3_COUNT_2[[#This Row],[ID MATERIAL]]="","","Segundo Conteo")</f>
        <v/>
      </c>
    </row>
    <row r="1133" spans="1:9" s="7" customFormat="1" ht="15" x14ac:dyDescent="0.2">
      <c r="A1133" s="7" t="str">
        <f>IF(Plantilla_SCAN_EQ3_COUNT_2[[#This Row],[ID MATERIAL]]="","",SIGN(Plantilla_SCAN_EQ3_COUNT_2[[#This Row],[Cantidad]])+A1132)</f>
        <v/>
      </c>
      <c r="B1133" s="21" t="str">
        <f>IF(Plantilla_SCAN_EQ3_COUNT_2[[#This Row],[ID MATERIAL]]="","",B1132)</f>
        <v/>
      </c>
      <c r="C1133" s="21"/>
      <c r="D1133" s="21"/>
      <c r="E1133" s="7" t="str">
        <f>IF(Plantilla_SCAN_EQ3_COUNT_2[[#This Row],[ID MATERIAL]]="","",VLOOKUP(Plantilla_SCAN_EQ3_COUNT_2[[#This Row],[ID MATERIAL]],INVENTARIO!$A:$D,2,FALSE))</f>
        <v/>
      </c>
      <c r="F1133" s="7" t="str">
        <f>IF(Plantilla_SCAN_EQ3_COUNT_2[[#This Row],[ID MATERIAL]]="","",IF(Plantilla_SCAN_EQ3_COUNT_2[[#This Row],[No. Empaques]]="",1,Plantilla_SCAN_EQ3_COUNT_2[[#This Row],[No. Empaques]]*1))</f>
        <v/>
      </c>
      <c r="G1133" s="7" t="str">
        <f>IF(Plantilla_SCAN_EQ3_COUNT_2[[#This Row],[ID MATERIAL]]="","","PZ")</f>
        <v/>
      </c>
      <c r="H1133" s="7" t="str">
        <f>IF(Plantilla_SCAN_EQ3_COUNT_2[[#This Row],[ID MATERIAL]]="","",$B$13)</f>
        <v/>
      </c>
      <c r="I1133" s="7" t="str">
        <f>IF(Plantilla_SCAN_EQ3_COUNT_2[[#This Row],[ID MATERIAL]]="","","Segundo Conteo")</f>
        <v/>
      </c>
    </row>
    <row r="1134" spans="1:9" s="7" customFormat="1" ht="15" x14ac:dyDescent="0.2">
      <c r="A1134" s="7" t="str">
        <f>IF(Plantilla_SCAN_EQ3_COUNT_2[[#This Row],[ID MATERIAL]]="","",SIGN(Plantilla_SCAN_EQ3_COUNT_2[[#This Row],[Cantidad]])+A1133)</f>
        <v/>
      </c>
      <c r="B1134" s="21" t="str">
        <f>IF(Plantilla_SCAN_EQ3_COUNT_2[[#This Row],[ID MATERIAL]]="","",B1133)</f>
        <v/>
      </c>
      <c r="C1134" s="21"/>
      <c r="D1134" s="21"/>
      <c r="E1134" s="7" t="str">
        <f>IF(Plantilla_SCAN_EQ3_COUNT_2[[#This Row],[ID MATERIAL]]="","",VLOOKUP(Plantilla_SCAN_EQ3_COUNT_2[[#This Row],[ID MATERIAL]],INVENTARIO!$A:$D,2,FALSE))</f>
        <v/>
      </c>
      <c r="F1134" s="7" t="str">
        <f>IF(Plantilla_SCAN_EQ3_COUNT_2[[#This Row],[ID MATERIAL]]="","",IF(Plantilla_SCAN_EQ3_COUNT_2[[#This Row],[No. Empaques]]="",1,Plantilla_SCAN_EQ3_COUNT_2[[#This Row],[No. Empaques]]*1))</f>
        <v/>
      </c>
      <c r="G1134" s="7" t="str">
        <f>IF(Plantilla_SCAN_EQ3_COUNT_2[[#This Row],[ID MATERIAL]]="","","PZ")</f>
        <v/>
      </c>
      <c r="H1134" s="7" t="str">
        <f>IF(Plantilla_SCAN_EQ3_COUNT_2[[#This Row],[ID MATERIAL]]="","",$B$13)</f>
        <v/>
      </c>
      <c r="I1134" s="7" t="str">
        <f>IF(Plantilla_SCAN_EQ3_COUNT_2[[#This Row],[ID MATERIAL]]="","","Segundo Conteo")</f>
        <v/>
      </c>
    </row>
    <row r="1135" spans="1:9" s="7" customFormat="1" ht="15" x14ac:dyDescent="0.2">
      <c r="A1135" s="7" t="str">
        <f>IF(Plantilla_SCAN_EQ3_COUNT_2[[#This Row],[ID MATERIAL]]="","",SIGN(Plantilla_SCAN_EQ3_COUNT_2[[#This Row],[Cantidad]])+A1134)</f>
        <v/>
      </c>
      <c r="B1135" s="21" t="str">
        <f>IF(Plantilla_SCAN_EQ3_COUNT_2[[#This Row],[ID MATERIAL]]="","",B1134)</f>
        <v/>
      </c>
      <c r="C1135" s="21"/>
      <c r="D1135" s="21"/>
      <c r="E1135" s="7" t="str">
        <f>IF(Plantilla_SCAN_EQ3_COUNT_2[[#This Row],[ID MATERIAL]]="","",VLOOKUP(Plantilla_SCAN_EQ3_COUNT_2[[#This Row],[ID MATERIAL]],INVENTARIO!$A:$D,2,FALSE))</f>
        <v/>
      </c>
      <c r="F1135" s="7" t="str">
        <f>IF(Plantilla_SCAN_EQ3_COUNT_2[[#This Row],[ID MATERIAL]]="","",IF(Plantilla_SCAN_EQ3_COUNT_2[[#This Row],[No. Empaques]]="",1,Plantilla_SCAN_EQ3_COUNT_2[[#This Row],[No. Empaques]]*1))</f>
        <v/>
      </c>
      <c r="G1135" s="7" t="str">
        <f>IF(Plantilla_SCAN_EQ3_COUNT_2[[#This Row],[ID MATERIAL]]="","","PZ")</f>
        <v/>
      </c>
      <c r="H1135" s="7" t="str">
        <f>IF(Plantilla_SCAN_EQ3_COUNT_2[[#This Row],[ID MATERIAL]]="","",$B$13)</f>
        <v/>
      </c>
      <c r="I1135" s="7" t="str">
        <f>IF(Plantilla_SCAN_EQ3_COUNT_2[[#This Row],[ID MATERIAL]]="","","Segundo Conteo")</f>
        <v/>
      </c>
    </row>
    <row r="1136" spans="1:9" s="7" customFormat="1" ht="15" x14ac:dyDescent="0.2">
      <c r="A1136" s="7" t="str">
        <f>IF(Plantilla_SCAN_EQ3_COUNT_2[[#This Row],[ID MATERIAL]]="","",SIGN(Plantilla_SCAN_EQ3_COUNT_2[[#This Row],[Cantidad]])+A1135)</f>
        <v/>
      </c>
      <c r="B1136" s="21" t="str">
        <f>IF(Plantilla_SCAN_EQ3_COUNT_2[[#This Row],[ID MATERIAL]]="","",B1135)</f>
        <v/>
      </c>
      <c r="C1136" s="21"/>
      <c r="D1136" s="21"/>
      <c r="E1136" s="7" t="str">
        <f>IF(Plantilla_SCAN_EQ3_COUNT_2[[#This Row],[ID MATERIAL]]="","",VLOOKUP(Plantilla_SCAN_EQ3_COUNT_2[[#This Row],[ID MATERIAL]],INVENTARIO!$A:$D,2,FALSE))</f>
        <v/>
      </c>
      <c r="F1136" s="7" t="str">
        <f>IF(Plantilla_SCAN_EQ3_COUNT_2[[#This Row],[ID MATERIAL]]="","",IF(Plantilla_SCAN_EQ3_COUNT_2[[#This Row],[No. Empaques]]="",1,Plantilla_SCAN_EQ3_COUNT_2[[#This Row],[No. Empaques]]*1))</f>
        <v/>
      </c>
      <c r="G1136" s="7" t="str">
        <f>IF(Plantilla_SCAN_EQ3_COUNT_2[[#This Row],[ID MATERIAL]]="","","PZ")</f>
        <v/>
      </c>
      <c r="H1136" s="7" t="str">
        <f>IF(Plantilla_SCAN_EQ3_COUNT_2[[#This Row],[ID MATERIAL]]="","",$B$13)</f>
        <v/>
      </c>
      <c r="I1136" s="7" t="str">
        <f>IF(Plantilla_SCAN_EQ3_COUNT_2[[#This Row],[ID MATERIAL]]="","","Segundo Conteo")</f>
        <v/>
      </c>
    </row>
    <row r="1137" spans="1:9" s="7" customFormat="1" ht="15" x14ac:dyDescent="0.2">
      <c r="A1137" s="7" t="str">
        <f>IF(Plantilla_SCAN_EQ3_COUNT_2[[#This Row],[ID MATERIAL]]="","",SIGN(Plantilla_SCAN_EQ3_COUNT_2[[#This Row],[Cantidad]])+A1136)</f>
        <v/>
      </c>
      <c r="B1137" s="21" t="str">
        <f>IF(Plantilla_SCAN_EQ3_COUNT_2[[#This Row],[ID MATERIAL]]="","",B1136)</f>
        <v/>
      </c>
      <c r="C1137" s="21"/>
      <c r="D1137" s="21"/>
      <c r="E1137" s="7" t="str">
        <f>IF(Plantilla_SCAN_EQ3_COUNT_2[[#This Row],[ID MATERIAL]]="","",VLOOKUP(Plantilla_SCAN_EQ3_COUNT_2[[#This Row],[ID MATERIAL]],INVENTARIO!$A:$D,2,FALSE))</f>
        <v/>
      </c>
      <c r="F1137" s="7" t="str">
        <f>IF(Plantilla_SCAN_EQ3_COUNT_2[[#This Row],[ID MATERIAL]]="","",IF(Plantilla_SCAN_EQ3_COUNT_2[[#This Row],[No. Empaques]]="",1,Plantilla_SCAN_EQ3_COUNT_2[[#This Row],[No. Empaques]]*1))</f>
        <v/>
      </c>
      <c r="G1137" s="7" t="str">
        <f>IF(Plantilla_SCAN_EQ3_COUNT_2[[#This Row],[ID MATERIAL]]="","","PZ")</f>
        <v/>
      </c>
      <c r="H1137" s="7" t="str">
        <f>IF(Plantilla_SCAN_EQ3_COUNT_2[[#This Row],[ID MATERIAL]]="","",$B$13)</f>
        <v/>
      </c>
      <c r="I1137" s="7" t="str">
        <f>IF(Plantilla_SCAN_EQ3_COUNT_2[[#This Row],[ID MATERIAL]]="","","Segundo Conteo")</f>
        <v/>
      </c>
    </row>
    <row r="1138" spans="1:9" s="7" customFormat="1" ht="15" x14ac:dyDescent="0.2">
      <c r="A1138" s="7" t="str">
        <f>IF(Plantilla_SCAN_EQ3_COUNT_2[[#This Row],[ID MATERIAL]]="","",SIGN(Plantilla_SCAN_EQ3_COUNT_2[[#This Row],[Cantidad]])+A1137)</f>
        <v/>
      </c>
      <c r="B1138" s="21" t="str">
        <f>IF(Plantilla_SCAN_EQ3_COUNT_2[[#This Row],[ID MATERIAL]]="","",B1137)</f>
        <v/>
      </c>
      <c r="C1138" s="21"/>
      <c r="D1138" s="21"/>
      <c r="E1138" s="7" t="str">
        <f>IF(Plantilla_SCAN_EQ3_COUNT_2[[#This Row],[ID MATERIAL]]="","",VLOOKUP(Plantilla_SCAN_EQ3_COUNT_2[[#This Row],[ID MATERIAL]],INVENTARIO!$A:$D,2,FALSE))</f>
        <v/>
      </c>
      <c r="F1138" s="7" t="str">
        <f>IF(Plantilla_SCAN_EQ3_COUNT_2[[#This Row],[ID MATERIAL]]="","",IF(Plantilla_SCAN_EQ3_COUNT_2[[#This Row],[No. Empaques]]="",1,Plantilla_SCAN_EQ3_COUNT_2[[#This Row],[No. Empaques]]*1))</f>
        <v/>
      </c>
      <c r="G1138" s="7" t="str">
        <f>IF(Plantilla_SCAN_EQ3_COUNT_2[[#This Row],[ID MATERIAL]]="","","PZ")</f>
        <v/>
      </c>
      <c r="H1138" s="7" t="str">
        <f>IF(Plantilla_SCAN_EQ3_COUNT_2[[#This Row],[ID MATERIAL]]="","",$B$13)</f>
        <v/>
      </c>
      <c r="I1138" s="7" t="str">
        <f>IF(Plantilla_SCAN_EQ3_COUNT_2[[#This Row],[ID MATERIAL]]="","","Segundo Conteo")</f>
        <v/>
      </c>
    </row>
    <row r="1139" spans="1:9" s="7" customFormat="1" ht="15" x14ac:dyDescent="0.2">
      <c r="A1139" s="7" t="str">
        <f>IF(Plantilla_SCAN_EQ3_COUNT_2[[#This Row],[ID MATERIAL]]="","",SIGN(Plantilla_SCAN_EQ3_COUNT_2[[#This Row],[Cantidad]])+A1138)</f>
        <v/>
      </c>
      <c r="B1139" s="21" t="str">
        <f>IF(Plantilla_SCAN_EQ3_COUNT_2[[#This Row],[ID MATERIAL]]="","",B1138)</f>
        <v/>
      </c>
      <c r="C1139" s="21"/>
      <c r="D1139" s="21"/>
      <c r="E1139" s="7" t="str">
        <f>IF(Plantilla_SCAN_EQ3_COUNT_2[[#This Row],[ID MATERIAL]]="","",VLOOKUP(Plantilla_SCAN_EQ3_COUNT_2[[#This Row],[ID MATERIAL]],INVENTARIO!$A:$D,2,FALSE))</f>
        <v/>
      </c>
      <c r="F1139" s="7" t="str">
        <f>IF(Plantilla_SCAN_EQ3_COUNT_2[[#This Row],[ID MATERIAL]]="","",IF(Plantilla_SCAN_EQ3_COUNT_2[[#This Row],[No. Empaques]]="",1,Plantilla_SCAN_EQ3_COUNT_2[[#This Row],[No. Empaques]]*1))</f>
        <v/>
      </c>
      <c r="G1139" s="7" t="str">
        <f>IF(Plantilla_SCAN_EQ3_COUNT_2[[#This Row],[ID MATERIAL]]="","","PZ")</f>
        <v/>
      </c>
      <c r="H1139" s="7" t="str">
        <f>IF(Plantilla_SCAN_EQ3_COUNT_2[[#This Row],[ID MATERIAL]]="","",$B$13)</f>
        <v/>
      </c>
      <c r="I1139" s="7" t="str">
        <f>IF(Plantilla_SCAN_EQ3_COUNT_2[[#This Row],[ID MATERIAL]]="","","Segundo Conteo")</f>
        <v/>
      </c>
    </row>
    <row r="1140" spans="1:9" s="7" customFormat="1" ht="15" x14ac:dyDescent="0.2">
      <c r="A1140" s="7" t="str">
        <f>IF(Plantilla_SCAN_EQ3_COUNT_2[[#This Row],[ID MATERIAL]]="","",SIGN(Plantilla_SCAN_EQ3_COUNT_2[[#This Row],[Cantidad]])+A1139)</f>
        <v/>
      </c>
      <c r="B1140" s="21" t="str">
        <f>IF(Plantilla_SCAN_EQ3_COUNT_2[[#This Row],[ID MATERIAL]]="","",B1139)</f>
        <v/>
      </c>
      <c r="C1140" s="21"/>
      <c r="D1140" s="21"/>
      <c r="E1140" s="7" t="str">
        <f>IF(Plantilla_SCAN_EQ3_COUNT_2[[#This Row],[ID MATERIAL]]="","",VLOOKUP(Plantilla_SCAN_EQ3_COUNT_2[[#This Row],[ID MATERIAL]],INVENTARIO!$A:$D,2,FALSE))</f>
        <v/>
      </c>
      <c r="F1140" s="7" t="str">
        <f>IF(Plantilla_SCAN_EQ3_COUNT_2[[#This Row],[ID MATERIAL]]="","",IF(Plantilla_SCAN_EQ3_COUNT_2[[#This Row],[No. Empaques]]="",1,Plantilla_SCAN_EQ3_COUNT_2[[#This Row],[No. Empaques]]*1))</f>
        <v/>
      </c>
      <c r="G1140" s="7" t="str">
        <f>IF(Plantilla_SCAN_EQ3_COUNT_2[[#This Row],[ID MATERIAL]]="","","PZ")</f>
        <v/>
      </c>
      <c r="H1140" s="7" t="str">
        <f>IF(Plantilla_SCAN_EQ3_COUNT_2[[#This Row],[ID MATERIAL]]="","",$B$13)</f>
        <v/>
      </c>
      <c r="I1140" s="7" t="str">
        <f>IF(Plantilla_SCAN_EQ3_COUNT_2[[#This Row],[ID MATERIAL]]="","","Segundo Conteo")</f>
        <v/>
      </c>
    </row>
    <row r="1141" spans="1:9" s="7" customFormat="1" ht="15" x14ac:dyDescent="0.2">
      <c r="A1141" s="7" t="str">
        <f>IF(Plantilla_SCAN_EQ3_COUNT_2[[#This Row],[ID MATERIAL]]="","",SIGN(Plantilla_SCAN_EQ3_COUNT_2[[#This Row],[Cantidad]])+A1140)</f>
        <v/>
      </c>
      <c r="B1141" s="21" t="str">
        <f>IF(Plantilla_SCAN_EQ3_COUNT_2[[#This Row],[ID MATERIAL]]="","",B1140)</f>
        <v/>
      </c>
      <c r="C1141" s="21"/>
      <c r="D1141" s="21"/>
      <c r="E1141" s="7" t="str">
        <f>IF(Plantilla_SCAN_EQ3_COUNT_2[[#This Row],[ID MATERIAL]]="","",VLOOKUP(Plantilla_SCAN_EQ3_COUNT_2[[#This Row],[ID MATERIAL]],INVENTARIO!$A:$D,2,FALSE))</f>
        <v/>
      </c>
      <c r="F1141" s="7" t="str">
        <f>IF(Plantilla_SCAN_EQ3_COUNT_2[[#This Row],[ID MATERIAL]]="","",IF(Plantilla_SCAN_EQ3_COUNT_2[[#This Row],[No. Empaques]]="",1,Plantilla_SCAN_EQ3_COUNT_2[[#This Row],[No. Empaques]]*1))</f>
        <v/>
      </c>
      <c r="G1141" s="7" t="str">
        <f>IF(Plantilla_SCAN_EQ3_COUNT_2[[#This Row],[ID MATERIAL]]="","","PZ")</f>
        <v/>
      </c>
      <c r="H1141" s="7" t="str">
        <f>IF(Plantilla_SCAN_EQ3_COUNT_2[[#This Row],[ID MATERIAL]]="","",$B$13)</f>
        <v/>
      </c>
      <c r="I1141" s="7" t="str">
        <f>IF(Plantilla_SCAN_EQ3_COUNT_2[[#This Row],[ID MATERIAL]]="","","Segundo Conteo")</f>
        <v/>
      </c>
    </row>
    <row r="1142" spans="1:9" s="7" customFormat="1" ht="15" x14ac:dyDescent="0.2">
      <c r="A1142" s="7" t="str">
        <f>IF(Plantilla_SCAN_EQ3_COUNT_2[[#This Row],[ID MATERIAL]]="","",SIGN(Plantilla_SCAN_EQ3_COUNT_2[[#This Row],[Cantidad]])+A1141)</f>
        <v/>
      </c>
      <c r="B1142" s="21" t="str">
        <f>IF(Plantilla_SCAN_EQ3_COUNT_2[[#This Row],[ID MATERIAL]]="","",B1141)</f>
        <v/>
      </c>
      <c r="C1142" s="21"/>
      <c r="D1142" s="21"/>
      <c r="E1142" s="7" t="str">
        <f>IF(Plantilla_SCAN_EQ3_COUNT_2[[#This Row],[ID MATERIAL]]="","",VLOOKUP(Plantilla_SCAN_EQ3_COUNT_2[[#This Row],[ID MATERIAL]],INVENTARIO!$A:$D,2,FALSE))</f>
        <v/>
      </c>
      <c r="F1142" s="7" t="str">
        <f>IF(Plantilla_SCAN_EQ3_COUNT_2[[#This Row],[ID MATERIAL]]="","",IF(Plantilla_SCAN_EQ3_COUNT_2[[#This Row],[No. Empaques]]="",1,Plantilla_SCAN_EQ3_COUNT_2[[#This Row],[No. Empaques]]*1))</f>
        <v/>
      </c>
      <c r="G1142" s="7" t="str">
        <f>IF(Plantilla_SCAN_EQ3_COUNT_2[[#This Row],[ID MATERIAL]]="","","PZ")</f>
        <v/>
      </c>
      <c r="H1142" s="7" t="str">
        <f>IF(Plantilla_SCAN_EQ3_COUNT_2[[#This Row],[ID MATERIAL]]="","",$B$13)</f>
        <v/>
      </c>
      <c r="I1142" s="7" t="str">
        <f>IF(Plantilla_SCAN_EQ3_COUNT_2[[#This Row],[ID MATERIAL]]="","","Segundo Conteo")</f>
        <v/>
      </c>
    </row>
    <row r="1143" spans="1:9" s="7" customFormat="1" ht="15" x14ac:dyDescent="0.2">
      <c r="A1143" s="7" t="str">
        <f>IF(Plantilla_SCAN_EQ3_COUNT_2[[#This Row],[ID MATERIAL]]="","",SIGN(Plantilla_SCAN_EQ3_COUNT_2[[#This Row],[Cantidad]])+A1142)</f>
        <v/>
      </c>
      <c r="B1143" s="21" t="str">
        <f>IF(Plantilla_SCAN_EQ3_COUNT_2[[#This Row],[ID MATERIAL]]="","",B1142)</f>
        <v/>
      </c>
      <c r="C1143" s="21"/>
      <c r="D1143" s="21"/>
      <c r="E1143" s="7" t="str">
        <f>IF(Plantilla_SCAN_EQ3_COUNT_2[[#This Row],[ID MATERIAL]]="","",VLOOKUP(Plantilla_SCAN_EQ3_COUNT_2[[#This Row],[ID MATERIAL]],INVENTARIO!$A:$D,2,FALSE))</f>
        <v/>
      </c>
      <c r="F1143" s="7" t="str">
        <f>IF(Plantilla_SCAN_EQ3_COUNT_2[[#This Row],[ID MATERIAL]]="","",IF(Plantilla_SCAN_EQ3_COUNT_2[[#This Row],[No. Empaques]]="",1,Plantilla_SCAN_EQ3_COUNT_2[[#This Row],[No. Empaques]]*1))</f>
        <v/>
      </c>
      <c r="G1143" s="7" t="str">
        <f>IF(Plantilla_SCAN_EQ3_COUNT_2[[#This Row],[ID MATERIAL]]="","","PZ")</f>
        <v/>
      </c>
      <c r="H1143" s="7" t="str">
        <f>IF(Plantilla_SCAN_EQ3_COUNT_2[[#This Row],[ID MATERIAL]]="","",$B$13)</f>
        <v/>
      </c>
      <c r="I1143" s="7" t="str">
        <f>IF(Plantilla_SCAN_EQ3_COUNT_2[[#This Row],[ID MATERIAL]]="","","Segundo Conteo")</f>
        <v/>
      </c>
    </row>
    <row r="1144" spans="1:9" s="7" customFormat="1" ht="15" x14ac:dyDescent="0.2">
      <c r="A1144" s="7" t="str">
        <f>IF(Plantilla_SCAN_EQ3_COUNT_2[[#This Row],[ID MATERIAL]]="","",SIGN(Plantilla_SCAN_EQ3_COUNT_2[[#This Row],[Cantidad]])+A1143)</f>
        <v/>
      </c>
      <c r="B1144" s="21" t="str">
        <f>IF(Plantilla_SCAN_EQ3_COUNT_2[[#This Row],[ID MATERIAL]]="","",B1143)</f>
        <v/>
      </c>
      <c r="C1144" s="21"/>
      <c r="D1144" s="21"/>
      <c r="E1144" s="7" t="str">
        <f>IF(Plantilla_SCAN_EQ3_COUNT_2[[#This Row],[ID MATERIAL]]="","",VLOOKUP(Plantilla_SCAN_EQ3_COUNT_2[[#This Row],[ID MATERIAL]],INVENTARIO!$A:$D,2,FALSE))</f>
        <v/>
      </c>
      <c r="F1144" s="7" t="str">
        <f>IF(Plantilla_SCAN_EQ3_COUNT_2[[#This Row],[ID MATERIAL]]="","",IF(Plantilla_SCAN_EQ3_COUNT_2[[#This Row],[No. Empaques]]="",1,Plantilla_SCAN_EQ3_COUNT_2[[#This Row],[No. Empaques]]*1))</f>
        <v/>
      </c>
      <c r="G1144" s="7" t="str">
        <f>IF(Plantilla_SCAN_EQ3_COUNT_2[[#This Row],[ID MATERIAL]]="","","PZ")</f>
        <v/>
      </c>
      <c r="H1144" s="7" t="str">
        <f>IF(Plantilla_SCAN_EQ3_COUNT_2[[#This Row],[ID MATERIAL]]="","",$B$13)</f>
        <v/>
      </c>
      <c r="I1144" s="7" t="str">
        <f>IF(Plantilla_SCAN_EQ3_COUNT_2[[#This Row],[ID MATERIAL]]="","","Segundo Conteo")</f>
        <v/>
      </c>
    </row>
    <row r="1145" spans="1:9" s="7" customFormat="1" ht="15" x14ac:dyDescent="0.2">
      <c r="A1145" s="7" t="str">
        <f>IF(Plantilla_SCAN_EQ3_COUNT_2[[#This Row],[ID MATERIAL]]="","",SIGN(Plantilla_SCAN_EQ3_COUNT_2[[#This Row],[Cantidad]])+A1144)</f>
        <v/>
      </c>
      <c r="B1145" s="21" t="str">
        <f>IF(Plantilla_SCAN_EQ3_COUNT_2[[#This Row],[ID MATERIAL]]="","",B1144)</f>
        <v/>
      </c>
      <c r="C1145" s="21"/>
      <c r="D1145" s="21"/>
      <c r="E1145" s="7" t="str">
        <f>IF(Plantilla_SCAN_EQ3_COUNT_2[[#This Row],[ID MATERIAL]]="","",VLOOKUP(Plantilla_SCAN_EQ3_COUNT_2[[#This Row],[ID MATERIAL]],INVENTARIO!$A:$D,2,FALSE))</f>
        <v/>
      </c>
      <c r="F1145" s="7" t="str">
        <f>IF(Plantilla_SCAN_EQ3_COUNT_2[[#This Row],[ID MATERIAL]]="","",IF(Plantilla_SCAN_EQ3_COUNT_2[[#This Row],[No. Empaques]]="",1,Plantilla_SCAN_EQ3_COUNT_2[[#This Row],[No. Empaques]]*1))</f>
        <v/>
      </c>
      <c r="G1145" s="7" t="str">
        <f>IF(Plantilla_SCAN_EQ3_COUNT_2[[#This Row],[ID MATERIAL]]="","","PZ")</f>
        <v/>
      </c>
      <c r="H1145" s="7" t="str">
        <f>IF(Plantilla_SCAN_EQ3_COUNT_2[[#This Row],[ID MATERIAL]]="","",$B$13)</f>
        <v/>
      </c>
      <c r="I1145" s="7" t="str">
        <f>IF(Plantilla_SCAN_EQ3_COUNT_2[[#This Row],[ID MATERIAL]]="","","Segundo Conteo")</f>
        <v/>
      </c>
    </row>
    <row r="1146" spans="1:9" s="7" customFormat="1" ht="15" x14ac:dyDescent="0.2">
      <c r="A1146" s="7" t="str">
        <f>IF(Plantilla_SCAN_EQ3_COUNT_2[[#This Row],[ID MATERIAL]]="","",SIGN(Plantilla_SCAN_EQ3_COUNT_2[[#This Row],[Cantidad]])+A1145)</f>
        <v/>
      </c>
      <c r="B1146" s="21" t="str">
        <f>IF(Plantilla_SCAN_EQ3_COUNT_2[[#This Row],[ID MATERIAL]]="","",B1145)</f>
        <v/>
      </c>
      <c r="C1146" s="21"/>
      <c r="D1146" s="21"/>
      <c r="E1146" s="7" t="str">
        <f>IF(Plantilla_SCAN_EQ3_COUNT_2[[#This Row],[ID MATERIAL]]="","",VLOOKUP(Plantilla_SCAN_EQ3_COUNT_2[[#This Row],[ID MATERIAL]],INVENTARIO!$A:$D,2,FALSE))</f>
        <v/>
      </c>
      <c r="F1146" s="7" t="str">
        <f>IF(Plantilla_SCAN_EQ3_COUNT_2[[#This Row],[ID MATERIAL]]="","",IF(Plantilla_SCAN_EQ3_COUNT_2[[#This Row],[No. Empaques]]="",1,Plantilla_SCAN_EQ3_COUNT_2[[#This Row],[No. Empaques]]*1))</f>
        <v/>
      </c>
      <c r="G1146" s="7" t="str">
        <f>IF(Plantilla_SCAN_EQ3_COUNT_2[[#This Row],[ID MATERIAL]]="","","PZ")</f>
        <v/>
      </c>
      <c r="H1146" s="7" t="str">
        <f>IF(Plantilla_SCAN_EQ3_COUNT_2[[#This Row],[ID MATERIAL]]="","",$B$13)</f>
        <v/>
      </c>
      <c r="I1146" s="7" t="str">
        <f>IF(Plantilla_SCAN_EQ3_COUNT_2[[#This Row],[ID MATERIAL]]="","","Segundo Conteo")</f>
        <v/>
      </c>
    </row>
    <row r="1147" spans="1:9" s="7" customFormat="1" ht="15" x14ac:dyDescent="0.2">
      <c r="A1147" s="7" t="str">
        <f>IF(Plantilla_SCAN_EQ3_COUNT_2[[#This Row],[ID MATERIAL]]="","",SIGN(Plantilla_SCAN_EQ3_COUNT_2[[#This Row],[Cantidad]])+A1146)</f>
        <v/>
      </c>
      <c r="B1147" s="21" t="str">
        <f>IF(Plantilla_SCAN_EQ3_COUNT_2[[#This Row],[ID MATERIAL]]="","",B1146)</f>
        <v/>
      </c>
      <c r="C1147" s="21"/>
      <c r="D1147" s="21"/>
      <c r="E1147" s="7" t="str">
        <f>IF(Plantilla_SCAN_EQ3_COUNT_2[[#This Row],[ID MATERIAL]]="","",VLOOKUP(Plantilla_SCAN_EQ3_COUNT_2[[#This Row],[ID MATERIAL]],INVENTARIO!$A:$D,2,FALSE))</f>
        <v/>
      </c>
      <c r="F1147" s="7" t="str">
        <f>IF(Plantilla_SCAN_EQ3_COUNT_2[[#This Row],[ID MATERIAL]]="","",IF(Plantilla_SCAN_EQ3_COUNT_2[[#This Row],[No. Empaques]]="",1,Plantilla_SCAN_EQ3_COUNT_2[[#This Row],[No. Empaques]]*1))</f>
        <v/>
      </c>
      <c r="G1147" s="7" t="str">
        <f>IF(Plantilla_SCAN_EQ3_COUNT_2[[#This Row],[ID MATERIAL]]="","","PZ")</f>
        <v/>
      </c>
      <c r="H1147" s="7" t="str">
        <f>IF(Plantilla_SCAN_EQ3_COUNT_2[[#This Row],[ID MATERIAL]]="","",$B$13)</f>
        <v/>
      </c>
      <c r="I1147" s="7" t="str">
        <f>IF(Plantilla_SCAN_EQ3_COUNT_2[[#This Row],[ID MATERIAL]]="","","Segundo Conteo")</f>
        <v/>
      </c>
    </row>
    <row r="1148" spans="1:9" s="7" customFormat="1" ht="15" x14ac:dyDescent="0.2">
      <c r="A1148" s="7" t="str">
        <f>IF(Plantilla_SCAN_EQ3_COUNT_2[[#This Row],[ID MATERIAL]]="","",SIGN(Plantilla_SCAN_EQ3_COUNT_2[[#This Row],[Cantidad]])+A1147)</f>
        <v/>
      </c>
      <c r="B1148" s="21" t="str">
        <f>IF(Plantilla_SCAN_EQ3_COUNT_2[[#This Row],[ID MATERIAL]]="","",B1147)</f>
        <v/>
      </c>
      <c r="C1148" s="21"/>
      <c r="D1148" s="21"/>
      <c r="E1148" s="7" t="str">
        <f>IF(Plantilla_SCAN_EQ3_COUNT_2[[#This Row],[ID MATERIAL]]="","",VLOOKUP(Plantilla_SCAN_EQ3_COUNT_2[[#This Row],[ID MATERIAL]],INVENTARIO!$A:$D,2,FALSE))</f>
        <v/>
      </c>
      <c r="F1148" s="7" t="str">
        <f>IF(Plantilla_SCAN_EQ3_COUNT_2[[#This Row],[ID MATERIAL]]="","",IF(Plantilla_SCAN_EQ3_COUNT_2[[#This Row],[No. Empaques]]="",1,Plantilla_SCAN_EQ3_COUNT_2[[#This Row],[No. Empaques]]*1))</f>
        <v/>
      </c>
      <c r="G1148" s="7" t="str">
        <f>IF(Plantilla_SCAN_EQ3_COUNT_2[[#This Row],[ID MATERIAL]]="","","PZ")</f>
        <v/>
      </c>
      <c r="H1148" s="7" t="str">
        <f>IF(Plantilla_SCAN_EQ3_COUNT_2[[#This Row],[ID MATERIAL]]="","",$B$13)</f>
        <v/>
      </c>
      <c r="I1148" s="7" t="str">
        <f>IF(Plantilla_SCAN_EQ3_COUNT_2[[#This Row],[ID MATERIAL]]="","","Segundo Conteo")</f>
        <v/>
      </c>
    </row>
    <row r="1149" spans="1:9" s="7" customFormat="1" ht="15" x14ac:dyDescent="0.2">
      <c r="A1149" s="7" t="str">
        <f>IF(Plantilla_SCAN_EQ3_COUNT_2[[#This Row],[ID MATERIAL]]="","",SIGN(Plantilla_SCAN_EQ3_COUNT_2[[#This Row],[Cantidad]])+A1148)</f>
        <v/>
      </c>
      <c r="B1149" s="21" t="str">
        <f>IF(Plantilla_SCAN_EQ3_COUNT_2[[#This Row],[ID MATERIAL]]="","",B1148)</f>
        <v/>
      </c>
      <c r="C1149" s="21"/>
      <c r="D1149" s="21"/>
      <c r="E1149" s="7" t="str">
        <f>IF(Plantilla_SCAN_EQ3_COUNT_2[[#This Row],[ID MATERIAL]]="","",VLOOKUP(Plantilla_SCAN_EQ3_COUNT_2[[#This Row],[ID MATERIAL]],INVENTARIO!$A:$D,2,FALSE))</f>
        <v/>
      </c>
      <c r="F1149" s="7" t="str">
        <f>IF(Plantilla_SCAN_EQ3_COUNT_2[[#This Row],[ID MATERIAL]]="","",IF(Plantilla_SCAN_EQ3_COUNT_2[[#This Row],[No. Empaques]]="",1,Plantilla_SCAN_EQ3_COUNT_2[[#This Row],[No. Empaques]]*1))</f>
        <v/>
      </c>
      <c r="G1149" s="7" t="str">
        <f>IF(Plantilla_SCAN_EQ3_COUNT_2[[#This Row],[ID MATERIAL]]="","","PZ")</f>
        <v/>
      </c>
      <c r="H1149" s="7" t="str">
        <f>IF(Plantilla_SCAN_EQ3_COUNT_2[[#This Row],[ID MATERIAL]]="","",$B$13)</f>
        <v/>
      </c>
      <c r="I1149" s="7" t="str">
        <f>IF(Plantilla_SCAN_EQ3_COUNT_2[[#This Row],[ID MATERIAL]]="","","Segundo Conteo")</f>
        <v/>
      </c>
    </row>
    <row r="1150" spans="1:9" s="7" customFormat="1" ht="15" x14ac:dyDescent="0.2">
      <c r="A1150" s="7" t="str">
        <f>IF(Plantilla_SCAN_EQ3_COUNT_2[[#This Row],[ID MATERIAL]]="","",SIGN(Plantilla_SCAN_EQ3_COUNT_2[[#This Row],[Cantidad]])+A1149)</f>
        <v/>
      </c>
      <c r="B1150" s="21" t="str">
        <f>IF(Plantilla_SCAN_EQ3_COUNT_2[[#This Row],[ID MATERIAL]]="","",B1149)</f>
        <v/>
      </c>
      <c r="C1150" s="21"/>
      <c r="D1150" s="21"/>
      <c r="E1150" s="7" t="str">
        <f>IF(Plantilla_SCAN_EQ3_COUNT_2[[#This Row],[ID MATERIAL]]="","",VLOOKUP(Plantilla_SCAN_EQ3_COUNT_2[[#This Row],[ID MATERIAL]],INVENTARIO!$A:$D,2,FALSE))</f>
        <v/>
      </c>
      <c r="F1150" s="7" t="str">
        <f>IF(Plantilla_SCAN_EQ3_COUNT_2[[#This Row],[ID MATERIAL]]="","",IF(Plantilla_SCAN_EQ3_COUNT_2[[#This Row],[No. Empaques]]="",1,Plantilla_SCAN_EQ3_COUNT_2[[#This Row],[No. Empaques]]*1))</f>
        <v/>
      </c>
      <c r="G1150" s="7" t="str">
        <f>IF(Plantilla_SCAN_EQ3_COUNT_2[[#This Row],[ID MATERIAL]]="","","PZ")</f>
        <v/>
      </c>
      <c r="H1150" s="7" t="str">
        <f>IF(Plantilla_SCAN_EQ3_COUNT_2[[#This Row],[ID MATERIAL]]="","",$B$13)</f>
        <v/>
      </c>
      <c r="I1150" s="7" t="str">
        <f>IF(Plantilla_SCAN_EQ3_COUNT_2[[#This Row],[ID MATERIAL]]="","","Segundo Conteo")</f>
        <v/>
      </c>
    </row>
    <row r="1151" spans="1:9" s="7" customFormat="1" ht="15" x14ac:dyDescent="0.2">
      <c r="A1151" s="7" t="str">
        <f>IF(Plantilla_SCAN_EQ3_COUNT_2[[#This Row],[ID MATERIAL]]="","",SIGN(Plantilla_SCAN_EQ3_COUNT_2[[#This Row],[Cantidad]])+A1150)</f>
        <v/>
      </c>
      <c r="B1151" s="21" t="str">
        <f>IF(Plantilla_SCAN_EQ3_COUNT_2[[#This Row],[ID MATERIAL]]="","",B1150)</f>
        <v/>
      </c>
      <c r="C1151" s="21"/>
      <c r="D1151" s="21"/>
      <c r="E1151" s="7" t="str">
        <f>IF(Plantilla_SCAN_EQ3_COUNT_2[[#This Row],[ID MATERIAL]]="","",VLOOKUP(Plantilla_SCAN_EQ3_COUNT_2[[#This Row],[ID MATERIAL]],INVENTARIO!$A:$D,2,FALSE))</f>
        <v/>
      </c>
      <c r="F1151" s="7" t="str">
        <f>IF(Plantilla_SCAN_EQ3_COUNT_2[[#This Row],[ID MATERIAL]]="","",IF(Plantilla_SCAN_EQ3_COUNT_2[[#This Row],[No. Empaques]]="",1,Plantilla_SCAN_EQ3_COUNT_2[[#This Row],[No. Empaques]]*1))</f>
        <v/>
      </c>
      <c r="G1151" s="7" t="str">
        <f>IF(Plantilla_SCAN_EQ3_COUNT_2[[#This Row],[ID MATERIAL]]="","","PZ")</f>
        <v/>
      </c>
      <c r="H1151" s="7" t="str">
        <f>IF(Plantilla_SCAN_EQ3_COUNT_2[[#This Row],[ID MATERIAL]]="","",$B$13)</f>
        <v/>
      </c>
      <c r="I1151" s="7" t="str">
        <f>IF(Plantilla_SCAN_EQ3_COUNT_2[[#This Row],[ID MATERIAL]]="","","Segundo Conteo")</f>
        <v/>
      </c>
    </row>
    <row r="1152" spans="1:9" s="7" customFormat="1" ht="15" x14ac:dyDescent="0.2">
      <c r="A1152" s="7" t="str">
        <f>IF(Plantilla_SCAN_EQ3_COUNT_2[[#This Row],[ID MATERIAL]]="","",SIGN(Plantilla_SCAN_EQ3_COUNT_2[[#This Row],[Cantidad]])+A1151)</f>
        <v/>
      </c>
      <c r="B1152" s="21" t="str">
        <f>IF(Plantilla_SCAN_EQ3_COUNT_2[[#This Row],[ID MATERIAL]]="","",B1151)</f>
        <v/>
      </c>
      <c r="C1152" s="21"/>
      <c r="D1152" s="21"/>
      <c r="E1152" s="7" t="str">
        <f>IF(Plantilla_SCAN_EQ3_COUNT_2[[#This Row],[ID MATERIAL]]="","",VLOOKUP(Plantilla_SCAN_EQ3_COUNT_2[[#This Row],[ID MATERIAL]],INVENTARIO!$A:$D,2,FALSE))</f>
        <v/>
      </c>
      <c r="F1152" s="7" t="str">
        <f>IF(Plantilla_SCAN_EQ3_COUNT_2[[#This Row],[ID MATERIAL]]="","",IF(Plantilla_SCAN_EQ3_COUNT_2[[#This Row],[No. Empaques]]="",1,Plantilla_SCAN_EQ3_COUNT_2[[#This Row],[No. Empaques]]*1))</f>
        <v/>
      </c>
      <c r="G1152" s="7" t="str">
        <f>IF(Plantilla_SCAN_EQ3_COUNT_2[[#This Row],[ID MATERIAL]]="","","PZ")</f>
        <v/>
      </c>
      <c r="H1152" s="7" t="str">
        <f>IF(Plantilla_SCAN_EQ3_COUNT_2[[#This Row],[ID MATERIAL]]="","",$B$13)</f>
        <v/>
      </c>
      <c r="I1152" s="7" t="str">
        <f>IF(Plantilla_SCAN_EQ3_COUNT_2[[#This Row],[ID MATERIAL]]="","","Segundo Conteo")</f>
        <v/>
      </c>
    </row>
    <row r="1153" spans="1:9" s="7" customFormat="1" ht="15" x14ac:dyDescent="0.2">
      <c r="A1153" s="7" t="str">
        <f>IF(Plantilla_SCAN_EQ3_COUNT_2[[#This Row],[ID MATERIAL]]="","",SIGN(Plantilla_SCAN_EQ3_COUNT_2[[#This Row],[Cantidad]])+A1152)</f>
        <v/>
      </c>
      <c r="B1153" s="21" t="str">
        <f>IF(Plantilla_SCAN_EQ3_COUNT_2[[#This Row],[ID MATERIAL]]="","",B1152)</f>
        <v/>
      </c>
      <c r="C1153" s="21"/>
      <c r="D1153" s="21"/>
      <c r="E1153" s="7" t="str">
        <f>IF(Plantilla_SCAN_EQ3_COUNT_2[[#This Row],[ID MATERIAL]]="","",VLOOKUP(Plantilla_SCAN_EQ3_COUNT_2[[#This Row],[ID MATERIAL]],INVENTARIO!$A:$D,2,FALSE))</f>
        <v/>
      </c>
      <c r="F1153" s="7" t="str">
        <f>IF(Plantilla_SCAN_EQ3_COUNT_2[[#This Row],[ID MATERIAL]]="","",IF(Plantilla_SCAN_EQ3_COUNT_2[[#This Row],[No. Empaques]]="",1,Plantilla_SCAN_EQ3_COUNT_2[[#This Row],[No. Empaques]]*1))</f>
        <v/>
      </c>
      <c r="G1153" s="7" t="str">
        <f>IF(Plantilla_SCAN_EQ3_COUNT_2[[#This Row],[ID MATERIAL]]="","","PZ")</f>
        <v/>
      </c>
      <c r="H1153" s="7" t="str">
        <f>IF(Plantilla_SCAN_EQ3_COUNT_2[[#This Row],[ID MATERIAL]]="","",$B$13)</f>
        <v/>
      </c>
      <c r="I1153" s="7" t="str">
        <f>IF(Plantilla_SCAN_EQ3_COUNT_2[[#This Row],[ID MATERIAL]]="","","Segundo Conteo")</f>
        <v/>
      </c>
    </row>
    <row r="1154" spans="1:9" s="7" customFormat="1" ht="15" x14ac:dyDescent="0.2">
      <c r="A1154" s="7" t="str">
        <f>IF(Plantilla_SCAN_EQ3_COUNT_2[[#This Row],[ID MATERIAL]]="","",SIGN(Plantilla_SCAN_EQ3_COUNT_2[[#This Row],[Cantidad]])+A1153)</f>
        <v/>
      </c>
      <c r="B1154" s="21" t="str">
        <f>IF(Plantilla_SCAN_EQ3_COUNT_2[[#This Row],[ID MATERIAL]]="","",B1153)</f>
        <v/>
      </c>
      <c r="C1154" s="21"/>
      <c r="D1154" s="21"/>
      <c r="E1154" s="7" t="str">
        <f>IF(Plantilla_SCAN_EQ3_COUNT_2[[#This Row],[ID MATERIAL]]="","",VLOOKUP(Plantilla_SCAN_EQ3_COUNT_2[[#This Row],[ID MATERIAL]],INVENTARIO!$A:$D,2,FALSE))</f>
        <v/>
      </c>
      <c r="F1154" s="7" t="str">
        <f>IF(Plantilla_SCAN_EQ3_COUNT_2[[#This Row],[ID MATERIAL]]="","",IF(Plantilla_SCAN_EQ3_COUNT_2[[#This Row],[No. Empaques]]="",1,Plantilla_SCAN_EQ3_COUNT_2[[#This Row],[No. Empaques]]*1))</f>
        <v/>
      </c>
      <c r="G1154" s="7" t="str">
        <f>IF(Plantilla_SCAN_EQ3_COUNT_2[[#This Row],[ID MATERIAL]]="","","PZ")</f>
        <v/>
      </c>
      <c r="H1154" s="7" t="str">
        <f>IF(Plantilla_SCAN_EQ3_COUNT_2[[#This Row],[ID MATERIAL]]="","",$B$13)</f>
        <v/>
      </c>
      <c r="I1154" s="7" t="str">
        <f>IF(Plantilla_SCAN_EQ3_COUNT_2[[#This Row],[ID MATERIAL]]="","","Segundo Conteo")</f>
        <v/>
      </c>
    </row>
    <row r="1155" spans="1:9" s="7" customFormat="1" ht="15" x14ac:dyDescent="0.2">
      <c r="A1155" s="7" t="str">
        <f>IF(Plantilla_SCAN_EQ3_COUNT_2[[#This Row],[ID MATERIAL]]="","",SIGN(Plantilla_SCAN_EQ3_COUNT_2[[#This Row],[Cantidad]])+A1154)</f>
        <v/>
      </c>
      <c r="B1155" s="21" t="str">
        <f>IF(Plantilla_SCAN_EQ3_COUNT_2[[#This Row],[ID MATERIAL]]="","",B1154)</f>
        <v/>
      </c>
      <c r="C1155" s="21"/>
      <c r="D1155" s="21"/>
      <c r="E1155" s="7" t="str">
        <f>IF(Plantilla_SCAN_EQ3_COUNT_2[[#This Row],[ID MATERIAL]]="","",VLOOKUP(Plantilla_SCAN_EQ3_COUNT_2[[#This Row],[ID MATERIAL]],INVENTARIO!$A:$D,2,FALSE))</f>
        <v/>
      </c>
      <c r="F1155" s="7" t="str">
        <f>IF(Plantilla_SCAN_EQ3_COUNT_2[[#This Row],[ID MATERIAL]]="","",IF(Plantilla_SCAN_EQ3_COUNT_2[[#This Row],[No. Empaques]]="",1,Plantilla_SCAN_EQ3_COUNT_2[[#This Row],[No. Empaques]]*1))</f>
        <v/>
      </c>
      <c r="G1155" s="7" t="str">
        <f>IF(Plantilla_SCAN_EQ3_COUNT_2[[#This Row],[ID MATERIAL]]="","","PZ")</f>
        <v/>
      </c>
      <c r="H1155" s="7" t="str">
        <f>IF(Plantilla_SCAN_EQ3_COUNT_2[[#This Row],[ID MATERIAL]]="","",$B$13)</f>
        <v/>
      </c>
      <c r="I1155" s="7" t="str">
        <f>IF(Plantilla_SCAN_EQ3_COUNT_2[[#This Row],[ID MATERIAL]]="","","Segundo Conteo")</f>
        <v/>
      </c>
    </row>
    <row r="1156" spans="1:9" s="7" customFormat="1" ht="15" x14ac:dyDescent="0.2">
      <c r="A1156" s="7" t="str">
        <f>IF(Plantilla_SCAN_EQ3_COUNT_2[[#This Row],[ID MATERIAL]]="","",SIGN(Plantilla_SCAN_EQ3_COUNT_2[[#This Row],[Cantidad]])+A1155)</f>
        <v/>
      </c>
      <c r="B1156" s="21" t="str">
        <f>IF(Plantilla_SCAN_EQ3_COUNT_2[[#This Row],[ID MATERIAL]]="","",B1155)</f>
        <v/>
      </c>
      <c r="C1156" s="21"/>
      <c r="D1156" s="21"/>
      <c r="E1156" s="7" t="str">
        <f>IF(Plantilla_SCAN_EQ3_COUNT_2[[#This Row],[ID MATERIAL]]="","",VLOOKUP(Plantilla_SCAN_EQ3_COUNT_2[[#This Row],[ID MATERIAL]],INVENTARIO!$A:$D,2,FALSE))</f>
        <v/>
      </c>
      <c r="F1156" s="7" t="str">
        <f>IF(Plantilla_SCAN_EQ3_COUNT_2[[#This Row],[ID MATERIAL]]="","",IF(Plantilla_SCAN_EQ3_COUNT_2[[#This Row],[No. Empaques]]="",1,Plantilla_SCAN_EQ3_COUNT_2[[#This Row],[No. Empaques]]*1))</f>
        <v/>
      </c>
      <c r="G1156" s="7" t="str">
        <f>IF(Plantilla_SCAN_EQ3_COUNT_2[[#This Row],[ID MATERIAL]]="","","PZ")</f>
        <v/>
      </c>
      <c r="H1156" s="7" t="str">
        <f>IF(Plantilla_SCAN_EQ3_COUNT_2[[#This Row],[ID MATERIAL]]="","",$B$13)</f>
        <v/>
      </c>
      <c r="I1156" s="7" t="str">
        <f>IF(Plantilla_SCAN_EQ3_COUNT_2[[#This Row],[ID MATERIAL]]="","","Segundo Conteo")</f>
        <v/>
      </c>
    </row>
    <row r="1157" spans="1:9" s="7" customFormat="1" ht="15" x14ac:dyDescent="0.2">
      <c r="A1157" s="7" t="str">
        <f>IF(Plantilla_SCAN_EQ3_COUNT_2[[#This Row],[ID MATERIAL]]="","",SIGN(Plantilla_SCAN_EQ3_COUNT_2[[#This Row],[Cantidad]])+A1156)</f>
        <v/>
      </c>
      <c r="B1157" s="21" t="str">
        <f>IF(Plantilla_SCAN_EQ3_COUNT_2[[#This Row],[ID MATERIAL]]="","",B1156)</f>
        <v/>
      </c>
      <c r="C1157" s="21"/>
      <c r="D1157" s="21"/>
      <c r="E1157" s="7" t="str">
        <f>IF(Plantilla_SCAN_EQ3_COUNT_2[[#This Row],[ID MATERIAL]]="","",VLOOKUP(Plantilla_SCAN_EQ3_COUNT_2[[#This Row],[ID MATERIAL]],INVENTARIO!$A:$D,2,FALSE))</f>
        <v/>
      </c>
      <c r="F1157" s="7" t="str">
        <f>IF(Plantilla_SCAN_EQ3_COUNT_2[[#This Row],[ID MATERIAL]]="","",IF(Plantilla_SCAN_EQ3_COUNT_2[[#This Row],[No. Empaques]]="",1,Plantilla_SCAN_EQ3_COUNT_2[[#This Row],[No. Empaques]]*1))</f>
        <v/>
      </c>
      <c r="G1157" s="7" t="str">
        <f>IF(Plantilla_SCAN_EQ3_COUNT_2[[#This Row],[ID MATERIAL]]="","","PZ")</f>
        <v/>
      </c>
      <c r="H1157" s="7" t="str">
        <f>IF(Plantilla_SCAN_EQ3_COUNT_2[[#This Row],[ID MATERIAL]]="","",$B$13)</f>
        <v/>
      </c>
      <c r="I1157" s="7" t="str">
        <f>IF(Plantilla_SCAN_EQ3_COUNT_2[[#This Row],[ID MATERIAL]]="","","Segundo Conteo")</f>
        <v/>
      </c>
    </row>
    <row r="1158" spans="1:9" s="7" customFormat="1" ht="15" x14ac:dyDescent="0.2">
      <c r="A1158" s="7" t="str">
        <f>IF(Plantilla_SCAN_EQ3_COUNT_2[[#This Row],[ID MATERIAL]]="","",SIGN(Plantilla_SCAN_EQ3_COUNT_2[[#This Row],[Cantidad]])+A1157)</f>
        <v/>
      </c>
      <c r="B1158" s="21" t="str">
        <f>IF(Plantilla_SCAN_EQ3_COUNT_2[[#This Row],[ID MATERIAL]]="","",B1157)</f>
        <v/>
      </c>
      <c r="C1158" s="21"/>
      <c r="D1158" s="21"/>
      <c r="E1158" s="7" t="str">
        <f>IF(Plantilla_SCAN_EQ3_COUNT_2[[#This Row],[ID MATERIAL]]="","",VLOOKUP(Plantilla_SCAN_EQ3_COUNT_2[[#This Row],[ID MATERIAL]],INVENTARIO!$A:$D,2,FALSE))</f>
        <v/>
      </c>
      <c r="F1158" s="7" t="str">
        <f>IF(Plantilla_SCAN_EQ3_COUNT_2[[#This Row],[ID MATERIAL]]="","",IF(Plantilla_SCAN_EQ3_COUNT_2[[#This Row],[No. Empaques]]="",1,Plantilla_SCAN_EQ3_COUNT_2[[#This Row],[No. Empaques]]*1))</f>
        <v/>
      </c>
      <c r="G1158" s="7" t="str">
        <f>IF(Plantilla_SCAN_EQ3_COUNT_2[[#This Row],[ID MATERIAL]]="","","PZ")</f>
        <v/>
      </c>
      <c r="H1158" s="7" t="str">
        <f>IF(Plantilla_SCAN_EQ3_COUNT_2[[#This Row],[ID MATERIAL]]="","",$B$13)</f>
        <v/>
      </c>
      <c r="I1158" s="7" t="str">
        <f>IF(Plantilla_SCAN_EQ3_COUNT_2[[#This Row],[ID MATERIAL]]="","","Segundo Conteo")</f>
        <v/>
      </c>
    </row>
    <row r="1159" spans="1:9" s="7" customFormat="1" ht="15" x14ac:dyDescent="0.2">
      <c r="A1159" s="7" t="str">
        <f>IF(Plantilla_SCAN_EQ3_COUNT_2[[#This Row],[ID MATERIAL]]="","",SIGN(Plantilla_SCAN_EQ3_COUNT_2[[#This Row],[Cantidad]])+A1158)</f>
        <v/>
      </c>
      <c r="B1159" s="21" t="str">
        <f>IF(Plantilla_SCAN_EQ3_COUNT_2[[#This Row],[ID MATERIAL]]="","",B1158)</f>
        <v/>
      </c>
      <c r="C1159" s="21"/>
      <c r="D1159" s="21"/>
      <c r="E1159" s="7" t="str">
        <f>IF(Plantilla_SCAN_EQ3_COUNT_2[[#This Row],[ID MATERIAL]]="","",VLOOKUP(Plantilla_SCAN_EQ3_COUNT_2[[#This Row],[ID MATERIAL]],INVENTARIO!$A:$D,2,FALSE))</f>
        <v/>
      </c>
      <c r="F1159" s="7" t="str">
        <f>IF(Plantilla_SCAN_EQ3_COUNT_2[[#This Row],[ID MATERIAL]]="","",IF(Plantilla_SCAN_EQ3_COUNT_2[[#This Row],[No. Empaques]]="",1,Plantilla_SCAN_EQ3_COUNT_2[[#This Row],[No. Empaques]]*1))</f>
        <v/>
      </c>
      <c r="G1159" s="7" t="str">
        <f>IF(Plantilla_SCAN_EQ3_COUNT_2[[#This Row],[ID MATERIAL]]="","","PZ")</f>
        <v/>
      </c>
      <c r="H1159" s="7" t="str">
        <f>IF(Plantilla_SCAN_EQ3_COUNT_2[[#This Row],[ID MATERIAL]]="","",$B$13)</f>
        <v/>
      </c>
      <c r="I1159" s="7" t="str">
        <f>IF(Plantilla_SCAN_EQ3_COUNT_2[[#This Row],[ID MATERIAL]]="","","Segundo Conteo")</f>
        <v/>
      </c>
    </row>
    <row r="1160" spans="1:9" s="7" customFormat="1" ht="15" x14ac:dyDescent="0.2">
      <c r="A1160" s="7" t="str">
        <f>IF(Plantilla_SCAN_EQ3_COUNT_2[[#This Row],[ID MATERIAL]]="","",SIGN(Plantilla_SCAN_EQ3_COUNT_2[[#This Row],[Cantidad]])+A1159)</f>
        <v/>
      </c>
      <c r="B1160" s="21" t="str">
        <f>IF(Plantilla_SCAN_EQ3_COUNT_2[[#This Row],[ID MATERIAL]]="","",B1159)</f>
        <v/>
      </c>
      <c r="C1160" s="21"/>
      <c r="D1160" s="21"/>
      <c r="E1160" s="7" t="str">
        <f>IF(Plantilla_SCAN_EQ3_COUNT_2[[#This Row],[ID MATERIAL]]="","",VLOOKUP(Plantilla_SCAN_EQ3_COUNT_2[[#This Row],[ID MATERIAL]],INVENTARIO!$A:$D,2,FALSE))</f>
        <v/>
      </c>
      <c r="F1160" s="7" t="str">
        <f>IF(Plantilla_SCAN_EQ3_COUNT_2[[#This Row],[ID MATERIAL]]="","",IF(Plantilla_SCAN_EQ3_COUNT_2[[#This Row],[No. Empaques]]="",1,Plantilla_SCAN_EQ3_COUNT_2[[#This Row],[No. Empaques]]*1))</f>
        <v/>
      </c>
      <c r="G1160" s="7" t="str">
        <f>IF(Plantilla_SCAN_EQ3_COUNT_2[[#This Row],[ID MATERIAL]]="","","PZ")</f>
        <v/>
      </c>
      <c r="H1160" s="7" t="str">
        <f>IF(Plantilla_SCAN_EQ3_COUNT_2[[#This Row],[ID MATERIAL]]="","",$B$13)</f>
        <v/>
      </c>
      <c r="I1160" s="7" t="str">
        <f>IF(Plantilla_SCAN_EQ3_COUNT_2[[#This Row],[ID MATERIAL]]="","","Segundo Conteo")</f>
        <v/>
      </c>
    </row>
    <row r="1161" spans="1:9" s="7" customFormat="1" ht="15" x14ac:dyDescent="0.2">
      <c r="A1161" s="7" t="str">
        <f>IF(Plantilla_SCAN_EQ3_COUNT_2[[#This Row],[ID MATERIAL]]="","",SIGN(Plantilla_SCAN_EQ3_COUNT_2[[#This Row],[Cantidad]])+A1160)</f>
        <v/>
      </c>
      <c r="B1161" s="21" t="str">
        <f>IF(Plantilla_SCAN_EQ3_COUNT_2[[#This Row],[ID MATERIAL]]="","",B1160)</f>
        <v/>
      </c>
      <c r="C1161" s="21"/>
      <c r="D1161" s="21"/>
      <c r="E1161" s="7" t="str">
        <f>IF(Plantilla_SCAN_EQ3_COUNT_2[[#This Row],[ID MATERIAL]]="","",VLOOKUP(Plantilla_SCAN_EQ3_COUNT_2[[#This Row],[ID MATERIAL]],INVENTARIO!$A:$D,2,FALSE))</f>
        <v/>
      </c>
      <c r="F1161" s="7" t="str">
        <f>IF(Plantilla_SCAN_EQ3_COUNT_2[[#This Row],[ID MATERIAL]]="","",IF(Plantilla_SCAN_EQ3_COUNT_2[[#This Row],[No. Empaques]]="",1,Plantilla_SCAN_EQ3_COUNT_2[[#This Row],[No. Empaques]]*1))</f>
        <v/>
      </c>
      <c r="G1161" s="7" t="str">
        <f>IF(Plantilla_SCAN_EQ3_COUNT_2[[#This Row],[ID MATERIAL]]="","","PZ")</f>
        <v/>
      </c>
      <c r="H1161" s="7" t="str">
        <f>IF(Plantilla_SCAN_EQ3_COUNT_2[[#This Row],[ID MATERIAL]]="","",$B$13)</f>
        <v/>
      </c>
      <c r="I1161" s="7" t="str">
        <f>IF(Plantilla_SCAN_EQ3_COUNT_2[[#This Row],[ID MATERIAL]]="","","Segundo Conteo")</f>
        <v/>
      </c>
    </row>
    <row r="1162" spans="1:9" s="7" customFormat="1" ht="15" x14ac:dyDescent="0.2">
      <c r="A1162" s="7" t="str">
        <f>IF(Plantilla_SCAN_EQ3_COUNT_2[[#This Row],[ID MATERIAL]]="","",SIGN(Plantilla_SCAN_EQ3_COUNT_2[[#This Row],[Cantidad]])+A1161)</f>
        <v/>
      </c>
      <c r="B1162" s="21" t="str">
        <f>IF(Plantilla_SCAN_EQ3_COUNT_2[[#This Row],[ID MATERIAL]]="","",B1161)</f>
        <v/>
      </c>
      <c r="C1162" s="21"/>
      <c r="D1162" s="21"/>
      <c r="E1162" s="7" t="str">
        <f>IF(Plantilla_SCAN_EQ3_COUNT_2[[#This Row],[ID MATERIAL]]="","",VLOOKUP(Plantilla_SCAN_EQ3_COUNT_2[[#This Row],[ID MATERIAL]],INVENTARIO!$A:$D,2,FALSE))</f>
        <v/>
      </c>
      <c r="F1162" s="7" t="str">
        <f>IF(Plantilla_SCAN_EQ3_COUNT_2[[#This Row],[ID MATERIAL]]="","",IF(Plantilla_SCAN_EQ3_COUNT_2[[#This Row],[No. Empaques]]="",1,Plantilla_SCAN_EQ3_COUNT_2[[#This Row],[No. Empaques]]*1))</f>
        <v/>
      </c>
      <c r="G1162" s="7" t="str">
        <f>IF(Plantilla_SCAN_EQ3_COUNT_2[[#This Row],[ID MATERIAL]]="","","PZ")</f>
        <v/>
      </c>
      <c r="H1162" s="7" t="str">
        <f>IF(Plantilla_SCAN_EQ3_COUNT_2[[#This Row],[ID MATERIAL]]="","",$B$13)</f>
        <v/>
      </c>
      <c r="I1162" s="7" t="str">
        <f>IF(Plantilla_SCAN_EQ3_COUNT_2[[#This Row],[ID MATERIAL]]="","","Segundo Conteo")</f>
        <v/>
      </c>
    </row>
    <row r="1163" spans="1:9" s="7" customFormat="1" ht="15" x14ac:dyDescent="0.2">
      <c r="A1163" s="7" t="str">
        <f>IF(Plantilla_SCAN_EQ3_COUNT_2[[#This Row],[ID MATERIAL]]="","",SIGN(Plantilla_SCAN_EQ3_COUNT_2[[#This Row],[Cantidad]])+A1162)</f>
        <v/>
      </c>
      <c r="B1163" s="21" t="str">
        <f>IF(Plantilla_SCAN_EQ3_COUNT_2[[#This Row],[ID MATERIAL]]="","",B1162)</f>
        <v/>
      </c>
      <c r="C1163" s="21"/>
      <c r="D1163" s="21"/>
      <c r="E1163" s="7" t="str">
        <f>IF(Plantilla_SCAN_EQ3_COUNT_2[[#This Row],[ID MATERIAL]]="","",VLOOKUP(Plantilla_SCAN_EQ3_COUNT_2[[#This Row],[ID MATERIAL]],INVENTARIO!$A:$D,2,FALSE))</f>
        <v/>
      </c>
      <c r="F1163" s="7" t="str">
        <f>IF(Plantilla_SCAN_EQ3_COUNT_2[[#This Row],[ID MATERIAL]]="","",IF(Plantilla_SCAN_EQ3_COUNT_2[[#This Row],[No. Empaques]]="",1,Plantilla_SCAN_EQ3_COUNT_2[[#This Row],[No. Empaques]]*1))</f>
        <v/>
      </c>
      <c r="G1163" s="7" t="str">
        <f>IF(Plantilla_SCAN_EQ3_COUNT_2[[#This Row],[ID MATERIAL]]="","","PZ")</f>
        <v/>
      </c>
      <c r="H1163" s="7" t="str">
        <f>IF(Plantilla_SCAN_EQ3_COUNT_2[[#This Row],[ID MATERIAL]]="","",$B$13)</f>
        <v/>
      </c>
      <c r="I1163" s="7" t="str">
        <f>IF(Plantilla_SCAN_EQ3_COUNT_2[[#This Row],[ID MATERIAL]]="","","Segundo Conteo")</f>
        <v/>
      </c>
    </row>
    <row r="1164" spans="1:9" s="7" customFormat="1" ht="15" x14ac:dyDescent="0.2">
      <c r="A1164" s="7" t="str">
        <f>IF(Plantilla_SCAN_EQ3_COUNT_2[[#This Row],[ID MATERIAL]]="","",SIGN(Plantilla_SCAN_EQ3_COUNT_2[[#This Row],[Cantidad]])+A1163)</f>
        <v/>
      </c>
      <c r="B1164" s="21" t="str">
        <f>IF(Plantilla_SCAN_EQ3_COUNT_2[[#This Row],[ID MATERIAL]]="","",B1163)</f>
        <v/>
      </c>
      <c r="C1164" s="21"/>
      <c r="D1164" s="21"/>
      <c r="E1164" s="7" t="str">
        <f>IF(Plantilla_SCAN_EQ3_COUNT_2[[#This Row],[ID MATERIAL]]="","",VLOOKUP(Plantilla_SCAN_EQ3_COUNT_2[[#This Row],[ID MATERIAL]],INVENTARIO!$A:$D,2,FALSE))</f>
        <v/>
      </c>
      <c r="F1164" s="7" t="str">
        <f>IF(Plantilla_SCAN_EQ3_COUNT_2[[#This Row],[ID MATERIAL]]="","",IF(Plantilla_SCAN_EQ3_COUNT_2[[#This Row],[No. Empaques]]="",1,Plantilla_SCAN_EQ3_COUNT_2[[#This Row],[No. Empaques]]*1))</f>
        <v/>
      </c>
      <c r="G1164" s="7" t="str">
        <f>IF(Plantilla_SCAN_EQ3_COUNT_2[[#This Row],[ID MATERIAL]]="","","PZ")</f>
        <v/>
      </c>
      <c r="H1164" s="7" t="str">
        <f>IF(Plantilla_SCAN_EQ3_COUNT_2[[#This Row],[ID MATERIAL]]="","",$B$13)</f>
        <v/>
      </c>
      <c r="I1164" s="7" t="str">
        <f>IF(Plantilla_SCAN_EQ3_COUNT_2[[#This Row],[ID MATERIAL]]="","","Segundo Conteo")</f>
        <v/>
      </c>
    </row>
    <row r="1165" spans="1:9" s="7" customFormat="1" ht="15" x14ac:dyDescent="0.2">
      <c r="A1165" s="7" t="str">
        <f>IF(Plantilla_SCAN_EQ3_COUNT_2[[#This Row],[ID MATERIAL]]="","",SIGN(Plantilla_SCAN_EQ3_COUNT_2[[#This Row],[Cantidad]])+A1164)</f>
        <v/>
      </c>
      <c r="B1165" s="21" t="str">
        <f>IF(Plantilla_SCAN_EQ3_COUNT_2[[#This Row],[ID MATERIAL]]="","",B1164)</f>
        <v/>
      </c>
      <c r="C1165" s="21"/>
      <c r="D1165" s="21"/>
      <c r="E1165" s="7" t="str">
        <f>IF(Plantilla_SCAN_EQ3_COUNT_2[[#This Row],[ID MATERIAL]]="","",VLOOKUP(Plantilla_SCAN_EQ3_COUNT_2[[#This Row],[ID MATERIAL]],INVENTARIO!$A:$D,2,FALSE))</f>
        <v/>
      </c>
      <c r="F1165" s="7" t="str">
        <f>IF(Plantilla_SCAN_EQ3_COUNT_2[[#This Row],[ID MATERIAL]]="","",IF(Plantilla_SCAN_EQ3_COUNT_2[[#This Row],[No. Empaques]]="",1,Plantilla_SCAN_EQ3_COUNT_2[[#This Row],[No. Empaques]]*1))</f>
        <v/>
      </c>
      <c r="G1165" s="7" t="str">
        <f>IF(Plantilla_SCAN_EQ3_COUNT_2[[#This Row],[ID MATERIAL]]="","","PZ")</f>
        <v/>
      </c>
      <c r="H1165" s="7" t="str">
        <f>IF(Plantilla_SCAN_EQ3_COUNT_2[[#This Row],[ID MATERIAL]]="","",$B$13)</f>
        <v/>
      </c>
      <c r="I1165" s="7" t="str">
        <f>IF(Plantilla_SCAN_EQ3_COUNT_2[[#This Row],[ID MATERIAL]]="","","Segundo Conteo")</f>
        <v/>
      </c>
    </row>
    <row r="1166" spans="1:9" s="7" customFormat="1" ht="15" x14ac:dyDescent="0.2">
      <c r="A1166" s="7" t="str">
        <f>IF(Plantilla_SCAN_EQ3_COUNT_2[[#This Row],[ID MATERIAL]]="","",SIGN(Plantilla_SCAN_EQ3_COUNT_2[[#This Row],[Cantidad]])+A1165)</f>
        <v/>
      </c>
      <c r="B1166" s="21" t="str">
        <f>IF(Plantilla_SCAN_EQ3_COUNT_2[[#This Row],[ID MATERIAL]]="","",B1165)</f>
        <v/>
      </c>
      <c r="C1166" s="21"/>
      <c r="D1166" s="21"/>
      <c r="E1166" s="7" t="str">
        <f>IF(Plantilla_SCAN_EQ3_COUNT_2[[#This Row],[ID MATERIAL]]="","",VLOOKUP(Plantilla_SCAN_EQ3_COUNT_2[[#This Row],[ID MATERIAL]],INVENTARIO!$A:$D,2,FALSE))</f>
        <v/>
      </c>
      <c r="F1166" s="7" t="str">
        <f>IF(Plantilla_SCAN_EQ3_COUNT_2[[#This Row],[ID MATERIAL]]="","",IF(Plantilla_SCAN_EQ3_COUNT_2[[#This Row],[No. Empaques]]="",1,Plantilla_SCAN_EQ3_COUNT_2[[#This Row],[No. Empaques]]*1))</f>
        <v/>
      </c>
      <c r="G1166" s="7" t="str">
        <f>IF(Plantilla_SCAN_EQ3_COUNT_2[[#This Row],[ID MATERIAL]]="","","PZ")</f>
        <v/>
      </c>
      <c r="H1166" s="7" t="str">
        <f>IF(Plantilla_SCAN_EQ3_COUNT_2[[#This Row],[ID MATERIAL]]="","",$B$13)</f>
        <v/>
      </c>
      <c r="I1166" s="7" t="str">
        <f>IF(Plantilla_SCAN_EQ3_COUNT_2[[#This Row],[ID MATERIAL]]="","","Segundo Conteo")</f>
        <v/>
      </c>
    </row>
    <row r="1167" spans="1:9" s="7" customFormat="1" ht="15" x14ac:dyDescent="0.2">
      <c r="A1167" s="7" t="str">
        <f>IF(Plantilla_SCAN_EQ3_COUNT_2[[#This Row],[ID MATERIAL]]="","",SIGN(Plantilla_SCAN_EQ3_COUNT_2[[#This Row],[Cantidad]])+A1166)</f>
        <v/>
      </c>
      <c r="B1167" s="21" t="str">
        <f>IF(Plantilla_SCAN_EQ3_COUNT_2[[#This Row],[ID MATERIAL]]="","",B1166)</f>
        <v/>
      </c>
      <c r="C1167" s="21"/>
      <c r="D1167" s="21"/>
      <c r="E1167" s="7" t="str">
        <f>IF(Plantilla_SCAN_EQ3_COUNT_2[[#This Row],[ID MATERIAL]]="","",VLOOKUP(Plantilla_SCAN_EQ3_COUNT_2[[#This Row],[ID MATERIAL]],INVENTARIO!$A:$D,2,FALSE))</f>
        <v/>
      </c>
      <c r="F1167" s="7" t="str">
        <f>IF(Plantilla_SCAN_EQ3_COUNT_2[[#This Row],[ID MATERIAL]]="","",IF(Plantilla_SCAN_EQ3_COUNT_2[[#This Row],[No. Empaques]]="",1,Plantilla_SCAN_EQ3_COUNT_2[[#This Row],[No. Empaques]]*1))</f>
        <v/>
      </c>
      <c r="G1167" s="7" t="str">
        <f>IF(Plantilla_SCAN_EQ3_COUNT_2[[#This Row],[ID MATERIAL]]="","","PZ")</f>
        <v/>
      </c>
      <c r="H1167" s="7" t="str">
        <f>IF(Plantilla_SCAN_EQ3_COUNT_2[[#This Row],[ID MATERIAL]]="","",$B$13)</f>
        <v/>
      </c>
      <c r="I1167" s="7" t="str">
        <f>IF(Plantilla_SCAN_EQ3_COUNT_2[[#This Row],[ID MATERIAL]]="","","Segundo Conteo")</f>
        <v/>
      </c>
    </row>
    <row r="1168" spans="1:9" s="7" customFormat="1" ht="15" x14ac:dyDescent="0.2">
      <c r="A1168" s="7" t="str">
        <f>IF(Plantilla_SCAN_EQ3_COUNT_2[[#This Row],[ID MATERIAL]]="","",SIGN(Plantilla_SCAN_EQ3_COUNT_2[[#This Row],[Cantidad]])+A1167)</f>
        <v/>
      </c>
      <c r="B1168" s="21" t="str">
        <f>IF(Plantilla_SCAN_EQ3_COUNT_2[[#This Row],[ID MATERIAL]]="","",B1167)</f>
        <v/>
      </c>
      <c r="C1168" s="21"/>
      <c r="D1168" s="21"/>
      <c r="E1168" s="7" t="str">
        <f>IF(Plantilla_SCAN_EQ3_COUNT_2[[#This Row],[ID MATERIAL]]="","",VLOOKUP(Plantilla_SCAN_EQ3_COUNT_2[[#This Row],[ID MATERIAL]],INVENTARIO!$A:$D,2,FALSE))</f>
        <v/>
      </c>
      <c r="F1168" s="7" t="str">
        <f>IF(Plantilla_SCAN_EQ3_COUNT_2[[#This Row],[ID MATERIAL]]="","",IF(Plantilla_SCAN_EQ3_COUNT_2[[#This Row],[No. Empaques]]="",1,Plantilla_SCAN_EQ3_COUNT_2[[#This Row],[No. Empaques]]*1))</f>
        <v/>
      </c>
      <c r="G1168" s="7" t="str">
        <f>IF(Plantilla_SCAN_EQ3_COUNT_2[[#This Row],[ID MATERIAL]]="","","PZ")</f>
        <v/>
      </c>
      <c r="H1168" s="7" t="str">
        <f>IF(Plantilla_SCAN_EQ3_COUNT_2[[#This Row],[ID MATERIAL]]="","",$B$13)</f>
        <v/>
      </c>
      <c r="I1168" s="7" t="str">
        <f>IF(Plantilla_SCAN_EQ3_COUNT_2[[#This Row],[ID MATERIAL]]="","","Segundo Conteo")</f>
        <v/>
      </c>
    </row>
    <row r="1169" spans="1:9" s="7" customFormat="1" ht="15" x14ac:dyDescent="0.2">
      <c r="A1169" s="7" t="str">
        <f>IF(Plantilla_SCAN_EQ3_COUNT_2[[#This Row],[ID MATERIAL]]="","",SIGN(Plantilla_SCAN_EQ3_COUNT_2[[#This Row],[Cantidad]])+A1168)</f>
        <v/>
      </c>
      <c r="B1169" s="21" t="str">
        <f>IF(Plantilla_SCAN_EQ3_COUNT_2[[#This Row],[ID MATERIAL]]="","",B1168)</f>
        <v/>
      </c>
      <c r="C1169" s="21"/>
      <c r="D1169" s="21"/>
      <c r="E1169" s="7" t="str">
        <f>IF(Plantilla_SCAN_EQ3_COUNT_2[[#This Row],[ID MATERIAL]]="","",VLOOKUP(Plantilla_SCAN_EQ3_COUNT_2[[#This Row],[ID MATERIAL]],INVENTARIO!$A:$D,2,FALSE))</f>
        <v/>
      </c>
      <c r="F1169" s="7" t="str">
        <f>IF(Plantilla_SCAN_EQ3_COUNT_2[[#This Row],[ID MATERIAL]]="","",IF(Plantilla_SCAN_EQ3_COUNT_2[[#This Row],[No. Empaques]]="",1,Plantilla_SCAN_EQ3_COUNT_2[[#This Row],[No. Empaques]]*1))</f>
        <v/>
      </c>
      <c r="G1169" s="7" t="str">
        <f>IF(Plantilla_SCAN_EQ3_COUNT_2[[#This Row],[ID MATERIAL]]="","","PZ")</f>
        <v/>
      </c>
      <c r="H1169" s="7" t="str">
        <f>IF(Plantilla_SCAN_EQ3_COUNT_2[[#This Row],[ID MATERIAL]]="","",$B$13)</f>
        <v/>
      </c>
      <c r="I1169" s="7" t="str">
        <f>IF(Plantilla_SCAN_EQ3_COUNT_2[[#This Row],[ID MATERIAL]]="","","Segundo Conteo")</f>
        <v/>
      </c>
    </row>
    <row r="1170" spans="1:9" s="7" customFormat="1" ht="15" x14ac:dyDescent="0.2">
      <c r="A1170" s="7" t="str">
        <f>IF(Plantilla_SCAN_EQ3_COUNT_2[[#This Row],[ID MATERIAL]]="","",SIGN(Plantilla_SCAN_EQ3_COUNT_2[[#This Row],[Cantidad]])+A1169)</f>
        <v/>
      </c>
      <c r="B1170" s="21" t="str">
        <f>IF(Plantilla_SCAN_EQ3_COUNT_2[[#This Row],[ID MATERIAL]]="","",B1169)</f>
        <v/>
      </c>
      <c r="C1170" s="21"/>
      <c r="D1170" s="21"/>
      <c r="E1170" s="7" t="str">
        <f>IF(Plantilla_SCAN_EQ3_COUNT_2[[#This Row],[ID MATERIAL]]="","",VLOOKUP(Plantilla_SCAN_EQ3_COUNT_2[[#This Row],[ID MATERIAL]],INVENTARIO!$A:$D,2,FALSE))</f>
        <v/>
      </c>
      <c r="F1170" s="7" t="str">
        <f>IF(Plantilla_SCAN_EQ3_COUNT_2[[#This Row],[ID MATERIAL]]="","",IF(Plantilla_SCAN_EQ3_COUNT_2[[#This Row],[No. Empaques]]="",1,Plantilla_SCAN_EQ3_COUNT_2[[#This Row],[No. Empaques]]*1))</f>
        <v/>
      </c>
      <c r="G1170" s="7" t="str">
        <f>IF(Plantilla_SCAN_EQ3_COUNT_2[[#This Row],[ID MATERIAL]]="","","PZ")</f>
        <v/>
      </c>
      <c r="H1170" s="7" t="str">
        <f>IF(Plantilla_SCAN_EQ3_COUNT_2[[#This Row],[ID MATERIAL]]="","",$B$13)</f>
        <v/>
      </c>
      <c r="I1170" s="7" t="str">
        <f>IF(Plantilla_SCAN_EQ3_COUNT_2[[#This Row],[ID MATERIAL]]="","","Segundo Conteo")</f>
        <v/>
      </c>
    </row>
    <row r="1171" spans="1:9" s="7" customFormat="1" ht="15" x14ac:dyDescent="0.2">
      <c r="A1171" s="7" t="str">
        <f>IF(Plantilla_SCAN_EQ3_COUNT_2[[#This Row],[ID MATERIAL]]="","",SIGN(Plantilla_SCAN_EQ3_COUNT_2[[#This Row],[Cantidad]])+A1170)</f>
        <v/>
      </c>
      <c r="B1171" s="21" t="str">
        <f>IF(Plantilla_SCAN_EQ3_COUNT_2[[#This Row],[ID MATERIAL]]="","",B1170)</f>
        <v/>
      </c>
      <c r="C1171" s="21"/>
      <c r="D1171" s="21"/>
      <c r="E1171" s="7" t="str">
        <f>IF(Plantilla_SCAN_EQ3_COUNT_2[[#This Row],[ID MATERIAL]]="","",VLOOKUP(Plantilla_SCAN_EQ3_COUNT_2[[#This Row],[ID MATERIAL]],INVENTARIO!$A:$D,2,FALSE))</f>
        <v/>
      </c>
      <c r="F1171" s="7" t="str">
        <f>IF(Plantilla_SCAN_EQ3_COUNT_2[[#This Row],[ID MATERIAL]]="","",IF(Plantilla_SCAN_EQ3_COUNT_2[[#This Row],[No. Empaques]]="",1,Plantilla_SCAN_EQ3_COUNT_2[[#This Row],[No. Empaques]]*1))</f>
        <v/>
      </c>
      <c r="G1171" s="7" t="str">
        <f>IF(Plantilla_SCAN_EQ3_COUNT_2[[#This Row],[ID MATERIAL]]="","","PZ")</f>
        <v/>
      </c>
      <c r="H1171" s="7" t="str">
        <f>IF(Plantilla_SCAN_EQ3_COUNT_2[[#This Row],[ID MATERIAL]]="","",$B$13)</f>
        <v/>
      </c>
      <c r="I1171" s="7" t="str">
        <f>IF(Plantilla_SCAN_EQ3_COUNT_2[[#This Row],[ID MATERIAL]]="","","Segundo Conteo")</f>
        <v/>
      </c>
    </row>
    <row r="1172" spans="1:9" s="7" customFormat="1" ht="15" x14ac:dyDescent="0.2">
      <c r="A1172" s="7" t="str">
        <f>IF(Plantilla_SCAN_EQ3_COUNT_2[[#This Row],[ID MATERIAL]]="","",SIGN(Plantilla_SCAN_EQ3_COUNT_2[[#This Row],[Cantidad]])+A1171)</f>
        <v/>
      </c>
      <c r="B1172" s="21" t="str">
        <f>IF(Plantilla_SCAN_EQ3_COUNT_2[[#This Row],[ID MATERIAL]]="","",B1171)</f>
        <v/>
      </c>
      <c r="C1172" s="21"/>
      <c r="D1172" s="21"/>
      <c r="E1172" s="7" t="str">
        <f>IF(Plantilla_SCAN_EQ3_COUNT_2[[#This Row],[ID MATERIAL]]="","",VLOOKUP(Plantilla_SCAN_EQ3_COUNT_2[[#This Row],[ID MATERIAL]],INVENTARIO!$A:$D,2,FALSE))</f>
        <v/>
      </c>
      <c r="F1172" s="7" t="str">
        <f>IF(Plantilla_SCAN_EQ3_COUNT_2[[#This Row],[ID MATERIAL]]="","",IF(Plantilla_SCAN_EQ3_COUNT_2[[#This Row],[No. Empaques]]="",1,Plantilla_SCAN_EQ3_COUNT_2[[#This Row],[No. Empaques]]*1))</f>
        <v/>
      </c>
      <c r="G1172" s="7" t="str">
        <f>IF(Plantilla_SCAN_EQ3_COUNT_2[[#This Row],[ID MATERIAL]]="","","PZ")</f>
        <v/>
      </c>
      <c r="H1172" s="7" t="str">
        <f>IF(Plantilla_SCAN_EQ3_COUNT_2[[#This Row],[ID MATERIAL]]="","",$B$13)</f>
        <v/>
      </c>
      <c r="I1172" s="7" t="str">
        <f>IF(Plantilla_SCAN_EQ3_COUNT_2[[#This Row],[ID MATERIAL]]="","","Segundo Conteo")</f>
        <v/>
      </c>
    </row>
    <row r="1173" spans="1:9" s="7" customFormat="1" ht="15" x14ac:dyDescent="0.2">
      <c r="A1173" s="7" t="str">
        <f>IF(Plantilla_SCAN_EQ3_COUNT_2[[#This Row],[ID MATERIAL]]="","",SIGN(Plantilla_SCAN_EQ3_COUNT_2[[#This Row],[Cantidad]])+A1172)</f>
        <v/>
      </c>
      <c r="B1173" s="21" t="str">
        <f>IF(Plantilla_SCAN_EQ3_COUNT_2[[#This Row],[ID MATERIAL]]="","",B1172)</f>
        <v/>
      </c>
      <c r="C1173" s="21"/>
      <c r="D1173" s="21"/>
      <c r="E1173" s="7" t="str">
        <f>IF(Plantilla_SCAN_EQ3_COUNT_2[[#This Row],[ID MATERIAL]]="","",VLOOKUP(Plantilla_SCAN_EQ3_COUNT_2[[#This Row],[ID MATERIAL]],INVENTARIO!$A:$D,2,FALSE))</f>
        <v/>
      </c>
      <c r="F1173" s="7" t="str">
        <f>IF(Plantilla_SCAN_EQ3_COUNT_2[[#This Row],[ID MATERIAL]]="","",IF(Plantilla_SCAN_EQ3_COUNT_2[[#This Row],[No. Empaques]]="",1,Plantilla_SCAN_EQ3_COUNT_2[[#This Row],[No. Empaques]]*1))</f>
        <v/>
      </c>
      <c r="G1173" s="7" t="str">
        <f>IF(Plantilla_SCAN_EQ3_COUNT_2[[#This Row],[ID MATERIAL]]="","","PZ")</f>
        <v/>
      </c>
      <c r="H1173" s="7" t="str">
        <f>IF(Plantilla_SCAN_EQ3_COUNT_2[[#This Row],[ID MATERIAL]]="","",$B$13)</f>
        <v/>
      </c>
      <c r="I1173" s="7" t="str">
        <f>IF(Plantilla_SCAN_EQ3_COUNT_2[[#This Row],[ID MATERIAL]]="","","Segundo Conteo")</f>
        <v/>
      </c>
    </row>
    <row r="1174" spans="1:9" s="7" customFormat="1" ht="15" x14ac:dyDescent="0.2">
      <c r="A1174" s="7" t="str">
        <f>IF(Plantilla_SCAN_EQ3_COUNT_2[[#This Row],[ID MATERIAL]]="","",SIGN(Plantilla_SCAN_EQ3_COUNT_2[[#This Row],[Cantidad]])+A1173)</f>
        <v/>
      </c>
      <c r="B1174" s="21" t="str">
        <f>IF(Plantilla_SCAN_EQ3_COUNT_2[[#This Row],[ID MATERIAL]]="","",B1173)</f>
        <v/>
      </c>
      <c r="C1174" s="21"/>
      <c r="D1174" s="21"/>
      <c r="E1174" s="7" t="str">
        <f>IF(Plantilla_SCAN_EQ3_COUNT_2[[#This Row],[ID MATERIAL]]="","",VLOOKUP(Plantilla_SCAN_EQ3_COUNT_2[[#This Row],[ID MATERIAL]],INVENTARIO!$A:$D,2,FALSE))</f>
        <v/>
      </c>
      <c r="F1174" s="7" t="str">
        <f>IF(Plantilla_SCAN_EQ3_COUNT_2[[#This Row],[ID MATERIAL]]="","",IF(Plantilla_SCAN_EQ3_COUNT_2[[#This Row],[No. Empaques]]="",1,Plantilla_SCAN_EQ3_COUNT_2[[#This Row],[No. Empaques]]*1))</f>
        <v/>
      </c>
      <c r="G1174" s="7" t="str">
        <f>IF(Plantilla_SCAN_EQ3_COUNT_2[[#This Row],[ID MATERIAL]]="","","PZ")</f>
        <v/>
      </c>
      <c r="H1174" s="7" t="str">
        <f>IF(Plantilla_SCAN_EQ3_COUNT_2[[#This Row],[ID MATERIAL]]="","",$B$13)</f>
        <v/>
      </c>
      <c r="I1174" s="7" t="str">
        <f>IF(Plantilla_SCAN_EQ3_COUNT_2[[#This Row],[ID MATERIAL]]="","","Segundo Conteo")</f>
        <v/>
      </c>
    </row>
    <row r="1175" spans="1:9" s="7" customFormat="1" ht="15" x14ac:dyDescent="0.2">
      <c r="A1175" s="7" t="str">
        <f>IF(Plantilla_SCAN_EQ3_COUNT_2[[#This Row],[ID MATERIAL]]="","",SIGN(Plantilla_SCAN_EQ3_COUNT_2[[#This Row],[Cantidad]])+A1174)</f>
        <v/>
      </c>
      <c r="B1175" s="21" t="str">
        <f>IF(Plantilla_SCAN_EQ3_COUNT_2[[#This Row],[ID MATERIAL]]="","",B1174)</f>
        <v/>
      </c>
      <c r="C1175" s="21"/>
      <c r="D1175" s="21"/>
      <c r="E1175" s="7" t="str">
        <f>IF(Plantilla_SCAN_EQ3_COUNT_2[[#This Row],[ID MATERIAL]]="","",VLOOKUP(Plantilla_SCAN_EQ3_COUNT_2[[#This Row],[ID MATERIAL]],INVENTARIO!$A:$D,2,FALSE))</f>
        <v/>
      </c>
      <c r="F1175" s="7" t="str">
        <f>IF(Plantilla_SCAN_EQ3_COUNT_2[[#This Row],[ID MATERIAL]]="","",IF(Plantilla_SCAN_EQ3_COUNT_2[[#This Row],[No. Empaques]]="",1,Plantilla_SCAN_EQ3_COUNT_2[[#This Row],[No. Empaques]]*1))</f>
        <v/>
      </c>
      <c r="G1175" s="7" t="str">
        <f>IF(Plantilla_SCAN_EQ3_COUNT_2[[#This Row],[ID MATERIAL]]="","","PZ")</f>
        <v/>
      </c>
      <c r="H1175" s="7" t="str">
        <f>IF(Plantilla_SCAN_EQ3_COUNT_2[[#This Row],[ID MATERIAL]]="","",$B$13)</f>
        <v/>
      </c>
      <c r="I1175" s="7" t="str">
        <f>IF(Plantilla_SCAN_EQ3_COUNT_2[[#This Row],[ID MATERIAL]]="","","Segundo Conteo")</f>
        <v/>
      </c>
    </row>
    <row r="1176" spans="1:9" s="7" customFormat="1" ht="15" x14ac:dyDescent="0.2">
      <c r="A1176" s="7" t="str">
        <f>IF(Plantilla_SCAN_EQ3_COUNT_2[[#This Row],[ID MATERIAL]]="","",SIGN(Plantilla_SCAN_EQ3_COUNT_2[[#This Row],[Cantidad]])+A1175)</f>
        <v/>
      </c>
      <c r="B1176" s="21" t="str">
        <f>IF(Plantilla_SCAN_EQ3_COUNT_2[[#This Row],[ID MATERIAL]]="","",B1175)</f>
        <v/>
      </c>
      <c r="C1176" s="21"/>
      <c r="D1176" s="21"/>
      <c r="E1176" s="7" t="str">
        <f>IF(Plantilla_SCAN_EQ3_COUNT_2[[#This Row],[ID MATERIAL]]="","",VLOOKUP(Plantilla_SCAN_EQ3_COUNT_2[[#This Row],[ID MATERIAL]],INVENTARIO!$A:$D,2,FALSE))</f>
        <v/>
      </c>
      <c r="F1176" s="7" t="str">
        <f>IF(Plantilla_SCAN_EQ3_COUNT_2[[#This Row],[ID MATERIAL]]="","",IF(Plantilla_SCAN_EQ3_COUNT_2[[#This Row],[No. Empaques]]="",1,Plantilla_SCAN_EQ3_COUNT_2[[#This Row],[No. Empaques]]*1))</f>
        <v/>
      </c>
      <c r="G1176" s="7" t="str">
        <f>IF(Plantilla_SCAN_EQ3_COUNT_2[[#This Row],[ID MATERIAL]]="","","PZ")</f>
        <v/>
      </c>
      <c r="H1176" s="7" t="str">
        <f>IF(Plantilla_SCAN_EQ3_COUNT_2[[#This Row],[ID MATERIAL]]="","",$B$13)</f>
        <v/>
      </c>
      <c r="I1176" s="7" t="str">
        <f>IF(Plantilla_SCAN_EQ3_COUNT_2[[#This Row],[ID MATERIAL]]="","","Segundo Conteo")</f>
        <v/>
      </c>
    </row>
    <row r="1177" spans="1:9" s="7" customFormat="1" ht="15" x14ac:dyDescent="0.2">
      <c r="A1177" s="7" t="str">
        <f>IF(Plantilla_SCAN_EQ3_COUNT_2[[#This Row],[ID MATERIAL]]="","",SIGN(Plantilla_SCAN_EQ3_COUNT_2[[#This Row],[Cantidad]])+A1176)</f>
        <v/>
      </c>
      <c r="B1177" s="21" t="str">
        <f>IF(Plantilla_SCAN_EQ3_COUNT_2[[#This Row],[ID MATERIAL]]="","",B1176)</f>
        <v/>
      </c>
      <c r="C1177" s="21"/>
      <c r="D1177" s="21"/>
      <c r="E1177" s="7" t="str">
        <f>IF(Plantilla_SCAN_EQ3_COUNT_2[[#This Row],[ID MATERIAL]]="","",VLOOKUP(Plantilla_SCAN_EQ3_COUNT_2[[#This Row],[ID MATERIAL]],INVENTARIO!$A:$D,2,FALSE))</f>
        <v/>
      </c>
      <c r="F1177" s="7" t="str">
        <f>IF(Plantilla_SCAN_EQ3_COUNT_2[[#This Row],[ID MATERIAL]]="","",IF(Plantilla_SCAN_EQ3_COUNT_2[[#This Row],[No. Empaques]]="",1,Plantilla_SCAN_EQ3_COUNT_2[[#This Row],[No. Empaques]]*1))</f>
        <v/>
      </c>
      <c r="G1177" s="7" t="str">
        <f>IF(Plantilla_SCAN_EQ3_COUNT_2[[#This Row],[ID MATERIAL]]="","","PZ")</f>
        <v/>
      </c>
      <c r="H1177" s="7" t="str">
        <f>IF(Plantilla_SCAN_EQ3_COUNT_2[[#This Row],[ID MATERIAL]]="","",$B$13)</f>
        <v/>
      </c>
      <c r="I1177" s="7" t="str">
        <f>IF(Plantilla_SCAN_EQ3_COUNT_2[[#This Row],[ID MATERIAL]]="","","Segundo Conteo")</f>
        <v/>
      </c>
    </row>
    <row r="1178" spans="1:9" s="7" customFormat="1" ht="15" x14ac:dyDescent="0.2">
      <c r="A1178" s="7" t="str">
        <f>IF(Plantilla_SCAN_EQ3_COUNT_2[[#This Row],[ID MATERIAL]]="","",SIGN(Plantilla_SCAN_EQ3_COUNT_2[[#This Row],[Cantidad]])+A1177)</f>
        <v/>
      </c>
      <c r="B1178" s="21" t="str">
        <f>IF(Plantilla_SCAN_EQ3_COUNT_2[[#This Row],[ID MATERIAL]]="","",B1177)</f>
        <v/>
      </c>
      <c r="C1178" s="21"/>
      <c r="D1178" s="21"/>
      <c r="E1178" s="7" t="str">
        <f>IF(Plantilla_SCAN_EQ3_COUNT_2[[#This Row],[ID MATERIAL]]="","",VLOOKUP(Plantilla_SCAN_EQ3_COUNT_2[[#This Row],[ID MATERIAL]],INVENTARIO!$A:$D,2,FALSE))</f>
        <v/>
      </c>
      <c r="F1178" s="7" t="str">
        <f>IF(Plantilla_SCAN_EQ3_COUNT_2[[#This Row],[ID MATERIAL]]="","",IF(Plantilla_SCAN_EQ3_COUNT_2[[#This Row],[No. Empaques]]="",1,Plantilla_SCAN_EQ3_COUNT_2[[#This Row],[No. Empaques]]*1))</f>
        <v/>
      </c>
      <c r="G1178" s="7" t="str">
        <f>IF(Plantilla_SCAN_EQ3_COUNT_2[[#This Row],[ID MATERIAL]]="","","PZ")</f>
        <v/>
      </c>
      <c r="H1178" s="7" t="str">
        <f>IF(Plantilla_SCAN_EQ3_COUNT_2[[#This Row],[ID MATERIAL]]="","",$B$13)</f>
        <v/>
      </c>
      <c r="I1178" s="7" t="str">
        <f>IF(Plantilla_SCAN_EQ3_COUNT_2[[#This Row],[ID MATERIAL]]="","","Segundo Conteo")</f>
        <v/>
      </c>
    </row>
    <row r="1179" spans="1:9" s="7" customFormat="1" ht="15" x14ac:dyDescent="0.2">
      <c r="A1179" s="7" t="str">
        <f>IF(Plantilla_SCAN_EQ3_COUNT_2[[#This Row],[ID MATERIAL]]="","",SIGN(Plantilla_SCAN_EQ3_COUNT_2[[#This Row],[Cantidad]])+A1178)</f>
        <v/>
      </c>
      <c r="B1179" s="21" t="str">
        <f>IF(Plantilla_SCAN_EQ3_COUNT_2[[#This Row],[ID MATERIAL]]="","",B1178)</f>
        <v/>
      </c>
      <c r="C1179" s="21"/>
      <c r="D1179" s="21"/>
      <c r="E1179" s="7" t="str">
        <f>IF(Plantilla_SCAN_EQ3_COUNT_2[[#This Row],[ID MATERIAL]]="","",VLOOKUP(Plantilla_SCAN_EQ3_COUNT_2[[#This Row],[ID MATERIAL]],INVENTARIO!$A:$D,2,FALSE))</f>
        <v/>
      </c>
      <c r="F1179" s="7" t="str">
        <f>IF(Plantilla_SCAN_EQ3_COUNT_2[[#This Row],[ID MATERIAL]]="","",IF(Plantilla_SCAN_EQ3_COUNT_2[[#This Row],[No. Empaques]]="",1,Plantilla_SCAN_EQ3_COUNT_2[[#This Row],[No. Empaques]]*1))</f>
        <v/>
      </c>
      <c r="G1179" s="7" t="str">
        <f>IF(Plantilla_SCAN_EQ3_COUNT_2[[#This Row],[ID MATERIAL]]="","","PZ")</f>
        <v/>
      </c>
      <c r="H1179" s="7" t="str">
        <f>IF(Plantilla_SCAN_EQ3_COUNT_2[[#This Row],[ID MATERIAL]]="","",$B$13)</f>
        <v/>
      </c>
      <c r="I1179" s="7" t="str">
        <f>IF(Plantilla_SCAN_EQ3_COUNT_2[[#This Row],[ID MATERIAL]]="","","Segundo Conteo")</f>
        <v/>
      </c>
    </row>
    <row r="1180" spans="1:9" s="7" customFormat="1" ht="15" x14ac:dyDescent="0.2">
      <c r="A1180" s="7" t="str">
        <f>IF(Plantilla_SCAN_EQ3_COUNT_2[[#This Row],[ID MATERIAL]]="","",SIGN(Plantilla_SCAN_EQ3_COUNT_2[[#This Row],[Cantidad]])+A1179)</f>
        <v/>
      </c>
      <c r="B1180" s="21" t="str">
        <f>IF(Plantilla_SCAN_EQ3_COUNT_2[[#This Row],[ID MATERIAL]]="","",B1179)</f>
        <v/>
      </c>
      <c r="C1180" s="21"/>
      <c r="D1180" s="21"/>
      <c r="E1180" s="7" t="str">
        <f>IF(Plantilla_SCAN_EQ3_COUNT_2[[#This Row],[ID MATERIAL]]="","",VLOOKUP(Plantilla_SCAN_EQ3_COUNT_2[[#This Row],[ID MATERIAL]],INVENTARIO!$A:$D,2,FALSE))</f>
        <v/>
      </c>
      <c r="F1180" s="7" t="str">
        <f>IF(Plantilla_SCAN_EQ3_COUNT_2[[#This Row],[ID MATERIAL]]="","",IF(Plantilla_SCAN_EQ3_COUNT_2[[#This Row],[No. Empaques]]="",1,Plantilla_SCAN_EQ3_COUNT_2[[#This Row],[No. Empaques]]*1))</f>
        <v/>
      </c>
      <c r="G1180" s="7" t="str">
        <f>IF(Plantilla_SCAN_EQ3_COUNT_2[[#This Row],[ID MATERIAL]]="","","PZ")</f>
        <v/>
      </c>
      <c r="H1180" s="7" t="str">
        <f>IF(Plantilla_SCAN_EQ3_COUNT_2[[#This Row],[ID MATERIAL]]="","",$B$13)</f>
        <v/>
      </c>
      <c r="I1180" s="7" t="str">
        <f>IF(Plantilla_SCAN_EQ3_COUNT_2[[#This Row],[ID MATERIAL]]="","","Segundo Conteo")</f>
        <v/>
      </c>
    </row>
    <row r="1181" spans="1:9" s="7" customFormat="1" ht="15" x14ac:dyDescent="0.2">
      <c r="A1181" s="7" t="str">
        <f>IF(Plantilla_SCAN_EQ3_COUNT_2[[#This Row],[ID MATERIAL]]="","",SIGN(Plantilla_SCAN_EQ3_COUNT_2[[#This Row],[Cantidad]])+A1180)</f>
        <v/>
      </c>
      <c r="B1181" s="21" t="str">
        <f>IF(Plantilla_SCAN_EQ3_COUNT_2[[#This Row],[ID MATERIAL]]="","",B1180)</f>
        <v/>
      </c>
      <c r="C1181" s="21"/>
      <c r="D1181" s="21"/>
      <c r="E1181" s="7" t="str">
        <f>IF(Plantilla_SCAN_EQ3_COUNT_2[[#This Row],[ID MATERIAL]]="","",VLOOKUP(Plantilla_SCAN_EQ3_COUNT_2[[#This Row],[ID MATERIAL]],INVENTARIO!$A:$D,2,FALSE))</f>
        <v/>
      </c>
      <c r="F1181" s="7" t="str">
        <f>IF(Plantilla_SCAN_EQ3_COUNT_2[[#This Row],[ID MATERIAL]]="","",IF(Plantilla_SCAN_EQ3_COUNT_2[[#This Row],[No. Empaques]]="",1,Plantilla_SCAN_EQ3_COUNT_2[[#This Row],[No. Empaques]]*1))</f>
        <v/>
      </c>
      <c r="G1181" s="7" t="str">
        <f>IF(Plantilla_SCAN_EQ3_COUNT_2[[#This Row],[ID MATERIAL]]="","","PZ")</f>
        <v/>
      </c>
      <c r="H1181" s="7" t="str">
        <f>IF(Plantilla_SCAN_EQ3_COUNT_2[[#This Row],[ID MATERIAL]]="","",$B$13)</f>
        <v/>
      </c>
      <c r="I1181" s="7" t="str">
        <f>IF(Plantilla_SCAN_EQ3_COUNT_2[[#This Row],[ID MATERIAL]]="","","Segundo Conteo")</f>
        <v/>
      </c>
    </row>
    <row r="1182" spans="1:9" s="7" customFormat="1" ht="15" x14ac:dyDescent="0.2">
      <c r="A1182" s="7" t="str">
        <f>IF(Plantilla_SCAN_EQ3_COUNT_2[[#This Row],[ID MATERIAL]]="","",SIGN(Plantilla_SCAN_EQ3_COUNT_2[[#This Row],[Cantidad]])+A1181)</f>
        <v/>
      </c>
      <c r="B1182" s="21" t="str">
        <f>IF(Plantilla_SCAN_EQ3_COUNT_2[[#This Row],[ID MATERIAL]]="","",B1181)</f>
        <v/>
      </c>
      <c r="C1182" s="21"/>
      <c r="D1182" s="21"/>
      <c r="E1182" s="7" t="str">
        <f>IF(Plantilla_SCAN_EQ3_COUNT_2[[#This Row],[ID MATERIAL]]="","",VLOOKUP(Plantilla_SCAN_EQ3_COUNT_2[[#This Row],[ID MATERIAL]],INVENTARIO!$A:$D,2,FALSE))</f>
        <v/>
      </c>
      <c r="F1182" s="7" t="str">
        <f>IF(Plantilla_SCAN_EQ3_COUNT_2[[#This Row],[ID MATERIAL]]="","",IF(Plantilla_SCAN_EQ3_COUNT_2[[#This Row],[No. Empaques]]="",1,Plantilla_SCAN_EQ3_COUNT_2[[#This Row],[No. Empaques]]*1))</f>
        <v/>
      </c>
      <c r="G1182" s="7" t="str">
        <f>IF(Plantilla_SCAN_EQ3_COUNT_2[[#This Row],[ID MATERIAL]]="","","PZ")</f>
        <v/>
      </c>
      <c r="H1182" s="7" t="str">
        <f>IF(Plantilla_SCAN_EQ3_COUNT_2[[#This Row],[ID MATERIAL]]="","",$B$13)</f>
        <v/>
      </c>
      <c r="I1182" s="7" t="str">
        <f>IF(Plantilla_SCAN_EQ3_COUNT_2[[#This Row],[ID MATERIAL]]="","","Segundo Conteo")</f>
        <v/>
      </c>
    </row>
    <row r="1183" spans="1:9" s="7" customFormat="1" ht="15" x14ac:dyDescent="0.2">
      <c r="A1183" s="7" t="str">
        <f>IF(Plantilla_SCAN_EQ3_COUNT_2[[#This Row],[ID MATERIAL]]="","",SIGN(Plantilla_SCAN_EQ3_COUNT_2[[#This Row],[Cantidad]])+A1182)</f>
        <v/>
      </c>
      <c r="B1183" s="21" t="str">
        <f>IF(Plantilla_SCAN_EQ3_COUNT_2[[#This Row],[ID MATERIAL]]="","",B1182)</f>
        <v/>
      </c>
      <c r="C1183" s="21"/>
      <c r="D1183" s="21"/>
      <c r="E1183" s="7" t="str">
        <f>IF(Plantilla_SCAN_EQ3_COUNT_2[[#This Row],[ID MATERIAL]]="","",VLOOKUP(Plantilla_SCAN_EQ3_COUNT_2[[#This Row],[ID MATERIAL]],INVENTARIO!$A:$D,2,FALSE))</f>
        <v/>
      </c>
      <c r="F1183" s="7" t="str">
        <f>IF(Plantilla_SCAN_EQ3_COUNT_2[[#This Row],[ID MATERIAL]]="","",IF(Plantilla_SCAN_EQ3_COUNT_2[[#This Row],[No. Empaques]]="",1,Plantilla_SCAN_EQ3_COUNT_2[[#This Row],[No. Empaques]]*1))</f>
        <v/>
      </c>
      <c r="G1183" s="7" t="str">
        <f>IF(Plantilla_SCAN_EQ3_COUNT_2[[#This Row],[ID MATERIAL]]="","","PZ")</f>
        <v/>
      </c>
      <c r="H1183" s="7" t="str">
        <f>IF(Plantilla_SCAN_EQ3_COUNT_2[[#This Row],[ID MATERIAL]]="","",$B$13)</f>
        <v/>
      </c>
      <c r="I1183" s="7" t="str">
        <f>IF(Plantilla_SCAN_EQ3_COUNT_2[[#This Row],[ID MATERIAL]]="","","Segundo Conteo")</f>
        <v/>
      </c>
    </row>
    <row r="1184" spans="1:9" s="7" customFormat="1" ht="15" x14ac:dyDescent="0.2">
      <c r="A1184" s="7" t="str">
        <f>IF(Plantilla_SCAN_EQ3_COUNT_2[[#This Row],[ID MATERIAL]]="","",SIGN(Plantilla_SCAN_EQ3_COUNT_2[[#This Row],[Cantidad]])+A1183)</f>
        <v/>
      </c>
      <c r="B1184" s="21" t="str">
        <f>IF(Plantilla_SCAN_EQ3_COUNT_2[[#This Row],[ID MATERIAL]]="","",B1183)</f>
        <v/>
      </c>
      <c r="C1184" s="21"/>
      <c r="D1184" s="21"/>
      <c r="E1184" s="7" t="str">
        <f>IF(Plantilla_SCAN_EQ3_COUNT_2[[#This Row],[ID MATERIAL]]="","",VLOOKUP(Plantilla_SCAN_EQ3_COUNT_2[[#This Row],[ID MATERIAL]],INVENTARIO!$A:$D,2,FALSE))</f>
        <v/>
      </c>
      <c r="F1184" s="7" t="str">
        <f>IF(Plantilla_SCAN_EQ3_COUNT_2[[#This Row],[ID MATERIAL]]="","",IF(Plantilla_SCAN_EQ3_COUNT_2[[#This Row],[No. Empaques]]="",1,Plantilla_SCAN_EQ3_COUNT_2[[#This Row],[No. Empaques]]*1))</f>
        <v/>
      </c>
      <c r="G1184" s="7" t="str">
        <f>IF(Plantilla_SCAN_EQ3_COUNT_2[[#This Row],[ID MATERIAL]]="","","PZ")</f>
        <v/>
      </c>
      <c r="H1184" s="7" t="str">
        <f>IF(Plantilla_SCAN_EQ3_COUNT_2[[#This Row],[ID MATERIAL]]="","",$B$13)</f>
        <v/>
      </c>
      <c r="I1184" s="7" t="str">
        <f>IF(Plantilla_SCAN_EQ3_COUNT_2[[#This Row],[ID MATERIAL]]="","","Segundo Conteo")</f>
        <v/>
      </c>
    </row>
    <row r="1185" spans="1:9" s="7" customFormat="1" ht="15" x14ac:dyDescent="0.2">
      <c r="A1185" s="7" t="str">
        <f>IF(Plantilla_SCAN_EQ3_COUNT_2[[#This Row],[ID MATERIAL]]="","",SIGN(Plantilla_SCAN_EQ3_COUNT_2[[#This Row],[Cantidad]])+A1184)</f>
        <v/>
      </c>
      <c r="B1185" s="21" t="str">
        <f>IF(Plantilla_SCAN_EQ3_COUNT_2[[#This Row],[ID MATERIAL]]="","",B1184)</f>
        <v/>
      </c>
      <c r="C1185" s="21"/>
      <c r="D1185" s="21"/>
      <c r="E1185" s="7" t="str">
        <f>IF(Plantilla_SCAN_EQ3_COUNT_2[[#This Row],[ID MATERIAL]]="","",VLOOKUP(Plantilla_SCAN_EQ3_COUNT_2[[#This Row],[ID MATERIAL]],INVENTARIO!$A:$D,2,FALSE))</f>
        <v/>
      </c>
      <c r="F1185" s="7" t="str">
        <f>IF(Plantilla_SCAN_EQ3_COUNT_2[[#This Row],[ID MATERIAL]]="","",IF(Plantilla_SCAN_EQ3_COUNT_2[[#This Row],[No. Empaques]]="",1,Plantilla_SCAN_EQ3_COUNT_2[[#This Row],[No. Empaques]]*1))</f>
        <v/>
      </c>
      <c r="G1185" s="7" t="str">
        <f>IF(Plantilla_SCAN_EQ3_COUNT_2[[#This Row],[ID MATERIAL]]="","","PZ")</f>
        <v/>
      </c>
      <c r="H1185" s="7" t="str">
        <f>IF(Plantilla_SCAN_EQ3_COUNT_2[[#This Row],[ID MATERIAL]]="","",$B$13)</f>
        <v/>
      </c>
      <c r="I1185" s="7" t="str">
        <f>IF(Plantilla_SCAN_EQ3_COUNT_2[[#This Row],[ID MATERIAL]]="","","Segundo Conteo")</f>
        <v/>
      </c>
    </row>
    <row r="1186" spans="1:9" s="7" customFormat="1" ht="15" x14ac:dyDescent="0.2">
      <c r="A1186" s="7" t="str">
        <f>IF(Plantilla_SCAN_EQ3_COUNT_2[[#This Row],[ID MATERIAL]]="","",SIGN(Plantilla_SCAN_EQ3_COUNT_2[[#This Row],[Cantidad]])+A1185)</f>
        <v/>
      </c>
      <c r="B1186" s="21" t="str">
        <f>IF(Plantilla_SCAN_EQ3_COUNT_2[[#This Row],[ID MATERIAL]]="","",B1185)</f>
        <v/>
      </c>
      <c r="C1186" s="21"/>
      <c r="D1186" s="21"/>
      <c r="E1186" s="7" t="str">
        <f>IF(Plantilla_SCAN_EQ3_COUNT_2[[#This Row],[ID MATERIAL]]="","",VLOOKUP(Plantilla_SCAN_EQ3_COUNT_2[[#This Row],[ID MATERIAL]],INVENTARIO!$A:$D,2,FALSE))</f>
        <v/>
      </c>
      <c r="F1186" s="7" t="str">
        <f>IF(Plantilla_SCAN_EQ3_COUNT_2[[#This Row],[ID MATERIAL]]="","",IF(Plantilla_SCAN_EQ3_COUNT_2[[#This Row],[No. Empaques]]="",1,Plantilla_SCAN_EQ3_COUNT_2[[#This Row],[No. Empaques]]*1))</f>
        <v/>
      </c>
      <c r="G1186" s="7" t="str">
        <f>IF(Plantilla_SCAN_EQ3_COUNT_2[[#This Row],[ID MATERIAL]]="","","PZ")</f>
        <v/>
      </c>
      <c r="H1186" s="7" t="str">
        <f>IF(Plantilla_SCAN_EQ3_COUNT_2[[#This Row],[ID MATERIAL]]="","",$B$13)</f>
        <v/>
      </c>
      <c r="I1186" s="7" t="str">
        <f>IF(Plantilla_SCAN_EQ3_COUNT_2[[#This Row],[ID MATERIAL]]="","","Segundo Conteo")</f>
        <v/>
      </c>
    </row>
    <row r="1187" spans="1:9" s="7" customFormat="1" ht="15" x14ac:dyDescent="0.2">
      <c r="A1187" s="7" t="str">
        <f>IF(Plantilla_SCAN_EQ3_COUNT_2[[#This Row],[ID MATERIAL]]="","",SIGN(Plantilla_SCAN_EQ3_COUNT_2[[#This Row],[Cantidad]])+A1186)</f>
        <v/>
      </c>
      <c r="B1187" s="21" t="str">
        <f>IF(Plantilla_SCAN_EQ3_COUNT_2[[#This Row],[ID MATERIAL]]="","",B1186)</f>
        <v/>
      </c>
      <c r="C1187" s="21"/>
      <c r="D1187" s="21"/>
      <c r="E1187" s="7" t="str">
        <f>IF(Plantilla_SCAN_EQ3_COUNT_2[[#This Row],[ID MATERIAL]]="","",VLOOKUP(Plantilla_SCAN_EQ3_COUNT_2[[#This Row],[ID MATERIAL]],INVENTARIO!$A:$D,2,FALSE))</f>
        <v/>
      </c>
      <c r="F1187" s="7" t="str">
        <f>IF(Plantilla_SCAN_EQ3_COUNT_2[[#This Row],[ID MATERIAL]]="","",IF(Plantilla_SCAN_EQ3_COUNT_2[[#This Row],[No. Empaques]]="",1,Plantilla_SCAN_EQ3_COUNT_2[[#This Row],[No. Empaques]]*1))</f>
        <v/>
      </c>
      <c r="G1187" s="7" t="str">
        <f>IF(Plantilla_SCAN_EQ3_COUNT_2[[#This Row],[ID MATERIAL]]="","","PZ")</f>
        <v/>
      </c>
      <c r="H1187" s="7" t="str">
        <f>IF(Plantilla_SCAN_EQ3_COUNT_2[[#This Row],[ID MATERIAL]]="","",$B$13)</f>
        <v/>
      </c>
      <c r="I1187" s="7" t="str">
        <f>IF(Plantilla_SCAN_EQ3_COUNT_2[[#This Row],[ID MATERIAL]]="","","Segundo Conteo")</f>
        <v/>
      </c>
    </row>
    <row r="1188" spans="1:9" s="7" customFormat="1" ht="15" x14ac:dyDescent="0.2">
      <c r="A1188" s="7" t="str">
        <f>IF(Plantilla_SCAN_EQ3_COUNT_2[[#This Row],[ID MATERIAL]]="","",SIGN(Plantilla_SCAN_EQ3_COUNT_2[[#This Row],[Cantidad]])+A1187)</f>
        <v/>
      </c>
      <c r="B1188" s="21" t="str">
        <f>IF(Plantilla_SCAN_EQ3_COUNT_2[[#This Row],[ID MATERIAL]]="","",B1187)</f>
        <v/>
      </c>
      <c r="C1188" s="21"/>
      <c r="D1188" s="21"/>
      <c r="E1188" s="7" t="str">
        <f>IF(Plantilla_SCAN_EQ3_COUNT_2[[#This Row],[ID MATERIAL]]="","",VLOOKUP(Plantilla_SCAN_EQ3_COUNT_2[[#This Row],[ID MATERIAL]],INVENTARIO!$A:$D,2,FALSE))</f>
        <v/>
      </c>
      <c r="F1188" s="7" t="str">
        <f>IF(Plantilla_SCAN_EQ3_COUNT_2[[#This Row],[ID MATERIAL]]="","",IF(Plantilla_SCAN_EQ3_COUNT_2[[#This Row],[No. Empaques]]="",1,Plantilla_SCAN_EQ3_COUNT_2[[#This Row],[No. Empaques]]*1))</f>
        <v/>
      </c>
      <c r="G1188" s="7" t="str">
        <f>IF(Plantilla_SCAN_EQ3_COUNT_2[[#This Row],[ID MATERIAL]]="","","PZ")</f>
        <v/>
      </c>
      <c r="H1188" s="7" t="str">
        <f>IF(Plantilla_SCAN_EQ3_COUNT_2[[#This Row],[ID MATERIAL]]="","",$B$13)</f>
        <v/>
      </c>
      <c r="I1188" s="7" t="str">
        <f>IF(Plantilla_SCAN_EQ3_COUNT_2[[#This Row],[ID MATERIAL]]="","","Segundo Conteo")</f>
        <v/>
      </c>
    </row>
    <row r="1189" spans="1:9" s="7" customFormat="1" ht="15" x14ac:dyDescent="0.2">
      <c r="A1189" s="7" t="str">
        <f>IF(Plantilla_SCAN_EQ3_COUNT_2[[#This Row],[ID MATERIAL]]="","",SIGN(Plantilla_SCAN_EQ3_COUNT_2[[#This Row],[Cantidad]])+A1188)</f>
        <v/>
      </c>
      <c r="B1189" s="21" t="str">
        <f>IF(Plantilla_SCAN_EQ3_COUNT_2[[#This Row],[ID MATERIAL]]="","",B1188)</f>
        <v/>
      </c>
      <c r="C1189" s="21"/>
      <c r="D1189" s="21"/>
      <c r="E1189" s="7" t="str">
        <f>IF(Plantilla_SCAN_EQ3_COUNT_2[[#This Row],[ID MATERIAL]]="","",VLOOKUP(Plantilla_SCAN_EQ3_COUNT_2[[#This Row],[ID MATERIAL]],INVENTARIO!$A:$D,2,FALSE))</f>
        <v/>
      </c>
      <c r="F1189" s="7" t="str">
        <f>IF(Plantilla_SCAN_EQ3_COUNT_2[[#This Row],[ID MATERIAL]]="","",IF(Plantilla_SCAN_EQ3_COUNT_2[[#This Row],[No. Empaques]]="",1,Plantilla_SCAN_EQ3_COUNT_2[[#This Row],[No. Empaques]]*1))</f>
        <v/>
      </c>
      <c r="G1189" s="7" t="str">
        <f>IF(Plantilla_SCAN_EQ3_COUNT_2[[#This Row],[ID MATERIAL]]="","","PZ")</f>
        <v/>
      </c>
      <c r="H1189" s="7" t="str">
        <f>IF(Plantilla_SCAN_EQ3_COUNT_2[[#This Row],[ID MATERIAL]]="","",$B$13)</f>
        <v/>
      </c>
      <c r="I1189" s="7" t="str">
        <f>IF(Plantilla_SCAN_EQ3_COUNT_2[[#This Row],[ID MATERIAL]]="","","Segundo Conteo")</f>
        <v/>
      </c>
    </row>
    <row r="1190" spans="1:9" s="7" customFormat="1" ht="15" x14ac:dyDescent="0.2">
      <c r="A1190" s="7" t="str">
        <f>IF(Plantilla_SCAN_EQ3_COUNT_2[[#This Row],[ID MATERIAL]]="","",SIGN(Plantilla_SCAN_EQ3_COUNT_2[[#This Row],[Cantidad]])+A1189)</f>
        <v/>
      </c>
      <c r="B1190" s="21" t="str">
        <f>IF(Plantilla_SCAN_EQ3_COUNT_2[[#This Row],[ID MATERIAL]]="","",B1189)</f>
        <v/>
      </c>
      <c r="C1190" s="21"/>
      <c r="D1190" s="21"/>
      <c r="E1190" s="7" t="str">
        <f>IF(Plantilla_SCAN_EQ3_COUNT_2[[#This Row],[ID MATERIAL]]="","",VLOOKUP(Plantilla_SCAN_EQ3_COUNT_2[[#This Row],[ID MATERIAL]],INVENTARIO!$A:$D,2,FALSE))</f>
        <v/>
      </c>
      <c r="F1190" s="7" t="str">
        <f>IF(Plantilla_SCAN_EQ3_COUNT_2[[#This Row],[ID MATERIAL]]="","",IF(Plantilla_SCAN_EQ3_COUNT_2[[#This Row],[No. Empaques]]="",1,Plantilla_SCAN_EQ3_COUNT_2[[#This Row],[No. Empaques]]*1))</f>
        <v/>
      </c>
      <c r="G1190" s="7" t="str">
        <f>IF(Plantilla_SCAN_EQ3_COUNT_2[[#This Row],[ID MATERIAL]]="","","PZ")</f>
        <v/>
      </c>
      <c r="H1190" s="7" t="str">
        <f>IF(Plantilla_SCAN_EQ3_COUNT_2[[#This Row],[ID MATERIAL]]="","",$B$13)</f>
        <v/>
      </c>
      <c r="I1190" s="7" t="str">
        <f>IF(Plantilla_SCAN_EQ3_COUNT_2[[#This Row],[ID MATERIAL]]="","","Segundo Conteo")</f>
        <v/>
      </c>
    </row>
    <row r="1191" spans="1:9" s="7" customFormat="1" ht="15" x14ac:dyDescent="0.2">
      <c r="A1191" s="7" t="str">
        <f>IF(Plantilla_SCAN_EQ3_COUNT_2[[#This Row],[ID MATERIAL]]="","",SIGN(Plantilla_SCAN_EQ3_COUNT_2[[#This Row],[Cantidad]])+A1190)</f>
        <v/>
      </c>
      <c r="B1191" s="21" t="str">
        <f>IF(Plantilla_SCAN_EQ3_COUNT_2[[#This Row],[ID MATERIAL]]="","",B1190)</f>
        <v/>
      </c>
      <c r="C1191" s="21"/>
      <c r="D1191" s="21"/>
      <c r="E1191" s="7" t="str">
        <f>IF(Plantilla_SCAN_EQ3_COUNT_2[[#This Row],[ID MATERIAL]]="","",VLOOKUP(Plantilla_SCAN_EQ3_COUNT_2[[#This Row],[ID MATERIAL]],INVENTARIO!$A:$D,2,FALSE))</f>
        <v/>
      </c>
      <c r="F1191" s="7" t="str">
        <f>IF(Plantilla_SCAN_EQ3_COUNT_2[[#This Row],[ID MATERIAL]]="","",IF(Plantilla_SCAN_EQ3_COUNT_2[[#This Row],[No. Empaques]]="",1,Plantilla_SCAN_EQ3_COUNT_2[[#This Row],[No. Empaques]]*1))</f>
        <v/>
      </c>
      <c r="G1191" s="7" t="str">
        <f>IF(Plantilla_SCAN_EQ3_COUNT_2[[#This Row],[ID MATERIAL]]="","","PZ")</f>
        <v/>
      </c>
      <c r="H1191" s="7" t="str">
        <f>IF(Plantilla_SCAN_EQ3_COUNT_2[[#This Row],[ID MATERIAL]]="","",$B$13)</f>
        <v/>
      </c>
      <c r="I1191" s="7" t="str">
        <f>IF(Plantilla_SCAN_EQ3_COUNT_2[[#This Row],[ID MATERIAL]]="","","Segundo Conteo")</f>
        <v/>
      </c>
    </row>
    <row r="1192" spans="1:9" s="7" customFormat="1" ht="15" x14ac:dyDescent="0.2">
      <c r="A1192" s="7" t="str">
        <f>IF(Plantilla_SCAN_EQ3_COUNT_2[[#This Row],[ID MATERIAL]]="","",SIGN(Plantilla_SCAN_EQ3_COUNT_2[[#This Row],[Cantidad]])+A1191)</f>
        <v/>
      </c>
      <c r="B1192" s="21" t="str">
        <f>IF(Plantilla_SCAN_EQ3_COUNT_2[[#This Row],[ID MATERIAL]]="","",B1191)</f>
        <v/>
      </c>
      <c r="C1192" s="21"/>
      <c r="D1192" s="21"/>
      <c r="E1192" s="7" t="str">
        <f>IF(Plantilla_SCAN_EQ3_COUNT_2[[#This Row],[ID MATERIAL]]="","",VLOOKUP(Plantilla_SCAN_EQ3_COUNT_2[[#This Row],[ID MATERIAL]],INVENTARIO!$A:$D,2,FALSE))</f>
        <v/>
      </c>
      <c r="F1192" s="7" t="str">
        <f>IF(Plantilla_SCAN_EQ3_COUNT_2[[#This Row],[ID MATERIAL]]="","",IF(Plantilla_SCAN_EQ3_COUNT_2[[#This Row],[No. Empaques]]="",1,Plantilla_SCAN_EQ3_COUNT_2[[#This Row],[No. Empaques]]*1))</f>
        <v/>
      </c>
      <c r="G1192" s="7" t="str">
        <f>IF(Plantilla_SCAN_EQ3_COUNT_2[[#This Row],[ID MATERIAL]]="","","PZ")</f>
        <v/>
      </c>
      <c r="H1192" s="7" t="str">
        <f>IF(Plantilla_SCAN_EQ3_COUNT_2[[#This Row],[ID MATERIAL]]="","",$B$13)</f>
        <v/>
      </c>
      <c r="I1192" s="7" t="str">
        <f>IF(Plantilla_SCAN_EQ3_COUNT_2[[#This Row],[ID MATERIAL]]="","","Segundo Conteo")</f>
        <v/>
      </c>
    </row>
    <row r="1193" spans="1:9" s="7" customFormat="1" ht="15" x14ac:dyDescent="0.2">
      <c r="A1193" s="7" t="str">
        <f>IF(Plantilla_SCAN_EQ3_COUNT_2[[#This Row],[ID MATERIAL]]="","",SIGN(Plantilla_SCAN_EQ3_COUNT_2[[#This Row],[Cantidad]])+A1192)</f>
        <v/>
      </c>
      <c r="B1193" s="21" t="str">
        <f>IF(Plantilla_SCAN_EQ3_COUNT_2[[#This Row],[ID MATERIAL]]="","",B1192)</f>
        <v/>
      </c>
      <c r="C1193" s="21"/>
      <c r="D1193" s="21"/>
      <c r="E1193" s="7" t="str">
        <f>IF(Plantilla_SCAN_EQ3_COUNT_2[[#This Row],[ID MATERIAL]]="","",VLOOKUP(Plantilla_SCAN_EQ3_COUNT_2[[#This Row],[ID MATERIAL]],INVENTARIO!$A:$D,2,FALSE))</f>
        <v/>
      </c>
      <c r="F1193" s="7" t="str">
        <f>IF(Plantilla_SCAN_EQ3_COUNT_2[[#This Row],[ID MATERIAL]]="","",IF(Plantilla_SCAN_EQ3_COUNT_2[[#This Row],[No. Empaques]]="",1,Plantilla_SCAN_EQ3_COUNT_2[[#This Row],[No. Empaques]]*1))</f>
        <v/>
      </c>
      <c r="G1193" s="7" t="str">
        <f>IF(Plantilla_SCAN_EQ3_COUNT_2[[#This Row],[ID MATERIAL]]="","","PZ")</f>
        <v/>
      </c>
      <c r="H1193" s="7" t="str">
        <f>IF(Plantilla_SCAN_EQ3_COUNT_2[[#This Row],[ID MATERIAL]]="","",$B$13)</f>
        <v/>
      </c>
      <c r="I1193" s="7" t="str">
        <f>IF(Plantilla_SCAN_EQ3_COUNT_2[[#This Row],[ID MATERIAL]]="","","Segundo Conteo")</f>
        <v/>
      </c>
    </row>
    <row r="1194" spans="1:9" s="7" customFormat="1" ht="15" x14ac:dyDescent="0.2">
      <c r="A1194" s="7" t="str">
        <f>IF(Plantilla_SCAN_EQ3_COUNT_2[[#This Row],[ID MATERIAL]]="","",SIGN(Plantilla_SCAN_EQ3_COUNT_2[[#This Row],[Cantidad]])+A1193)</f>
        <v/>
      </c>
      <c r="B1194" s="21" t="str">
        <f>IF(Plantilla_SCAN_EQ3_COUNT_2[[#This Row],[ID MATERIAL]]="","",B1193)</f>
        <v/>
      </c>
      <c r="C1194" s="21"/>
      <c r="D1194" s="21"/>
      <c r="E1194" s="7" t="str">
        <f>IF(Plantilla_SCAN_EQ3_COUNT_2[[#This Row],[ID MATERIAL]]="","",VLOOKUP(Plantilla_SCAN_EQ3_COUNT_2[[#This Row],[ID MATERIAL]],INVENTARIO!$A:$D,2,FALSE))</f>
        <v/>
      </c>
      <c r="F1194" s="7" t="str">
        <f>IF(Plantilla_SCAN_EQ3_COUNT_2[[#This Row],[ID MATERIAL]]="","",IF(Plantilla_SCAN_EQ3_COUNT_2[[#This Row],[No. Empaques]]="",1,Plantilla_SCAN_EQ3_COUNT_2[[#This Row],[No. Empaques]]*1))</f>
        <v/>
      </c>
      <c r="G1194" s="7" t="str">
        <f>IF(Plantilla_SCAN_EQ3_COUNT_2[[#This Row],[ID MATERIAL]]="","","PZ")</f>
        <v/>
      </c>
      <c r="H1194" s="7" t="str">
        <f>IF(Plantilla_SCAN_EQ3_COUNT_2[[#This Row],[ID MATERIAL]]="","",$B$13)</f>
        <v/>
      </c>
      <c r="I1194" s="7" t="str">
        <f>IF(Plantilla_SCAN_EQ3_COUNT_2[[#This Row],[ID MATERIAL]]="","","Segundo Conteo")</f>
        <v/>
      </c>
    </row>
    <row r="1195" spans="1:9" s="7" customFormat="1" ht="15" x14ac:dyDescent="0.2">
      <c r="A1195" s="7" t="str">
        <f>IF(Plantilla_SCAN_EQ3_COUNT_2[[#This Row],[ID MATERIAL]]="","",SIGN(Plantilla_SCAN_EQ3_COUNT_2[[#This Row],[Cantidad]])+A1194)</f>
        <v/>
      </c>
      <c r="B1195" s="21" t="str">
        <f>IF(Plantilla_SCAN_EQ3_COUNT_2[[#This Row],[ID MATERIAL]]="","",B1194)</f>
        <v/>
      </c>
      <c r="C1195" s="21"/>
      <c r="D1195" s="21"/>
      <c r="E1195" s="7" t="str">
        <f>IF(Plantilla_SCAN_EQ3_COUNT_2[[#This Row],[ID MATERIAL]]="","",VLOOKUP(Plantilla_SCAN_EQ3_COUNT_2[[#This Row],[ID MATERIAL]],INVENTARIO!$A:$D,2,FALSE))</f>
        <v/>
      </c>
      <c r="F1195" s="7" t="str">
        <f>IF(Plantilla_SCAN_EQ3_COUNT_2[[#This Row],[ID MATERIAL]]="","",IF(Plantilla_SCAN_EQ3_COUNT_2[[#This Row],[No. Empaques]]="",1,Plantilla_SCAN_EQ3_COUNT_2[[#This Row],[No. Empaques]]*1))</f>
        <v/>
      </c>
      <c r="G1195" s="7" t="str">
        <f>IF(Plantilla_SCAN_EQ3_COUNT_2[[#This Row],[ID MATERIAL]]="","","PZ")</f>
        <v/>
      </c>
      <c r="H1195" s="7" t="str">
        <f>IF(Plantilla_SCAN_EQ3_COUNT_2[[#This Row],[ID MATERIAL]]="","",$B$13)</f>
        <v/>
      </c>
      <c r="I1195" s="7" t="str">
        <f>IF(Plantilla_SCAN_EQ3_COUNT_2[[#This Row],[ID MATERIAL]]="","","Segundo Conteo")</f>
        <v/>
      </c>
    </row>
    <row r="1196" spans="1:9" s="7" customFormat="1" ht="15" x14ac:dyDescent="0.2">
      <c r="A1196" s="7" t="str">
        <f>IF(Plantilla_SCAN_EQ3_COUNT_2[[#This Row],[ID MATERIAL]]="","",SIGN(Plantilla_SCAN_EQ3_COUNT_2[[#This Row],[Cantidad]])+A1195)</f>
        <v/>
      </c>
      <c r="B1196" s="21" t="str">
        <f>IF(Plantilla_SCAN_EQ3_COUNT_2[[#This Row],[ID MATERIAL]]="","",B1195)</f>
        <v/>
      </c>
      <c r="C1196" s="21"/>
      <c r="D1196" s="21"/>
      <c r="E1196" s="7" t="str">
        <f>IF(Plantilla_SCAN_EQ3_COUNT_2[[#This Row],[ID MATERIAL]]="","",VLOOKUP(Plantilla_SCAN_EQ3_COUNT_2[[#This Row],[ID MATERIAL]],INVENTARIO!$A:$D,2,FALSE))</f>
        <v/>
      </c>
      <c r="F1196" s="7" t="str">
        <f>IF(Plantilla_SCAN_EQ3_COUNT_2[[#This Row],[ID MATERIAL]]="","",IF(Plantilla_SCAN_EQ3_COUNT_2[[#This Row],[No. Empaques]]="",1,Plantilla_SCAN_EQ3_COUNT_2[[#This Row],[No. Empaques]]*1))</f>
        <v/>
      </c>
      <c r="G1196" s="7" t="str">
        <f>IF(Plantilla_SCAN_EQ3_COUNT_2[[#This Row],[ID MATERIAL]]="","","PZ")</f>
        <v/>
      </c>
      <c r="H1196" s="7" t="str">
        <f>IF(Plantilla_SCAN_EQ3_COUNT_2[[#This Row],[ID MATERIAL]]="","",$B$13)</f>
        <v/>
      </c>
      <c r="I1196" s="7" t="str">
        <f>IF(Plantilla_SCAN_EQ3_COUNT_2[[#This Row],[ID MATERIAL]]="","","Segundo Conteo")</f>
        <v/>
      </c>
    </row>
    <row r="1197" spans="1:9" s="7" customFormat="1" ht="15" x14ac:dyDescent="0.2">
      <c r="A1197" s="7" t="str">
        <f>IF(Plantilla_SCAN_EQ3_COUNT_2[[#This Row],[ID MATERIAL]]="","",SIGN(Plantilla_SCAN_EQ3_COUNT_2[[#This Row],[Cantidad]])+A1196)</f>
        <v/>
      </c>
      <c r="B1197" s="21" t="str">
        <f>IF(Plantilla_SCAN_EQ3_COUNT_2[[#This Row],[ID MATERIAL]]="","",B1196)</f>
        <v/>
      </c>
      <c r="C1197" s="21"/>
      <c r="D1197" s="21"/>
      <c r="E1197" s="7" t="str">
        <f>IF(Plantilla_SCAN_EQ3_COUNT_2[[#This Row],[ID MATERIAL]]="","",VLOOKUP(Plantilla_SCAN_EQ3_COUNT_2[[#This Row],[ID MATERIAL]],INVENTARIO!$A:$D,2,FALSE))</f>
        <v/>
      </c>
      <c r="F1197" s="7" t="str">
        <f>IF(Plantilla_SCAN_EQ3_COUNT_2[[#This Row],[ID MATERIAL]]="","",IF(Plantilla_SCAN_EQ3_COUNT_2[[#This Row],[No. Empaques]]="",1,Plantilla_SCAN_EQ3_COUNT_2[[#This Row],[No. Empaques]]*1))</f>
        <v/>
      </c>
      <c r="G1197" s="7" t="str">
        <f>IF(Plantilla_SCAN_EQ3_COUNT_2[[#This Row],[ID MATERIAL]]="","","PZ")</f>
        <v/>
      </c>
      <c r="H1197" s="7" t="str">
        <f>IF(Plantilla_SCAN_EQ3_COUNT_2[[#This Row],[ID MATERIAL]]="","",$B$13)</f>
        <v/>
      </c>
      <c r="I1197" s="7" t="str">
        <f>IF(Plantilla_SCAN_EQ3_COUNT_2[[#This Row],[ID MATERIAL]]="","","Segundo Conteo")</f>
        <v/>
      </c>
    </row>
    <row r="1198" spans="1:9" s="7" customFormat="1" ht="15" x14ac:dyDescent="0.2">
      <c r="A1198" s="7" t="str">
        <f>IF(Plantilla_SCAN_EQ3_COUNT_2[[#This Row],[ID MATERIAL]]="","",SIGN(Plantilla_SCAN_EQ3_COUNT_2[[#This Row],[Cantidad]])+A1197)</f>
        <v/>
      </c>
      <c r="B1198" s="21" t="str">
        <f>IF(Plantilla_SCAN_EQ3_COUNT_2[[#This Row],[ID MATERIAL]]="","",B1197)</f>
        <v/>
      </c>
      <c r="C1198" s="21"/>
      <c r="D1198" s="21"/>
      <c r="E1198" s="7" t="str">
        <f>IF(Plantilla_SCAN_EQ3_COUNT_2[[#This Row],[ID MATERIAL]]="","",VLOOKUP(Plantilla_SCAN_EQ3_COUNT_2[[#This Row],[ID MATERIAL]],INVENTARIO!$A:$D,2,FALSE))</f>
        <v/>
      </c>
      <c r="F1198" s="7" t="str">
        <f>IF(Plantilla_SCAN_EQ3_COUNT_2[[#This Row],[ID MATERIAL]]="","",IF(Plantilla_SCAN_EQ3_COUNT_2[[#This Row],[No. Empaques]]="",1,Plantilla_SCAN_EQ3_COUNT_2[[#This Row],[No. Empaques]]*1))</f>
        <v/>
      </c>
      <c r="G1198" s="7" t="str">
        <f>IF(Plantilla_SCAN_EQ3_COUNT_2[[#This Row],[ID MATERIAL]]="","","PZ")</f>
        <v/>
      </c>
      <c r="H1198" s="7" t="str">
        <f>IF(Plantilla_SCAN_EQ3_COUNT_2[[#This Row],[ID MATERIAL]]="","",$B$13)</f>
        <v/>
      </c>
      <c r="I1198" s="7" t="str">
        <f>IF(Plantilla_SCAN_EQ3_COUNT_2[[#This Row],[ID MATERIAL]]="","","Segundo Conteo")</f>
        <v/>
      </c>
    </row>
    <row r="1199" spans="1:9" s="7" customFormat="1" ht="15" x14ac:dyDescent="0.2">
      <c r="A1199" s="7" t="str">
        <f>IF(Plantilla_SCAN_EQ3_COUNT_2[[#This Row],[ID MATERIAL]]="","",SIGN(Plantilla_SCAN_EQ3_COUNT_2[[#This Row],[Cantidad]])+A1198)</f>
        <v/>
      </c>
      <c r="B1199" s="21" t="str">
        <f>IF(Plantilla_SCAN_EQ3_COUNT_2[[#This Row],[ID MATERIAL]]="","",B1198)</f>
        <v/>
      </c>
      <c r="C1199" s="21"/>
      <c r="D1199" s="21"/>
      <c r="E1199" s="7" t="str">
        <f>IF(Plantilla_SCAN_EQ3_COUNT_2[[#This Row],[ID MATERIAL]]="","",VLOOKUP(Plantilla_SCAN_EQ3_COUNT_2[[#This Row],[ID MATERIAL]],INVENTARIO!$A:$D,2,FALSE))</f>
        <v/>
      </c>
      <c r="F1199" s="7" t="str">
        <f>IF(Plantilla_SCAN_EQ3_COUNT_2[[#This Row],[ID MATERIAL]]="","",IF(Plantilla_SCAN_EQ3_COUNT_2[[#This Row],[No. Empaques]]="",1,Plantilla_SCAN_EQ3_COUNT_2[[#This Row],[No. Empaques]]*1))</f>
        <v/>
      </c>
      <c r="G1199" s="7" t="str">
        <f>IF(Plantilla_SCAN_EQ3_COUNT_2[[#This Row],[ID MATERIAL]]="","","PZ")</f>
        <v/>
      </c>
      <c r="H1199" s="7" t="str">
        <f>IF(Plantilla_SCAN_EQ3_COUNT_2[[#This Row],[ID MATERIAL]]="","",$B$13)</f>
        <v/>
      </c>
      <c r="I1199" s="7" t="str">
        <f>IF(Plantilla_SCAN_EQ3_COUNT_2[[#This Row],[ID MATERIAL]]="","","Segundo Conteo")</f>
        <v/>
      </c>
    </row>
    <row r="1200" spans="1:9" s="7" customFormat="1" ht="15" x14ac:dyDescent="0.2">
      <c r="A1200" s="7" t="str">
        <f>IF(Plantilla_SCAN_EQ3_COUNT_2[[#This Row],[ID MATERIAL]]="","",SIGN(Plantilla_SCAN_EQ3_COUNT_2[[#This Row],[Cantidad]])+A1199)</f>
        <v/>
      </c>
      <c r="B1200" s="21" t="str">
        <f>IF(Plantilla_SCAN_EQ3_COUNT_2[[#This Row],[ID MATERIAL]]="","",B1199)</f>
        <v/>
      </c>
      <c r="C1200" s="21"/>
      <c r="D1200" s="21"/>
      <c r="E1200" s="7" t="str">
        <f>IF(Plantilla_SCAN_EQ3_COUNT_2[[#This Row],[ID MATERIAL]]="","",VLOOKUP(Plantilla_SCAN_EQ3_COUNT_2[[#This Row],[ID MATERIAL]],INVENTARIO!$A:$D,2,FALSE))</f>
        <v/>
      </c>
      <c r="F1200" s="7" t="str">
        <f>IF(Plantilla_SCAN_EQ3_COUNT_2[[#This Row],[ID MATERIAL]]="","",IF(Plantilla_SCAN_EQ3_COUNT_2[[#This Row],[No. Empaques]]="",1,Plantilla_SCAN_EQ3_COUNT_2[[#This Row],[No. Empaques]]*1))</f>
        <v/>
      </c>
      <c r="G1200" s="7" t="str">
        <f>IF(Plantilla_SCAN_EQ3_COUNT_2[[#This Row],[ID MATERIAL]]="","","PZ")</f>
        <v/>
      </c>
      <c r="H1200" s="7" t="str">
        <f>IF(Plantilla_SCAN_EQ3_COUNT_2[[#This Row],[ID MATERIAL]]="","",$B$13)</f>
        <v/>
      </c>
      <c r="I1200" s="7" t="str">
        <f>IF(Plantilla_SCAN_EQ3_COUNT_2[[#This Row],[ID MATERIAL]]="","","Segundo Conteo")</f>
        <v/>
      </c>
    </row>
    <row r="1201" spans="1:9" s="7" customFormat="1" ht="15" x14ac:dyDescent="0.2">
      <c r="A1201" s="7" t="str">
        <f>IF(Plantilla_SCAN_EQ3_COUNT_2[[#This Row],[ID MATERIAL]]="","",SIGN(Plantilla_SCAN_EQ3_COUNT_2[[#This Row],[Cantidad]])+A1200)</f>
        <v/>
      </c>
      <c r="B1201" s="21" t="str">
        <f>IF(Plantilla_SCAN_EQ3_COUNT_2[[#This Row],[ID MATERIAL]]="","",B1200)</f>
        <v/>
      </c>
      <c r="C1201" s="21"/>
      <c r="D1201" s="21"/>
      <c r="E1201" s="7" t="str">
        <f>IF(Plantilla_SCAN_EQ3_COUNT_2[[#This Row],[ID MATERIAL]]="","",VLOOKUP(Plantilla_SCAN_EQ3_COUNT_2[[#This Row],[ID MATERIAL]],INVENTARIO!$A:$D,2,FALSE))</f>
        <v/>
      </c>
      <c r="F1201" s="7" t="str">
        <f>IF(Plantilla_SCAN_EQ3_COUNT_2[[#This Row],[ID MATERIAL]]="","",IF(Plantilla_SCAN_EQ3_COUNT_2[[#This Row],[No. Empaques]]="",1,Plantilla_SCAN_EQ3_COUNT_2[[#This Row],[No. Empaques]]*1))</f>
        <v/>
      </c>
      <c r="G1201" s="7" t="str">
        <f>IF(Plantilla_SCAN_EQ3_COUNT_2[[#This Row],[ID MATERIAL]]="","","PZ")</f>
        <v/>
      </c>
      <c r="H1201" s="7" t="str">
        <f>IF(Plantilla_SCAN_EQ3_COUNT_2[[#This Row],[ID MATERIAL]]="","",$B$13)</f>
        <v/>
      </c>
      <c r="I1201" s="7" t="str">
        <f>IF(Plantilla_SCAN_EQ3_COUNT_2[[#This Row],[ID MATERIAL]]="","","Segundo Conteo")</f>
        <v/>
      </c>
    </row>
    <row r="1202" spans="1:9" s="7" customFormat="1" ht="15" x14ac:dyDescent="0.2">
      <c r="A1202" s="7" t="str">
        <f>IF(Plantilla_SCAN_EQ3_COUNT_2[[#This Row],[ID MATERIAL]]="","",SIGN(Plantilla_SCAN_EQ3_COUNT_2[[#This Row],[Cantidad]])+A1201)</f>
        <v/>
      </c>
      <c r="B1202" s="21" t="str">
        <f>IF(Plantilla_SCAN_EQ3_COUNT_2[[#This Row],[ID MATERIAL]]="","",B1201)</f>
        <v/>
      </c>
      <c r="C1202" s="21"/>
      <c r="D1202" s="21"/>
      <c r="E1202" s="7" t="str">
        <f>IF(Plantilla_SCAN_EQ3_COUNT_2[[#This Row],[ID MATERIAL]]="","",VLOOKUP(Plantilla_SCAN_EQ3_COUNT_2[[#This Row],[ID MATERIAL]],INVENTARIO!$A:$D,2,FALSE))</f>
        <v/>
      </c>
      <c r="F1202" s="7" t="str">
        <f>IF(Plantilla_SCAN_EQ3_COUNT_2[[#This Row],[ID MATERIAL]]="","",IF(Plantilla_SCAN_EQ3_COUNT_2[[#This Row],[No. Empaques]]="",1,Plantilla_SCAN_EQ3_COUNT_2[[#This Row],[No. Empaques]]*1))</f>
        <v/>
      </c>
      <c r="G1202" s="7" t="str">
        <f>IF(Plantilla_SCAN_EQ3_COUNT_2[[#This Row],[ID MATERIAL]]="","","PZ")</f>
        <v/>
      </c>
      <c r="H1202" s="7" t="str">
        <f>IF(Plantilla_SCAN_EQ3_COUNT_2[[#This Row],[ID MATERIAL]]="","",$B$13)</f>
        <v/>
      </c>
      <c r="I1202" s="7" t="str">
        <f>IF(Plantilla_SCAN_EQ3_COUNT_2[[#This Row],[ID MATERIAL]]="","","Segundo Conteo")</f>
        <v/>
      </c>
    </row>
    <row r="1203" spans="1:9" s="7" customFormat="1" ht="15" x14ac:dyDescent="0.2">
      <c r="A1203" s="7" t="str">
        <f>IF(Plantilla_SCAN_EQ3_COUNT_2[[#This Row],[ID MATERIAL]]="","",SIGN(Plantilla_SCAN_EQ3_COUNT_2[[#This Row],[Cantidad]])+A1202)</f>
        <v/>
      </c>
      <c r="B1203" s="21" t="str">
        <f>IF(Plantilla_SCAN_EQ3_COUNT_2[[#This Row],[ID MATERIAL]]="","",B1202)</f>
        <v/>
      </c>
      <c r="C1203" s="21"/>
      <c r="D1203" s="21"/>
      <c r="E1203" s="7" t="str">
        <f>IF(Plantilla_SCAN_EQ3_COUNT_2[[#This Row],[ID MATERIAL]]="","",VLOOKUP(Plantilla_SCAN_EQ3_COUNT_2[[#This Row],[ID MATERIAL]],INVENTARIO!$A:$D,2,FALSE))</f>
        <v/>
      </c>
      <c r="F1203" s="7" t="str">
        <f>IF(Plantilla_SCAN_EQ3_COUNT_2[[#This Row],[ID MATERIAL]]="","",IF(Plantilla_SCAN_EQ3_COUNT_2[[#This Row],[No. Empaques]]="",1,Plantilla_SCAN_EQ3_COUNT_2[[#This Row],[No. Empaques]]*1))</f>
        <v/>
      </c>
      <c r="G1203" s="7" t="str">
        <f>IF(Plantilla_SCAN_EQ3_COUNT_2[[#This Row],[ID MATERIAL]]="","","PZ")</f>
        <v/>
      </c>
      <c r="H1203" s="7" t="str">
        <f>IF(Plantilla_SCAN_EQ3_COUNT_2[[#This Row],[ID MATERIAL]]="","",$B$13)</f>
        <v/>
      </c>
      <c r="I1203" s="7" t="str">
        <f>IF(Plantilla_SCAN_EQ3_COUNT_2[[#This Row],[ID MATERIAL]]="","","Segundo Conteo")</f>
        <v/>
      </c>
    </row>
    <row r="1204" spans="1:9" s="7" customFormat="1" ht="15" x14ac:dyDescent="0.2">
      <c r="A1204" s="7" t="str">
        <f>IF(Plantilla_SCAN_EQ3_COUNT_2[[#This Row],[ID MATERIAL]]="","",SIGN(Plantilla_SCAN_EQ3_COUNT_2[[#This Row],[Cantidad]])+A1203)</f>
        <v/>
      </c>
      <c r="B1204" s="21" t="str">
        <f>IF(Plantilla_SCAN_EQ3_COUNT_2[[#This Row],[ID MATERIAL]]="","",B1203)</f>
        <v/>
      </c>
      <c r="C1204" s="21"/>
      <c r="D1204" s="21"/>
      <c r="E1204" s="7" t="str">
        <f>IF(Plantilla_SCAN_EQ3_COUNT_2[[#This Row],[ID MATERIAL]]="","",VLOOKUP(Plantilla_SCAN_EQ3_COUNT_2[[#This Row],[ID MATERIAL]],INVENTARIO!$A:$D,2,FALSE))</f>
        <v/>
      </c>
      <c r="F1204" s="7" t="str">
        <f>IF(Plantilla_SCAN_EQ3_COUNT_2[[#This Row],[ID MATERIAL]]="","",IF(Plantilla_SCAN_EQ3_COUNT_2[[#This Row],[No. Empaques]]="",1,Plantilla_SCAN_EQ3_COUNT_2[[#This Row],[No. Empaques]]*1))</f>
        <v/>
      </c>
      <c r="G1204" s="7" t="str">
        <f>IF(Plantilla_SCAN_EQ3_COUNT_2[[#This Row],[ID MATERIAL]]="","","PZ")</f>
        <v/>
      </c>
      <c r="H1204" s="7" t="str">
        <f>IF(Plantilla_SCAN_EQ3_COUNT_2[[#This Row],[ID MATERIAL]]="","",$B$13)</f>
        <v/>
      </c>
      <c r="I1204" s="7" t="str">
        <f>IF(Plantilla_SCAN_EQ3_COUNT_2[[#This Row],[ID MATERIAL]]="","","Segundo Conteo")</f>
        <v/>
      </c>
    </row>
    <row r="1205" spans="1:9" s="7" customFormat="1" ht="15" x14ac:dyDescent="0.2">
      <c r="A1205" s="7" t="str">
        <f>IF(Plantilla_SCAN_EQ3_COUNT_2[[#This Row],[ID MATERIAL]]="","",SIGN(Plantilla_SCAN_EQ3_COUNT_2[[#This Row],[Cantidad]])+A1204)</f>
        <v/>
      </c>
      <c r="B1205" s="21" t="str">
        <f>IF(Plantilla_SCAN_EQ3_COUNT_2[[#This Row],[ID MATERIAL]]="","",B1204)</f>
        <v/>
      </c>
      <c r="C1205" s="21"/>
      <c r="D1205" s="21"/>
      <c r="E1205" s="7" t="str">
        <f>IF(Plantilla_SCAN_EQ3_COUNT_2[[#This Row],[ID MATERIAL]]="","",VLOOKUP(Plantilla_SCAN_EQ3_COUNT_2[[#This Row],[ID MATERIAL]],INVENTARIO!$A:$D,2,FALSE))</f>
        <v/>
      </c>
      <c r="F1205" s="7" t="str">
        <f>IF(Plantilla_SCAN_EQ3_COUNT_2[[#This Row],[ID MATERIAL]]="","",IF(Plantilla_SCAN_EQ3_COUNT_2[[#This Row],[No. Empaques]]="",1,Plantilla_SCAN_EQ3_COUNT_2[[#This Row],[No. Empaques]]*1))</f>
        <v/>
      </c>
      <c r="G1205" s="7" t="str">
        <f>IF(Plantilla_SCAN_EQ3_COUNT_2[[#This Row],[ID MATERIAL]]="","","PZ")</f>
        <v/>
      </c>
      <c r="H1205" s="7" t="str">
        <f>IF(Plantilla_SCAN_EQ3_COUNT_2[[#This Row],[ID MATERIAL]]="","",$B$13)</f>
        <v/>
      </c>
      <c r="I1205" s="7" t="str">
        <f>IF(Plantilla_SCAN_EQ3_COUNT_2[[#This Row],[ID MATERIAL]]="","","Segundo Conteo")</f>
        <v/>
      </c>
    </row>
    <row r="1206" spans="1:9" s="7" customFormat="1" ht="15" x14ac:dyDescent="0.2">
      <c r="A1206" s="7" t="str">
        <f>IF(Plantilla_SCAN_EQ3_COUNT_2[[#This Row],[ID MATERIAL]]="","",SIGN(Plantilla_SCAN_EQ3_COUNT_2[[#This Row],[Cantidad]])+A1205)</f>
        <v/>
      </c>
      <c r="B1206" s="21" t="str">
        <f>IF(Plantilla_SCAN_EQ3_COUNT_2[[#This Row],[ID MATERIAL]]="","",B1205)</f>
        <v/>
      </c>
      <c r="C1206" s="21"/>
      <c r="D1206" s="21"/>
      <c r="E1206" s="7" t="str">
        <f>IF(Plantilla_SCAN_EQ3_COUNT_2[[#This Row],[ID MATERIAL]]="","",VLOOKUP(Plantilla_SCAN_EQ3_COUNT_2[[#This Row],[ID MATERIAL]],INVENTARIO!$A:$D,2,FALSE))</f>
        <v/>
      </c>
      <c r="F1206" s="7" t="str">
        <f>IF(Plantilla_SCAN_EQ3_COUNT_2[[#This Row],[ID MATERIAL]]="","",IF(Plantilla_SCAN_EQ3_COUNT_2[[#This Row],[No. Empaques]]="",1,Plantilla_SCAN_EQ3_COUNT_2[[#This Row],[No. Empaques]]*1))</f>
        <v/>
      </c>
      <c r="G1206" s="7" t="str">
        <f>IF(Plantilla_SCAN_EQ3_COUNT_2[[#This Row],[ID MATERIAL]]="","","PZ")</f>
        <v/>
      </c>
      <c r="H1206" s="7" t="str">
        <f>IF(Plantilla_SCAN_EQ3_COUNT_2[[#This Row],[ID MATERIAL]]="","",$B$13)</f>
        <v/>
      </c>
      <c r="I1206" s="7" t="str">
        <f>IF(Plantilla_SCAN_EQ3_COUNT_2[[#This Row],[ID MATERIAL]]="","","Segundo Conteo")</f>
        <v/>
      </c>
    </row>
    <row r="1207" spans="1:9" s="7" customFormat="1" ht="15" x14ac:dyDescent="0.2">
      <c r="A1207" s="7" t="str">
        <f>IF(Plantilla_SCAN_EQ3_COUNT_2[[#This Row],[ID MATERIAL]]="","",SIGN(Plantilla_SCAN_EQ3_COUNT_2[[#This Row],[Cantidad]])+A1206)</f>
        <v/>
      </c>
      <c r="B1207" s="21" t="str">
        <f>IF(Plantilla_SCAN_EQ3_COUNT_2[[#This Row],[ID MATERIAL]]="","",B1206)</f>
        <v/>
      </c>
      <c r="C1207" s="21"/>
      <c r="D1207" s="21"/>
      <c r="E1207" s="7" t="str">
        <f>IF(Plantilla_SCAN_EQ3_COUNT_2[[#This Row],[ID MATERIAL]]="","",VLOOKUP(Plantilla_SCAN_EQ3_COUNT_2[[#This Row],[ID MATERIAL]],INVENTARIO!$A:$D,2,FALSE))</f>
        <v/>
      </c>
      <c r="F1207" s="7" t="str">
        <f>IF(Plantilla_SCAN_EQ3_COUNT_2[[#This Row],[ID MATERIAL]]="","",IF(Plantilla_SCAN_EQ3_COUNT_2[[#This Row],[No. Empaques]]="",1,Plantilla_SCAN_EQ3_COUNT_2[[#This Row],[No. Empaques]]*1))</f>
        <v/>
      </c>
      <c r="G1207" s="7" t="str">
        <f>IF(Plantilla_SCAN_EQ3_COUNT_2[[#This Row],[ID MATERIAL]]="","","PZ")</f>
        <v/>
      </c>
      <c r="H1207" s="7" t="str">
        <f>IF(Plantilla_SCAN_EQ3_COUNT_2[[#This Row],[ID MATERIAL]]="","",$B$13)</f>
        <v/>
      </c>
      <c r="I1207" s="7" t="str">
        <f>IF(Plantilla_SCAN_EQ3_COUNT_2[[#This Row],[ID MATERIAL]]="","","Segundo Conteo")</f>
        <v/>
      </c>
    </row>
    <row r="1208" spans="1:9" s="7" customFormat="1" ht="15" x14ac:dyDescent="0.2">
      <c r="A1208" s="7" t="str">
        <f>IF(Plantilla_SCAN_EQ3_COUNT_2[[#This Row],[ID MATERIAL]]="","",SIGN(Plantilla_SCAN_EQ3_COUNT_2[[#This Row],[Cantidad]])+A1207)</f>
        <v/>
      </c>
      <c r="B1208" s="21" t="str">
        <f>IF(Plantilla_SCAN_EQ3_COUNT_2[[#This Row],[ID MATERIAL]]="","",B1207)</f>
        <v/>
      </c>
      <c r="C1208" s="21"/>
      <c r="D1208" s="21"/>
      <c r="E1208" s="7" t="str">
        <f>IF(Plantilla_SCAN_EQ3_COUNT_2[[#This Row],[ID MATERIAL]]="","",VLOOKUP(Plantilla_SCAN_EQ3_COUNT_2[[#This Row],[ID MATERIAL]],INVENTARIO!$A:$D,2,FALSE))</f>
        <v/>
      </c>
      <c r="F1208" s="7" t="str">
        <f>IF(Plantilla_SCAN_EQ3_COUNT_2[[#This Row],[ID MATERIAL]]="","",IF(Plantilla_SCAN_EQ3_COUNT_2[[#This Row],[No. Empaques]]="",1,Plantilla_SCAN_EQ3_COUNT_2[[#This Row],[No. Empaques]]*1))</f>
        <v/>
      </c>
      <c r="G1208" s="7" t="str">
        <f>IF(Plantilla_SCAN_EQ3_COUNT_2[[#This Row],[ID MATERIAL]]="","","PZ")</f>
        <v/>
      </c>
      <c r="H1208" s="7" t="str">
        <f>IF(Plantilla_SCAN_EQ3_COUNT_2[[#This Row],[ID MATERIAL]]="","",$B$13)</f>
        <v/>
      </c>
      <c r="I1208" s="7" t="str">
        <f>IF(Plantilla_SCAN_EQ3_COUNT_2[[#This Row],[ID MATERIAL]]="","","Segundo Conteo")</f>
        <v/>
      </c>
    </row>
    <row r="1209" spans="1:9" s="7" customFormat="1" ht="15" x14ac:dyDescent="0.2">
      <c r="A1209" s="7" t="str">
        <f>IF(Plantilla_SCAN_EQ3_COUNT_2[[#This Row],[ID MATERIAL]]="","",SIGN(Plantilla_SCAN_EQ3_COUNT_2[[#This Row],[Cantidad]])+A1208)</f>
        <v/>
      </c>
      <c r="B1209" s="21" t="str">
        <f>IF(Plantilla_SCAN_EQ3_COUNT_2[[#This Row],[ID MATERIAL]]="","",B1208)</f>
        <v/>
      </c>
      <c r="C1209" s="21"/>
      <c r="D1209" s="21"/>
      <c r="E1209" s="7" t="str">
        <f>IF(Plantilla_SCAN_EQ3_COUNT_2[[#This Row],[ID MATERIAL]]="","",VLOOKUP(Plantilla_SCAN_EQ3_COUNT_2[[#This Row],[ID MATERIAL]],INVENTARIO!$A:$D,2,FALSE))</f>
        <v/>
      </c>
      <c r="F1209" s="7" t="str">
        <f>IF(Plantilla_SCAN_EQ3_COUNT_2[[#This Row],[ID MATERIAL]]="","",IF(Plantilla_SCAN_EQ3_COUNT_2[[#This Row],[No. Empaques]]="",1,Plantilla_SCAN_EQ3_COUNT_2[[#This Row],[No. Empaques]]*1))</f>
        <v/>
      </c>
      <c r="G1209" s="7" t="str">
        <f>IF(Plantilla_SCAN_EQ3_COUNT_2[[#This Row],[ID MATERIAL]]="","","PZ")</f>
        <v/>
      </c>
      <c r="H1209" s="7" t="str">
        <f>IF(Plantilla_SCAN_EQ3_COUNT_2[[#This Row],[ID MATERIAL]]="","",$B$13)</f>
        <v/>
      </c>
      <c r="I1209" s="7" t="str">
        <f>IF(Plantilla_SCAN_EQ3_COUNT_2[[#This Row],[ID MATERIAL]]="","","Segundo Conteo")</f>
        <v/>
      </c>
    </row>
    <row r="1210" spans="1:9" s="7" customFormat="1" ht="15" x14ac:dyDescent="0.2">
      <c r="A1210" s="7" t="str">
        <f>IF(Plantilla_SCAN_EQ3_COUNT_2[[#This Row],[ID MATERIAL]]="","",SIGN(Plantilla_SCAN_EQ3_COUNT_2[[#This Row],[Cantidad]])+A1209)</f>
        <v/>
      </c>
      <c r="B1210" s="21" t="str">
        <f>IF(Plantilla_SCAN_EQ3_COUNT_2[[#This Row],[ID MATERIAL]]="","",B1209)</f>
        <v/>
      </c>
      <c r="C1210" s="21"/>
      <c r="D1210" s="21"/>
      <c r="E1210" s="7" t="str">
        <f>IF(Plantilla_SCAN_EQ3_COUNT_2[[#This Row],[ID MATERIAL]]="","",VLOOKUP(Plantilla_SCAN_EQ3_COUNT_2[[#This Row],[ID MATERIAL]],INVENTARIO!$A:$D,2,FALSE))</f>
        <v/>
      </c>
      <c r="F1210" s="7" t="str">
        <f>IF(Plantilla_SCAN_EQ3_COUNT_2[[#This Row],[ID MATERIAL]]="","",IF(Plantilla_SCAN_EQ3_COUNT_2[[#This Row],[No. Empaques]]="",1,Plantilla_SCAN_EQ3_COUNT_2[[#This Row],[No. Empaques]]*1))</f>
        <v/>
      </c>
      <c r="G1210" s="7" t="str">
        <f>IF(Plantilla_SCAN_EQ3_COUNT_2[[#This Row],[ID MATERIAL]]="","","PZ")</f>
        <v/>
      </c>
      <c r="H1210" s="7" t="str">
        <f>IF(Plantilla_SCAN_EQ3_COUNT_2[[#This Row],[ID MATERIAL]]="","",$B$13)</f>
        <v/>
      </c>
      <c r="I1210" s="7" t="str">
        <f>IF(Plantilla_SCAN_EQ3_COUNT_2[[#This Row],[ID MATERIAL]]="","","Segundo Conteo")</f>
        <v/>
      </c>
    </row>
    <row r="1211" spans="1:9" s="7" customFormat="1" ht="15" x14ac:dyDescent="0.2">
      <c r="A1211" s="7" t="str">
        <f>IF(Plantilla_SCAN_EQ3_COUNT_2[[#This Row],[ID MATERIAL]]="","",SIGN(Plantilla_SCAN_EQ3_COUNT_2[[#This Row],[Cantidad]])+A1210)</f>
        <v/>
      </c>
      <c r="B1211" s="21" t="str">
        <f>IF(Plantilla_SCAN_EQ3_COUNT_2[[#This Row],[ID MATERIAL]]="","",B1210)</f>
        <v/>
      </c>
      <c r="C1211" s="21"/>
      <c r="D1211" s="21"/>
      <c r="E1211" s="7" t="str">
        <f>IF(Plantilla_SCAN_EQ3_COUNT_2[[#This Row],[ID MATERIAL]]="","",VLOOKUP(Plantilla_SCAN_EQ3_COUNT_2[[#This Row],[ID MATERIAL]],INVENTARIO!$A:$D,2,FALSE))</f>
        <v/>
      </c>
      <c r="F1211" s="7" t="str">
        <f>IF(Plantilla_SCAN_EQ3_COUNT_2[[#This Row],[ID MATERIAL]]="","",IF(Plantilla_SCAN_EQ3_COUNT_2[[#This Row],[No. Empaques]]="",1,Plantilla_SCAN_EQ3_COUNT_2[[#This Row],[No. Empaques]]*1))</f>
        <v/>
      </c>
      <c r="G1211" s="7" t="str">
        <f>IF(Plantilla_SCAN_EQ3_COUNT_2[[#This Row],[ID MATERIAL]]="","","PZ")</f>
        <v/>
      </c>
      <c r="H1211" s="7" t="str">
        <f>IF(Plantilla_SCAN_EQ3_COUNT_2[[#This Row],[ID MATERIAL]]="","",$B$13)</f>
        <v/>
      </c>
      <c r="I1211" s="7" t="str">
        <f>IF(Plantilla_SCAN_EQ3_COUNT_2[[#This Row],[ID MATERIAL]]="","","Segundo Conteo")</f>
        <v/>
      </c>
    </row>
    <row r="1212" spans="1:9" s="7" customFormat="1" ht="15" x14ac:dyDescent="0.2">
      <c r="A1212" s="7" t="str">
        <f>IF(Plantilla_SCAN_EQ3_COUNT_2[[#This Row],[ID MATERIAL]]="","",SIGN(Plantilla_SCAN_EQ3_COUNT_2[[#This Row],[Cantidad]])+A1211)</f>
        <v/>
      </c>
      <c r="B1212" s="21" t="str">
        <f>IF(Plantilla_SCAN_EQ3_COUNT_2[[#This Row],[ID MATERIAL]]="","",B1211)</f>
        <v/>
      </c>
      <c r="C1212" s="21"/>
      <c r="D1212" s="21"/>
      <c r="E1212" s="7" t="str">
        <f>IF(Plantilla_SCAN_EQ3_COUNT_2[[#This Row],[ID MATERIAL]]="","",VLOOKUP(Plantilla_SCAN_EQ3_COUNT_2[[#This Row],[ID MATERIAL]],INVENTARIO!$A:$D,2,FALSE))</f>
        <v/>
      </c>
      <c r="F1212" s="7" t="str">
        <f>IF(Plantilla_SCAN_EQ3_COUNT_2[[#This Row],[ID MATERIAL]]="","",IF(Plantilla_SCAN_EQ3_COUNT_2[[#This Row],[No. Empaques]]="",1,Plantilla_SCAN_EQ3_COUNT_2[[#This Row],[No. Empaques]]*1))</f>
        <v/>
      </c>
      <c r="G1212" s="7" t="str">
        <f>IF(Plantilla_SCAN_EQ3_COUNT_2[[#This Row],[ID MATERIAL]]="","","PZ")</f>
        <v/>
      </c>
      <c r="H1212" s="7" t="str">
        <f>IF(Plantilla_SCAN_EQ3_COUNT_2[[#This Row],[ID MATERIAL]]="","",$B$13)</f>
        <v/>
      </c>
      <c r="I1212" s="7" t="str">
        <f>IF(Plantilla_SCAN_EQ3_COUNT_2[[#This Row],[ID MATERIAL]]="","","Segundo Conteo")</f>
        <v/>
      </c>
    </row>
    <row r="1213" spans="1:9" s="7" customFormat="1" ht="15" x14ac:dyDescent="0.2">
      <c r="A1213" s="7" t="str">
        <f>IF(Plantilla_SCAN_EQ3_COUNT_2[[#This Row],[ID MATERIAL]]="","",SIGN(Plantilla_SCAN_EQ3_COUNT_2[[#This Row],[Cantidad]])+A1212)</f>
        <v/>
      </c>
      <c r="B1213" s="21" t="str">
        <f>IF(Plantilla_SCAN_EQ3_COUNT_2[[#This Row],[ID MATERIAL]]="","",B1212)</f>
        <v/>
      </c>
      <c r="C1213" s="21"/>
      <c r="D1213" s="21"/>
      <c r="E1213" s="7" t="str">
        <f>IF(Plantilla_SCAN_EQ3_COUNT_2[[#This Row],[ID MATERIAL]]="","",VLOOKUP(Plantilla_SCAN_EQ3_COUNT_2[[#This Row],[ID MATERIAL]],INVENTARIO!$A:$D,2,FALSE))</f>
        <v/>
      </c>
      <c r="F1213" s="7" t="str">
        <f>IF(Plantilla_SCAN_EQ3_COUNT_2[[#This Row],[ID MATERIAL]]="","",IF(Plantilla_SCAN_EQ3_COUNT_2[[#This Row],[No. Empaques]]="",1,Plantilla_SCAN_EQ3_COUNT_2[[#This Row],[No. Empaques]]*1))</f>
        <v/>
      </c>
      <c r="G1213" s="7" t="str">
        <f>IF(Plantilla_SCAN_EQ3_COUNT_2[[#This Row],[ID MATERIAL]]="","","PZ")</f>
        <v/>
      </c>
      <c r="H1213" s="7" t="str">
        <f>IF(Plantilla_SCAN_EQ3_COUNT_2[[#This Row],[ID MATERIAL]]="","",$B$13)</f>
        <v/>
      </c>
      <c r="I1213" s="7" t="str">
        <f>IF(Plantilla_SCAN_EQ3_COUNT_2[[#This Row],[ID MATERIAL]]="","","Segundo Conteo")</f>
        <v/>
      </c>
    </row>
    <row r="1214" spans="1:9" s="7" customFormat="1" ht="15" x14ac:dyDescent="0.2">
      <c r="A1214" s="7" t="str">
        <f>IF(Plantilla_SCAN_EQ3_COUNT_2[[#This Row],[ID MATERIAL]]="","",SIGN(Plantilla_SCAN_EQ3_COUNT_2[[#This Row],[Cantidad]])+A1213)</f>
        <v/>
      </c>
      <c r="B1214" s="21" t="str">
        <f>IF(Plantilla_SCAN_EQ3_COUNT_2[[#This Row],[ID MATERIAL]]="","",B1213)</f>
        <v/>
      </c>
      <c r="C1214" s="21"/>
      <c r="D1214" s="21"/>
      <c r="E1214" s="7" t="str">
        <f>IF(Plantilla_SCAN_EQ3_COUNT_2[[#This Row],[ID MATERIAL]]="","",VLOOKUP(Plantilla_SCAN_EQ3_COUNT_2[[#This Row],[ID MATERIAL]],INVENTARIO!$A:$D,2,FALSE))</f>
        <v/>
      </c>
      <c r="F1214" s="7" t="str">
        <f>IF(Plantilla_SCAN_EQ3_COUNT_2[[#This Row],[ID MATERIAL]]="","",IF(Plantilla_SCAN_EQ3_COUNT_2[[#This Row],[No. Empaques]]="",1,Plantilla_SCAN_EQ3_COUNT_2[[#This Row],[No. Empaques]]*1))</f>
        <v/>
      </c>
      <c r="G1214" s="7" t="str">
        <f>IF(Plantilla_SCAN_EQ3_COUNT_2[[#This Row],[ID MATERIAL]]="","","PZ")</f>
        <v/>
      </c>
      <c r="H1214" s="7" t="str">
        <f>IF(Plantilla_SCAN_EQ3_COUNT_2[[#This Row],[ID MATERIAL]]="","",$B$13)</f>
        <v/>
      </c>
      <c r="I1214" s="7" t="str">
        <f>IF(Plantilla_SCAN_EQ3_COUNT_2[[#This Row],[ID MATERIAL]]="","","Segundo Conteo")</f>
        <v/>
      </c>
    </row>
    <row r="1215" spans="1:9" s="7" customFormat="1" ht="15" x14ac:dyDescent="0.2">
      <c r="A1215" s="7" t="str">
        <f>IF(Plantilla_SCAN_EQ3_COUNT_2[[#This Row],[ID MATERIAL]]="","",SIGN(Plantilla_SCAN_EQ3_COUNT_2[[#This Row],[Cantidad]])+A1214)</f>
        <v/>
      </c>
      <c r="B1215" s="21" t="str">
        <f>IF(Plantilla_SCAN_EQ3_COUNT_2[[#This Row],[ID MATERIAL]]="","",B1214)</f>
        <v/>
      </c>
      <c r="C1215" s="21"/>
      <c r="D1215" s="21"/>
      <c r="E1215" s="7" t="str">
        <f>IF(Plantilla_SCAN_EQ3_COUNT_2[[#This Row],[ID MATERIAL]]="","",VLOOKUP(Plantilla_SCAN_EQ3_COUNT_2[[#This Row],[ID MATERIAL]],INVENTARIO!$A:$D,2,FALSE))</f>
        <v/>
      </c>
      <c r="F1215" s="7" t="str">
        <f>IF(Plantilla_SCAN_EQ3_COUNT_2[[#This Row],[ID MATERIAL]]="","",IF(Plantilla_SCAN_EQ3_COUNT_2[[#This Row],[No. Empaques]]="",1,Plantilla_SCAN_EQ3_COUNT_2[[#This Row],[No. Empaques]]*1))</f>
        <v/>
      </c>
      <c r="G1215" s="7" t="str">
        <f>IF(Plantilla_SCAN_EQ3_COUNT_2[[#This Row],[ID MATERIAL]]="","","PZ")</f>
        <v/>
      </c>
      <c r="H1215" s="7" t="str">
        <f>IF(Plantilla_SCAN_EQ3_COUNT_2[[#This Row],[ID MATERIAL]]="","",$B$13)</f>
        <v/>
      </c>
      <c r="I1215" s="7" t="str">
        <f>IF(Plantilla_SCAN_EQ3_COUNT_2[[#This Row],[ID MATERIAL]]="","","Segundo Conteo")</f>
        <v/>
      </c>
    </row>
    <row r="1216" spans="1:9" s="7" customFormat="1" ht="15" x14ac:dyDescent="0.2">
      <c r="A1216" s="7" t="str">
        <f>IF(Plantilla_SCAN_EQ3_COUNT_2[[#This Row],[ID MATERIAL]]="","",SIGN(Plantilla_SCAN_EQ3_COUNT_2[[#This Row],[Cantidad]])+A1215)</f>
        <v/>
      </c>
      <c r="B1216" s="21" t="str">
        <f>IF(Plantilla_SCAN_EQ3_COUNT_2[[#This Row],[ID MATERIAL]]="","",B1215)</f>
        <v/>
      </c>
      <c r="C1216" s="21"/>
      <c r="D1216" s="21"/>
      <c r="E1216" s="7" t="str">
        <f>IF(Plantilla_SCAN_EQ3_COUNT_2[[#This Row],[ID MATERIAL]]="","",VLOOKUP(Plantilla_SCAN_EQ3_COUNT_2[[#This Row],[ID MATERIAL]],INVENTARIO!$A:$D,2,FALSE))</f>
        <v/>
      </c>
      <c r="F1216" s="7" t="str">
        <f>IF(Plantilla_SCAN_EQ3_COUNT_2[[#This Row],[ID MATERIAL]]="","",IF(Plantilla_SCAN_EQ3_COUNT_2[[#This Row],[No. Empaques]]="",1,Plantilla_SCAN_EQ3_COUNT_2[[#This Row],[No. Empaques]]*1))</f>
        <v/>
      </c>
      <c r="G1216" s="7" t="str">
        <f>IF(Plantilla_SCAN_EQ3_COUNT_2[[#This Row],[ID MATERIAL]]="","","PZ")</f>
        <v/>
      </c>
      <c r="H1216" s="7" t="str">
        <f>IF(Plantilla_SCAN_EQ3_COUNT_2[[#This Row],[ID MATERIAL]]="","",$B$13)</f>
        <v/>
      </c>
      <c r="I1216" s="7" t="str">
        <f>IF(Plantilla_SCAN_EQ3_COUNT_2[[#This Row],[ID MATERIAL]]="","","Segundo Conteo")</f>
        <v/>
      </c>
    </row>
    <row r="1217" spans="1:9" s="7" customFormat="1" ht="15" x14ac:dyDescent="0.2">
      <c r="A1217" s="7" t="str">
        <f>IF(Plantilla_SCAN_EQ3_COUNT_2[[#This Row],[ID MATERIAL]]="","",SIGN(Plantilla_SCAN_EQ3_COUNT_2[[#This Row],[Cantidad]])+A1216)</f>
        <v/>
      </c>
      <c r="B1217" s="21" t="str">
        <f>IF(Plantilla_SCAN_EQ3_COUNT_2[[#This Row],[ID MATERIAL]]="","",B1216)</f>
        <v/>
      </c>
      <c r="C1217" s="21"/>
      <c r="D1217" s="21"/>
      <c r="E1217" s="7" t="str">
        <f>IF(Plantilla_SCAN_EQ3_COUNT_2[[#This Row],[ID MATERIAL]]="","",VLOOKUP(Plantilla_SCAN_EQ3_COUNT_2[[#This Row],[ID MATERIAL]],INVENTARIO!$A:$D,2,FALSE))</f>
        <v/>
      </c>
      <c r="F1217" s="7" t="str">
        <f>IF(Plantilla_SCAN_EQ3_COUNT_2[[#This Row],[ID MATERIAL]]="","",IF(Plantilla_SCAN_EQ3_COUNT_2[[#This Row],[No. Empaques]]="",1,Plantilla_SCAN_EQ3_COUNT_2[[#This Row],[No. Empaques]]*1))</f>
        <v/>
      </c>
      <c r="G1217" s="7" t="str">
        <f>IF(Plantilla_SCAN_EQ3_COUNT_2[[#This Row],[ID MATERIAL]]="","","PZ")</f>
        <v/>
      </c>
      <c r="H1217" s="7" t="str">
        <f>IF(Plantilla_SCAN_EQ3_COUNT_2[[#This Row],[ID MATERIAL]]="","",$B$13)</f>
        <v/>
      </c>
      <c r="I1217" s="7" t="str">
        <f>IF(Plantilla_SCAN_EQ3_COUNT_2[[#This Row],[ID MATERIAL]]="","","Segundo Conteo")</f>
        <v/>
      </c>
    </row>
    <row r="1218" spans="1:9" s="7" customFormat="1" ht="15" x14ac:dyDescent="0.2">
      <c r="A1218" s="7" t="str">
        <f>IF(Plantilla_SCAN_EQ3_COUNT_2[[#This Row],[ID MATERIAL]]="","",SIGN(Plantilla_SCAN_EQ3_COUNT_2[[#This Row],[Cantidad]])+A1217)</f>
        <v/>
      </c>
      <c r="B1218" s="21" t="str">
        <f>IF(Plantilla_SCAN_EQ3_COUNT_2[[#This Row],[ID MATERIAL]]="","",B1217)</f>
        <v/>
      </c>
      <c r="C1218" s="21"/>
      <c r="D1218" s="21"/>
      <c r="E1218" s="7" t="str">
        <f>IF(Plantilla_SCAN_EQ3_COUNT_2[[#This Row],[ID MATERIAL]]="","",VLOOKUP(Plantilla_SCAN_EQ3_COUNT_2[[#This Row],[ID MATERIAL]],INVENTARIO!$A:$D,2,FALSE))</f>
        <v/>
      </c>
      <c r="F1218" s="7" t="str">
        <f>IF(Plantilla_SCAN_EQ3_COUNT_2[[#This Row],[ID MATERIAL]]="","",IF(Plantilla_SCAN_EQ3_COUNT_2[[#This Row],[No. Empaques]]="",1,Plantilla_SCAN_EQ3_COUNT_2[[#This Row],[No. Empaques]]*1))</f>
        <v/>
      </c>
      <c r="G1218" s="7" t="str">
        <f>IF(Plantilla_SCAN_EQ3_COUNT_2[[#This Row],[ID MATERIAL]]="","","PZ")</f>
        <v/>
      </c>
      <c r="H1218" s="7" t="str">
        <f>IF(Plantilla_SCAN_EQ3_COUNT_2[[#This Row],[ID MATERIAL]]="","",$B$13)</f>
        <v/>
      </c>
      <c r="I1218" s="7" t="str">
        <f>IF(Plantilla_SCAN_EQ3_COUNT_2[[#This Row],[ID MATERIAL]]="","","Segundo Conteo")</f>
        <v/>
      </c>
    </row>
    <row r="1219" spans="1:9" s="7" customFormat="1" ht="15" x14ac:dyDescent="0.2">
      <c r="A1219" s="7" t="str">
        <f>IF(Plantilla_SCAN_EQ3_COUNT_2[[#This Row],[ID MATERIAL]]="","",SIGN(Plantilla_SCAN_EQ3_COUNT_2[[#This Row],[Cantidad]])+A1218)</f>
        <v/>
      </c>
      <c r="B1219" s="21" t="str">
        <f>IF(Plantilla_SCAN_EQ3_COUNT_2[[#This Row],[ID MATERIAL]]="","",B1218)</f>
        <v/>
      </c>
      <c r="C1219" s="21"/>
      <c r="D1219" s="21"/>
      <c r="E1219" s="7" t="str">
        <f>IF(Plantilla_SCAN_EQ3_COUNT_2[[#This Row],[ID MATERIAL]]="","",VLOOKUP(Plantilla_SCAN_EQ3_COUNT_2[[#This Row],[ID MATERIAL]],INVENTARIO!$A:$D,2,FALSE))</f>
        <v/>
      </c>
      <c r="F1219" s="7" t="str">
        <f>IF(Plantilla_SCAN_EQ3_COUNT_2[[#This Row],[ID MATERIAL]]="","",IF(Plantilla_SCAN_EQ3_COUNT_2[[#This Row],[No. Empaques]]="",1,Plantilla_SCAN_EQ3_COUNT_2[[#This Row],[No. Empaques]]*1))</f>
        <v/>
      </c>
      <c r="G1219" s="7" t="str">
        <f>IF(Plantilla_SCAN_EQ3_COUNT_2[[#This Row],[ID MATERIAL]]="","","PZ")</f>
        <v/>
      </c>
      <c r="H1219" s="7" t="str">
        <f>IF(Plantilla_SCAN_EQ3_COUNT_2[[#This Row],[ID MATERIAL]]="","",$B$13)</f>
        <v/>
      </c>
      <c r="I1219" s="7" t="str">
        <f>IF(Plantilla_SCAN_EQ3_COUNT_2[[#This Row],[ID MATERIAL]]="","","Segundo Conteo")</f>
        <v/>
      </c>
    </row>
    <row r="1220" spans="1:9" s="7" customFormat="1" ht="15" x14ac:dyDescent="0.2">
      <c r="A1220" s="7" t="str">
        <f>IF(Plantilla_SCAN_EQ3_COUNT_2[[#This Row],[ID MATERIAL]]="","",SIGN(Plantilla_SCAN_EQ3_COUNT_2[[#This Row],[Cantidad]])+A1219)</f>
        <v/>
      </c>
      <c r="B1220" s="21" t="str">
        <f>IF(Plantilla_SCAN_EQ3_COUNT_2[[#This Row],[ID MATERIAL]]="","",B1219)</f>
        <v/>
      </c>
      <c r="C1220" s="21"/>
      <c r="D1220" s="21"/>
      <c r="E1220" s="7" t="str">
        <f>IF(Plantilla_SCAN_EQ3_COUNT_2[[#This Row],[ID MATERIAL]]="","",VLOOKUP(Plantilla_SCAN_EQ3_COUNT_2[[#This Row],[ID MATERIAL]],INVENTARIO!$A:$D,2,FALSE))</f>
        <v/>
      </c>
      <c r="F1220" s="7" t="str">
        <f>IF(Plantilla_SCAN_EQ3_COUNT_2[[#This Row],[ID MATERIAL]]="","",IF(Plantilla_SCAN_EQ3_COUNT_2[[#This Row],[No. Empaques]]="",1,Plantilla_SCAN_EQ3_COUNT_2[[#This Row],[No. Empaques]]*1))</f>
        <v/>
      </c>
      <c r="G1220" s="7" t="str">
        <f>IF(Plantilla_SCAN_EQ3_COUNT_2[[#This Row],[ID MATERIAL]]="","","PZ")</f>
        <v/>
      </c>
      <c r="H1220" s="7" t="str">
        <f>IF(Plantilla_SCAN_EQ3_COUNT_2[[#This Row],[ID MATERIAL]]="","",$B$13)</f>
        <v/>
      </c>
      <c r="I1220" s="7" t="str">
        <f>IF(Plantilla_SCAN_EQ3_COUNT_2[[#This Row],[ID MATERIAL]]="","","Segundo Conteo")</f>
        <v/>
      </c>
    </row>
    <row r="1221" spans="1:9" s="7" customFormat="1" ht="15" x14ac:dyDescent="0.2">
      <c r="A1221" s="7" t="str">
        <f>IF(Plantilla_SCAN_EQ3_COUNT_2[[#This Row],[ID MATERIAL]]="","",SIGN(Plantilla_SCAN_EQ3_COUNT_2[[#This Row],[Cantidad]])+A1220)</f>
        <v/>
      </c>
      <c r="B1221" s="21" t="str">
        <f>IF(Plantilla_SCAN_EQ3_COUNT_2[[#This Row],[ID MATERIAL]]="","",B1220)</f>
        <v/>
      </c>
      <c r="C1221" s="21"/>
      <c r="D1221" s="21"/>
      <c r="E1221" s="7" t="str">
        <f>IF(Plantilla_SCAN_EQ3_COUNT_2[[#This Row],[ID MATERIAL]]="","",VLOOKUP(Plantilla_SCAN_EQ3_COUNT_2[[#This Row],[ID MATERIAL]],INVENTARIO!$A:$D,2,FALSE))</f>
        <v/>
      </c>
      <c r="F1221" s="7" t="str">
        <f>IF(Plantilla_SCAN_EQ3_COUNT_2[[#This Row],[ID MATERIAL]]="","",IF(Plantilla_SCAN_EQ3_COUNT_2[[#This Row],[No. Empaques]]="",1,Plantilla_SCAN_EQ3_COUNT_2[[#This Row],[No. Empaques]]*1))</f>
        <v/>
      </c>
      <c r="G1221" s="7" t="str">
        <f>IF(Plantilla_SCAN_EQ3_COUNT_2[[#This Row],[ID MATERIAL]]="","","PZ")</f>
        <v/>
      </c>
      <c r="H1221" s="7" t="str">
        <f>IF(Plantilla_SCAN_EQ3_COUNT_2[[#This Row],[ID MATERIAL]]="","",$B$13)</f>
        <v/>
      </c>
      <c r="I1221" s="7" t="str">
        <f>IF(Plantilla_SCAN_EQ3_COUNT_2[[#This Row],[ID MATERIAL]]="","","Segundo Conteo")</f>
        <v/>
      </c>
    </row>
    <row r="1222" spans="1:9" s="7" customFormat="1" ht="15" x14ac:dyDescent="0.2">
      <c r="A1222" s="7" t="str">
        <f>IF(Plantilla_SCAN_EQ3_COUNT_2[[#This Row],[ID MATERIAL]]="","",SIGN(Plantilla_SCAN_EQ3_COUNT_2[[#This Row],[Cantidad]])+A1221)</f>
        <v/>
      </c>
      <c r="B1222" s="21" t="str">
        <f>IF(Plantilla_SCAN_EQ3_COUNT_2[[#This Row],[ID MATERIAL]]="","",B1221)</f>
        <v/>
      </c>
      <c r="C1222" s="21"/>
      <c r="D1222" s="21"/>
      <c r="E1222" s="7" t="str">
        <f>IF(Plantilla_SCAN_EQ3_COUNT_2[[#This Row],[ID MATERIAL]]="","",VLOOKUP(Plantilla_SCAN_EQ3_COUNT_2[[#This Row],[ID MATERIAL]],INVENTARIO!$A:$D,2,FALSE))</f>
        <v/>
      </c>
      <c r="F1222" s="7" t="str">
        <f>IF(Plantilla_SCAN_EQ3_COUNT_2[[#This Row],[ID MATERIAL]]="","",IF(Plantilla_SCAN_EQ3_COUNT_2[[#This Row],[No. Empaques]]="",1,Plantilla_SCAN_EQ3_COUNT_2[[#This Row],[No. Empaques]]*1))</f>
        <v/>
      </c>
      <c r="G1222" s="7" t="str">
        <f>IF(Plantilla_SCAN_EQ3_COUNT_2[[#This Row],[ID MATERIAL]]="","","PZ")</f>
        <v/>
      </c>
      <c r="H1222" s="7" t="str">
        <f>IF(Plantilla_SCAN_EQ3_COUNT_2[[#This Row],[ID MATERIAL]]="","",$B$13)</f>
        <v/>
      </c>
      <c r="I1222" s="7" t="str">
        <f>IF(Plantilla_SCAN_EQ3_COUNT_2[[#This Row],[ID MATERIAL]]="","","Segundo Conteo")</f>
        <v/>
      </c>
    </row>
    <row r="1223" spans="1:9" s="7" customFormat="1" ht="15" x14ac:dyDescent="0.2">
      <c r="A1223" s="7" t="str">
        <f>IF(Plantilla_SCAN_EQ3_COUNT_2[[#This Row],[ID MATERIAL]]="","",SIGN(Plantilla_SCAN_EQ3_COUNT_2[[#This Row],[Cantidad]])+A1222)</f>
        <v/>
      </c>
      <c r="B1223" s="21" t="str">
        <f>IF(Plantilla_SCAN_EQ3_COUNT_2[[#This Row],[ID MATERIAL]]="","",B1222)</f>
        <v/>
      </c>
      <c r="C1223" s="21"/>
      <c r="D1223" s="21"/>
      <c r="E1223" s="7" t="str">
        <f>IF(Plantilla_SCAN_EQ3_COUNT_2[[#This Row],[ID MATERIAL]]="","",VLOOKUP(Plantilla_SCAN_EQ3_COUNT_2[[#This Row],[ID MATERIAL]],INVENTARIO!$A:$D,2,FALSE))</f>
        <v/>
      </c>
      <c r="F1223" s="7" t="str">
        <f>IF(Plantilla_SCAN_EQ3_COUNT_2[[#This Row],[ID MATERIAL]]="","",IF(Plantilla_SCAN_EQ3_COUNT_2[[#This Row],[No. Empaques]]="",1,Plantilla_SCAN_EQ3_COUNT_2[[#This Row],[No. Empaques]]*1))</f>
        <v/>
      </c>
      <c r="G1223" s="7" t="str">
        <f>IF(Plantilla_SCAN_EQ3_COUNT_2[[#This Row],[ID MATERIAL]]="","","PZ")</f>
        <v/>
      </c>
      <c r="H1223" s="7" t="str">
        <f>IF(Plantilla_SCAN_EQ3_COUNT_2[[#This Row],[ID MATERIAL]]="","",$B$13)</f>
        <v/>
      </c>
      <c r="I1223" s="7" t="str">
        <f>IF(Plantilla_SCAN_EQ3_COUNT_2[[#This Row],[ID MATERIAL]]="","","Segundo Conteo")</f>
        <v/>
      </c>
    </row>
    <row r="1224" spans="1:9" s="7" customFormat="1" ht="15" x14ac:dyDescent="0.2">
      <c r="A1224" s="7" t="str">
        <f>IF(Plantilla_SCAN_EQ3_COUNT_2[[#This Row],[ID MATERIAL]]="","",SIGN(Plantilla_SCAN_EQ3_COUNT_2[[#This Row],[Cantidad]])+A1223)</f>
        <v/>
      </c>
      <c r="B1224" s="21" t="str">
        <f>IF(Plantilla_SCAN_EQ3_COUNT_2[[#This Row],[ID MATERIAL]]="","",B1223)</f>
        <v/>
      </c>
      <c r="C1224" s="21"/>
      <c r="D1224" s="21"/>
      <c r="E1224" s="7" t="str">
        <f>IF(Plantilla_SCAN_EQ3_COUNT_2[[#This Row],[ID MATERIAL]]="","",VLOOKUP(Plantilla_SCAN_EQ3_COUNT_2[[#This Row],[ID MATERIAL]],INVENTARIO!$A:$D,2,FALSE))</f>
        <v/>
      </c>
      <c r="F1224" s="7" t="str">
        <f>IF(Plantilla_SCAN_EQ3_COUNT_2[[#This Row],[ID MATERIAL]]="","",IF(Plantilla_SCAN_EQ3_COUNT_2[[#This Row],[No. Empaques]]="",1,Plantilla_SCAN_EQ3_COUNT_2[[#This Row],[No. Empaques]]*1))</f>
        <v/>
      </c>
      <c r="G1224" s="7" t="str">
        <f>IF(Plantilla_SCAN_EQ3_COUNT_2[[#This Row],[ID MATERIAL]]="","","PZ")</f>
        <v/>
      </c>
      <c r="H1224" s="7" t="str">
        <f>IF(Plantilla_SCAN_EQ3_COUNT_2[[#This Row],[ID MATERIAL]]="","",$B$13)</f>
        <v/>
      </c>
      <c r="I1224" s="7" t="str">
        <f>IF(Plantilla_SCAN_EQ3_COUNT_2[[#This Row],[ID MATERIAL]]="","","Segundo Conteo")</f>
        <v/>
      </c>
    </row>
    <row r="1225" spans="1:9" s="7" customFormat="1" ht="15" x14ac:dyDescent="0.2">
      <c r="A1225" s="7" t="str">
        <f>IF(Plantilla_SCAN_EQ3_COUNT_2[[#This Row],[ID MATERIAL]]="","",SIGN(Plantilla_SCAN_EQ3_COUNT_2[[#This Row],[Cantidad]])+A1224)</f>
        <v/>
      </c>
      <c r="B1225" s="21" t="str">
        <f>IF(Plantilla_SCAN_EQ3_COUNT_2[[#This Row],[ID MATERIAL]]="","",B1224)</f>
        <v/>
      </c>
      <c r="C1225" s="21"/>
      <c r="D1225" s="21"/>
      <c r="E1225" s="7" t="str">
        <f>IF(Plantilla_SCAN_EQ3_COUNT_2[[#This Row],[ID MATERIAL]]="","",VLOOKUP(Plantilla_SCAN_EQ3_COUNT_2[[#This Row],[ID MATERIAL]],INVENTARIO!$A:$D,2,FALSE))</f>
        <v/>
      </c>
      <c r="F1225" s="7" t="str">
        <f>IF(Plantilla_SCAN_EQ3_COUNT_2[[#This Row],[ID MATERIAL]]="","",IF(Plantilla_SCAN_EQ3_COUNT_2[[#This Row],[No. Empaques]]="",1,Plantilla_SCAN_EQ3_COUNT_2[[#This Row],[No. Empaques]]*1))</f>
        <v/>
      </c>
      <c r="G1225" s="7" t="str">
        <f>IF(Plantilla_SCAN_EQ3_COUNT_2[[#This Row],[ID MATERIAL]]="","","PZ")</f>
        <v/>
      </c>
      <c r="H1225" s="7" t="str">
        <f>IF(Plantilla_SCAN_EQ3_COUNT_2[[#This Row],[ID MATERIAL]]="","",$B$13)</f>
        <v/>
      </c>
      <c r="I1225" s="7" t="str">
        <f>IF(Plantilla_SCAN_EQ3_COUNT_2[[#This Row],[ID MATERIAL]]="","","Segundo Conteo")</f>
        <v/>
      </c>
    </row>
    <row r="1226" spans="1:9" s="7" customFormat="1" ht="15" x14ac:dyDescent="0.2">
      <c r="A1226" s="7" t="str">
        <f>IF(Plantilla_SCAN_EQ3_COUNT_2[[#This Row],[ID MATERIAL]]="","",SIGN(Plantilla_SCAN_EQ3_COUNT_2[[#This Row],[Cantidad]])+A1225)</f>
        <v/>
      </c>
      <c r="B1226" s="21" t="str">
        <f>IF(Plantilla_SCAN_EQ3_COUNT_2[[#This Row],[ID MATERIAL]]="","",B1225)</f>
        <v/>
      </c>
      <c r="C1226" s="21"/>
      <c r="D1226" s="21"/>
      <c r="E1226" s="7" t="str">
        <f>IF(Plantilla_SCAN_EQ3_COUNT_2[[#This Row],[ID MATERIAL]]="","",VLOOKUP(Plantilla_SCAN_EQ3_COUNT_2[[#This Row],[ID MATERIAL]],INVENTARIO!$A:$D,2,FALSE))</f>
        <v/>
      </c>
      <c r="F1226" s="7" t="str">
        <f>IF(Plantilla_SCAN_EQ3_COUNT_2[[#This Row],[ID MATERIAL]]="","",IF(Plantilla_SCAN_EQ3_COUNT_2[[#This Row],[No. Empaques]]="",1,Plantilla_SCAN_EQ3_COUNT_2[[#This Row],[No. Empaques]]*1))</f>
        <v/>
      </c>
      <c r="G1226" s="7" t="str">
        <f>IF(Plantilla_SCAN_EQ3_COUNT_2[[#This Row],[ID MATERIAL]]="","","PZ")</f>
        <v/>
      </c>
      <c r="H1226" s="7" t="str">
        <f>IF(Plantilla_SCAN_EQ3_COUNT_2[[#This Row],[ID MATERIAL]]="","",$B$13)</f>
        <v/>
      </c>
      <c r="I1226" s="7" t="str">
        <f>IF(Plantilla_SCAN_EQ3_COUNT_2[[#This Row],[ID MATERIAL]]="","","Segundo Conteo")</f>
        <v/>
      </c>
    </row>
    <row r="1227" spans="1:9" s="7" customFormat="1" ht="15" x14ac:dyDescent="0.2">
      <c r="A1227" s="7" t="str">
        <f>IF(Plantilla_SCAN_EQ3_COUNT_2[[#This Row],[ID MATERIAL]]="","",SIGN(Plantilla_SCAN_EQ3_COUNT_2[[#This Row],[Cantidad]])+A1226)</f>
        <v/>
      </c>
      <c r="B1227" s="21" t="str">
        <f>IF(Plantilla_SCAN_EQ3_COUNT_2[[#This Row],[ID MATERIAL]]="","",B1226)</f>
        <v/>
      </c>
      <c r="C1227" s="21"/>
      <c r="D1227" s="21"/>
      <c r="E1227" s="7" t="str">
        <f>IF(Plantilla_SCAN_EQ3_COUNT_2[[#This Row],[ID MATERIAL]]="","",VLOOKUP(Plantilla_SCAN_EQ3_COUNT_2[[#This Row],[ID MATERIAL]],INVENTARIO!$A:$D,2,FALSE))</f>
        <v/>
      </c>
      <c r="F1227" s="7" t="str">
        <f>IF(Plantilla_SCAN_EQ3_COUNT_2[[#This Row],[ID MATERIAL]]="","",IF(Plantilla_SCAN_EQ3_COUNT_2[[#This Row],[No. Empaques]]="",1,Plantilla_SCAN_EQ3_COUNT_2[[#This Row],[No. Empaques]]*1))</f>
        <v/>
      </c>
      <c r="G1227" s="7" t="str">
        <f>IF(Plantilla_SCAN_EQ3_COUNT_2[[#This Row],[ID MATERIAL]]="","","PZ")</f>
        <v/>
      </c>
      <c r="H1227" s="7" t="str">
        <f>IF(Plantilla_SCAN_EQ3_COUNT_2[[#This Row],[ID MATERIAL]]="","",$B$13)</f>
        <v/>
      </c>
      <c r="I1227" s="7" t="str">
        <f>IF(Plantilla_SCAN_EQ3_COUNT_2[[#This Row],[ID MATERIAL]]="","","Segundo Conteo")</f>
        <v/>
      </c>
    </row>
    <row r="1228" spans="1:9" s="7" customFormat="1" ht="15" x14ac:dyDescent="0.2">
      <c r="A1228" s="7" t="str">
        <f>IF(Plantilla_SCAN_EQ3_COUNT_2[[#This Row],[ID MATERIAL]]="","",SIGN(Plantilla_SCAN_EQ3_COUNT_2[[#This Row],[Cantidad]])+A1227)</f>
        <v/>
      </c>
      <c r="B1228" s="21" t="str">
        <f>IF(Plantilla_SCAN_EQ3_COUNT_2[[#This Row],[ID MATERIAL]]="","",B1227)</f>
        <v/>
      </c>
      <c r="C1228" s="21"/>
      <c r="D1228" s="21"/>
      <c r="E1228" s="7" t="str">
        <f>IF(Plantilla_SCAN_EQ3_COUNT_2[[#This Row],[ID MATERIAL]]="","",VLOOKUP(Plantilla_SCAN_EQ3_COUNT_2[[#This Row],[ID MATERIAL]],INVENTARIO!$A:$D,2,FALSE))</f>
        <v/>
      </c>
      <c r="F1228" s="7" t="str">
        <f>IF(Plantilla_SCAN_EQ3_COUNT_2[[#This Row],[ID MATERIAL]]="","",IF(Plantilla_SCAN_EQ3_COUNT_2[[#This Row],[No. Empaques]]="",1,Plantilla_SCAN_EQ3_COUNT_2[[#This Row],[No. Empaques]]*1))</f>
        <v/>
      </c>
      <c r="G1228" s="7" t="str">
        <f>IF(Plantilla_SCAN_EQ3_COUNT_2[[#This Row],[ID MATERIAL]]="","","PZ")</f>
        <v/>
      </c>
      <c r="H1228" s="7" t="str">
        <f>IF(Plantilla_SCAN_EQ3_COUNT_2[[#This Row],[ID MATERIAL]]="","",$B$13)</f>
        <v/>
      </c>
      <c r="I1228" s="7" t="str">
        <f>IF(Plantilla_SCAN_EQ3_COUNT_2[[#This Row],[ID MATERIAL]]="","","Segundo Conteo")</f>
        <v/>
      </c>
    </row>
    <row r="1229" spans="1:9" s="7" customFormat="1" ht="15" x14ac:dyDescent="0.2">
      <c r="A1229" s="7" t="str">
        <f>IF(Plantilla_SCAN_EQ3_COUNT_2[[#This Row],[ID MATERIAL]]="","",SIGN(Plantilla_SCAN_EQ3_COUNT_2[[#This Row],[Cantidad]])+A1228)</f>
        <v/>
      </c>
      <c r="B1229" s="21" t="str">
        <f>IF(Plantilla_SCAN_EQ3_COUNT_2[[#This Row],[ID MATERIAL]]="","",B1228)</f>
        <v/>
      </c>
      <c r="C1229" s="21"/>
      <c r="D1229" s="21"/>
      <c r="E1229" s="7" t="str">
        <f>IF(Plantilla_SCAN_EQ3_COUNT_2[[#This Row],[ID MATERIAL]]="","",VLOOKUP(Plantilla_SCAN_EQ3_COUNT_2[[#This Row],[ID MATERIAL]],INVENTARIO!$A:$D,2,FALSE))</f>
        <v/>
      </c>
      <c r="F1229" s="7" t="str">
        <f>IF(Plantilla_SCAN_EQ3_COUNT_2[[#This Row],[ID MATERIAL]]="","",IF(Plantilla_SCAN_EQ3_COUNT_2[[#This Row],[No. Empaques]]="",1,Plantilla_SCAN_EQ3_COUNT_2[[#This Row],[No. Empaques]]*1))</f>
        <v/>
      </c>
      <c r="G1229" s="7" t="str">
        <f>IF(Plantilla_SCAN_EQ3_COUNT_2[[#This Row],[ID MATERIAL]]="","","PZ")</f>
        <v/>
      </c>
      <c r="H1229" s="7" t="str">
        <f>IF(Plantilla_SCAN_EQ3_COUNT_2[[#This Row],[ID MATERIAL]]="","",$B$13)</f>
        <v/>
      </c>
      <c r="I1229" s="7" t="str">
        <f>IF(Plantilla_SCAN_EQ3_COUNT_2[[#This Row],[ID MATERIAL]]="","","Segundo Conteo")</f>
        <v/>
      </c>
    </row>
    <row r="1230" spans="1:9" s="7" customFormat="1" ht="15" x14ac:dyDescent="0.2">
      <c r="A1230" s="7" t="str">
        <f>IF(Plantilla_SCAN_EQ3_COUNT_2[[#This Row],[ID MATERIAL]]="","",SIGN(Plantilla_SCAN_EQ3_COUNT_2[[#This Row],[Cantidad]])+A1229)</f>
        <v/>
      </c>
      <c r="B1230" s="21" t="str">
        <f>IF(Plantilla_SCAN_EQ3_COUNT_2[[#This Row],[ID MATERIAL]]="","",B1229)</f>
        <v/>
      </c>
      <c r="C1230" s="21"/>
      <c r="D1230" s="21"/>
      <c r="E1230" s="7" t="str">
        <f>IF(Plantilla_SCAN_EQ3_COUNT_2[[#This Row],[ID MATERIAL]]="","",VLOOKUP(Plantilla_SCAN_EQ3_COUNT_2[[#This Row],[ID MATERIAL]],INVENTARIO!$A:$D,2,FALSE))</f>
        <v/>
      </c>
      <c r="F1230" s="7" t="str">
        <f>IF(Plantilla_SCAN_EQ3_COUNT_2[[#This Row],[ID MATERIAL]]="","",IF(Plantilla_SCAN_EQ3_COUNT_2[[#This Row],[No. Empaques]]="",1,Plantilla_SCAN_EQ3_COUNT_2[[#This Row],[No. Empaques]]*1))</f>
        <v/>
      </c>
      <c r="G1230" s="7" t="str">
        <f>IF(Plantilla_SCAN_EQ3_COUNT_2[[#This Row],[ID MATERIAL]]="","","PZ")</f>
        <v/>
      </c>
      <c r="H1230" s="7" t="str">
        <f>IF(Plantilla_SCAN_EQ3_COUNT_2[[#This Row],[ID MATERIAL]]="","",$B$13)</f>
        <v/>
      </c>
      <c r="I1230" s="7" t="str">
        <f>IF(Plantilla_SCAN_EQ3_COUNT_2[[#This Row],[ID MATERIAL]]="","","Segundo Conteo")</f>
        <v/>
      </c>
    </row>
    <row r="1231" spans="1:9" s="7" customFormat="1" ht="15" x14ac:dyDescent="0.2">
      <c r="A1231" s="7" t="str">
        <f>IF(Plantilla_SCAN_EQ3_COUNT_2[[#This Row],[ID MATERIAL]]="","",SIGN(Plantilla_SCAN_EQ3_COUNT_2[[#This Row],[Cantidad]])+A1230)</f>
        <v/>
      </c>
      <c r="B1231" s="21" t="str">
        <f>IF(Plantilla_SCAN_EQ3_COUNT_2[[#This Row],[ID MATERIAL]]="","",B1230)</f>
        <v/>
      </c>
      <c r="C1231" s="21"/>
      <c r="D1231" s="21"/>
      <c r="E1231" s="7" t="str">
        <f>IF(Plantilla_SCAN_EQ3_COUNT_2[[#This Row],[ID MATERIAL]]="","",VLOOKUP(Plantilla_SCAN_EQ3_COUNT_2[[#This Row],[ID MATERIAL]],INVENTARIO!$A:$D,2,FALSE))</f>
        <v/>
      </c>
      <c r="F1231" s="7" t="str">
        <f>IF(Plantilla_SCAN_EQ3_COUNT_2[[#This Row],[ID MATERIAL]]="","",IF(Plantilla_SCAN_EQ3_COUNT_2[[#This Row],[No. Empaques]]="",1,Plantilla_SCAN_EQ3_COUNT_2[[#This Row],[No. Empaques]]*1))</f>
        <v/>
      </c>
      <c r="G1231" s="7" t="str">
        <f>IF(Plantilla_SCAN_EQ3_COUNT_2[[#This Row],[ID MATERIAL]]="","","PZ")</f>
        <v/>
      </c>
      <c r="H1231" s="7" t="str">
        <f>IF(Plantilla_SCAN_EQ3_COUNT_2[[#This Row],[ID MATERIAL]]="","",$B$13)</f>
        <v/>
      </c>
      <c r="I1231" s="7" t="str">
        <f>IF(Plantilla_SCAN_EQ3_COUNT_2[[#This Row],[ID MATERIAL]]="","","Segundo Conteo")</f>
        <v/>
      </c>
    </row>
    <row r="1232" spans="1:9" s="7" customFormat="1" ht="15" x14ac:dyDescent="0.2">
      <c r="A1232" s="7" t="str">
        <f>IF(Plantilla_SCAN_EQ3_COUNT_2[[#This Row],[ID MATERIAL]]="","",SIGN(Plantilla_SCAN_EQ3_COUNT_2[[#This Row],[Cantidad]])+A1231)</f>
        <v/>
      </c>
      <c r="B1232" s="21" t="str">
        <f>IF(Plantilla_SCAN_EQ3_COUNT_2[[#This Row],[ID MATERIAL]]="","",B1231)</f>
        <v/>
      </c>
      <c r="C1232" s="21"/>
      <c r="D1232" s="21"/>
      <c r="E1232" s="7" t="str">
        <f>IF(Plantilla_SCAN_EQ3_COUNT_2[[#This Row],[ID MATERIAL]]="","",VLOOKUP(Plantilla_SCAN_EQ3_COUNT_2[[#This Row],[ID MATERIAL]],INVENTARIO!$A:$D,2,FALSE))</f>
        <v/>
      </c>
      <c r="F1232" s="7" t="str">
        <f>IF(Plantilla_SCAN_EQ3_COUNT_2[[#This Row],[ID MATERIAL]]="","",IF(Plantilla_SCAN_EQ3_COUNT_2[[#This Row],[No. Empaques]]="",1,Plantilla_SCAN_EQ3_COUNT_2[[#This Row],[No. Empaques]]*1))</f>
        <v/>
      </c>
      <c r="G1232" s="7" t="str">
        <f>IF(Plantilla_SCAN_EQ3_COUNT_2[[#This Row],[ID MATERIAL]]="","","PZ")</f>
        <v/>
      </c>
      <c r="H1232" s="7" t="str">
        <f>IF(Plantilla_SCAN_EQ3_COUNT_2[[#This Row],[ID MATERIAL]]="","",$B$13)</f>
        <v/>
      </c>
      <c r="I1232" s="7" t="str">
        <f>IF(Plantilla_SCAN_EQ3_COUNT_2[[#This Row],[ID MATERIAL]]="","","Segundo Conteo")</f>
        <v/>
      </c>
    </row>
    <row r="1233" spans="1:9" s="7" customFormat="1" ht="15" x14ac:dyDescent="0.2">
      <c r="A1233" s="7" t="str">
        <f>IF(Plantilla_SCAN_EQ3_COUNT_2[[#This Row],[ID MATERIAL]]="","",SIGN(Plantilla_SCAN_EQ3_COUNT_2[[#This Row],[Cantidad]])+A1232)</f>
        <v/>
      </c>
      <c r="B1233" s="21" t="str">
        <f>IF(Plantilla_SCAN_EQ3_COUNT_2[[#This Row],[ID MATERIAL]]="","",B1232)</f>
        <v/>
      </c>
      <c r="C1233" s="21"/>
      <c r="D1233" s="21"/>
      <c r="E1233" s="7" t="str">
        <f>IF(Plantilla_SCAN_EQ3_COUNT_2[[#This Row],[ID MATERIAL]]="","",VLOOKUP(Plantilla_SCAN_EQ3_COUNT_2[[#This Row],[ID MATERIAL]],INVENTARIO!$A:$D,2,FALSE))</f>
        <v/>
      </c>
      <c r="F1233" s="7" t="str">
        <f>IF(Plantilla_SCAN_EQ3_COUNT_2[[#This Row],[ID MATERIAL]]="","",IF(Plantilla_SCAN_EQ3_COUNT_2[[#This Row],[No. Empaques]]="",1,Plantilla_SCAN_EQ3_COUNT_2[[#This Row],[No. Empaques]]*1))</f>
        <v/>
      </c>
      <c r="G1233" s="7" t="str">
        <f>IF(Plantilla_SCAN_EQ3_COUNT_2[[#This Row],[ID MATERIAL]]="","","PZ")</f>
        <v/>
      </c>
      <c r="H1233" s="7" t="str">
        <f>IF(Plantilla_SCAN_EQ3_COUNT_2[[#This Row],[ID MATERIAL]]="","",$B$13)</f>
        <v/>
      </c>
      <c r="I1233" s="7" t="str">
        <f>IF(Plantilla_SCAN_EQ3_COUNT_2[[#This Row],[ID MATERIAL]]="","","Segundo Conteo")</f>
        <v/>
      </c>
    </row>
    <row r="1234" spans="1:9" s="7" customFormat="1" ht="15" x14ac:dyDescent="0.2">
      <c r="A1234" s="7" t="str">
        <f>IF(Plantilla_SCAN_EQ3_COUNT_2[[#This Row],[ID MATERIAL]]="","",SIGN(Plantilla_SCAN_EQ3_COUNT_2[[#This Row],[Cantidad]])+A1233)</f>
        <v/>
      </c>
      <c r="B1234" s="21" t="str">
        <f>IF(Plantilla_SCAN_EQ3_COUNT_2[[#This Row],[ID MATERIAL]]="","",B1233)</f>
        <v/>
      </c>
      <c r="C1234" s="21"/>
      <c r="D1234" s="21"/>
      <c r="E1234" s="7" t="str">
        <f>IF(Plantilla_SCAN_EQ3_COUNT_2[[#This Row],[ID MATERIAL]]="","",VLOOKUP(Plantilla_SCAN_EQ3_COUNT_2[[#This Row],[ID MATERIAL]],INVENTARIO!$A:$D,2,FALSE))</f>
        <v/>
      </c>
      <c r="F1234" s="7" t="str">
        <f>IF(Plantilla_SCAN_EQ3_COUNT_2[[#This Row],[ID MATERIAL]]="","",IF(Plantilla_SCAN_EQ3_COUNT_2[[#This Row],[No. Empaques]]="",1,Plantilla_SCAN_EQ3_COUNT_2[[#This Row],[No. Empaques]]*1))</f>
        <v/>
      </c>
      <c r="G1234" s="7" t="str">
        <f>IF(Plantilla_SCAN_EQ3_COUNT_2[[#This Row],[ID MATERIAL]]="","","PZ")</f>
        <v/>
      </c>
      <c r="H1234" s="7" t="str">
        <f>IF(Plantilla_SCAN_EQ3_COUNT_2[[#This Row],[ID MATERIAL]]="","",$B$13)</f>
        <v/>
      </c>
      <c r="I1234" s="7" t="str">
        <f>IF(Plantilla_SCAN_EQ3_COUNT_2[[#This Row],[ID MATERIAL]]="","","Segundo Conteo")</f>
        <v/>
      </c>
    </row>
    <row r="1235" spans="1:9" s="7" customFormat="1" ht="15" x14ac:dyDescent="0.2">
      <c r="A1235" s="7" t="str">
        <f>IF(Plantilla_SCAN_EQ3_COUNT_2[[#This Row],[ID MATERIAL]]="","",SIGN(Plantilla_SCAN_EQ3_COUNT_2[[#This Row],[Cantidad]])+A1234)</f>
        <v/>
      </c>
      <c r="B1235" s="21" t="str">
        <f>IF(Plantilla_SCAN_EQ3_COUNT_2[[#This Row],[ID MATERIAL]]="","",B1234)</f>
        <v/>
      </c>
      <c r="C1235" s="21"/>
      <c r="D1235" s="21"/>
      <c r="E1235" s="7" t="str">
        <f>IF(Plantilla_SCAN_EQ3_COUNT_2[[#This Row],[ID MATERIAL]]="","",VLOOKUP(Plantilla_SCAN_EQ3_COUNT_2[[#This Row],[ID MATERIAL]],INVENTARIO!$A:$D,2,FALSE))</f>
        <v/>
      </c>
      <c r="F1235" s="7" t="str">
        <f>IF(Plantilla_SCAN_EQ3_COUNT_2[[#This Row],[ID MATERIAL]]="","",IF(Plantilla_SCAN_EQ3_COUNT_2[[#This Row],[No. Empaques]]="",1,Plantilla_SCAN_EQ3_COUNT_2[[#This Row],[No. Empaques]]*1))</f>
        <v/>
      </c>
      <c r="G1235" s="7" t="str">
        <f>IF(Plantilla_SCAN_EQ3_COUNT_2[[#This Row],[ID MATERIAL]]="","","PZ")</f>
        <v/>
      </c>
      <c r="H1235" s="7" t="str">
        <f>IF(Plantilla_SCAN_EQ3_COUNT_2[[#This Row],[ID MATERIAL]]="","",$B$13)</f>
        <v/>
      </c>
      <c r="I1235" s="7" t="str">
        <f>IF(Plantilla_SCAN_EQ3_COUNT_2[[#This Row],[ID MATERIAL]]="","","Segundo Conteo")</f>
        <v/>
      </c>
    </row>
    <row r="1236" spans="1:9" s="7" customFormat="1" ht="15" x14ac:dyDescent="0.2">
      <c r="A1236" s="7" t="str">
        <f>IF(Plantilla_SCAN_EQ3_COUNT_2[[#This Row],[ID MATERIAL]]="","",SIGN(Plantilla_SCAN_EQ3_COUNT_2[[#This Row],[Cantidad]])+A1235)</f>
        <v/>
      </c>
      <c r="B1236" s="21" t="str">
        <f>IF(Plantilla_SCAN_EQ3_COUNT_2[[#This Row],[ID MATERIAL]]="","",B1235)</f>
        <v/>
      </c>
      <c r="C1236" s="21"/>
      <c r="D1236" s="21"/>
      <c r="E1236" s="7" t="str">
        <f>IF(Plantilla_SCAN_EQ3_COUNT_2[[#This Row],[ID MATERIAL]]="","",VLOOKUP(Plantilla_SCAN_EQ3_COUNT_2[[#This Row],[ID MATERIAL]],INVENTARIO!$A:$D,2,FALSE))</f>
        <v/>
      </c>
      <c r="F1236" s="7" t="str">
        <f>IF(Plantilla_SCAN_EQ3_COUNT_2[[#This Row],[ID MATERIAL]]="","",IF(Plantilla_SCAN_EQ3_COUNT_2[[#This Row],[No. Empaques]]="",1,Plantilla_SCAN_EQ3_COUNT_2[[#This Row],[No. Empaques]]*1))</f>
        <v/>
      </c>
      <c r="G1236" s="7" t="str">
        <f>IF(Plantilla_SCAN_EQ3_COUNT_2[[#This Row],[ID MATERIAL]]="","","PZ")</f>
        <v/>
      </c>
      <c r="H1236" s="7" t="str">
        <f>IF(Plantilla_SCAN_EQ3_COUNT_2[[#This Row],[ID MATERIAL]]="","",$B$13)</f>
        <v/>
      </c>
      <c r="I1236" s="7" t="str">
        <f>IF(Plantilla_SCAN_EQ3_COUNT_2[[#This Row],[ID MATERIAL]]="","","Segundo Conteo")</f>
        <v/>
      </c>
    </row>
    <row r="1237" spans="1:9" s="7" customFormat="1" ht="15" x14ac:dyDescent="0.2">
      <c r="A1237" s="7" t="str">
        <f>IF(Plantilla_SCAN_EQ3_COUNT_2[[#This Row],[ID MATERIAL]]="","",SIGN(Plantilla_SCAN_EQ3_COUNT_2[[#This Row],[Cantidad]])+A1236)</f>
        <v/>
      </c>
      <c r="B1237" s="21" t="str">
        <f>IF(Plantilla_SCAN_EQ3_COUNT_2[[#This Row],[ID MATERIAL]]="","",B1236)</f>
        <v/>
      </c>
      <c r="C1237" s="21"/>
      <c r="D1237" s="21"/>
      <c r="E1237" s="7" t="str">
        <f>IF(Plantilla_SCAN_EQ3_COUNT_2[[#This Row],[ID MATERIAL]]="","",VLOOKUP(Plantilla_SCAN_EQ3_COUNT_2[[#This Row],[ID MATERIAL]],INVENTARIO!$A:$D,2,FALSE))</f>
        <v/>
      </c>
      <c r="F1237" s="7" t="str">
        <f>IF(Plantilla_SCAN_EQ3_COUNT_2[[#This Row],[ID MATERIAL]]="","",IF(Plantilla_SCAN_EQ3_COUNT_2[[#This Row],[No. Empaques]]="",1,Plantilla_SCAN_EQ3_COUNT_2[[#This Row],[No. Empaques]]*1))</f>
        <v/>
      </c>
      <c r="G1237" s="7" t="str">
        <f>IF(Plantilla_SCAN_EQ3_COUNT_2[[#This Row],[ID MATERIAL]]="","","PZ")</f>
        <v/>
      </c>
      <c r="H1237" s="7" t="str">
        <f>IF(Plantilla_SCAN_EQ3_COUNT_2[[#This Row],[ID MATERIAL]]="","",$B$13)</f>
        <v/>
      </c>
      <c r="I1237" s="7" t="str">
        <f>IF(Plantilla_SCAN_EQ3_COUNT_2[[#This Row],[ID MATERIAL]]="","","Segundo Conteo")</f>
        <v/>
      </c>
    </row>
    <row r="1238" spans="1:9" s="7" customFormat="1" ht="15" x14ac:dyDescent="0.2">
      <c r="A1238" s="7" t="str">
        <f>IF(Plantilla_SCAN_EQ3_COUNT_2[[#This Row],[ID MATERIAL]]="","",SIGN(Plantilla_SCAN_EQ3_COUNT_2[[#This Row],[Cantidad]])+A1237)</f>
        <v/>
      </c>
      <c r="B1238" s="21" t="str">
        <f>IF(Plantilla_SCAN_EQ3_COUNT_2[[#This Row],[ID MATERIAL]]="","",B1237)</f>
        <v/>
      </c>
      <c r="C1238" s="21"/>
      <c r="D1238" s="21"/>
      <c r="E1238" s="7" t="str">
        <f>IF(Plantilla_SCAN_EQ3_COUNT_2[[#This Row],[ID MATERIAL]]="","",VLOOKUP(Plantilla_SCAN_EQ3_COUNT_2[[#This Row],[ID MATERIAL]],INVENTARIO!$A:$D,2,FALSE))</f>
        <v/>
      </c>
      <c r="F1238" s="7" t="str">
        <f>IF(Plantilla_SCAN_EQ3_COUNT_2[[#This Row],[ID MATERIAL]]="","",IF(Plantilla_SCAN_EQ3_COUNT_2[[#This Row],[No. Empaques]]="",1,Plantilla_SCAN_EQ3_COUNT_2[[#This Row],[No. Empaques]]*1))</f>
        <v/>
      </c>
      <c r="G1238" s="7" t="str">
        <f>IF(Plantilla_SCAN_EQ3_COUNT_2[[#This Row],[ID MATERIAL]]="","","PZ")</f>
        <v/>
      </c>
      <c r="H1238" s="7" t="str">
        <f>IF(Plantilla_SCAN_EQ3_COUNT_2[[#This Row],[ID MATERIAL]]="","",$B$13)</f>
        <v/>
      </c>
      <c r="I1238" s="7" t="str">
        <f>IF(Plantilla_SCAN_EQ3_COUNT_2[[#This Row],[ID MATERIAL]]="","","Segundo Conteo")</f>
        <v/>
      </c>
    </row>
    <row r="1239" spans="1:9" s="7" customFormat="1" ht="15" x14ac:dyDescent="0.2">
      <c r="A1239" s="7" t="str">
        <f>IF(Plantilla_SCAN_EQ3_COUNT_2[[#This Row],[ID MATERIAL]]="","",SIGN(Plantilla_SCAN_EQ3_COUNT_2[[#This Row],[Cantidad]])+A1238)</f>
        <v/>
      </c>
      <c r="B1239" s="21" t="str">
        <f>IF(Plantilla_SCAN_EQ3_COUNT_2[[#This Row],[ID MATERIAL]]="","",B1238)</f>
        <v/>
      </c>
      <c r="C1239" s="21"/>
      <c r="D1239" s="21"/>
      <c r="E1239" s="7" t="str">
        <f>IF(Plantilla_SCAN_EQ3_COUNT_2[[#This Row],[ID MATERIAL]]="","",VLOOKUP(Plantilla_SCAN_EQ3_COUNT_2[[#This Row],[ID MATERIAL]],INVENTARIO!$A:$D,2,FALSE))</f>
        <v/>
      </c>
      <c r="F1239" s="7" t="str">
        <f>IF(Plantilla_SCAN_EQ3_COUNT_2[[#This Row],[ID MATERIAL]]="","",IF(Plantilla_SCAN_EQ3_COUNT_2[[#This Row],[No. Empaques]]="",1,Plantilla_SCAN_EQ3_COUNT_2[[#This Row],[No. Empaques]]*1))</f>
        <v/>
      </c>
      <c r="G1239" s="7" t="str">
        <f>IF(Plantilla_SCAN_EQ3_COUNT_2[[#This Row],[ID MATERIAL]]="","","PZ")</f>
        <v/>
      </c>
      <c r="H1239" s="7" t="str">
        <f>IF(Plantilla_SCAN_EQ3_COUNT_2[[#This Row],[ID MATERIAL]]="","",$B$13)</f>
        <v/>
      </c>
      <c r="I1239" s="7" t="str">
        <f>IF(Plantilla_SCAN_EQ3_COUNT_2[[#This Row],[ID MATERIAL]]="","","Segundo Conteo")</f>
        <v/>
      </c>
    </row>
    <row r="1240" spans="1:9" s="7" customFormat="1" ht="15" x14ac:dyDescent="0.2">
      <c r="A1240" s="7" t="str">
        <f>IF(Plantilla_SCAN_EQ3_COUNT_2[[#This Row],[ID MATERIAL]]="","",SIGN(Plantilla_SCAN_EQ3_COUNT_2[[#This Row],[Cantidad]])+A1239)</f>
        <v/>
      </c>
      <c r="B1240" s="21" t="str">
        <f>IF(Plantilla_SCAN_EQ3_COUNT_2[[#This Row],[ID MATERIAL]]="","",B1239)</f>
        <v/>
      </c>
      <c r="C1240" s="21"/>
      <c r="D1240" s="21"/>
      <c r="E1240" s="7" t="str">
        <f>IF(Plantilla_SCAN_EQ3_COUNT_2[[#This Row],[ID MATERIAL]]="","",VLOOKUP(Plantilla_SCAN_EQ3_COUNT_2[[#This Row],[ID MATERIAL]],INVENTARIO!$A:$D,2,FALSE))</f>
        <v/>
      </c>
      <c r="F1240" s="7" t="str">
        <f>IF(Plantilla_SCAN_EQ3_COUNT_2[[#This Row],[ID MATERIAL]]="","",IF(Plantilla_SCAN_EQ3_COUNT_2[[#This Row],[No. Empaques]]="",1,Plantilla_SCAN_EQ3_COUNT_2[[#This Row],[No. Empaques]]*1))</f>
        <v/>
      </c>
      <c r="G1240" s="7" t="str">
        <f>IF(Plantilla_SCAN_EQ3_COUNT_2[[#This Row],[ID MATERIAL]]="","","PZ")</f>
        <v/>
      </c>
      <c r="H1240" s="7" t="str">
        <f>IF(Plantilla_SCAN_EQ3_COUNT_2[[#This Row],[ID MATERIAL]]="","",$B$13)</f>
        <v/>
      </c>
      <c r="I1240" s="7" t="str">
        <f>IF(Plantilla_SCAN_EQ3_COUNT_2[[#This Row],[ID MATERIAL]]="","","Segundo Conteo")</f>
        <v/>
      </c>
    </row>
    <row r="1241" spans="1:9" s="7" customFormat="1" ht="15" x14ac:dyDescent="0.2">
      <c r="A1241" s="7" t="str">
        <f>IF(Plantilla_SCAN_EQ3_COUNT_2[[#This Row],[ID MATERIAL]]="","",SIGN(Plantilla_SCAN_EQ3_COUNT_2[[#This Row],[Cantidad]])+A1240)</f>
        <v/>
      </c>
      <c r="B1241" s="21" t="str">
        <f>IF(Plantilla_SCAN_EQ3_COUNT_2[[#This Row],[ID MATERIAL]]="","",B1240)</f>
        <v/>
      </c>
      <c r="C1241" s="21"/>
      <c r="D1241" s="21"/>
      <c r="E1241" s="7" t="str">
        <f>IF(Plantilla_SCAN_EQ3_COUNT_2[[#This Row],[ID MATERIAL]]="","",VLOOKUP(Plantilla_SCAN_EQ3_COUNT_2[[#This Row],[ID MATERIAL]],INVENTARIO!$A:$D,2,FALSE))</f>
        <v/>
      </c>
      <c r="F1241" s="7" t="str">
        <f>IF(Plantilla_SCAN_EQ3_COUNT_2[[#This Row],[ID MATERIAL]]="","",IF(Plantilla_SCAN_EQ3_COUNT_2[[#This Row],[No. Empaques]]="",1,Plantilla_SCAN_EQ3_COUNT_2[[#This Row],[No. Empaques]]*1))</f>
        <v/>
      </c>
      <c r="G1241" s="7" t="str">
        <f>IF(Plantilla_SCAN_EQ3_COUNT_2[[#This Row],[ID MATERIAL]]="","","PZ")</f>
        <v/>
      </c>
      <c r="H1241" s="7" t="str">
        <f>IF(Plantilla_SCAN_EQ3_COUNT_2[[#This Row],[ID MATERIAL]]="","",$B$13)</f>
        <v/>
      </c>
      <c r="I1241" s="7" t="str">
        <f>IF(Plantilla_SCAN_EQ3_COUNT_2[[#This Row],[ID MATERIAL]]="","","Segundo Conteo")</f>
        <v/>
      </c>
    </row>
    <row r="1242" spans="1:9" s="7" customFormat="1" ht="15" x14ac:dyDescent="0.2">
      <c r="A1242" s="7" t="str">
        <f>IF(Plantilla_SCAN_EQ3_COUNT_2[[#This Row],[ID MATERIAL]]="","",SIGN(Plantilla_SCAN_EQ3_COUNT_2[[#This Row],[Cantidad]])+A1241)</f>
        <v/>
      </c>
      <c r="B1242" s="21" t="str">
        <f>IF(Plantilla_SCAN_EQ3_COUNT_2[[#This Row],[ID MATERIAL]]="","",B1241)</f>
        <v/>
      </c>
      <c r="C1242" s="21"/>
      <c r="D1242" s="21"/>
      <c r="E1242" s="7" t="str">
        <f>IF(Plantilla_SCAN_EQ3_COUNT_2[[#This Row],[ID MATERIAL]]="","",VLOOKUP(Plantilla_SCAN_EQ3_COUNT_2[[#This Row],[ID MATERIAL]],INVENTARIO!$A:$D,2,FALSE))</f>
        <v/>
      </c>
      <c r="F1242" s="7" t="str">
        <f>IF(Plantilla_SCAN_EQ3_COUNT_2[[#This Row],[ID MATERIAL]]="","",IF(Plantilla_SCAN_EQ3_COUNT_2[[#This Row],[No. Empaques]]="",1,Plantilla_SCAN_EQ3_COUNT_2[[#This Row],[No. Empaques]]*1))</f>
        <v/>
      </c>
      <c r="G1242" s="7" t="str">
        <f>IF(Plantilla_SCAN_EQ3_COUNT_2[[#This Row],[ID MATERIAL]]="","","PZ")</f>
        <v/>
      </c>
      <c r="H1242" s="7" t="str">
        <f>IF(Plantilla_SCAN_EQ3_COUNT_2[[#This Row],[ID MATERIAL]]="","",$B$13)</f>
        <v/>
      </c>
      <c r="I1242" s="7" t="str">
        <f>IF(Plantilla_SCAN_EQ3_COUNT_2[[#This Row],[ID MATERIAL]]="","","Segundo Conteo")</f>
        <v/>
      </c>
    </row>
    <row r="1243" spans="1:9" s="7" customFormat="1" ht="15" x14ac:dyDescent="0.2">
      <c r="A1243" s="7" t="str">
        <f>IF(Plantilla_SCAN_EQ3_COUNT_2[[#This Row],[ID MATERIAL]]="","",SIGN(Plantilla_SCAN_EQ3_COUNT_2[[#This Row],[Cantidad]])+A1242)</f>
        <v/>
      </c>
      <c r="B1243" s="21" t="str">
        <f>IF(Plantilla_SCAN_EQ3_COUNT_2[[#This Row],[ID MATERIAL]]="","",B1242)</f>
        <v/>
      </c>
      <c r="C1243" s="21"/>
      <c r="D1243" s="21"/>
      <c r="E1243" s="7" t="str">
        <f>IF(Plantilla_SCAN_EQ3_COUNT_2[[#This Row],[ID MATERIAL]]="","",VLOOKUP(Plantilla_SCAN_EQ3_COUNT_2[[#This Row],[ID MATERIAL]],INVENTARIO!$A:$D,2,FALSE))</f>
        <v/>
      </c>
      <c r="F1243" s="7" t="str">
        <f>IF(Plantilla_SCAN_EQ3_COUNT_2[[#This Row],[ID MATERIAL]]="","",IF(Plantilla_SCAN_EQ3_COUNT_2[[#This Row],[No. Empaques]]="",1,Plantilla_SCAN_EQ3_COUNT_2[[#This Row],[No. Empaques]]*1))</f>
        <v/>
      </c>
      <c r="G1243" s="7" t="str">
        <f>IF(Plantilla_SCAN_EQ3_COUNT_2[[#This Row],[ID MATERIAL]]="","","PZ")</f>
        <v/>
      </c>
      <c r="H1243" s="7" t="str">
        <f>IF(Plantilla_SCAN_EQ3_COUNT_2[[#This Row],[ID MATERIAL]]="","",$B$13)</f>
        <v/>
      </c>
      <c r="I1243" s="7" t="str">
        <f>IF(Plantilla_SCAN_EQ3_COUNT_2[[#This Row],[ID MATERIAL]]="","","Segundo Conteo")</f>
        <v/>
      </c>
    </row>
    <row r="1244" spans="1:9" s="7" customFormat="1" ht="15" x14ac:dyDescent="0.2">
      <c r="A1244" s="7" t="str">
        <f>IF(Plantilla_SCAN_EQ3_COUNT_2[[#This Row],[ID MATERIAL]]="","",SIGN(Plantilla_SCAN_EQ3_COUNT_2[[#This Row],[Cantidad]])+A1243)</f>
        <v/>
      </c>
      <c r="B1244" s="21" t="str">
        <f>IF(Plantilla_SCAN_EQ3_COUNT_2[[#This Row],[ID MATERIAL]]="","",B1243)</f>
        <v/>
      </c>
      <c r="C1244" s="21"/>
      <c r="D1244" s="21"/>
      <c r="E1244" s="7" t="str">
        <f>IF(Plantilla_SCAN_EQ3_COUNT_2[[#This Row],[ID MATERIAL]]="","",VLOOKUP(Plantilla_SCAN_EQ3_COUNT_2[[#This Row],[ID MATERIAL]],INVENTARIO!$A:$D,2,FALSE))</f>
        <v/>
      </c>
      <c r="F1244" s="7" t="str">
        <f>IF(Plantilla_SCAN_EQ3_COUNT_2[[#This Row],[ID MATERIAL]]="","",IF(Plantilla_SCAN_EQ3_COUNT_2[[#This Row],[No. Empaques]]="",1,Plantilla_SCAN_EQ3_COUNT_2[[#This Row],[No. Empaques]]*1))</f>
        <v/>
      </c>
      <c r="G1244" s="7" t="str">
        <f>IF(Plantilla_SCAN_EQ3_COUNT_2[[#This Row],[ID MATERIAL]]="","","PZ")</f>
        <v/>
      </c>
      <c r="H1244" s="7" t="str">
        <f>IF(Plantilla_SCAN_EQ3_COUNT_2[[#This Row],[ID MATERIAL]]="","",$B$13)</f>
        <v/>
      </c>
      <c r="I1244" s="7" t="str">
        <f>IF(Plantilla_SCAN_EQ3_COUNT_2[[#This Row],[ID MATERIAL]]="","","Segundo Conteo")</f>
        <v/>
      </c>
    </row>
    <row r="1245" spans="1:9" s="7" customFormat="1" ht="15" x14ac:dyDescent="0.2">
      <c r="A1245" s="7" t="str">
        <f>IF(Plantilla_SCAN_EQ3_COUNT_2[[#This Row],[ID MATERIAL]]="","",SIGN(Plantilla_SCAN_EQ3_COUNT_2[[#This Row],[Cantidad]])+A1244)</f>
        <v/>
      </c>
      <c r="B1245" s="21" t="str">
        <f>IF(Plantilla_SCAN_EQ3_COUNT_2[[#This Row],[ID MATERIAL]]="","",B1244)</f>
        <v/>
      </c>
      <c r="C1245" s="21"/>
      <c r="D1245" s="21"/>
      <c r="E1245" s="7" t="str">
        <f>IF(Plantilla_SCAN_EQ3_COUNT_2[[#This Row],[ID MATERIAL]]="","",VLOOKUP(Plantilla_SCAN_EQ3_COUNT_2[[#This Row],[ID MATERIAL]],INVENTARIO!$A:$D,2,FALSE))</f>
        <v/>
      </c>
      <c r="F1245" s="7" t="str">
        <f>IF(Plantilla_SCAN_EQ3_COUNT_2[[#This Row],[ID MATERIAL]]="","",IF(Plantilla_SCAN_EQ3_COUNT_2[[#This Row],[No. Empaques]]="",1,Plantilla_SCAN_EQ3_COUNT_2[[#This Row],[No. Empaques]]*1))</f>
        <v/>
      </c>
      <c r="G1245" s="7" t="str">
        <f>IF(Plantilla_SCAN_EQ3_COUNT_2[[#This Row],[ID MATERIAL]]="","","PZ")</f>
        <v/>
      </c>
      <c r="H1245" s="7" t="str">
        <f>IF(Plantilla_SCAN_EQ3_COUNT_2[[#This Row],[ID MATERIAL]]="","",$B$13)</f>
        <v/>
      </c>
      <c r="I1245" s="7" t="str">
        <f>IF(Plantilla_SCAN_EQ3_COUNT_2[[#This Row],[ID MATERIAL]]="","","Segundo Conteo")</f>
        <v/>
      </c>
    </row>
    <row r="1246" spans="1:9" s="7" customFormat="1" ht="15" x14ac:dyDescent="0.2">
      <c r="A1246" s="7" t="str">
        <f>IF(Plantilla_SCAN_EQ3_COUNT_2[[#This Row],[ID MATERIAL]]="","",SIGN(Plantilla_SCAN_EQ3_COUNT_2[[#This Row],[Cantidad]])+A1245)</f>
        <v/>
      </c>
      <c r="B1246" s="21" t="str">
        <f>IF(Plantilla_SCAN_EQ3_COUNT_2[[#This Row],[ID MATERIAL]]="","",B1245)</f>
        <v/>
      </c>
      <c r="C1246" s="21"/>
      <c r="D1246" s="21"/>
      <c r="E1246" s="7" t="str">
        <f>IF(Plantilla_SCAN_EQ3_COUNT_2[[#This Row],[ID MATERIAL]]="","",VLOOKUP(Plantilla_SCAN_EQ3_COUNT_2[[#This Row],[ID MATERIAL]],INVENTARIO!$A:$D,2,FALSE))</f>
        <v/>
      </c>
      <c r="F1246" s="7" t="str">
        <f>IF(Plantilla_SCAN_EQ3_COUNT_2[[#This Row],[ID MATERIAL]]="","",IF(Plantilla_SCAN_EQ3_COUNT_2[[#This Row],[No. Empaques]]="",1,Plantilla_SCAN_EQ3_COUNT_2[[#This Row],[No. Empaques]]*1))</f>
        <v/>
      </c>
      <c r="G1246" s="7" t="str">
        <f>IF(Plantilla_SCAN_EQ3_COUNT_2[[#This Row],[ID MATERIAL]]="","","PZ")</f>
        <v/>
      </c>
      <c r="H1246" s="7" t="str">
        <f>IF(Plantilla_SCAN_EQ3_COUNT_2[[#This Row],[ID MATERIAL]]="","",$B$13)</f>
        <v/>
      </c>
      <c r="I1246" s="7" t="str">
        <f>IF(Plantilla_SCAN_EQ3_COUNT_2[[#This Row],[ID MATERIAL]]="","","Segundo Conteo")</f>
        <v/>
      </c>
    </row>
    <row r="1247" spans="1:9" s="7" customFormat="1" ht="15" x14ac:dyDescent="0.2">
      <c r="A1247" s="7" t="str">
        <f>IF(Plantilla_SCAN_EQ3_COUNT_2[[#This Row],[ID MATERIAL]]="","",SIGN(Plantilla_SCAN_EQ3_COUNT_2[[#This Row],[Cantidad]])+A1246)</f>
        <v/>
      </c>
      <c r="B1247" s="21" t="str">
        <f>IF(Plantilla_SCAN_EQ3_COUNT_2[[#This Row],[ID MATERIAL]]="","",B1246)</f>
        <v/>
      </c>
      <c r="C1247" s="21"/>
      <c r="D1247" s="21"/>
      <c r="E1247" s="7" t="str">
        <f>IF(Plantilla_SCAN_EQ3_COUNT_2[[#This Row],[ID MATERIAL]]="","",VLOOKUP(Plantilla_SCAN_EQ3_COUNT_2[[#This Row],[ID MATERIAL]],INVENTARIO!$A:$D,2,FALSE))</f>
        <v/>
      </c>
      <c r="F1247" s="7" t="str">
        <f>IF(Plantilla_SCAN_EQ3_COUNT_2[[#This Row],[ID MATERIAL]]="","",IF(Plantilla_SCAN_EQ3_COUNT_2[[#This Row],[No. Empaques]]="",1,Plantilla_SCAN_EQ3_COUNT_2[[#This Row],[No. Empaques]]*1))</f>
        <v/>
      </c>
      <c r="G1247" s="7" t="str">
        <f>IF(Plantilla_SCAN_EQ3_COUNT_2[[#This Row],[ID MATERIAL]]="","","PZ")</f>
        <v/>
      </c>
      <c r="H1247" s="7" t="str">
        <f>IF(Plantilla_SCAN_EQ3_COUNT_2[[#This Row],[ID MATERIAL]]="","",$B$13)</f>
        <v/>
      </c>
      <c r="I1247" s="7" t="str">
        <f>IF(Plantilla_SCAN_EQ3_COUNT_2[[#This Row],[ID MATERIAL]]="","","Segundo Conteo")</f>
        <v/>
      </c>
    </row>
    <row r="1248" spans="1:9" s="7" customFormat="1" ht="15" x14ac:dyDescent="0.2">
      <c r="A1248" s="7" t="str">
        <f>IF(Plantilla_SCAN_EQ3_COUNT_2[[#This Row],[ID MATERIAL]]="","",SIGN(Plantilla_SCAN_EQ3_COUNT_2[[#This Row],[Cantidad]])+A1247)</f>
        <v/>
      </c>
      <c r="B1248" s="21" t="str">
        <f>IF(Plantilla_SCAN_EQ3_COUNT_2[[#This Row],[ID MATERIAL]]="","",B1247)</f>
        <v/>
      </c>
      <c r="C1248" s="21"/>
      <c r="D1248" s="21"/>
      <c r="E1248" s="7" t="str">
        <f>IF(Plantilla_SCAN_EQ3_COUNT_2[[#This Row],[ID MATERIAL]]="","",VLOOKUP(Plantilla_SCAN_EQ3_COUNT_2[[#This Row],[ID MATERIAL]],INVENTARIO!$A:$D,2,FALSE))</f>
        <v/>
      </c>
      <c r="F1248" s="7" t="str">
        <f>IF(Plantilla_SCAN_EQ3_COUNT_2[[#This Row],[ID MATERIAL]]="","",IF(Plantilla_SCAN_EQ3_COUNT_2[[#This Row],[No. Empaques]]="",1,Plantilla_SCAN_EQ3_COUNT_2[[#This Row],[No. Empaques]]*1))</f>
        <v/>
      </c>
      <c r="G1248" s="7" t="str">
        <f>IF(Plantilla_SCAN_EQ3_COUNT_2[[#This Row],[ID MATERIAL]]="","","PZ")</f>
        <v/>
      </c>
      <c r="H1248" s="7" t="str">
        <f>IF(Plantilla_SCAN_EQ3_COUNT_2[[#This Row],[ID MATERIAL]]="","",$B$13)</f>
        <v/>
      </c>
      <c r="I1248" s="7" t="str">
        <f>IF(Plantilla_SCAN_EQ3_COUNT_2[[#This Row],[ID MATERIAL]]="","","Segundo Conteo")</f>
        <v/>
      </c>
    </row>
    <row r="1249" spans="1:9" s="7" customFormat="1" ht="15" x14ac:dyDescent="0.2">
      <c r="A1249" s="7" t="str">
        <f>IF(Plantilla_SCAN_EQ3_COUNT_2[[#This Row],[ID MATERIAL]]="","",SIGN(Plantilla_SCAN_EQ3_COUNT_2[[#This Row],[Cantidad]])+A1248)</f>
        <v/>
      </c>
      <c r="B1249" s="21" t="str">
        <f>IF(Plantilla_SCAN_EQ3_COUNT_2[[#This Row],[ID MATERIAL]]="","",B1248)</f>
        <v/>
      </c>
      <c r="C1249" s="21"/>
      <c r="D1249" s="21"/>
      <c r="E1249" s="7" t="str">
        <f>IF(Plantilla_SCAN_EQ3_COUNT_2[[#This Row],[ID MATERIAL]]="","",VLOOKUP(Plantilla_SCAN_EQ3_COUNT_2[[#This Row],[ID MATERIAL]],INVENTARIO!$A:$D,2,FALSE))</f>
        <v/>
      </c>
      <c r="F1249" s="7" t="str">
        <f>IF(Plantilla_SCAN_EQ3_COUNT_2[[#This Row],[ID MATERIAL]]="","",IF(Plantilla_SCAN_EQ3_COUNT_2[[#This Row],[No. Empaques]]="",1,Plantilla_SCAN_EQ3_COUNT_2[[#This Row],[No. Empaques]]*1))</f>
        <v/>
      </c>
      <c r="G1249" s="7" t="str">
        <f>IF(Plantilla_SCAN_EQ3_COUNT_2[[#This Row],[ID MATERIAL]]="","","PZ")</f>
        <v/>
      </c>
      <c r="H1249" s="7" t="str">
        <f>IF(Plantilla_SCAN_EQ3_COUNT_2[[#This Row],[ID MATERIAL]]="","",$B$13)</f>
        <v/>
      </c>
      <c r="I1249" s="7" t="str">
        <f>IF(Plantilla_SCAN_EQ3_COUNT_2[[#This Row],[ID MATERIAL]]="","","Segundo Conteo")</f>
        <v/>
      </c>
    </row>
    <row r="1250" spans="1:9" s="7" customFormat="1" ht="15" x14ac:dyDescent="0.2">
      <c r="A1250" s="7" t="str">
        <f>IF(Plantilla_SCAN_EQ3_COUNT_2[[#This Row],[ID MATERIAL]]="","",SIGN(Plantilla_SCAN_EQ3_COUNT_2[[#This Row],[Cantidad]])+A1249)</f>
        <v/>
      </c>
      <c r="B1250" s="21" t="str">
        <f>IF(Plantilla_SCAN_EQ3_COUNT_2[[#This Row],[ID MATERIAL]]="","",B1249)</f>
        <v/>
      </c>
      <c r="C1250" s="21"/>
      <c r="D1250" s="21"/>
      <c r="E1250" s="7" t="str">
        <f>IF(Plantilla_SCAN_EQ3_COUNT_2[[#This Row],[ID MATERIAL]]="","",VLOOKUP(Plantilla_SCAN_EQ3_COUNT_2[[#This Row],[ID MATERIAL]],INVENTARIO!$A:$D,2,FALSE))</f>
        <v/>
      </c>
      <c r="F1250" s="7" t="str">
        <f>IF(Plantilla_SCAN_EQ3_COUNT_2[[#This Row],[ID MATERIAL]]="","",IF(Plantilla_SCAN_EQ3_COUNT_2[[#This Row],[No. Empaques]]="",1,Plantilla_SCAN_EQ3_COUNT_2[[#This Row],[No. Empaques]]*1))</f>
        <v/>
      </c>
      <c r="G1250" s="7" t="str">
        <f>IF(Plantilla_SCAN_EQ3_COUNT_2[[#This Row],[ID MATERIAL]]="","","PZ")</f>
        <v/>
      </c>
      <c r="H1250" s="7" t="str">
        <f>IF(Plantilla_SCAN_EQ3_COUNT_2[[#This Row],[ID MATERIAL]]="","",$B$13)</f>
        <v/>
      </c>
      <c r="I1250" s="7" t="str">
        <f>IF(Plantilla_SCAN_EQ3_COUNT_2[[#This Row],[ID MATERIAL]]="","","Segundo Conteo")</f>
        <v/>
      </c>
    </row>
    <row r="1251" spans="1:9" s="7" customFormat="1" ht="15" x14ac:dyDescent="0.2">
      <c r="A1251" s="7" t="str">
        <f>IF(Plantilla_SCAN_EQ3_COUNT_2[[#This Row],[ID MATERIAL]]="","",SIGN(Plantilla_SCAN_EQ3_COUNT_2[[#This Row],[Cantidad]])+A1250)</f>
        <v/>
      </c>
      <c r="B1251" s="21" t="str">
        <f>IF(Plantilla_SCAN_EQ3_COUNT_2[[#This Row],[ID MATERIAL]]="","",B1250)</f>
        <v/>
      </c>
      <c r="C1251" s="21"/>
      <c r="D1251" s="21"/>
      <c r="E1251" s="7" t="str">
        <f>IF(Plantilla_SCAN_EQ3_COUNT_2[[#This Row],[ID MATERIAL]]="","",VLOOKUP(Plantilla_SCAN_EQ3_COUNT_2[[#This Row],[ID MATERIAL]],INVENTARIO!$A:$D,2,FALSE))</f>
        <v/>
      </c>
      <c r="F1251" s="7" t="str">
        <f>IF(Plantilla_SCAN_EQ3_COUNT_2[[#This Row],[ID MATERIAL]]="","",IF(Plantilla_SCAN_EQ3_COUNT_2[[#This Row],[No. Empaques]]="",1,Plantilla_SCAN_EQ3_COUNT_2[[#This Row],[No. Empaques]]*1))</f>
        <v/>
      </c>
      <c r="G1251" s="7" t="str">
        <f>IF(Plantilla_SCAN_EQ3_COUNT_2[[#This Row],[ID MATERIAL]]="","","PZ")</f>
        <v/>
      </c>
      <c r="H1251" s="7" t="str">
        <f>IF(Plantilla_SCAN_EQ3_COUNT_2[[#This Row],[ID MATERIAL]]="","",$B$13)</f>
        <v/>
      </c>
      <c r="I1251" s="7" t="str">
        <f>IF(Plantilla_SCAN_EQ3_COUNT_2[[#This Row],[ID MATERIAL]]="","","Segundo Conteo")</f>
        <v/>
      </c>
    </row>
    <row r="1252" spans="1:9" s="7" customFormat="1" ht="15" x14ac:dyDescent="0.2">
      <c r="A1252" s="7" t="str">
        <f>IF(Plantilla_SCAN_EQ3_COUNT_2[[#This Row],[ID MATERIAL]]="","",SIGN(Plantilla_SCAN_EQ3_COUNT_2[[#This Row],[Cantidad]])+A1251)</f>
        <v/>
      </c>
      <c r="B1252" s="21" t="str">
        <f>IF(Plantilla_SCAN_EQ3_COUNT_2[[#This Row],[ID MATERIAL]]="","",B1251)</f>
        <v/>
      </c>
      <c r="C1252" s="21"/>
      <c r="D1252" s="21"/>
      <c r="E1252" s="7" t="str">
        <f>IF(Plantilla_SCAN_EQ3_COUNT_2[[#This Row],[ID MATERIAL]]="","",VLOOKUP(Plantilla_SCAN_EQ3_COUNT_2[[#This Row],[ID MATERIAL]],INVENTARIO!$A:$D,2,FALSE))</f>
        <v/>
      </c>
      <c r="F1252" s="7" t="str">
        <f>IF(Plantilla_SCAN_EQ3_COUNT_2[[#This Row],[ID MATERIAL]]="","",IF(Plantilla_SCAN_EQ3_COUNT_2[[#This Row],[No. Empaques]]="",1,Plantilla_SCAN_EQ3_COUNT_2[[#This Row],[No. Empaques]]*1))</f>
        <v/>
      </c>
      <c r="G1252" s="7" t="str">
        <f>IF(Plantilla_SCAN_EQ3_COUNT_2[[#This Row],[ID MATERIAL]]="","","PZ")</f>
        <v/>
      </c>
      <c r="H1252" s="7" t="str">
        <f>IF(Plantilla_SCAN_EQ3_COUNT_2[[#This Row],[ID MATERIAL]]="","",$B$13)</f>
        <v/>
      </c>
      <c r="I1252" s="7" t="str">
        <f>IF(Plantilla_SCAN_EQ3_COUNT_2[[#This Row],[ID MATERIAL]]="","","Segundo Conteo")</f>
        <v/>
      </c>
    </row>
    <row r="1253" spans="1:9" s="7" customFormat="1" ht="15" x14ac:dyDescent="0.2">
      <c r="A1253" s="7" t="str">
        <f>IF(Plantilla_SCAN_EQ3_COUNT_2[[#This Row],[ID MATERIAL]]="","",SIGN(Plantilla_SCAN_EQ3_COUNT_2[[#This Row],[Cantidad]])+A1252)</f>
        <v/>
      </c>
      <c r="B1253" s="21" t="str">
        <f>IF(Plantilla_SCAN_EQ3_COUNT_2[[#This Row],[ID MATERIAL]]="","",B1252)</f>
        <v/>
      </c>
      <c r="C1253" s="21"/>
      <c r="D1253" s="21"/>
      <c r="E1253" s="7" t="str">
        <f>IF(Plantilla_SCAN_EQ3_COUNT_2[[#This Row],[ID MATERIAL]]="","",VLOOKUP(Plantilla_SCAN_EQ3_COUNT_2[[#This Row],[ID MATERIAL]],INVENTARIO!$A:$D,2,FALSE))</f>
        <v/>
      </c>
      <c r="F1253" s="7" t="str">
        <f>IF(Plantilla_SCAN_EQ3_COUNT_2[[#This Row],[ID MATERIAL]]="","",IF(Plantilla_SCAN_EQ3_COUNT_2[[#This Row],[No. Empaques]]="",1,Plantilla_SCAN_EQ3_COUNT_2[[#This Row],[No. Empaques]]*1))</f>
        <v/>
      </c>
      <c r="G1253" s="7" t="str">
        <f>IF(Plantilla_SCAN_EQ3_COUNT_2[[#This Row],[ID MATERIAL]]="","","PZ")</f>
        <v/>
      </c>
      <c r="H1253" s="7" t="str">
        <f>IF(Plantilla_SCAN_EQ3_COUNT_2[[#This Row],[ID MATERIAL]]="","",$B$13)</f>
        <v/>
      </c>
      <c r="I1253" s="7" t="str">
        <f>IF(Plantilla_SCAN_EQ3_COUNT_2[[#This Row],[ID MATERIAL]]="","","Segundo Conteo")</f>
        <v/>
      </c>
    </row>
    <row r="1254" spans="1:9" s="7" customFormat="1" ht="15" x14ac:dyDescent="0.2">
      <c r="A1254" s="7" t="str">
        <f>IF(Plantilla_SCAN_EQ3_COUNT_2[[#This Row],[ID MATERIAL]]="","",SIGN(Plantilla_SCAN_EQ3_COUNT_2[[#This Row],[Cantidad]])+A1253)</f>
        <v/>
      </c>
      <c r="B1254" s="21" t="str">
        <f>IF(Plantilla_SCAN_EQ3_COUNT_2[[#This Row],[ID MATERIAL]]="","",B1253)</f>
        <v/>
      </c>
      <c r="C1254" s="21"/>
      <c r="D1254" s="21"/>
      <c r="E1254" s="7" t="str">
        <f>IF(Plantilla_SCAN_EQ3_COUNT_2[[#This Row],[ID MATERIAL]]="","",VLOOKUP(Plantilla_SCAN_EQ3_COUNT_2[[#This Row],[ID MATERIAL]],INVENTARIO!$A:$D,2,FALSE))</f>
        <v/>
      </c>
      <c r="F1254" s="7" t="str">
        <f>IF(Plantilla_SCAN_EQ3_COUNT_2[[#This Row],[ID MATERIAL]]="","",IF(Plantilla_SCAN_EQ3_COUNT_2[[#This Row],[No. Empaques]]="",1,Plantilla_SCAN_EQ3_COUNT_2[[#This Row],[No. Empaques]]*1))</f>
        <v/>
      </c>
      <c r="G1254" s="7" t="str">
        <f>IF(Plantilla_SCAN_EQ3_COUNT_2[[#This Row],[ID MATERIAL]]="","","PZ")</f>
        <v/>
      </c>
      <c r="H1254" s="7" t="str">
        <f>IF(Plantilla_SCAN_EQ3_COUNT_2[[#This Row],[ID MATERIAL]]="","",$B$13)</f>
        <v/>
      </c>
      <c r="I1254" s="7" t="str">
        <f>IF(Plantilla_SCAN_EQ3_COUNT_2[[#This Row],[ID MATERIAL]]="","","Segundo Conteo")</f>
        <v/>
      </c>
    </row>
    <row r="1255" spans="1:9" s="7" customFormat="1" ht="15" x14ac:dyDescent="0.2">
      <c r="A1255" s="7" t="str">
        <f>IF(Plantilla_SCAN_EQ3_COUNT_2[[#This Row],[ID MATERIAL]]="","",SIGN(Plantilla_SCAN_EQ3_COUNT_2[[#This Row],[Cantidad]])+A1254)</f>
        <v/>
      </c>
      <c r="B1255" s="21" t="str">
        <f>IF(Plantilla_SCAN_EQ3_COUNT_2[[#This Row],[ID MATERIAL]]="","",B1254)</f>
        <v/>
      </c>
      <c r="C1255" s="21"/>
      <c r="D1255" s="21"/>
      <c r="E1255" s="7" t="str">
        <f>IF(Plantilla_SCAN_EQ3_COUNT_2[[#This Row],[ID MATERIAL]]="","",VLOOKUP(Plantilla_SCAN_EQ3_COUNT_2[[#This Row],[ID MATERIAL]],INVENTARIO!$A:$D,2,FALSE))</f>
        <v/>
      </c>
      <c r="F1255" s="7" t="str">
        <f>IF(Plantilla_SCAN_EQ3_COUNT_2[[#This Row],[ID MATERIAL]]="","",IF(Plantilla_SCAN_EQ3_COUNT_2[[#This Row],[No. Empaques]]="",1,Plantilla_SCAN_EQ3_COUNT_2[[#This Row],[No. Empaques]]*1))</f>
        <v/>
      </c>
      <c r="G1255" s="7" t="str">
        <f>IF(Plantilla_SCAN_EQ3_COUNT_2[[#This Row],[ID MATERIAL]]="","","PZ")</f>
        <v/>
      </c>
      <c r="H1255" s="7" t="str">
        <f>IF(Plantilla_SCAN_EQ3_COUNT_2[[#This Row],[ID MATERIAL]]="","",$B$13)</f>
        <v/>
      </c>
      <c r="I1255" s="7" t="str">
        <f>IF(Plantilla_SCAN_EQ3_COUNT_2[[#This Row],[ID MATERIAL]]="","","Segundo Conteo")</f>
        <v/>
      </c>
    </row>
    <row r="1256" spans="1:9" s="7" customFormat="1" ht="15" x14ac:dyDescent="0.2">
      <c r="A1256" s="7" t="str">
        <f>IF(Plantilla_SCAN_EQ3_COUNT_2[[#This Row],[ID MATERIAL]]="","",SIGN(Plantilla_SCAN_EQ3_COUNT_2[[#This Row],[Cantidad]])+A1255)</f>
        <v/>
      </c>
      <c r="B1256" s="21" t="str">
        <f>IF(Plantilla_SCAN_EQ3_COUNT_2[[#This Row],[ID MATERIAL]]="","",B1255)</f>
        <v/>
      </c>
      <c r="C1256" s="21"/>
      <c r="D1256" s="21"/>
      <c r="E1256" s="7" t="str">
        <f>IF(Plantilla_SCAN_EQ3_COUNT_2[[#This Row],[ID MATERIAL]]="","",VLOOKUP(Plantilla_SCAN_EQ3_COUNT_2[[#This Row],[ID MATERIAL]],INVENTARIO!$A:$D,2,FALSE))</f>
        <v/>
      </c>
      <c r="F1256" s="7" t="str">
        <f>IF(Plantilla_SCAN_EQ3_COUNT_2[[#This Row],[ID MATERIAL]]="","",IF(Plantilla_SCAN_EQ3_COUNT_2[[#This Row],[No. Empaques]]="",1,Plantilla_SCAN_EQ3_COUNT_2[[#This Row],[No. Empaques]]*1))</f>
        <v/>
      </c>
      <c r="G1256" s="7" t="str">
        <f>IF(Plantilla_SCAN_EQ3_COUNT_2[[#This Row],[ID MATERIAL]]="","","PZ")</f>
        <v/>
      </c>
      <c r="H1256" s="7" t="str">
        <f>IF(Plantilla_SCAN_EQ3_COUNT_2[[#This Row],[ID MATERIAL]]="","",$B$13)</f>
        <v/>
      </c>
      <c r="I1256" s="7" t="str">
        <f>IF(Plantilla_SCAN_EQ3_COUNT_2[[#This Row],[ID MATERIAL]]="","","Segundo Conteo")</f>
        <v/>
      </c>
    </row>
    <row r="1257" spans="1:9" s="7" customFormat="1" ht="15" x14ac:dyDescent="0.2">
      <c r="A1257" s="7" t="str">
        <f>IF(Plantilla_SCAN_EQ3_COUNT_2[[#This Row],[ID MATERIAL]]="","",SIGN(Plantilla_SCAN_EQ3_COUNT_2[[#This Row],[Cantidad]])+A1256)</f>
        <v/>
      </c>
      <c r="B1257" s="21" t="str">
        <f>IF(Plantilla_SCAN_EQ3_COUNT_2[[#This Row],[ID MATERIAL]]="","",B1256)</f>
        <v/>
      </c>
      <c r="C1257" s="21"/>
      <c r="D1257" s="21"/>
      <c r="E1257" s="7" t="str">
        <f>IF(Plantilla_SCAN_EQ3_COUNT_2[[#This Row],[ID MATERIAL]]="","",VLOOKUP(Plantilla_SCAN_EQ3_COUNT_2[[#This Row],[ID MATERIAL]],INVENTARIO!$A:$D,2,FALSE))</f>
        <v/>
      </c>
      <c r="F1257" s="7" t="str">
        <f>IF(Plantilla_SCAN_EQ3_COUNT_2[[#This Row],[ID MATERIAL]]="","",IF(Plantilla_SCAN_EQ3_COUNT_2[[#This Row],[No. Empaques]]="",1,Plantilla_SCAN_EQ3_COUNT_2[[#This Row],[No. Empaques]]*1))</f>
        <v/>
      </c>
      <c r="G1257" s="7" t="str">
        <f>IF(Plantilla_SCAN_EQ3_COUNT_2[[#This Row],[ID MATERIAL]]="","","PZ")</f>
        <v/>
      </c>
      <c r="H1257" s="7" t="str">
        <f>IF(Plantilla_SCAN_EQ3_COUNT_2[[#This Row],[ID MATERIAL]]="","",$B$13)</f>
        <v/>
      </c>
      <c r="I1257" s="7" t="str">
        <f>IF(Plantilla_SCAN_EQ3_COUNT_2[[#This Row],[ID MATERIAL]]="","","Segundo Conteo")</f>
        <v/>
      </c>
    </row>
    <row r="1258" spans="1:9" s="7" customFormat="1" ht="15" x14ac:dyDescent="0.2">
      <c r="A1258" s="7" t="str">
        <f>IF(Plantilla_SCAN_EQ3_COUNT_2[[#This Row],[ID MATERIAL]]="","",SIGN(Plantilla_SCAN_EQ3_COUNT_2[[#This Row],[Cantidad]])+A1257)</f>
        <v/>
      </c>
      <c r="B1258" s="21" t="str">
        <f>IF(Plantilla_SCAN_EQ3_COUNT_2[[#This Row],[ID MATERIAL]]="","",B1257)</f>
        <v/>
      </c>
      <c r="C1258" s="21"/>
      <c r="D1258" s="21"/>
      <c r="E1258" s="7" t="str">
        <f>IF(Plantilla_SCAN_EQ3_COUNT_2[[#This Row],[ID MATERIAL]]="","",VLOOKUP(Plantilla_SCAN_EQ3_COUNT_2[[#This Row],[ID MATERIAL]],INVENTARIO!$A:$D,2,FALSE))</f>
        <v/>
      </c>
      <c r="F1258" s="7" t="str">
        <f>IF(Plantilla_SCAN_EQ3_COUNT_2[[#This Row],[ID MATERIAL]]="","",IF(Plantilla_SCAN_EQ3_COUNT_2[[#This Row],[No. Empaques]]="",1,Plantilla_SCAN_EQ3_COUNT_2[[#This Row],[No. Empaques]]*1))</f>
        <v/>
      </c>
      <c r="G1258" s="7" t="str">
        <f>IF(Plantilla_SCAN_EQ3_COUNT_2[[#This Row],[ID MATERIAL]]="","","PZ")</f>
        <v/>
      </c>
      <c r="H1258" s="7" t="str">
        <f>IF(Plantilla_SCAN_EQ3_COUNT_2[[#This Row],[ID MATERIAL]]="","",$B$13)</f>
        <v/>
      </c>
      <c r="I1258" s="7" t="str">
        <f>IF(Plantilla_SCAN_EQ3_COUNT_2[[#This Row],[ID MATERIAL]]="","","Segundo Conteo")</f>
        <v/>
      </c>
    </row>
    <row r="1259" spans="1:9" s="7" customFormat="1" ht="15" x14ac:dyDescent="0.2">
      <c r="A1259" s="7" t="str">
        <f>IF(Plantilla_SCAN_EQ3_COUNT_2[[#This Row],[ID MATERIAL]]="","",SIGN(Plantilla_SCAN_EQ3_COUNT_2[[#This Row],[Cantidad]])+A1258)</f>
        <v/>
      </c>
      <c r="B1259" s="21" t="str">
        <f>IF(Plantilla_SCAN_EQ3_COUNT_2[[#This Row],[ID MATERIAL]]="","",B1258)</f>
        <v/>
      </c>
      <c r="C1259" s="21"/>
      <c r="D1259" s="21"/>
      <c r="E1259" s="7" t="str">
        <f>IF(Plantilla_SCAN_EQ3_COUNT_2[[#This Row],[ID MATERIAL]]="","",VLOOKUP(Plantilla_SCAN_EQ3_COUNT_2[[#This Row],[ID MATERIAL]],INVENTARIO!$A:$D,2,FALSE))</f>
        <v/>
      </c>
      <c r="F1259" s="7" t="str">
        <f>IF(Plantilla_SCAN_EQ3_COUNT_2[[#This Row],[ID MATERIAL]]="","",IF(Plantilla_SCAN_EQ3_COUNT_2[[#This Row],[No. Empaques]]="",1,Plantilla_SCAN_EQ3_COUNT_2[[#This Row],[No. Empaques]]*1))</f>
        <v/>
      </c>
      <c r="G1259" s="7" t="str">
        <f>IF(Plantilla_SCAN_EQ3_COUNT_2[[#This Row],[ID MATERIAL]]="","","PZ")</f>
        <v/>
      </c>
      <c r="H1259" s="7" t="str">
        <f>IF(Plantilla_SCAN_EQ3_COUNT_2[[#This Row],[ID MATERIAL]]="","",$B$13)</f>
        <v/>
      </c>
      <c r="I1259" s="7" t="str">
        <f>IF(Plantilla_SCAN_EQ3_COUNT_2[[#This Row],[ID MATERIAL]]="","","Segundo Conteo")</f>
        <v/>
      </c>
    </row>
    <row r="1260" spans="1:9" s="7" customFormat="1" ht="15" x14ac:dyDescent="0.2">
      <c r="A1260" s="7" t="str">
        <f>IF(Plantilla_SCAN_EQ3_COUNT_2[[#This Row],[ID MATERIAL]]="","",SIGN(Plantilla_SCAN_EQ3_COUNT_2[[#This Row],[Cantidad]])+A1259)</f>
        <v/>
      </c>
      <c r="B1260" s="21" t="str">
        <f>IF(Plantilla_SCAN_EQ3_COUNT_2[[#This Row],[ID MATERIAL]]="","",B1259)</f>
        <v/>
      </c>
      <c r="C1260" s="21"/>
      <c r="D1260" s="21"/>
      <c r="E1260" s="7" t="str">
        <f>IF(Plantilla_SCAN_EQ3_COUNT_2[[#This Row],[ID MATERIAL]]="","",VLOOKUP(Plantilla_SCAN_EQ3_COUNT_2[[#This Row],[ID MATERIAL]],INVENTARIO!$A:$D,2,FALSE))</f>
        <v/>
      </c>
      <c r="F1260" s="7" t="str">
        <f>IF(Plantilla_SCAN_EQ3_COUNT_2[[#This Row],[ID MATERIAL]]="","",IF(Plantilla_SCAN_EQ3_COUNT_2[[#This Row],[No. Empaques]]="",1,Plantilla_SCAN_EQ3_COUNT_2[[#This Row],[No. Empaques]]*1))</f>
        <v/>
      </c>
      <c r="G1260" s="7" t="str">
        <f>IF(Plantilla_SCAN_EQ3_COUNT_2[[#This Row],[ID MATERIAL]]="","","PZ")</f>
        <v/>
      </c>
      <c r="H1260" s="7" t="str">
        <f>IF(Plantilla_SCAN_EQ3_COUNT_2[[#This Row],[ID MATERIAL]]="","",$B$13)</f>
        <v/>
      </c>
      <c r="I1260" s="7" t="str">
        <f>IF(Plantilla_SCAN_EQ3_COUNT_2[[#This Row],[ID MATERIAL]]="","","Segundo Conteo")</f>
        <v/>
      </c>
    </row>
    <row r="1261" spans="1:9" s="7" customFormat="1" ht="15" x14ac:dyDescent="0.2">
      <c r="A1261" s="7" t="str">
        <f>IF(Plantilla_SCAN_EQ3_COUNT_2[[#This Row],[ID MATERIAL]]="","",SIGN(Plantilla_SCAN_EQ3_COUNT_2[[#This Row],[Cantidad]])+A1260)</f>
        <v/>
      </c>
      <c r="B1261" s="21" t="str">
        <f>IF(Plantilla_SCAN_EQ3_COUNT_2[[#This Row],[ID MATERIAL]]="","",B1260)</f>
        <v/>
      </c>
      <c r="C1261" s="21"/>
      <c r="D1261" s="21"/>
      <c r="E1261" s="7" t="str">
        <f>IF(Plantilla_SCAN_EQ3_COUNT_2[[#This Row],[ID MATERIAL]]="","",VLOOKUP(Plantilla_SCAN_EQ3_COUNT_2[[#This Row],[ID MATERIAL]],INVENTARIO!$A:$D,2,FALSE))</f>
        <v/>
      </c>
      <c r="F1261" s="7" t="str">
        <f>IF(Plantilla_SCAN_EQ3_COUNT_2[[#This Row],[ID MATERIAL]]="","",IF(Plantilla_SCAN_EQ3_COUNT_2[[#This Row],[No. Empaques]]="",1,Plantilla_SCAN_EQ3_COUNT_2[[#This Row],[No. Empaques]]*1))</f>
        <v/>
      </c>
      <c r="G1261" s="7" t="str">
        <f>IF(Plantilla_SCAN_EQ3_COUNT_2[[#This Row],[ID MATERIAL]]="","","PZ")</f>
        <v/>
      </c>
      <c r="H1261" s="7" t="str">
        <f>IF(Plantilla_SCAN_EQ3_COUNT_2[[#This Row],[ID MATERIAL]]="","",$B$13)</f>
        <v/>
      </c>
      <c r="I1261" s="7" t="str">
        <f>IF(Plantilla_SCAN_EQ3_COUNT_2[[#This Row],[ID MATERIAL]]="","","Segundo Conteo")</f>
        <v/>
      </c>
    </row>
    <row r="1262" spans="1:9" s="7" customFormat="1" ht="15" x14ac:dyDescent="0.2">
      <c r="A1262" s="7" t="str">
        <f>IF(Plantilla_SCAN_EQ3_COUNT_2[[#This Row],[ID MATERIAL]]="","",SIGN(Plantilla_SCAN_EQ3_COUNT_2[[#This Row],[Cantidad]])+A1261)</f>
        <v/>
      </c>
      <c r="B1262" s="21" t="str">
        <f>IF(Plantilla_SCAN_EQ3_COUNT_2[[#This Row],[ID MATERIAL]]="","",B1261)</f>
        <v/>
      </c>
      <c r="C1262" s="21"/>
      <c r="D1262" s="21"/>
      <c r="E1262" s="7" t="str">
        <f>IF(Plantilla_SCAN_EQ3_COUNT_2[[#This Row],[ID MATERIAL]]="","",VLOOKUP(Plantilla_SCAN_EQ3_COUNT_2[[#This Row],[ID MATERIAL]],INVENTARIO!$A:$D,2,FALSE))</f>
        <v/>
      </c>
      <c r="F1262" s="7" t="str">
        <f>IF(Plantilla_SCAN_EQ3_COUNT_2[[#This Row],[ID MATERIAL]]="","",IF(Plantilla_SCAN_EQ3_COUNT_2[[#This Row],[No. Empaques]]="",1,Plantilla_SCAN_EQ3_COUNT_2[[#This Row],[No. Empaques]]*1))</f>
        <v/>
      </c>
      <c r="G1262" s="7" t="str">
        <f>IF(Plantilla_SCAN_EQ3_COUNT_2[[#This Row],[ID MATERIAL]]="","","PZ")</f>
        <v/>
      </c>
      <c r="H1262" s="7" t="str">
        <f>IF(Plantilla_SCAN_EQ3_COUNT_2[[#This Row],[ID MATERIAL]]="","",$B$13)</f>
        <v/>
      </c>
      <c r="I1262" s="7" t="str">
        <f>IF(Plantilla_SCAN_EQ3_COUNT_2[[#This Row],[ID MATERIAL]]="","","Segundo Conteo")</f>
        <v/>
      </c>
    </row>
    <row r="1263" spans="1:9" s="7" customFormat="1" ht="15" x14ac:dyDescent="0.2">
      <c r="A1263" s="7" t="str">
        <f>IF(Plantilla_SCAN_EQ3_COUNT_2[[#This Row],[ID MATERIAL]]="","",SIGN(Plantilla_SCAN_EQ3_COUNT_2[[#This Row],[Cantidad]])+A1262)</f>
        <v/>
      </c>
      <c r="B1263" s="21" t="str">
        <f>IF(Plantilla_SCAN_EQ3_COUNT_2[[#This Row],[ID MATERIAL]]="","",B1262)</f>
        <v/>
      </c>
      <c r="C1263" s="21"/>
      <c r="D1263" s="21"/>
      <c r="E1263" s="7" t="str">
        <f>IF(Plantilla_SCAN_EQ3_COUNT_2[[#This Row],[ID MATERIAL]]="","",VLOOKUP(Plantilla_SCAN_EQ3_COUNT_2[[#This Row],[ID MATERIAL]],INVENTARIO!$A:$D,2,FALSE))</f>
        <v/>
      </c>
      <c r="F1263" s="7" t="str">
        <f>IF(Plantilla_SCAN_EQ3_COUNT_2[[#This Row],[ID MATERIAL]]="","",IF(Plantilla_SCAN_EQ3_COUNT_2[[#This Row],[No. Empaques]]="",1,Plantilla_SCAN_EQ3_COUNT_2[[#This Row],[No. Empaques]]*1))</f>
        <v/>
      </c>
      <c r="G1263" s="7" t="str">
        <f>IF(Plantilla_SCAN_EQ3_COUNT_2[[#This Row],[ID MATERIAL]]="","","PZ")</f>
        <v/>
      </c>
      <c r="H1263" s="7" t="str">
        <f>IF(Plantilla_SCAN_EQ3_COUNT_2[[#This Row],[ID MATERIAL]]="","",$B$13)</f>
        <v/>
      </c>
      <c r="I1263" s="7" t="str">
        <f>IF(Plantilla_SCAN_EQ3_COUNT_2[[#This Row],[ID MATERIAL]]="","","Segundo Conteo")</f>
        <v/>
      </c>
    </row>
    <row r="1264" spans="1:9" s="7" customFormat="1" ht="15" x14ac:dyDescent="0.2">
      <c r="A1264" s="7" t="str">
        <f>IF(Plantilla_SCAN_EQ3_COUNT_2[[#This Row],[ID MATERIAL]]="","",SIGN(Plantilla_SCAN_EQ3_COUNT_2[[#This Row],[Cantidad]])+A1263)</f>
        <v/>
      </c>
      <c r="B1264" s="21" t="str">
        <f>IF(Plantilla_SCAN_EQ3_COUNT_2[[#This Row],[ID MATERIAL]]="","",B1263)</f>
        <v/>
      </c>
      <c r="C1264" s="21"/>
      <c r="D1264" s="21"/>
      <c r="E1264" s="7" t="str">
        <f>IF(Plantilla_SCAN_EQ3_COUNT_2[[#This Row],[ID MATERIAL]]="","",VLOOKUP(Plantilla_SCAN_EQ3_COUNT_2[[#This Row],[ID MATERIAL]],INVENTARIO!$A:$D,2,FALSE))</f>
        <v/>
      </c>
      <c r="F1264" s="7" t="str">
        <f>IF(Plantilla_SCAN_EQ3_COUNT_2[[#This Row],[ID MATERIAL]]="","",IF(Plantilla_SCAN_EQ3_COUNT_2[[#This Row],[No. Empaques]]="",1,Plantilla_SCAN_EQ3_COUNT_2[[#This Row],[No. Empaques]]*1))</f>
        <v/>
      </c>
      <c r="G1264" s="7" t="str">
        <f>IF(Plantilla_SCAN_EQ3_COUNT_2[[#This Row],[ID MATERIAL]]="","","PZ")</f>
        <v/>
      </c>
      <c r="H1264" s="7" t="str">
        <f>IF(Plantilla_SCAN_EQ3_COUNT_2[[#This Row],[ID MATERIAL]]="","",$B$13)</f>
        <v/>
      </c>
      <c r="I1264" s="7" t="str">
        <f>IF(Plantilla_SCAN_EQ3_COUNT_2[[#This Row],[ID MATERIAL]]="","","Segundo Conteo")</f>
        <v/>
      </c>
    </row>
    <row r="1265" spans="1:9" s="7" customFormat="1" ht="15" x14ac:dyDescent="0.2">
      <c r="A1265" s="7" t="str">
        <f>IF(Plantilla_SCAN_EQ3_COUNT_2[[#This Row],[ID MATERIAL]]="","",SIGN(Plantilla_SCAN_EQ3_COUNT_2[[#This Row],[Cantidad]])+A1264)</f>
        <v/>
      </c>
      <c r="B1265" s="21" t="str">
        <f>IF(Plantilla_SCAN_EQ3_COUNT_2[[#This Row],[ID MATERIAL]]="","",B1264)</f>
        <v/>
      </c>
      <c r="C1265" s="21"/>
      <c r="D1265" s="21"/>
      <c r="E1265" s="7" t="str">
        <f>IF(Plantilla_SCAN_EQ3_COUNT_2[[#This Row],[ID MATERIAL]]="","",VLOOKUP(Plantilla_SCAN_EQ3_COUNT_2[[#This Row],[ID MATERIAL]],INVENTARIO!$A:$D,2,FALSE))</f>
        <v/>
      </c>
      <c r="F1265" s="7" t="str">
        <f>IF(Plantilla_SCAN_EQ3_COUNT_2[[#This Row],[ID MATERIAL]]="","",IF(Plantilla_SCAN_EQ3_COUNT_2[[#This Row],[No. Empaques]]="",1,Plantilla_SCAN_EQ3_COUNT_2[[#This Row],[No. Empaques]]*1))</f>
        <v/>
      </c>
      <c r="G1265" s="7" t="str">
        <f>IF(Plantilla_SCAN_EQ3_COUNT_2[[#This Row],[ID MATERIAL]]="","","PZ")</f>
        <v/>
      </c>
      <c r="H1265" s="7" t="str">
        <f>IF(Plantilla_SCAN_EQ3_COUNT_2[[#This Row],[ID MATERIAL]]="","",$B$13)</f>
        <v/>
      </c>
      <c r="I1265" s="7" t="str">
        <f>IF(Plantilla_SCAN_EQ3_COUNT_2[[#This Row],[ID MATERIAL]]="","","Segundo Conteo")</f>
        <v/>
      </c>
    </row>
    <row r="1266" spans="1:9" s="7" customFormat="1" ht="15" x14ac:dyDescent="0.2">
      <c r="A1266" s="7" t="str">
        <f>IF(Plantilla_SCAN_EQ3_COUNT_2[[#This Row],[ID MATERIAL]]="","",SIGN(Plantilla_SCAN_EQ3_COUNT_2[[#This Row],[Cantidad]])+A1265)</f>
        <v/>
      </c>
      <c r="B1266" s="21" t="str">
        <f>IF(Plantilla_SCAN_EQ3_COUNT_2[[#This Row],[ID MATERIAL]]="","",B1265)</f>
        <v/>
      </c>
      <c r="C1266" s="21"/>
      <c r="D1266" s="21"/>
      <c r="E1266" s="7" t="str">
        <f>IF(Plantilla_SCAN_EQ3_COUNT_2[[#This Row],[ID MATERIAL]]="","",VLOOKUP(Plantilla_SCAN_EQ3_COUNT_2[[#This Row],[ID MATERIAL]],INVENTARIO!$A:$D,2,FALSE))</f>
        <v/>
      </c>
      <c r="F1266" s="7" t="str">
        <f>IF(Plantilla_SCAN_EQ3_COUNT_2[[#This Row],[ID MATERIAL]]="","",IF(Plantilla_SCAN_EQ3_COUNT_2[[#This Row],[No. Empaques]]="",1,Plantilla_SCAN_EQ3_COUNT_2[[#This Row],[No. Empaques]]*1))</f>
        <v/>
      </c>
      <c r="G1266" s="7" t="str">
        <f>IF(Plantilla_SCAN_EQ3_COUNT_2[[#This Row],[ID MATERIAL]]="","","PZ")</f>
        <v/>
      </c>
      <c r="H1266" s="7" t="str">
        <f>IF(Plantilla_SCAN_EQ3_COUNT_2[[#This Row],[ID MATERIAL]]="","",$B$13)</f>
        <v/>
      </c>
      <c r="I1266" s="7" t="str">
        <f>IF(Plantilla_SCAN_EQ3_COUNT_2[[#This Row],[ID MATERIAL]]="","","Segundo Conteo")</f>
        <v/>
      </c>
    </row>
    <row r="1267" spans="1:9" s="7" customFormat="1" ht="15" x14ac:dyDescent="0.2">
      <c r="A1267" s="7" t="str">
        <f>IF(Plantilla_SCAN_EQ3_COUNT_2[[#This Row],[ID MATERIAL]]="","",SIGN(Plantilla_SCAN_EQ3_COUNT_2[[#This Row],[Cantidad]])+A1266)</f>
        <v/>
      </c>
      <c r="B1267" s="21" t="str">
        <f>IF(Plantilla_SCAN_EQ3_COUNT_2[[#This Row],[ID MATERIAL]]="","",B1266)</f>
        <v/>
      </c>
      <c r="C1267" s="21"/>
      <c r="D1267" s="21"/>
      <c r="E1267" s="7" t="str">
        <f>IF(Plantilla_SCAN_EQ3_COUNT_2[[#This Row],[ID MATERIAL]]="","",VLOOKUP(Plantilla_SCAN_EQ3_COUNT_2[[#This Row],[ID MATERIAL]],INVENTARIO!$A:$D,2,FALSE))</f>
        <v/>
      </c>
      <c r="F1267" s="7" t="str">
        <f>IF(Plantilla_SCAN_EQ3_COUNT_2[[#This Row],[ID MATERIAL]]="","",IF(Plantilla_SCAN_EQ3_COUNT_2[[#This Row],[No. Empaques]]="",1,Plantilla_SCAN_EQ3_COUNT_2[[#This Row],[No. Empaques]]*1))</f>
        <v/>
      </c>
      <c r="G1267" s="7" t="str">
        <f>IF(Plantilla_SCAN_EQ3_COUNT_2[[#This Row],[ID MATERIAL]]="","","PZ")</f>
        <v/>
      </c>
      <c r="H1267" s="7" t="str">
        <f>IF(Plantilla_SCAN_EQ3_COUNT_2[[#This Row],[ID MATERIAL]]="","",$B$13)</f>
        <v/>
      </c>
      <c r="I1267" s="7" t="str">
        <f>IF(Plantilla_SCAN_EQ3_COUNT_2[[#This Row],[ID MATERIAL]]="","","Segundo Conteo")</f>
        <v/>
      </c>
    </row>
    <row r="1268" spans="1:9" s="7" customFormat="1" ht="15" x14ac:dyDescent="0.2">
      <c r="A1268" s="7" t="str">
        <f>IF(Plantilla_SCAN_EQ3_COUNT_2[[#This Row],[ID MATERIAL]]="","",SIGN(Plantilla_SCAN_EQ3_COUNT_2[[#This Row],[Cantidad]])+A1267)</f>
        <v/>
      </c>
      <c r="B1268" s="21" t="str">
        <f>IF(Plantilla_SCAN_EQ3_COUNT_2[[#This Row],[ID MATERIAL]]="","",B1267)</f>
        <v/>
      </c>
      <c r="C1268" s="21"/>
      <c r="D1268" s="21"/>
      <c r="E1268" s="7" t="str">
        <f>IF(Plantilla_SCAN_EQ3_COUNT_2[[#This Row],[ID MATERIAL]]="","",VLOOKUP(Plantilla_SCAN_EQ3_COUNT_2[[#This Row],[ID MATERIAL]],INVENTARIO!$A:$D,2,FALSE))</f>
        <v/>
      </c>
      <c r="F1268" s="7" t="str">
        <f>IF(Plantilla_SCAN_EQ3_COUNT_2[[#This Row],[ID MATERIAL]]="","",IF(Plantilla_SCAN_EQ3_COUNT_2[[#This Row],[No. Empaques]]="",1,Plantilla_SCAN_EQ3_COUNT_2[[#This Row],[No. Empaques]]*1))</f>
        <v/>
      </c>
      <c r="G1268" s="7" t="str">
        <f>IF(Plantilla_SCAN_EQ3_COUNT_2[[#This Row],[ID MATERIAL]]="","","PZ")</f>
        <v/>
      </c>
      <c r="H1268" s="7" t="str">
        <f>IF(Plantilla_SCAN_EQ3_COUNT_2[[#This Row],[ID MATERIAL]]="","",$B$13)</f>
        <v/>
      </c>
      <c r="I1268" s="7" t="str">
        <f>IF(Plantilla_SCAN_EQ3_COUNT_2[[#This Row],[ID MATERIAL]]="","","Segundo Conteo")</f>
        <v/>
      </c>
    </row>
    <row r="1269" spans="1:9" s="7" customFormat="1" ht="15" x14ac:dyDescent="0.2">
      <c r="A1269" s="7" t="str">
        <f>IF(Plantilla_SCAN_EQ3_COUNT_2[[#This Row],[ID MATERIAL]]="","",SIGN(Plantilla_SCAN_EQ3_COUNT_2[[#This Row],[Cantidad]])+A1268)</f>
        <v/>
      </c>
      <c r="B1269" s="21" t="str">
        <f>IF(Plantilla_SCAN_EQ3_COUNT_2[[#This Row],[ID MATERIAL]]="","",B1268)</f>
        <v/>
      </c>
      <c r="C1269" s="21"/>
      <c r="D1269" s="21"/>
      <c r="E1269" s="7" t="str">
        <f>IF(Plantilla_SCAN_EQ3_COUNT_2[[#This Row],[ID MATERIAL]]="","",VLOOKUP(Plantilla_SCAN_EQ3_COUNT_2[[#This Row],[ID MATERIAL]],INVENTARIO!$A:$D,2,FALSE))</f>
        <v/>
      </c>
      <c r="F1269" s="7" t="str">
        <f>IF(Plantilla_SCAN_EQ3_COUNT_2[[#This Row],[ID MATERIAL]]="","",IF(Plantilla_SCAN_EQ3_COUNT_2[[#This Row],[No. Empaques]]="",1,Plantilla_SCAN_EQ3_COUNT_2[[#This Row],[No. Empaques]]*1))</f>
        <v/>
      </c>
      <c r="G1269" s="7" t="str">
        <f>IF(Plantilla_SCAN_EQ3_COUNT_2[[#This Row],[ID MATERIAL]]="","","PZ")</f>
        <v/>
      </c>
      <c r="H1269" s="7" t="str">
        <f>IF(Plantilla_SCAN_EQ3_COUNT_2[[#This Row],[ID MATERIAL]]="","",$B$13)</f>
        <v/>
      </c>
      <c r="I1269" s="7" t="str">
        <f>IF(Plantilla_SCAN_EQ3_COUNT_2[[#This Row],[ID MATERIAL]]="","","Segundo Conteo")</f>
        <v/>
      </c>
    </row>
    <row r="1270" spans="1:9" s="7" customFormat="1" ht="15" x14ac:dyDescent="0.2">
      <c r="A1270" s="7" t="str">
        <f>IF(Plantilla_SCAN_EQ3_COUNT_2[[#This Row],[ID MATERIAL]]="","",SIGN(Plantilla_SCAN_EQ3_COUNT_2[[#This Row],[Cantidad]])+A1269)</f>
        <v/>
      </c>
      <c r="B1270" s="21" t="str">
        <f>IF(Plantilla_SCAN_EQ3_COUNT_2[[#This Row],[ID MATERIAL]]="","",B1269)</f>
        <v/>
      </c>
      <c r="C1270" s="21"/>
      <c r="D1270" s="21"/>
      <c r="E1270" s="7" t="str">
        <f>IF(Plantilla_SCAN_EQ3_COUNT_2[[#This Row],[ID MATERIAL]]="","",VLOOKUP(Plantilla_SCAN_EQ3_COUNT_2[[#This Row],[ID MATERIAL]],INVENTARIO!$A:$D,2,FALSE))</f>
        <v/>
      </c>
      <c r="F1270" s="7" t="str">
        <f>IF(Plantilla_SCAN_EQ3_COUNT_2[[#This Row],[ID MATERIAL]]="","",IF(Plantilla_SCAN_EQ3_COUNT_2[[#This Row],[No. Empaques]]="",1,Plantilla_SCAN_EQ3_COUNT_2[[#This Row],[No. Empaques]]*1))</f>
        <v/>
      </c>
      <c r="G1270" s="7" t="str">
        <f>IF(Plantilla_SCAN_EQ3_COUNT_2[[#This Row],[ID MATERIAL]]="","","PZ")</f>
        <v/>
      </c>
      <c r="H1270" s="7" t="str">
        <f>IF(Plantilla_SCAN_EQ3_COUNT_2[[#This Row],[ID MATERIAL]]="","",$B$13)</f>
        <v/>
      </c>
      <c r="I1270" s="7" t="str">
        <f>IF(Plantilla_SCAN_EQ3_COUNT_2[[#This Row],[ID MATERIAL]]="","","Segundo Conteo")</f>
        <v/>
      </c>
    </row>
    <row r="1271" spans="1:9" s="7" customFormat="1" ht="15" x14ac:dyDescent="0.2">
      <c r="A1271" s="7" t="str">
        <f>IF(Plantilla_SCAN_EQ3_COUNT_2[[#This Row],[ID MATERIAL]]="","",SIGN(Plantilla_SCAN_EQ3_COUNT_2[[#This Row],[Cantidad]])+A1270)</f>
        <v/>
      </c>
      <c r="B1271" s="21" t="str">
        <f>IF(Plantilla_SCAN_EQ3_COUNT_2[[#This Row],[ID MATERIAL]]="","",B1270)</f>
        <v/>
      </c>
      <c r="C1271" s="21"/>
      <c r="D1271" s="21"/>
      <c r="E1271" s="7" t="str">
        <f>IF(Plantilla_SCAN_EQ3_COUNT_2[[#This Row],[ID MATERIAL]]="","",VLOOKUP(Plantilla_SCAN_EQ3_COUNT_2[[#This Row],[ID MATERIAL]],INVENTARIO!$A:$D,2,FALSE))</f>
        <v/>
      </c>
      <c r="F1271" s="7" t="str">
        <f>IF(Plantilla_SCAN_EQ3_COUNT_2[[#This Row],[ID MATERIAL]]="","",IF(Plantilla_SCAN_EQ3_COUNT_2[[#This Row],[No. Empaques]]="",1,Plantilla_SCAN_EQ3_COUNT_2[[#This Row],[No. Empaques]]*1))</f>
        <v/>
      </c>
      <c r="G1271" s="7" t="str">
        <f>IF(Plantilla_SCAN_EQ3_COUNT_2[[#This Row],[ID MATERIAL]]="","","PZ")</f>
        <v/>
      </c>
      <c r="H1271" s="7" t="str">
        <f>IF(Plantilla_SCAN_EQ3_COUNT_2[[#This Row],[ID MATERIAL]]="","",$B$13)</f>
        <v/>
      </c>
      <c r="I1271" s="7" t="str">
        <f>IF(Plantilla_SCAN_EQ3_COUNT_2[[#This Row],[ID MATERIAL]]="","","Segundo Conteo")</f>
        <v/>
      </c>
    </row>
    <row r="1272" spans="1:9" s="7" customFormat="1" ht="15" x14ac:dyDescent="0.2">
      <c r="A1272" s="7" t="str">
        <f>IF(Plantilla_SCAN_EQ3_COUNT_2[[#This Row],[ID MATERIAL]]="","",SIGN(Plantilla_SCAN_EQ3_COUNT_2[[#This Row],[Cantidad]])+A1271)</f>
        <v/>
      </c>
      <c r="B1272" s="21" t="str">
        <f>IF(Plantilla_SCAN_EQ3_COUNT_2[[#This Row],[ID MATERIAL]]="","",B1271)</f>
        <v/>
      </c>
      <c r="C1272" s="21"/>
      <c r="D1272" s="21"/>
      <c r="E1272" s="7" t="str">
        <f>IF(Plantilla_SCAN_EQ3_COUNT_2[[#This Row],[ID MATERIAL]]="","",VLOOKUP(Plantilla_SCAN_EQ3_COUNT_2[[#This Row],[ID MATERIAL]],INVENTARIO!$A:$D,2,FALSE))</f>
        <v/>
      </c>
      <c r="F1272" s="7" t="str">
        <f>IF(Plantilla_SCAN_EQ3_COUNT_2[[#This Row],[ID MATERIAL]]="","",IF(Plantilla_SCAN_EQ3_COUNT_2[[#This Row],[No. Empaques]]="",1,Plantilla_SCAN_EQ3_COUNT_2[[#This Row],[No. Empaques]]*1))</f>
        <v/>
      </c>
      <c r="G1272" s="7" t="str">
        <f>IF(Plantilla_SCAN_EQ3_COUNT_2[[#This Row],[ID MATERIAL]]="","","PZ")</f>
        <v/>
      </c>
      <c r="H1272" s="7" t="str">
        <f>IF(Plantilla_SCAN_EQ3_COUNT_2[[#This Row],[ID MATERIAL]]="","",$B$13)</f>
        <v/>
      </c>
      <c r="I1272" s="7" t="str">
        <f>IF(Plantilla_SCAN_EQ3_COUNT_2[[#This Row],[ID MATERIAL]]="","","Segundo Conteo")</f>
        <v/>
      </c>
    </row>
    <row r="1273" spans="1:9" s="7" customFormat="1" ht="15" x14ac:dyDescent="0.2">
      <c r="A1273" s="7" t="str">
        <f>IF(Plantilla_SCAN_EQ3_COUNT_2[[#This Row],[ID MATERIAL]]="","",SIGN(Plantilla_SCAN_EQ3_COUNT_2[[#This Row],[Cantidad]])+A1272)</f>
        <v/>
      </c>
      <c r="B1273" s="21" t="str">
        <f>IF(Plantilla_SCAN_EQ3_COUNT_2[[#This Row],[ID MATERIAL]]="","",B1272)</f>
        <v/>
      </c>
      <c r="C1273" s="21"/>
      <c r="D1273" s="21"/>
      <c r="E1273" s="7" t="str">
        <f>IF(Plantilla_SCAN_EQ3_COUNT_2[[#This Row],[ID MATERIAL]]="","",VLOOKUP(Plantilla_SCAN_EQ3_COUNT_2[[#This Row],[ID MATERIAL]],INVENTARIO!$A:$D,2,FALSE))</f>
        <v/>
      </c>
      <c r="F1273" s="7" t="str">
        <f>IF(Plantilla_SCAN_EQ3_COUNT_2[[#This Row],[ID MATERIAL]]="","",IF(Plantilla_SCAN_EQ3_COUNT_2[[#This Row],[No. Empaques]]="",1,Plantilla_SCAN_EQ3_COUNT_2[[#This Row],[No. Empaques]]*1))</f>
        <v/>
      </c>
      <c r="G1273" s="7" t="str">
        <f>IF(Plantilla_SCAN_EQ3_COUNT_2[[#This Row],[ID MATERIAL]]="","","PZ")</f>
        <v/>
      </c>
      <c r="H1273" s="7" t="str">
        <f>IF(Plantilla_SCAN_EQ3_COUNT_2[[#This Row],[ID MATERIAL]]="","",$B$13)</f>
        <v/>
      </c>
      <c r="I1273" s="7" t="str">
        <f>IF(Plantilla_SCAN_EQ3_COUNT_2[[#This Row],[ID MATERIAL]]="","","Segundo Conteo")</f>
        <v/>
      </c>
    </row>
    <row r="1274" spans="1:9" s="7" customFormat="1" ht="15" x14ac:dyDescent="0.2">
      <c r="A1274" s="7" t="str">
        <f>IF(Plantilla_SCAN_EQ3_COUNT_2[[#This Row],[ID MATERIAL]]="","",SIGN(Plantilla_SCAN_EQ3_COUNT_2[[#This Row],[Cantidad]])+A1273)</f>
        <v/>
      </c>
      <c r="B1274" s="21" t="str">
        <f>IF(Plantilla_SCAN_EQ3_COUNT_2[[#This Row],[ID MATERIAL]]="","",B1273)</f>
        <v/>
      </c>
      <c r="C1274" s="21"/>
      <c r="D1274" s="21"/>
      <c r="E1274" s="7" t="str">
        <f>IF(Plantilla_SCAN_EQ3_COUNT_2[[#This Row],[ID MATERIAL]]="","",VLOOKUP(Plantilla_SCAN_EQ3_COUNT_2[[#This Row],[ID MATERIAL]],INVENTARIO!$A:$D,2,FALSE))</f>
        <v/>
      </c>
      <c r="F1274" s="7" t="str">
        <f>IF(Plantilla_SCAN_EQ3_COUNT_2[[#This Row],[ID MATERIAL]]="","",IF(Plantilla_SCAN_EQ3_COUNT_2[[#This Row],[No. Empaques]]="",1,Plantilla_SCAN_EQ3_COUNT_2[[#This Row],[No. Empaques]]*1))</f>
        <v/>
      </c>
      <c r="G1274" s="7" t="str">
        <f>IF(Plantilla_SCAN_EQ3_COUNT_2[[#This Row],[ID MATERIAL]]="","","PZ")</f>
        <v/>
      </c>
      <c r="H1274" s="7" t="str">
        <f>IF(Plantilla_SCAN_EQ3_COUNT_2[[#This Row],[ID MATERIAL]]="","",$B$13)</f>
        <v/>
      </c>
      <c r="I1274" s="7" t="str">
        <f>IF(Plantilla_SCAN_EQ3_COUNT_2[[#This Row],[ID MATERIAL]]="","","Segundo Conteo")</f>
        <v/>
      </c>
    </row>
    <row r="1275" spans="1:9" s="7" customFormat="1" ht="15" x14ac:dyDescent="0.2">
      <c r="A1275" s="7" t="str">
        <f>IF(Plantilla_SCAN_EQ3_COUNT_2[[#This Row],[ID MATERIAL]]="","",SIGN(Plantilla_SCAN_EQ3_COUNT_2[[#This Row],[Cantidad]])+A1274)</f>
        <v/>
      </c>
      <c r="B1275" s="21" t="str">
        <f>IF(Plantilla_SCAN_EQ3_COUNT_2[[#This Row],[ID MATERIAL]]="","",B1274)</f>
        <v/>
      </c>
      <c r="C1275" s="21"/>
      <c r="D1275" s="21"/>
      <c r="E1275" s="7" t="str">
        <f>IF(Plantilla_SCAN_EQ3_COUNT_2[[#This Row],[ID MATERIAL]]="","",VLOOKUP(Plantilla_SCAN_EQ3_COUNT_2[[#This Row],[ID MATERIAL]],INVENTARIO!$A:$D,2,FALSE))</f>
        <v/>
      </c>
      <c r="F1275" s="7" t="str">
        <f>IF(Plantilla_SCAN_EQ3_COUNT_2[[#This Row],[ID MATERIAL]]="","",IF(Plantilla_SCAN_EQ3_COUNT_2[[#This Row],[No. Empaques]]="",1,Plantilla_SCAN_EQ3_COUNT_2[[#This Row],[No. Empaques]]*1))</f>
        <v/>
      </c>
      <c r="G1275" s="7" t="str">
        <f>IF(Plantilla_SCAN_EQ3_COUNT_2[[#This Row],[ID MATERIAL]]="","","PZ")</f>
        <v/>
      </c>
      <c r="H1275" s="7" t="str">
        <f>IF(Plantilla_SCAN_EQ3_COUNT_2[[#This Row],[ID MATERIAL]]="","",$B$13)</f>
        <v/>
      </c>
      <c r="I1275" s="7" t="str">
        <f>IF(Plantilla_SCAN_EQ3_COUNT_2[[#This Row],[ID MATERIAL]]="","","Segundo Conteo")</f>
        <v/>
      </c>
    </row>
    <row r="1276" spans="1:9" s="7" customFormat="1" ht="15" x14ac:dyDescent="0.2">
      <c r="A1276" s="7" t="str">
        <f>IF(Plantilla_SCAN_EQ3_COUNT_2[[#This Row],[ID MATERIAL]]="","",SIGN(Plantilla_SCAN_EQ3_COUNT_2[[#This Row],[Cantidad]])+A1275)</f>
        <v/>
      </c>
      <c r="B1276" s="21" t="str">
        <f>IF(Plantilla_SCAN_EQ3_COUNT_2[[#This Row],[ID MATERIAL]]="","",B1275)</f>
        <v/>
      </c>
      <c r="C1276" s="21"/>
      <c r="D1276" s="21"/>
      <c r="E1276" s="7" t="str">
        <f>IF(Plantilla_SCAN_EQ3_COUNT_2[[#This Row],[ID MATERIAL]]="","",VLOOKUP(Plantilla_SCAN_EQ3_COUNT_2[[#This Row],[ID MATERIAL]],INVENTARIO!$A:$D,2,FALSE))</f>
        <v/>
      </c>
      <c r="F1276" s="7" t="str">
        <f>IF(Plantilla_SCAN_EQ3_COUNT_2[[#This Row],[ID MATERIAL]]="","",IF(Plantilla_SCAN_EQ3_COUNT_2[[#This Row],[No. Empaques]]="",1,Plantilla_SCAN_EQ3_COUNT_2[[#This Row],[No. Empaques]]*1))</f>
        <v/>
      </c>
      <c r="G1276" s="7" t="str">
        <f>IF(Plantilla_SCAN_EQ3_COUNT_2[[#This Row],[ID MATERIAL]]="","","PZ")</f>
        <v/>
      </c>
      <c r="H1276" s="7" t="str">
        <f>IF(Plantilla_SCAN_EQ3_COUNT_2[[#This Row],[ID MATERIAL]]="","",$B$13)</f>
        <v/>
      </c>
      <c r="I1276" s="7" t="str">
        <f>IF(Plantilla_SCAN_EQ3_COUNT_2[[#This Row],[ID MATERIAL]]="","","Segundo Conteo")</f>
        <v/>
      </c>
    </row>
    <row r="1277" spans="1:9" s="7" customFormat="1" ht="15" x14ac:dyDescent="0.2">
      <c r="A1277" s="7" t="str">
        <f>IF(Plantilla_SCAN_EQ3_COUNT_2[[#This Row],[ID MATERIAL]]="","",SIGN(Plantilla_SCAN_EQ3_COUNT_2[[#This Row],[Cantidad]])+A1276)</f>
        <v/>
      </c>
      <c r="B1277" s="21" t="str">
        <f>IF(Plantilla_SCAN_EQ3_COUNT_2[[#This Row],[ID MATERIAL]]="","",B1276)</f>
        <v/>
      </c>
      <c r="C1277" s="21"/>
      <c r="D1277" s="21"/>
      <c r="E1277" s="7" t="str">
        <f>IF(Plantilla_SCAN_EQ3_COUNT_2[[#This Row],[ID MATERIAL]]="","",VLOOKUP(Plantilla_SCAN_EQ3_COUNT_2[[#This Row],[ID MATERIAL]],INVENTARIO!$A:$D,2,FALSE))</f>
        <v/>
      </c>
      <c r="F1277" s="7" t="str">
        <f>IF(Plantilla_SCAN_EQ3_COUNT_2[[#This Row],[ID MATERIAL]]="","",IF(Plantilla_SCAN_EQ3_COUNT_2[[#This Row],[No. Empaques]]="",1,Plantilla_SCAN_EQ3_COUNT_2[[#This Row],[No. Empaques]]*1))</f>
        <v/>
      </c>
      <c r="G1277" s="7" t="str">
        <f>IF(Plantilla_SCAN_EQ3_COUNT_2[[#This Row],[ID MATERIAL]]="","","PZ")</f>
        <v/>
      </c>
      <c r="H1277" s="7" t="str">
        <f>IF(Plantilla_SCAN_EQ3_COUNT_2[[#This Row],[ID MATERIAL]]="","",$B$13)</f>
        <v/>
      </c>
      <c r="I1277" s="7" t="str">
        <f>IF(Plantilla_SCAN_EQ3_COUNT_2[[#This Row],[ID MATERIAL]]="","","Segundo Conteo")</f>
        <v/>
      </c>
    </row>
    <row r="1278" spans="1:9" s="7" customFormat="1" ht="15" x14ac:dyDescent="0.2">
      <c r="A1278" s="7" t="str">
        <f>IF(Plantilla_SCAN_EQ3_COUNT_2[[#This Row],[ID MATERIAL]]="","",SIGN(Plantilla_SCAN_EQ3_COUNT_2[[#This Row],[Cantidad]])+A1277)</f>
        <v/>
      </c>
      <c r="B1278" s="21" t="str">
        <f>IF(Plantilla_SCAN_EQ3_COUNT_2[[#This Row],[ID MATERIAL]]="","",B1277)</f>
        <v/>
      </c>
      <c r="C1278" s="21"/>
      <c r="D1278" s="21"/>
      <c r="E1278" s="7" t="str">
        <f>IF(Plantilla_SCAN_EQ3_COUNT_2[[#This Row],[ID MATERIAL]]="","",VLOOKUP(Plantilla_SCAN_EQ3_COUNT_2[[#This Row],[ID MATERIAL]],INVENTARIO!$A:$D,2,FALSE))</f>
        <v/>
      </c>
      <c r="F1278" s="7" t="str">
        <f>IF(Plantilla_SCAN_EQ3_COUNT_2[[#This Row],[ID MATERIAL]]="","",IF(Plantilla_SCAN_EQ3_COUNT_2[[#This Row],[No. Empaques]]="",1,Plantilla_SCAN_EQ3_COUNT_2[[#This Row],[No. Empaques]]*1))</f>
        <v/>
      </c>
      <c r="G1278" s="7" t="str">
        <f>IF(Plantilla_SCAN_EQ3_COUNT_2[[#This Row],[ID MATERIAL]]="","","PZ")</f>
        <v/>
      </c>
      <c r="H1278" s="7" t="str">
        <f>IF(Plantilla_SCAN_EQ3_COUNT_2[[#This Row],[ID MATERIAL]]="","",$B$13)</f>
        <v/>
      </c>
      <c r="I1278" s="7" t="str">
        <f>IF(Plantilla_SCAN_EQ3_COUNT_2[[#This Row],[ID MATERIAL]]="","","Segundo Conteo")</f>
        <v/>
      </c>
    </row>
    <row r="1279" spans="1:9" s="7" customFormat="1" ht="15" x14ac:dyDescent="0.2">
      <c r="A1279" s="7" t="str">
        <f>IF(Plantilla_SCAN_EQ3_COUNT_2[[#This Row],[ID MATERIAL]]="","",SIGN(Plantilla_SCAN_EQ3_COUNT_2[[#This Row],[Cantidad]])+A1278)</f>
        <v/>
      </c>
      <c r="B1279" s="21" t="str">
        <f>IF(Plantilla_SCAN_EQ3_COUNT_2[[#This Row],[ID MATERIAL]]="","",B1278)</f>
        <v/>
      </c>
      <c r="C1279" s="21"/>
      <c r="D1279" s="21"/>
      <c r="E1279" s="7" t="str">
        <f>IF(Plantilla_SCAN_EQ3_COUNT_2[[#This Row],[ID MATERIAL]]="","",VLOOKUP(Plantilla_SCAN_EQ3_COUNT_2[[#This Row],[ID MATERIAL]],INVENTARIO!$A:$D,2,FALSE))</f>
        <v/>
      </c>
      <c r="F1279" s="7" t="str">
        <f>IF(Plantilla_SCAN_EQ3_COUNT_2[[#This Row],[ID MATERIAL]]="","",IF(Plantilla_SCAN_EQ3_COUNT_2[[#This Row],[No. Empaques]]="",1,Plantilla_SCAN_EQ3_COUNT_2[[#This Row],[No. Empaques]]*1))</f>
        <v/>
      </c>
      <c r="G1279" s="7" t="str">
        <f>IF(Plantilla_SCAN_EQ3_COUNT_2[[#This Row],[ID MATERIAL]]="","","PZ")</f>
        <v/>
      </c>
      <c r="H1279" s="7" t="str">
        <f>IF(Plantilla_SCAN_EQ3_COUNT_2[[#This Row],[ID MATERIAL]]="","",$B$13)</f>
        <v/>
      </c>
      <c r="I1279" s="7" t="str">
        <f>IF(Plantilla_SCAN_EQ3_COUNT_2[[#This Row],[ID MATERIAL]]="","","Segundo Conteo")</f>
        <v/>
      </c>
    </row>
    <row r="1280" spans="1:9" s="7" customFormat="1" ht="15" x14ac:dyDescent="0.2">
      <c r="A1280" s="7" t="str">
        <f>IF(Plantilla_SCAN_EQ3_COUNT_2[[#This Row],[ID MATERIAL]]="","",SIGN(Plantilla_SCAN_EQ3_COUNT_2[[#This Row],[Cantidad]])+A1279)</f>
        <v/>
      </c>
      <c r="B1280" s="21" t="str">
        <f>IF(Plantilla_SCAN_EQ3_COUNT_2[[#This Row],[ID MATERIAL]]="","",B1279)</f>
        <v/>
      </c>
      <c r="C1280" s="21"/>
      <c r="D1280" s="21"/>
      <c r="E1280" s="7" t="str">
        <f>IF(Plantilla_SCAN_EQ3_COUNT_2[[#This Row],[ID MATERIAL]]="","",VLOOKUP(Plantilla_SCAN_EQ3_COUNT_2[[#This Row],[ID MATERIAL]],INVENTARIO!$A:$D,2,FALSE))</f>
        <v/>
      </c>
      <c r="F1280" s="7" t="str">
        <f>IF(Plantilla_SCAN_EQ3_COUNT_2[[#This Row],[ID MATERIAL]]="","",IF(Plantilla_SCAN_EQ3_COUNT_2[[#This Row],[No. Empaques]]="",1,Plantilla_SCAN_EQ3_COUNT_2[[#This Row],[No. Empaques]]*1))</f>
        <v/>
      </c>
      <c r="G1280" s="7" t="str">
        <f>IF(Plantilla_SCAN_EQ3_COUNT_2[[#This Row],[ID MATERIAL]]="","","PZ")</f>
        <v/>
      </c>
      <c r="H1280" s="7" t="str">
        <f>IF(Plantilla_SCAN_EQ3_COUNT_2[[#This Row],[ID MATERIAL]]="","",$B$13)</f>
        <v/>
      </c>
      <c r="I1280" s="7" t="str">
        <f>IF(Plantilla_SCAN_EQ3_COUNT_2[[#This Row],[ID MATERIAL]]="","","Segundo Conteo")</f>
        <v/>
      </c>
    </row>
    <row r="1281" spans="1:9" s="7" customFormat="1" ht="15" x14ac:dyDescent="0.2">
      <c r="A1281" s="7" t="str">
        <f>IF(Plantilla_SCAN_EQ3_COUNT_2[[#This Row],[ID MATERIAL]]="","",SIGN(Plantilla_SCAN_EQ3_COUNT_2[[#This Row],[Cantidad]])+A1280)</f>
        <v/>
      </c>
      <c r="B1281" s="21" t="str">
        <f>IF(Plantilla_SCAN_EQ3_COUNT_2[[#This Row],[ID MATERIAL]]="","",B1280)</f>
        <v/>
      </c>
      <c r="C1281" s="21"/>
      <c r="D1281" s="21"/>
      <c r="E1281" s="7" t="str">
        <f>IF(Plantilla_SCAN_EQ3_COUNT_2[[#This Row],[ID MATERIAL]]="","",VLOOKUP(Plantilla_SCAN_EQ3_COUNT_2[[#This Row],[ID MATERIAL]],INVENTARIO!$A:$D,2,FALSE))</f>
        <v/>
      </c>
      <c r="F1281" s="7" t="str">
        <f>IF(Plantilla_SCAN_EQ3_COUNT_2[[#This Row],[ID MATERIAL]]="","",IF(Plantilla_SCAN_EQ3_COUNT_2[[#This Row],[No. Empaques]]="",1,Plantilla_SCAN_EQ3_COUNT_2[[#This Row],[No. Empaques]]*1))</f>
        <v/>
      </c>
      <c r="G1281" s="7" t="str">
        <f>IF(Plantilla_SCAN_EQ3_COUNT_2[[#This Row],[ID MATERIAL]]="","","PZ")</f>
        <v/>
      </c>
      <c r="H1281" s="7" t="str">
        <f>IF(Plantilla_SCAN_EQ3_COUNT_2[[#This Row],[ID MATERIAL]]="","",$B$13)</f>
        <v/>
      </c>
      <c r="I1281" s="7" t="str">
        <f>IF(Plantilla_SCAN_EQ3_COUNT_2[[#This Row],[ID MATERIAL]]="","","Segundo Conteo")</f>
        <v/>
      </c>
    </row>
    <row r="1282" spans="1:9" s="7" customFormat="1" ht="15" x14ac:dyDescent="0.2">
      <c r="A1282" s="7" t="str">
        <f>IF(Plantilla_SCAN_EQ3_COUNT_2[[#This Row],[ID MATERIAL]]="","",SIGN(Plantilla_SCAN_EQ3_COUNT_2[[#This Row],[Cantidad]])+A1281)</f>
        <v/>
      </c>
      <c r="B1282" s="21" t="str">
        <f>IF(Plantilla_SCAN_EQ3_COUNT_2[[#This Row],[ID MATERIAL]]="","",B1281)</f>
        <v/>
      </c>
      <c r="C1282" s="21"/>
      <c r="D1282" s="21"/>
      <c r="E1282" s="7" t="str">
        <f>IF(Plantilla_SCAN_EQ3_COUNT_2[[#This Row],[ID MATERIAL]]="","",VLOOKUP(Plantilla_SCAN_EQ3_COUNT_2[[#This Row],[ID MATERIAL]],INVENTARIO!$A:$D,2,FALSE))</f>
        <v/>
      </c>
      <c r="F1282" s="7" t="str">
        <f>IF(Plantilla_SCAN_EQ3_COUNT_2[[#This Row],[ID MATERIAL]]="","",IF(Plantilla_SCAN_EQ3_COUNT_2[[#This Row],[No. Empaques]]="",1,Plantilla_SCAN_EQ3_COUNT_2[[#This Row],[No. Empaques]]*1))</f>
        <v/>
      </c>
      <c r="G1282" s="7" t="str">
        <f>IF(Plantilla_SCAN_EQ3_COUNT_2[[#This Row],[ID MATERIAL]]="","","PZ")</f>
        <v/>
      </c>
      <c r="H1282" s="7" t="str">
        <f>IF(Plantilla_SCAN_EQ3_COUNT_2[[#This Row],[ID MATERIAL]]="","",$B$13)</f>
        <v/>
      </c>
      <c r="I1282" s="7" t="str">
        <f>IF(Plantilla_SCAN_EQ3_COUNT_2[[#This Row],[ID MATERIAL]]="","","Segundo Conteo")</f>
        <v/>
      </c>
    </row>
    <row r="1283" spans="1:9" s="7" customFormat="1" ht="15" x14ac:dyDescent="0.2">
      <c r="A1283" s="7" t="str">
        <f>IF(Plantilla_SCAN_EQ3_COUNT_2[[#This Row],[ID MATERIAL]]="","",SIGN(Plantilla_SCAN_EQ3_COUNT_2[[#This Row],[Cantidad]])+A1282)</f>
        <v/>
      </c>
      <c r="B1283" s="21" t="str">
        <f>IF(Plantilla_SCAN_EQ3_COUNT_2[[#This Row],[ID MATERIAL]]="","",B1282)</f>
        <v/>
      </c>
      <c r="C1283" s="21"/>
      <c r="D1283" s="21"/>
      <c r="E1283" s="7" t="str">
        <f>IF(Plantilla_SCAN_EQ3_COUNT_2[[#This Row],[ID MATERIAL]]="","",VLOOKUP(Plantilla_SCAN_EQ3_COUNT_2[[#This Row],[ID MATERIAL]],INVENTARIO!$A:$D,2,FALSE))</f>
        <v/>
      </c>
      <c r="F1283" s="7" t="str">
        <f>IF(Plantilla_SCAN_EQ3_COUNT_2[[#This Row],[ID MATERIAL]]="","",IF(Plantilla_SCAN_EQ3_COUNT_2[[#This Row],[No. Empaques]]="",1,Plantilla_SCAN_EQ3_COUNT_2[[#This Row],[No. Empaques]]*1))</f>
        <v/>
      </c>
      <c r="G1283" s="7" t="str">
        <f>IF(Plantilla_SCAN_EQ3_COUNT_2[[#This Row],[ID MATERIAL]]="","","PZ")</f>
        <v/>
      </c>
      <c r="H1283" s="7" t="str">
        <f>IF(Plantilla_SCAN_EQ3_COUNT_2[[#This Row],[ID MATERIAL]]="","",$B$13)</f>
        <v/>
      </c>
      <c r="I1283" s="7" t="str">
        <f>IF(Plantilla_SCAN_EQ3_COUNT_2[[#This Row],[ID MATERIAL]]="","","Segundo Conteo")</f>
        <v/>
      </c>
    </row>
    <row r="1284" spans="1:9" s="7" customFormat="1" ht="15" x14ac:dyDescent="0.2">
      <c r="A1284" s="7" t="str">
        <f>IF(Plantilla_SCAN_EQ3_COUNT_2[[#This Row],[ID MATERIAL]]="","",SIGN(Plantilla_SCAN_EQ3_COUNT_2[[#This Row],[Cantidad]])+A1283)</f>
        <v/>
      </c>
      <c r="B1284" s="21" t="str">
        <f>IF(Plantilla_SCAN_EQ3_COUNT_2[[#This Row],[ID MATERIAL]]="","",B1283)</f>
        <v/>
      </c>
      <c r="C1284" s="21"/>
      <c r="D1284" s="21"/>
      <c r="E1284" s="7" t="str">
        <f>IF(Plantilla_SCAN_EQ3_COUNT_2[[#This Row],[ID MATERIAL]]="","",VLOOKUP(Plantilla_SCAN_EQ3_COUNT_2[[#This Row],[ID MATERIAL]],INVENTARIO!$A:$D,2,FALSE))</f>
        <v/>
      </c>
      <c r="F1284" s="7" t="str">
        <f>IF(Plantilla_SCAN_EQ3_COUNT_2[[#This Row],[ID MATERIAL]]="","",IF(Plantilla_SCAN_EQ3_COUNT_2[[#This Row],[No. Empaques]]="",1,Plantilla_SCAN_EQ3_COUNT_2[[#This Row],[No. Empaques]]*1))</f>
        <v/>
      </c>
      <c r="G1284" s="7" t="str">
        <f>IF(Plantilla_SCAN_EQ3_COUNT_2[[#This Row],[ID MATERIAL]]="","","PZ")</f>
        <v/>
      </c>
      <c r="H1284" s="7" t="str">
        <f>IF(Plantilla_SCAN_EQ3_COUNT_2[[#This Row],[ID MATERIAL]]="","",$B$13)</f>
        <v/>
      </c>
      <c r="I1284" s="7" t="str">
        <f>IF(Plantilla_SCAN_EQ3_COUNT_2[[#This Row],[ID MATERIAL]]="","","Segundo Conteo")</f>
        <v/>
      </c>
    </row>
    <row r="1285" spans="1:9" s="7" customFormat="1" ht="15" x14ac:dyDescent="0.2">
      <c r="A1285" s="7" t="str">
        <f>IF(Plantilla_SCAN_EQ3_COUNT_2[[#This Row],[ID MATERIAL]]="","",SIGN(Plantilla_SCAN_EQ3_COUNT_2[[#This Row],[Cantidad]])+A1284)</f>
        <v/>
      </c>
      <c r="B1285" s="21" t="str">
        <f>IF(Plantilla_SCAN_EQ3_COUNT_2[[#This Row],[ID MATERIAL]]="","",B1284)</f>
        <v/>
      </c>
      <c r="C1285" s="21"/>
      <c r="D1285" s="21"/>
      <c r="E1285" s="7" t="str">
        <f>IF(Plantilla_SCAN_EQ3_COUNT_2[[#This Row],[ID MATERIAL]]="","",VLOOKUP(Plantilla_SCAN_EQ3_COUNT_2[[#This Row],[ID MATERIAL]],INVENTARIO!$A:$D,2,FALSE))</f>
        <v/>
      </c>
      <c r="F1285" s="7" t="str">
        <f>IF(Plantilla_SCAN_EQ3_COUNT_2[[#This Row],[ID MATERIAL]]="","",IF(Plantilla_SCAN_EQ3_COUNT_2[[#This Row],[No. Empaques]]="",1,Plantilla_SCAN_EQ3_COUNT_2[[#This Row],[No. Empaques]]*1))</f>
        <v/>
      </c>
      <c r="G1285" s="7" t="str">
        <f>IF(Plantilla_SCAN_EQ3_COUNT_2[[#This Row],[ID MATERIAL]]="","","PZ")</f>
        <v/>
      </c>
      <c r="H1285" s="7" t="str">
        <f>IF(Plantilla_SCAN_EQ3_COUNT_2[[#This Row],[ID MATERIAL]]="","",$B$13)</f>
        <v/>
      </c>
      <c r="I1285" s="7" t="str">
        <f>IF(Plantilla_SCAN_EQ3_COUNT_2[[#This Row],[ID MATERIAL]]="","","Segundo Conteo")</f>
        <v/>
      </c>
    </row>
    <row r="1286" spans="1:9" s="7" customFormat="1" ht="15" x14ac:dyDescent="0.2">
      <c r="A1286" s="7" t="str">
        <f>IF(Plantilla_SCAN_EQ3_COUNT_2[[#This Row],[ID MATERIAL]]="","",SIGN(Plantilla_SCAN_EQ3_COUNT_2[[#This Row],[Cantidad]])+A1285)</f>
        <v/>
      </c>
      <c r="B1286" s="21" t="str">
        <f>IF(Plantilla_SCAN_EQ3_COUNT_2[[#This Row],[ID MATERIAL]]="","",B1285)</f>
        <v/>
      </c>
      <c r="C1286" s="21"/>
      <c r="D1286" s="21"/>
      <c r="E1286" s="7" t="str">
        <f>IF(Plantilla_SCAN_EQ3_COUNT_2[[#This Row],[ID MATERIAL]]="","",VLOOKUP(Plantilla_SCAN_EQ3_COUNT_2[[#This Row],[ID MATERIAL]],INVENTARIO!$A:$D,2,FALSE))</f>
        <v/>
      </c>
      <c r="F1286" s="7" t="str">
        <f>IF(Plantilla_SCAN_EQ3_COUNT_2[[#This Row],[ID MATERIAL]]="","",IF(Plantilla_SCAN_EQ3_COUNT_2[[#This Row],[No. Empaques]]="",1,Plantilla_SCAN_EQ3_COUNT_2[[#This Row],[No. Empaques]]*1))</f>
        <v/>
      </c>
      <c r="G1286" s="7" t="str">
        <f>IF(Plantilla_SCAN_EQ3_COUNT_2[[#This Row],[ID MATERIAL]]="","","PZ")</f>
        <v/>
      </c>
      <c r="H1286" s="7" t="str">
        <f>IF(Plantilla_SCAN_EQ3_COUNT_2[[#This Row],[ID MATERIAL]]="","",$B$13)</f>
        <v/>
      </c>
      <c r="I1286" s="7" t="str">
        <f>IF(Plantilla_SCAN_EQ3_COUNT_2[[#This Row],[ID MATERIAL]]="","","Segundo Conteo")</f>
        <v/>
      </c>
    </row>
    <row r="1287" spans="1:9" s="7" customFormat="1" ht="15" x14ac:dyDescent="0.2">
      <c r="A1287" s="7" t="str">
        <f>IF(Plantilla_SCAN_EQ3_COUNT_2[[#This Row],[ID MATERIAL]]="","",SIGN(Plantilla_SCAN_EQ3_COUNT_2[[#This Row],[Cantidad]])+A1286)</f>
        <v/>
      </c>
      <c r="B1287" s="21" t="str">
        <f>IF(Plantilla_SCAN_EQ3_COUNT_2[[#This Row],[ID MATERIAL]]="","",B1286)</f>
        <v/>
      </c>
      <c r="C1287" s="21"/>
      <c r="D1287" s="21"/>
      <c r="E1287" s="7" t="str">
        <f>IF(Plantilla_SCAN_EQ3_COUNT_2[[#This Row],[ID MATERIAL]]="","",VLOOKUP(Plantilla_SCAN_EQ3_COUNT_2[[#This Row],[ID MATERIAL]],INVENTARIO!$A:$D,2,FALSE))</f>
        <v/>
      </c>
      <c r="F1287" s="7" t="str">
        <f>IF(Plantilla_SCAN_EQ3_COUNT_2[[#This Row],[ID MATERIAL]]="","",IF(Plantilla_SCAN_EQ3_COUNT_2[[#This Row],[No. Empaques]]="",1,Plantilla_SCAN_EQ3_COUNT_2[[#This Row],[No. Empaques]]*1))</f>
        <v/>
      </c>
      <c r="G1287" s="7" t="str">
        <f>IF(Plantilla_SCAN_EQ3_COUNT_2[[#This Row],[ID MATERIAL]]="","","PZ")</f>
        <v/>
      </c>
      <c r="H1287" s="7" t="str">
        <f>IF(Plantilla_SCAN_EQ3_COUNT_2[[#This Row],[ID MATERIAL]]="","",$B$13)</f>
        <v/>
      </c>
      <c r="I1287" s="7" t="str">
        <f>IF(Plantilla_SCAN_EQ3_COUNT_2[[#This Row],[ID MATERIAL]]="","","Segundo Conteo")</f>
        <v/>
      </c>
    </row>
    <row r="1288" spans="1:9" s="7" customFormat="1" ht="15" x14ac:dyDescent="0.2">
      <c r="A1288" s="7" t="str">
        <f>IF(Plantilla_SCAN_EQ3_COUNT_2[[#This Row],[ID MATERIAL]]="","",SIGN(Plantilla_SCAN_EQ3_COUNT_2[[#This Row],[Cantidad]])+A1287)</f>
        <v/>
      </c>
      <c r="B1288" s="21" t="str">
        <f>IF(Plantilla_SCAN_EQ3_COUNT_2[[#This Row],[ID MATERIAL]]="","",B1287)</f>
        <v/>
      </c>
      <c r="C1288" s="21"/>
      <c r="D1288" s="21"/>
      <c r="E1288" s="7" t="str">
        <f>IF(Plantilla_SCAN_EQ3_COUNT_2[[#This Row],[ID MATERIAL]]="","",VLOOKUP(Plantilla_SCAN_EQ3_COUNT_2[[#This Row],[ID MATERIAL]],INVENTARIO!$A:$D,2,FALSE))</f>
        <v/>
      </c>
      <c r="F1288" s="7" t="str">
        <f>IF(Plantilla_SCAN_EQ3_COUNT_2[[#This Row],[ID MATERIAL]]="","",IF(Plantilla_SCAN_EQ3_COUNT_2[[#This Row],[No. Empaques]]="",1,Plantilla_SCAN_EQ3_COUNT_2[[#This Row],[No. Empaques]]*1))</f>
        <v/>
      </c>
      <c r="G1288" s="7" t="str">
        <f>IF(Plantilla_SCAN_EQ3_COUNT_2[[#This Row],[ID MATERIAL]]="","","PZ")</f>
        <v/>
      </c>
      <c r="H1288" s="7" t="str">
        <f>IF(Plantilla_SCAN_EQ3_COUNT_2[[#This Row],[ID MATERIAL]]="","",$B$13)</f>
        <v/>
      </c>
      <c r="I1288" s="7" t="str">
        <f>IF(Plantilla_SCAN_EQ3_COUNT_2[[#This Row],[ID MATERIAL]]="","","Segundo Conteo")</f>
        <v/>
      </c>
    </row>
    <row r="1289" spans="1:9" s="7" customFormat="1" ht="15" x14ac:dyDescent="0.2">
      <c r="A1289" s="7" t="str">
        <f>IF(Plantilla_SCAN_EQ3_COUNT_2[[#This Row],[ID MATERIAL]]="","",SIGN(Plantilla_SCAN_EQ3_COUNT_2[[#This Row],[Cantidad]])+A1288)</f>
        <v/>
      </c>
      <c r="B1289" s="21" t="str">
        <f>IF(Plantilla_SCAN_EQ3_COUNT_2[[#This Row],[ID MATERIAL]]="","",B1288)</f>
        <v/>
      </c>
      <c r="C1289" s="21"/>
      <c r="D1289" s="21"/>
      <c r="E1289" s="7" t="str">
        <f>IF(Plantilla_SCAN_EQ3_COUNT_2[[#This Row],[ID MATERIAL]]="","",VLOOKUP(Plantilla_SCAN_EQ3_COUNT_2[[#This Row],[ID MATERIAL]],INVENTARIO!$A:$D,2,FALSE))</f>
        <v/>
      </c>
      <c r="F1289" s="7" t="str">
        <f>IF(Plantilla_SCAN_EQ3_COUNT_2[[#This Row],[ID MATERIAL]]="","",IF(Plantilla_SCAN_EQ3_COUNT_2[[#This Row],[No. Empaques]]="",1,Plantilla_SCAN_EQ3_COUNT_2[[#This Row],[No. Empaques]]*1))</f>
        <v/>
      </c>
      <c r="G1289" s="7" t="str">
        <f>IF(Plantilla_SCAN_EQ3_COUNT_2[[#This Row],[ID MATERIAL]]="","","PZ")</f>
        <v/>
      </c>
      <c r="H1289" s="7" t="str">
        <f>IF(Plantilla_SCAN_EQ3_COUNT_2[[#This Row],[ID MATERIAL]]="","",$B$13)</f>
        <v/>
      </c>
      <c r="I1289" s="7" t="str">
        <f>IF(Plantilla_SCAN_EQ3_COUNT_2[[#This Row],[ID MATERIAL]]="","","Segundo Conteo")</f>
        <v/>
      </c>
    </row>
    <row r="1290" spans="1:9" s="7" customFormat="1" ht="15" x14ac:dyDescent="0.2">
      <c r="A1290" s="7" t="str">
        <f>IF(Plantilla_SCAN_EQ3_COUNT_2[[#This Row],[ID MATERIAL]]="","",SIGN(Plantilla_SCAN_EQ3_COUNT_2[[#This Row],[Cantidad]])+A1289)</f>
        <v/>
      </c>
      <c r="B1290" s="21" t="str">
        <f>IF(Plantilla_SCAN_EQ3_COUNT_2[[#This Row],[ID MATERIAL]]="","",B1289)</f>
        <v/>
      </c>
      <c r="C1290" s="21"/>
      <c r="D1290" s="21"/>
      <c r="E1290" s="7" t="str">
        <f>IF(Plantilla_SCAN_EQ3_COUNT_2[[#This Row],[ID MATERIAL]]="","",VLOOKUP(Plantilla_SCAN_EQ3_COUNT_2[[#This Row],[ID MATERIAL]],INVENTARIO!$A:$D,2,FALSE))</f>
        <v/>
      </c>
      <c r="F1290" s="7" t="str">
        <f>IF(Plantilla_SCAN_EQ3_COUNT_2[[#This Row],[ID MATERIAL]]="","",IF(Plantilla_SCAN_EQ3_COUNT_2[[#This Row],[No. Empaques]]="",1,Plantilla_SCAN_EQ3_COUNT_2[[#This Row],[No. Empaques]]*1))</f>
        <v/>
      </c>
      <c r="G1290" s="7" t="str">
        <f>IF(Plantilla_SCAN_EQ3_COUNT_2[[#This Row],[ID MATERIAL]]="","","PZ")</f>
        <v/>
      </c>
      <c r="H1290" s="7" t="str">
        <f>IF(Plantilla_SCAN_EQ3_COUNT_2[[#This Row],[ID MATERIAL]]="","",$B$13)</f>
        <v/>
      </c>
      <c r="I1290" s="7" t="str">
        <f>IF(Plantilla_SCAN_EQ3_COUNT_2[[#This Row],[ID MATERIAL]]="","","Segundo Conteo")</f>
        <v/>
      </c>
    </row>
    <row r="1291" spans="1:9" s="7" customFormat="1" ht="15" x14ac:dyDescent="0.2">
      <c r="A1291" s="7" t="str">
        <f>IF(Plantilla_SCAN_EQ3_COUNT_2[[#This Row],[ID MATERIAL]]="","",SIGN(Plantilla_SCAN_EQ3_COUNT_2[[#This Row],[Cantidad]])+A1290)</f>
        <v/>
      </c>
      <c r="B1291" s="21" t="str">
        <f>IF(Plantilla_SCAN_EQ3_COUNT_2[[#This Row],[ID MATERIAL]]="","",B1290)</f>
        <v/>
      </c>
      <c r="C1291" s="21"/>
      <c r="D1291" s="21"/>
      <c r="E1291" s="7" t="str">
        <f>IF(Plantilla_SCAN_EQ3_COUNT_2[[#This Row],[ID MATERIAL]]="","",VLOOKUP(Plantilla_SCAN_EQ3_COUNT_2[[#This Row],[ID MATERIAL]],INVENTARIO!$A:$D,2,FALSE))</f>
        <v/>
      </c>
      <c r="F1291" s="7" t="str">
        <f>IF(Plantilla_SCAN_EQ3_COUNT_2[[#This Row],[ID MATERIAL]]="","",IF(Plantilla_SCAN_EQ3_COUNT_2[[#This Row],[No. Empaques]]="",1,Plantilla_SCAN_EQ3_COUNT_2[[#This Row],[No. Empaques]]*1))</f>
        <v/>
      </c>
      <c r="G1291" s="7" t="str">
        <f>IF(Plantilla_SCAN_EQ3_COUNT_2[[#This Row],[ID MATERIAL]]="","","PZ")</f>
        <v/>
      </c>
      <c r="H1291" s="7" t="str">
        <f>IF(Plantilla_SCAN_EQ3_COUNT_2[[#This Row],[ID MATERIAL]]="","",$B$13)</f>
        <v/>
      </c>
      <c r="I1291" s="7" t="str">
        <f>IF(Plantilla_SCAN_EQ3_COUNT_2[[#This Row],[ID MATERIAL]]="","","Segundo Conteo")</f>
        <v/>
      </c>
    </row>
    <row r="1292" spans="1:9" s="7" customFormat="1" ht="15" x14ac:dyDescent="0.2">
      <c r="A1292" s="7" t="str">
        <f>IF(Plantilla_SCAN_EQ3_COUNT_2[[#This Row],[ID MATERIAL]]="","",SIGN(Plantilla_SCAN_EQ3_COUNT_2[[#This Row],[Cantidad]])+A1291)</f>
        <v/>
      </c>
      <c r="B1292" s="21" t="str">
        <f>IF(Plantilla_SCAN_EQ3_COUNT_2[[#This Row],[ID MATERIAL]]="","",B1291)</f>
        <v/>
      </c>
      <c r="C1292" s="21"/>
      <c r="D1292" s="21"/>
      <c r="E1292" s="7" t="str">
        <f>IF(Plantilla_SCAN_EQ3_COUNT_2[[#This Row],[ID MATERIAL]]="","",VLOOKUP(Plantilla_SCAN_EQ3_COUNT_2[[#This Row],[ID MATERIAL]],INVENTARIO!$A:$D,2,FALSE))</f>
        <v/>
      </c>
      <c r="F1292" s="7" t="str">
        <f>IF(Plantilla_SCAN_EQ3_COUNT_2[[#This Row],[ID MATERIAL]]="","",IF(Plantilla_SCAN_EQ3_COUNT_2[[#This Row],[No. Empaques]]="",1,Plantilla_SCAN_EQ3_COUNT_2[[#This Row],[No. Empaques]]*1))</f>
        <v/>
      </c>
      <c r="G1292" s="7" t="str">
        <f>IF(Plantilla_SCAN_EQ3_COUNT_2[[#This Row],[ID MATERIAL]]="","","PZ")</f>
        <v/>
      </c>
      <c r="H1292" s="7" t="str">
        <f>IF(Plantilla_SCAN_EQ3_COUNT_2[[#This Row],[ID MATERIAL]]="","",$B$13)</f>
        <v/>
      </c>
      <c r="I1292" s="7" t="str">
        <f>IF(Plantilla_SCAN_EQ3_COUNT_2[[#This Row],[ID MATERIAL]]="","","Segundo Conteo")</f>
        <v/>
      </c>
    </row>
    <row r="1293" spans="1:9" s="7" customFormat="1" ht="15" x14ac:dyDescent="0.2">
      <c r="A1293" s="7" t="str">
        <f>IF(Plantilla_SCAN_EQ3_COUNT_2[[#This Row],[ID MATERIAL]]="","",SIGN(Plantilla_SCAN_EQ3_COUNT_2[[#This Row],[Cantidad]])+A1292)</f>
        <v/>
      </c>
      <c r="B1293" s="21" t="str">
        <f>IF(Plantilla_SCAN_EQ3_COUNT_2[[#This Row],[ID MATERIAL]]="","",B1292)</f>
        <v/>
      </c>
      <c r="C1293" s="21"/>
      <c r="D1293" s="21"/>
      <c r="E1293" s="7" t="str">
        <f>IF(Plantilla_SCAN_EQ3_COUNT_2[[#This Row],[ID MATERIAL]]="","",VLOOKUP(Plantilla_SCAN_EQ3_COUNT_2[[#This Row],[ID MATERIAL]],INVENTARIO!$A:$D,2,FALSE))</f>
        <v/>
      </c>
      <c r="F1293" s="7" t="str">
        <f>IF(Plantilla_SCAN_EQ3_COUNT_2[[#This Row],[ID MATERIAL]]="","",IF(Plantilla_SCAN_EQ3_COUNT_2[[#This Row],[No. Empaques]]="",1,Plantilla_SCAN_EQ3_COUNT_2[[#This Row],[No. Empaques]]*1))</f>
        <v/>
      </c>
      <c r="G1293" s="7" t="str">
        <f>IF(Plantilla_SCAN_EQ3_COUNT_2[[#This Row],[ID MATERIAL]]="","","PZ")</f>
        <v/>
      </c>
      <c r="H1293" s="7" t="str">
        <f>IF(Plantilla_SCAN_EQ3_COUNT_2[[#This Row],[ID MATERIAL]]="","",$B$13)</f>
        <v/>
      </c>
      <c r="I1293" s="7" t="str">
        <f>IF(Plantilla_SCAN_EQ3_COUNT_2[[#This Row],[ID MATERIAL]]="","","Segundo Conteo")</f>
        <v/>
      </c>
    </row>
    <row r="1294" spans="1:9" s="7" customFormat="1" ht="15" x14ac:dyDescent="0.2">
      <c r="A1294" s="7" t="str">
        <f>IF(Plantilla_SCAN_EQ3_COUNT_2[[#This Row],[ID MATERIAL]]="","",SIGN(Plantilla_SCAN_EQ3_COUNT_2[[#This Row],[Cantidad]])+A1293)</f>
        <v/>
      </c>
      <c r="B1294" s="21" t="str">
        <f>IF(Plantilla_SCAN_EQ3_COUNT_2[[#This Row],[ID MATERIAL]]="","",B1293)</f>
        <v/>
      </c>
      <c r="C1294" s="21"/>
      <c r="D1294" s="21"/>
      <c r="E1294" s="7" t="str">
        <f>IF(Plantilla_SCAN_EQ3_COUNT_2[[#This Row],[ID MATERIAL]]="","",VLOOKUP(Plantilla_SCAN_EQ3_COUNT_2[[#This Row],[ID MATERIAL]],INVENTARIO!$A:$D,2,FALSE))</f>
        <v/>
      </c>
      <c r="F1294" s="7" t="str">
        <f>IF(Plantilla_SCAN_EQ3_COUNT_2[[#This Row],[ID MATERIAL]]="","",IF(Plantilla_SCAN_EQ3_COUNT_2[[#This Row],[No. Empaques]]="",1,Plantilla_SCAN_EQ3_COUNT_2[[#This Row],[No. Empaques]]*1))</f>
        <v/>
      </c>
      <c r="G1294" s="7" t="str">
        <f>IF(Plantilla_SCAN_EQ3_COUNT_2[[#This Row],[ID MATERIAL]]="","","PZ")</f>
        <v/>
      </c>
      <c r="H1294" s="7" t="str">
        <f>IF(Plantilla_SCAN_EQ3_COUNT_2[[#This Row],[ID MATERIAL]]="","",$B$13)</f>
        <v/>
      </c>
      <c r="I1294" s="7" t="str">
        <f>IF(Plantilla_SCAN_EQ3_COUNT_2[[#This Row],[ID MATERIAL]]="","","Segundo Conteo")</f>
        <v/>
      </c>
    </row>
    <row r="1295" spans="1:9" s="7" customFormat="1" ht="15" x14ac:dyDescent="0.2">
      <c r="A1295" s="7" t="str">
        <f>IF(Plantilla_SCAN_EQ3_COUNT_2[[#This Row],[ID MATERIAL]]="","",SIGN(Plantilla_SCAN_EQ3_COUNT_2[[#This Row],[Cantidad]])+A1294)</f>
        <v/>
      </c>
      <c r="B1295" s="21" t="str">
        <f>IF(Plantilla_SCAN_EQ3_COUNT_2[[#This Row],[ID MATERIAL]]="","",B1294)</f>
        <v/>
      </c>
      <c r="C1295" s="21"/>
      <c r="D1295" s="21"/>
      <c r="E1295" s="7" t="str">
        <f>IF(Plantilla_SCAN_EQ3_COUNT_2[[#This Row],[ID MATERIAL]]="","",VLOOKUP(Plantilla_SCAN_EQ3_COUNT_2[[#This Row],[ID MATERIAL]],INVENTARIO!$A:$D,2,FALSE))</f>
        <v/>
      </c>
      <c r="F1295" s="7" t="str">
        <f>IF(Plantilla_SCAN_EQ3_COUNT_2[[#This Row],[ID MATERIAL]]="","",IF(Plantilla_SCAN_EQ3_COUNT_2[[#This Row],[No. Empaques]]="",1,Plantilla_SCAN_EQ3_COUNT_2[[#This Row],[No. Empaques]]*1))</f>
        <v/>
      </c>
      <c r="G1295" s="7" t="str">
        <f>IF(Plantilla_SCAN_EQ3_COUNT_2[[#This Row],[ID MATERIAL]]="","","PZ")</f>
        <v/>
      </c>
      <c r="H1295" s="7" t="str">
        <f>IF(Plantilla_SCAN_EQ3_COUNT_2[[#This Row],[ID MATERIAL]]="","",$B$13)</f>
        <v/>
      </c>
      <c r="I1295" s="7" t="str">
        <f>IF(Plantilla_SCAN_EQ3_COUNT_2[[#This Row],[ID MATERIAL]]="","","Segundo Conteo")</f>
        <v/>
      </c>
    </row>
    <row r="1296" spans="1:9" s="7" customFormat="1" ht="15" x14ac:dyDescent="0.2">
      <c r="A1296" s="7" t="str">
        <f>IF(Plantilla_SCAN_EQ3_COUNT_2[[#This Row],[ID MATERIAL]]="","",SIGN(Plantilla_SCAN_EQ3_COUNT_2[[#This Row],[Cantidad]])+A1295)</f>
        <v/>
      </c>
      <c r="B1296" s="21" t="str">
        <f>IF(Plantilla_SCAN_EQ3_COUNT_2[[#This Row],[ID MATERIAL]]="","",B1295)</f>
        <v/>
      </c>
      <c r="C1296" s="21"/>
      <c r="D1296" s="21"/>
      <c r="E1296" s="7" t="str">
        <f>IF(Plantilla_SCAN_EQ3_COUNT_2[[#This Row],[ID MATERIAL]]="","",VLOOKUP(Plantilla_SCAN_EQ3_COUNT_2[[#This Row],[ID MATERIAL]],INVENTARIO!$A:$D,2,FALSE))</f>
        <v/>
      </c>
      <c r="F1296" s="7" t="str">
        <f>IF(Plantilla_SCAN_EQ3_COUNT_2[[#This Row],[ID MATERIAL]]="","",IF(Plantilla_SCAN_EQ3_COUNT_2[[#This Row],[No. Empaques]]="",1,Plantilla_SCAN_EQ3_COUNT_2[[#This Row],[No. Empaques]]*1))</f>
        <v/>
      </c>
      <c r="G1296" s="7" t="str">
        <f>IF(Plantilla_SCAN_EQ3_COUNT_2[[#This Row],[ID MATERIAL]]="","","PZ")</f>
        <v/>
      </c>
      <c r="H1296" s="7" t="str">
        <f>IF(Plantilla_SCAN_EQ3_COUNT_2[[#This Row],[ID MATERIAL]]="","",$B$13)</f>
        <v/>
      </c>
      <c r="I1296" s="7" t="str">
        <f>IF(Plantilla_SCAN_EQ3_COUNT_2[[#This Row],[ID MATERIAL]]="","","Segundo Conteo")</f>
        <v/>
      </c>
    </row>
    <row r="1297" spans="1:9" s="7" customFormat="1" ht="15" x14ac:dyDescent="0.2">
      <c r="A1297" s="7" t="str">
        <f>IF(Plantilla_SCAN_EQ3_COUNT_2[[#This Row],[ID MATERIAL]]="","",SIGN(Plantilla_SCAN_EQ3_COUNT_2[[#This Row],[Cantidad]])+A1296)</f>
        <v/>
      </c>
      <c r="B1297" s="21" t="str">
        <f>IF(Plantilla_SCAN_EQ3_COUNT_2[[#This Row],[ID MATERIAL]]="","",B1296)</f>
        <v/>
      </c>
      <c r="C1297" s="21"/>
      <c r="D1297" s="21"/>
      <c r="E1297" s="7" t="str">
        <f>IF(Plantilla_SCAN_EQ3_COUNT_2[[#This Row],[ID MATERIAL]]="","",VLOOKUP(Plantilla_SCAN_EQ3_COUNT_2[[#This Row],[ID MATERIAL]],INVENTARIO!$A:$D,2,FALSE))</f>
        <v/>
      </c>
      <c r="F1297" s="7" t="str">
        <f>IF(Plantilla_SCAN_EQ3_COUNT_2[[#This Row],[ID MATERIAL]]="","",IF(Plantilla_SCAN_EQ3_COUNT_2[[#This Row],[No. Empaques]]="",1,Plantilla_SCAN_EQ3_COUNT_2[[#This Row],[No. Empaques]]*1))</f>
        <v/>
      </c>
      <c r="G1297" s="7" t="str">
        <f>IF(Plantilla_SCAN_EQ3_COUNT_2[[#This Row],[ID MATERIAL]]="","","PZ")</f>
        <v/>
      </c>
      <c r="H1297" s="7" t="str">
        <f>IF(Plantilla_SCAN_EQ3_COUNT_2[[#This Row],[ID MATERIAL]]="","",$B$13)</f>
        <v/>
      </c>
      <c r="I1297" s="7" t="str">
        <f>IF(Plantilla_SCAN_EQ3_COUNT_2[[#This Row],[ID MATERIAL]]="","","Segundo Conteo")</f>
        <v/>
      </c>
    </row>
    <row r="1298" spans="1:9" s="7" customFormat="1" ht="15" x14ac:dyDescent="0.2">
      <c r="A1298" s="7" t="str">
        <f>IF(Plantilla_SCAN_EQ3_COUNT_2[[#This Row],[ID MATERIAL]]="","",SIGN(Plantilla_SCAN_EQ3_COUNT_2[[#This Row],[Cantidad]])+A1297)</f>
        <v/>
      </c>
      <c r="B1298" s="21" t="str">
        <f>IF(Plantilla_SCAN_EQ3_COUNT_2[[#This Row],[ID MATERIAL]]="","",B1297)</f>
        <v/>
      </c>
      <c r="C1298" s="21"/>
      <c r="D1298" s="21"/>
      <c r="E1298" s="7" t="str">
        <f>IF(Plantilla_SCAN_EQ3_COUNT_2[[#This Row],[ID MATERIAL]]="","",VLOOKUP(Plantilla_SCAN_EQ3_COUNT_2[[#This Row],[ID MATERIAL]],INVENTARIO!$A:$D,2,FALSE))</f>
        <v/>
      </c>
      <c r="F1298" s="7" t="str">
        <f>IF(Plantilla_SCAN_EQ3_COUNT_2[[#This Row],[ID MATERIAL]]="","",IF(Plantilla_SCAN_EQ3_COUNT_2[[#This Row],[No. Empaques]]="",1,Plantilla_SCAN_EQ3_COUNT_2[[#This Row],[No. Empaques]]*1))</f>
        <v/>
      </c>
      <c r="G1298" s="7" t="str">
        <f>IF(Plantilla_SCAN_EQ3_COUNT_2[[#This Row],[ID MATERIAL]]="","","PZ")</f>
        <v/>
      </c>
      <c r="H1298" s="7" t="str">
        <f>IF(Plantilla_SCAN_EQ3_COUNT_2[[#This Row],[ID MATERIAL]]="","",$B$13)</f>
        <v/>
      </c>
      <c r="I1298" s="7" t="str">
        <f>IF(Plantilla_SCAN_EQ3_COUNT_2[[#This Row],[ID MATERIAL]]="","","Segundo Conteo")</f>
        <v/>
      </c>
    </row>
    <row r="1299" spans="1:9" s="7" customFormat="1" ht="15" x14ac:dyDescent="0.2">
      <c r="A1299" s="7" t="str">
        <f>IF(Plantilla_SCAN_EQ3_COUNT_2[[#This Row],[ID MATERIAL]]="","",SIGN(Plantilla_SCAN_EQ3_COUNT_2[[#This Row],[Cantidad]])+A1298)</f>
        <v/>
      </c>
      <c r="B1299" s="21" t="str">
        <f>IF(Plantilla_SCAN_EQ3_COUNT_2[[#This Row],[ID MATERIAL]]="","",B1298)</f>
        <v/>
      </c>
      <c r="C1299" s="21"/>
      <c r="D1299" s="21"/>
      <c r="E1299" s="7" t="str">
        <f>IF(Plantilla_SCAN_EQ3_COUNT_2[[#This Row],[ID MATERIAL]]="","",VLOOKUP(Plantilla_SCAN_EQ3_COUNT_2[[#This Row],[ID MATERIAL]],INVENTARIO!$A:$D,2,FALSE))</f>
        <v/>
      </c>
      <c r="F1299" s="7" t="str">
        <f>IF(Plantilla_SCAN_EQ3_COUNT_2[[#This Row],[ID MATERIAL]]="","",IF(Plantilla_SCAN_EQ3_COUNT_2[[#This Row],[No. Empaques]]="",1,Plantilla_SCAN_EQ3_COUNT_2[[#This Row],[No. Empaques]]*1))</f>
        <v/>
      </c>
      <c r="G1299" s="7" t="str">
        <f>IF(Plantilla_SCAN_EQ3_COUNT_2[[#This Row],[ID MATERIAL]]="","","PZ")</f>
        <v/>
      </c>
      <c r="H1299" s="7" t="str">
        <f>IF(Plantilla_SCAN_EQ3_COUNT_2[[#This Row],[ID MATERIAL]]="","",$B$13)</f>
        <v/>
      </c>
      <c r="I1299" s="7" t="str">
        <f>IF(Plantilla_SCAN_EQ3_COUNT_2[[#This Row],[ID MATERIAL]]="","","Segundo Conteo")</f>
        <v/>
      </c>
    </row>
    <row r="1300" spans="1:9" s="7" customFormat="1" ht="15" x14ac:dyDescent="0.2">
      <c r="A1300" s="7" t="str">
        <f>IF(Plantilla_SCAN_EQ3_COUNT_2[[#This Row],[ID MATERIAL]]="","",SIGN(Plantilla_SCAN_EQ3_COUNT_2[[#This Row],[Cantidad]])+A1299)</f>
        <v/>
      </c>
      <c r="B1300" s="21" t="str">
        <f>IF(Plantilla_SCAN_EQ3_COUNT_2[[#This Row],[ID MATERIAL]]="","",B1299)</f>
        <v/>
      </c>
      <c r="C1300" s="21"/>
      <c r="D1300" s="21"/>
      <c r="E1300" s="7" t="str">
        <f>IF(Plantilla_SCAN_EQ3_COUNT_2[[#This Row],[ID MATERIAL]]="","",VLOOKUP(Plantilla_SCAN_EQ3_COUNT_2[[#This Row],[ID MATERIAL]],INVENTARIO!$A:$D,2,FALSE))</f>
        <v/>
      </c>
      <c r="F1300" s="7" t="str">
        <f>IF(Plantilla_SCAN_EQ3_COUNT_2[[#This Row],[ID MATERIAL]]="","",IF(Plantilla_SCAN_EQ3_COUNT_2[[#This Row],[No. Empaques]]="",1,Plantilla_SCAN_EQ3_COUNT_2[[#This Row],[No. Empaques]]*1))</f>
        <v/>
      </c>
      <c r="G1300" s="7" t="str">
        <f>IF(Plantilla_SCAN_EQ3_COUNT_2[[#This Row],[ID MATERIAL]]="","","PZ")</f>
        <v/>
      </c>
      <c r="H1300" s="7" t="str">
        <f>IF(Plantilla_SCAN_EQ3_COUNT_2[[#This Row],[ID MATERIAL]]="","",$B$13)</f>
        <v/>
      </c>
      <c r="I1300" s="7" t="str">
        <f>IF(Plantilla_SCAN_EQ3_COUNT_2[[#This Row],[ID MATERIAL]]="","","Segundo Conteo")</f>
        <v/>
      </c>
    </row>
    <row r="1301" spans="1:9" s="7" customFormat="1" ht="15" x14ac:dyDescent="0.2">
      <c r="A1301" s="7" t="str">
        <f>IF(Plantilla_SCAN_EQ3_COUNT_2[[#This Row],[ID MATERIAL]]="","",SIGN(Plantilla_SCAN_EQ3_COUNT_2[[#This Row],[Cantidad]])+A1300)</f>
        <v/>
      </c>
      <c r="B1301" s="21" t="str">
        <f>IF(Plantilla_SCAN_EQ3_COUNT_2[[#This Row],[ID MATERIAL]]="","",B1300)</f>
        <v/>
      </c>
      <c r="C1301" s="21"/>
      <c r="D1301" s="21"/>
      <c r="E1301" s="7" t="str">
        <f>IF(Plantilla_SCAN_EQ3_COUNT_2[[#This Row],[ID MATERIAL]]="","",VLOOKUP(Plantilla_SCAN_EQ3_COUNT_2[[#This Row],[ID MATERIAL]],INVENTARIO!$A:$D,2,FALSE))</f>
        <v/>
      </c>
      <c r="F1301" s="7" t="str">
        <f>IF(Plantilla_SCAN_EQ3_COUNT_2[[#This Row],[ID MATERIAL]]="","",IF(Plantilla_SCAN_EQ3_COUNT_2[[#This Row],[No. Empaques]]="",1,Plantilla_SCAN_EQ3_COUNT_2[[#This Row],[No. Empaques]]*1))</f>
        <v/>
      </c>
      <c r="G1301" s="7" t="str">
        <f>IF(Plantilla_SCAN_EQ3_COUNT_2[[#This Row],[ID MATERIAL]]="","","PZ")</f>
        <v/>
      </c>
      <c r="H1301" s="7" t="str">
        <f>IF(Plantilla_SCAN_EQ3_COUNT_2[[#This Row],[ID MATERIAL]]="","",$B$13)</f>
        <v/>
      </c>
      <c r="I1301" s="7" t="str">
        <f>IF(Plantilla_SCAN_EQ3_COUNT_2[[#This Row],[ID MATERIAL]]="","","Segundo Conteo")</f>
        <v/>
      </c>
    </row>
    <row r="1302" spans="1:9" s="7" customFormat="1" ht="15" x14ac:dyDescent="0.2">
      <c r="A1302" s="7" t="str">
        <f>IF(Plantilla_SCAN_EQ3_COUNT_2[[#This Row],[ID MATERIAL]]="","",SIGN(Plantilla_SCAN_EQ3_COUNT_2[[#This Row],[Cantidad]])+A1301)</f>
        <v/>
      </c>
      <c r="B1302" s="21" t="str">
        <f>IF(Plantilla_SCAN_EQ3_COUNT_2[[#This Row],[ID MATERIAL]]="","",B1301)</f>
        <v/>
      </c>
      <c r="C1302" s="21"/>
      <c r="D1302" s="21"/>
      <c r="E1302" s="7" t="str">
        <f>IF(Plantilla_SCAN_EQ3_COUNT_2[[#This Row],[ID MATERIAL]]="","",VLOOKUP(Plantilla_SCAN_EQ3_COUNT_2[[#This Row],[ID MATERIAL]],INVENTARIO!$A:$D,2,FALSE))</f>
        <v/>
      </c>
      <c r="F1302" s="7" t="str">
        <f>IF(Plantilla_SCAN_EQ3_COUNT_2[[#This Row],[ID MATERIAL]]="","",IF(Plantilla_SCAN_EQ3_COUNT_2[[#This Row],[No. Empaques]]="",1,Plantilla_SCAN_EQ3_COUNT_2[[#This Row],[No. Empaques]]*1))</f>
        <v/>
      </c>
      <c r="G1302" s="7" t="str">
        <f>IF(Plantilla_SCAN_EQ3_COUNT_2[[#This Row],[ID MATERIAL]]="","","PZ")</f>
        <v/>
      </c>
      <c r="H1302" s="7" t="str">
        <f>IF(Plantilla_SCAN_EQ3_COUNT_2[[#This Row],[ID MATERIAL]]="","",$B$13)</f>
        <v/>
      </c>
      <c r="I1302" s="7" t="str">
        <f>IF(Plantilla_SCAN_EQ3_COUNT_2[[#This Row],[ID MATERIAL]]="","","Segundo Conteo")</f>
        <v/>
      </c>
    </row>
    <row r="1303" spans="1:9" s="7" customFormat="1" ht="15" x14ac:dyDescent="0.2">
      <c r="A1303" s="7" t="str">
        <f>IF(Plantilla_SCAN_EQ3_COUNT_2[[#This Row],[ID MATERIAL]]="","",SIGN(Plantilla_SCAN_EQ3_COUNT_2[[#This Row],[Cantidad]])+A1302)</f>
        <v/>
      </c>
      <c r="B1303" s="21" t="str">
        <f>IF(Plantilla_SCAN_EQ3_COUNT_2[[#This Row],[ID MATERIAL]]="","",B1302)</f>
        <v/>
      </c>
      <c r="C1303" s="21"/>
      <c r="D1303" s="21"/>
      <c r="E1303" s="7" t="str">
        <f>IF(Plantilla_SCAN_EQ3_COUNT_2[[#This Row],[ID MATERIAL]]="","",VLOOKUP(Plantilla_SCAN_EQ3_COUNT_2[[#This Row],[ID MATERIAL]],INVENTARIO!$A:$D,2,FALSE))</f>
        <v/>
      </c>
      <c r="F1303" s="7" t="str">
        <f>IF(Plantilla_SCAN_EQ3_COUNT_2[[#This Row],[ID MATERIAL]]="","",IF(Plantilla_SCAN_EQ3_COUNT_2[[#This Row],[No. Empaques]]="",1,Plantilla_SCAN_EQ3_COUNT_2[[#This Row],[No. Empaques]]*1))</f>
        <v/>
      </c>
      <c r="G1303" s="7" t="str">
        <f>IF(Plantilla_SCAN_EQ3_COUNT_2[[#This Row],[ID MATERIAL]]="","","PZ")</f>
        <v/>
      </c>
      <c r="H1303" s="7" t="str">
        <f>IF(Plantilla_SCAN_EQ3_COUNT_2[[#This Row],[ID MATERIAL]]="","",$B$13)</f>
        <v/>
      </c>
      <c r="I1303" s="7" t="str">
        <f>IF(Plantilla_SCAN_EQ3_COUNT_2[[#This Row],[ID MATERIAL]]="","","Segundo Conteo")</f>
        <v/>
      </c>
    </row>
    <row r="1304" spans="1:9" s="7" customFormat="1" ht="15" x14ac:dyDescent="0.2">
      <c r="A1304" s="7" t="str">
        <f>IF(Plantilla_SCAN_EQ3_COUNT_2[[#This Row],[ID MATERIAL]]="","",SIGN(Plantilla_SCAN_EQ3_COUNT_2[[#This Row],[Cantidad]])+A1303)</f>
        <v/>
      </c>
      <c r="B1304" s="21" t="str">
        <f>IF(Plantilla_SCAN_EQ3_COUNT_2[[#This Row],[ID MATERIAL]]="","",B1303)</f>
        <v/>
      </c>
      <c r="C1304" s="21"/>
      <c r="D1304" s="21"/>
      <c r="E1304" s="7" t="str">
        <f>IF(Plantilla_SCAN_EQ3_COUNT_2[[#This Row],[ID MATERIAL]]="","",VLOOKUP(Plantilla_SCAN_EQ3_COUNT_2[[#This Row],[ID MATERIAL]],INVENTARIO!$A:$D,2,FALSE))</f>
        <v/>
      </c>
      <c r="F1304" s="7" t="str">
        <f>IF(Plantilla_SCAN_EQ3_COUNT_2[[#This Row],[ID MATERIAL]]="","",IF(Plantilla_SCAN_EQ3_COUNT_2[[#This Row],[No. Empaques]]="",1,Plantilla_SCAN_EQ3_COUNT_2[[#This Row],[No. Empaques]]*1))</f>
        <v/>
      </c>
      <c r="G1304" s="7" t="str">
        <f>IF(Plantilla_SCAN_EQ3_COUNT_2[[#This Row],[ID MATERIAL]]="","","PZ")</f>
        <v/>
      </c>
      <c r="H1304" s="7" t="str">
        <f>IF(Plantilla_SCAN_EQ3_COUNT_2[[#This Row],[ID MATERIAL]]="","",$B$13)</f>
        <v/>
      </c>
      <c r="I1304" s="7" t="str">
        <f>IF(Plantilla_SCAN_EQ3_COUNT_2[[#This Row],[ID MATERIAL]]="","","Segundo Conteo")</f>
        <v/>
      </c>
    </row>
    <row r="1305" spans="1:9" s="7" customFormat="1" ht="15" x14ac:dyDescent="0.2">
      <c r="A1305" s="7" t="str">
        <f>IF(Plantilla_SCAN_EQ3_COUNT_2[[#This Row],[ID MATERIAL]]="","",SIGN(Plantilla_SCAN_EQ3_COUNT_2[[#This Row],[Cantidad]])+A1304)</f>
        <v/>
      </c>
      <c r="B1305" s="21" t="str">
        <f>IF(Plantilla_SCAN_EQ3_COUNT_2[[#This Row],[ID MATERIAL]]="","",B1304)</f>
        <v/>
      </c>
      <c r="C1305" s="21"/>
      <c r="D1305" s="21"/>
      <c r="E1305" s="7" t="str">
        <f>IF(Plantilla_SCAN_EQ3_COUNT_2[[#This Row],[ID MATERIAL]]="","",VLOOKUP(Plantilla_SCAN_EQ3_COUNT_2[[#This Row],[ID MATERIAL]],INVENTARIO!$A:$D,2,FALSE))</f>
        <v/>
      </c>
      <c r="F1305" s="7" t="str">
        <f>IF(Plantilla_SCAN_EQ3_COUNT_2[[#This Row],[ID MATERIAL]]="","",IF(Plantilla_SCAN_EQ3_COUNT_2[[#This Row],[No. Empaques]]="",1,Plantilla_SCAN_EQ3_COUNT_2[[#This Row],[No. Empaques]]*1))</f>
        <v/>
      </c>
      <c r="G1305" s="7" t="str">
        <f>IF(Plantilla_SCAN_EQ3_COUNT_2[[#This Row],[ID MATERIAL]]="","","PZ")</f>
        <v/>
      </c>
      <c r="H1305" s="7" t="str">
        <f>IF(Plantilla_SCAN_EQ3_COUNT_2[[#This Row],[ID MATERIAL]]="","",$B$13)</f>
        <v/>
      </c>
      <c r="I1305" s="7" t="str">
        <f>IF(Plantilla_SCAN_EQ3_COUNT_2[[#This Row],[ID MATERIAL]]="","","Segundo Conteo")</f>
        <v/>
      </c>
    </row>
    <row r="1306" spans="1:9" s="7" customFormat="1" ht="15" x14ac:dyDescent="0.2">
      <c r="A1306" s="7" t="str">
        <f>IF(Plantilla_SCAN_EQ3_COUNT_2[[#This Row],[ID MATERIAL]]="","",SIGN(Plantilla_SCAN_EQ3_COUNT_2[[#This Row],[Cantidad]])+A1305)</f>
        <v/>
      </c>
      <c r="B1306" s="21" t="str">
        <f>IF(Plantilla_SCAN_EQ3_COUNT_2[[#This Row],[ID MATERIAL]]="","",B1305)</f>
        <v/>
      </c>
      <c r="C1306" s="21"/>
      <c r="D1306" s="21"/>
      <c r="E1306" s="7" t="str">
        <f>IF(Plantilla_SCAN_EQ3_COUNT_2[[#This Row],[ID MATERIAL]]="","",VLOOKUP(Plantilla_SCAN_EQ3_COUNT_2[[#This Row],[ID MATERIAL]],INVENTARIO!$A:$D,2,FALSE))</f>
        <v/>
      </c>
      <c r="F1306" s="7" t="str">
        <f>IF(Plantilla_SCAN_EQ3_COUNT_2[[#This Row],[ID MATERIAL]]="","",IF(Plantilla_SCAN_EQ3_COUNT_2[[#This Row],[No. Empaques]]="",1,Plantilla_SCAN_EQ3_COUNT_2[[#This Row],[No. Empaques]]*1))</f>
        <v/>
      </c>
      <c r="G1306" s="7" t="str">
        <f>IF(Plantilla_SCAN_EQ3_COUNT_2[[#This Row],[ID MATERIAL]]="","","PZ")</f>
        <v/>
      </c>
      <c r="H1306" s="7" t="str">
        <f>IF(Plantilla_SCAN_EQ3_COUNT_2[[#This Row],[ID MATERIAL]]="","",$B$13)</f>
        <v/>
      </c>
      <c r="I1306" s="7" t="str">
        <f>IF(Plantilla_SCAN_EQ3_COUNT_2[[#This Row],[ID MATERIAL]]="","","Segundo Conteo")</f>
        <v/>
      </c>
    </row>
    <row r="1307" spans="1:9" s="7" customFormat="1" ht="15" x14ac:dyDescent="0.2">
      <c r="A1307" s="7" t="str">
        <f>IF(Plantilla_SCAN_EQ3_COUNT_2[[#This Row],[ID MATERIAL]]="","",SIGN(Plantilla_SCAN_EQ3_COUNT_2[[#This Row],[Cantidad]])+A1306)</f>
        <v/>
      </c>
      <c r="B1307" s="21" t="str">
        <f>IF(Plantilla_SCAN_EQ3_COUNT_2[[#This Row],[ID MATERIAL]]="","",B1306)</f>
        <v/>
      </c>
      <c r="C1307" s="21"/>
      <c r="D1307" s="21"/>
      <c r="E1307" s="7" t="str">
        <f>IF(Plantilla_SCAN_EQ3_COUNT_2[[#This Row],[ID MATERIAL]]="","",VLOOKUP(Plantilla_SCAN_EQ3_COUNT_2[[#This Row],[ID MATERIAL]],INVENTARIO!$A:$D,2,FALSE))</f>
        <v/>
      </c>
      <c r="F1307" s="7" t="str">
        <f>IF(Plantilla_SCAN_EQ3_COUNT_2[[#This Row],[ID MATERIAL]]="","",IF(Plantilla_SCAN_EQ3_COUNT_2[[#This Row],[No. Empaques]]="",1,Plantilla_SCAN_EQ3_COUNT_2[[#This Row],[No. Empaques]]*1))</f>
        <v/>
      </c>
      <c r="G1307" s="7" t="str">
        <f>IF(Plantilla_SCAN_EQ3_COUNT_2[[#This Row],[ID MATERIAL]]="","","PZ")</f>
        <v/>
      </c>
      <c r="H1307" s="7" t="str">
        <f>IF(Plantilla_SCAN_EQ3_COUNT_2[[#This Row],[ID MATERIAL]]="","",$B$13)</f>
        <v/>
      </c>
      <c r="I1307" s="7" t="str">
        <f>IF(Plantilla_SCAN_EQ3_COUNT_2[[#This Row],[ID MATERIAL]]="","","Segundo Conteo")</f>
        <v/>
      </c>
    </row>
    <row r="1308" spans="1:9" s="7" customFormat="1" ht="15" x14ac:dyDescent="0.2">
      <c r="A1308" s="7" t="str">
        <f>IF(Plantilla_SCAN_EQ3_COUNT_2[[#This Row],[ID MATERIAL]]="","",SIGN(Plantilla_SCAN_EQ3_COUNT_2[[#This Row],[Cantidad]])+A1307)</f>
        <v/>
      </c>
      <c r="B1308" s="21" t="str">
        <f>IF(Plantilla_SCAN_EQ3_COUNT_2[[#This Row],[ID MATERIAL]]="","",B1307)</f>
        <v/>
      </c>
      <c r="C1308" s="21"/>
      <c r="D1308" s="21"/>
      <c r="E1308" s="7" t="str">
        <f>IF(Plantilla_SCAN_EQ3_COUNT_2[[#This Row],[ID MATERIAL]]="","",VLOOKUP(Plantilla_SCAN_EQ3_COUNT_2[[#This Row],[ID MATERIAL]],INVENTARIO!$A:$D,2,FALSE))</f>
        <v/>
      </c>
      <c r="F1308" s="7" t="str">
        <f>IF(Plantilla_SCAN_EQ3_COUNT_2[[#This Row],[ID MATERIAL]]="","",IF(Plantilla_SCAN_EQ3_COUNT_2[[#This Row],[No. Empaques]]="",1,Plantilla_SCAN_EQ3_COUNT_2[[#This Row],[No. Empaques]]*1))</f>
        <v/>
      </c>
      <c r="G1308" s="7" t="str">
        <f>IF(Plantilla_SCAN_EQ3_COUNT_2[[#This Row],[ID MATERIAL]]="","","PZ")</f>
        <v/>
      </c>
      <c r="H1308" s="7" t="str">
        <f>IF(Plantilla_SCAN_EQ3_COUNT_2[[#This Row],[ID MATERIAL]]="","",$B$13)</f>
        <v/>
      </c>
      <c r="I1308" s="7" t="str">
        <f>IF(Plantilla_SCAN_EQ3_COUNT_2[[#This Row],[ID MATERIAL]]="","","Segundo Conteo")</f>
        <v/>
      </c>
    </row>
    <row r="1309" spans="1:9" s="7" customFormat="1" ht="15" x14ac:dyDescent="0.2">
      <c r="A1309" s="7" t="str">
        <f>IF(Plantilla_SCAN_EQ3_COUNT_2[[#This Row],[ID MATERIAL]]="","",SIGN(Plantilla_SCAN_EQ3_COUNT_2[[#This Row],[Cantidad]])+A1308)</f>
        <v/>
      </c>
      <c r="B1309" s="21" t="str">
        <f>IF(Plantilla_SCAN_EQ3_COUNT_2[[#This Row],[ID MATERIAL]]="","",B1308)</f>
        <v/>
      </c>
      <c r="C1309" s="21"/>
      <c r="D1309" s="21"/>
      <c r="E1309" s="7" t="str">
        <f>IF(Plantilla_SCAN_EQ3_COUNT_2[[#This Row],[ID MATERIAL]]="","",VLOOKUP(Plantilla_SCAN_EQ3_COUNT_2[[#This Row],[ID MATERIAL]],INVENTARIO!$A:$D,2,FALSE))</f>
        <v/>
      </c>
      <c r="F1309" s="7" t="str">
        <f>IF(Plantilla_SCAN_EQ3_COUNT_2[[#This Row],[ID MATERIAL]]="","",IF(Plantilla_SCAN_EQ3_COUNT_2[[#This Row],[No. Empaques]]="",1,Plantilla_SCAN_EQ3_COUNT_2[[#This Row],[No. Empaques]]*1))</f>
        <v/>
      </c>
      <c r="G1309" s="7" t="str">
        <f>IF(Plantilla_SCAN_EQ3_COUNT_2[[#This Row],[ID MATERIAL]]="","","PZ")</f>
        <v/>
      </c>
      <c r="H1309" s="7" t="str">
        <f>IF(Plantilla_SCAN_EQ3_COUNT_2[[#This Row],[ID MATERIAL]]="","",$B$13)</f>
        <v/>
      </c>
      <c r="I1309" s="7" t="str">
        <f>IF(Plantilla_SCAN_EQ3_COUNT_2[[#This Row],[ID MATERIAL]]="","","Segundo Conteo")</f>
        <v/>
      </c>
    </row>
    <row r="1310" spans="1:9" s="7" customFormat="1" ht="15" x14ac:dyDescent="0.2">
      <c r="A1310" s="7" t="str">
        <f>IF(Plantilla_SCAN_EQ3_COUNT_2[[#This Row],[ID MATERIAL]]="","",SIGN(Plantilla_SCAN_EQ3_COUNT_2[[#This Row],[Cantidad]])+A1309)</f>
        <v/>
      </c>
      <c r="B1310" s="21" t="str">
        <f>IF(Plantilla_SCAN_EQ3_COUNT_2[[#This Row],[ID MATERIAL]]="","",B1309)</f>
        <v/>
      </c>
      <c r="C1310" s="21"/>
      <c r="D1310" s="21"/>
      <c r="E1310" s="7" t="str">
        <f>IF(Plantilla_SCAN_EQ3_COUNT_2[[#This Row],[ID MATERIAL]]="","",VLOOKUP(Plantilla_SCAN_EQ3_COUNT_2[[#This Row],[ID MATERIAL]],INVENTARIO!$A:$D,2,FALSE))</f>
        <v/>
      </c>
      <c r="F1310" s="7" t="str">
        <f>IF(Plantilla_SCAN_EQ3_COUNT_2[[#This Row],[ID MATERIAL]]="","",IF(Plantilla_SCAN_EQ3_COUNT_2[[#This Row],[No. Empaques]]="",1,Plantilla_SCAN_EQ3_COUNT_2[[#This Row],[No. Empaques]]*1))</f>
        <v/>
      </c>
      <c r="G1310" s="7" t="str">
        <f>IF(Plantilla_SCAN_EQ3_COUNT_2[[#This Row],[ID MATERIAL]]="","","PZ")</f>
        <v/>
      </c>
      <c r="H1310" s="7" t="str">
        <f>IF(Plantilla_SCAN_EQ3_COUNT_2[[#This Row],[ID MATERIAL]]="","",$B$13)</f>
        <v/>
      </c>
      <c r="I1310" s="7" t="str">
        <f>IF(Plantilla_SCAN_EQ3_COUNT_2[[#This Row],[ID MATERIAL]]="","","Segundo Conteo")</f>
        <v/>
      </c>
    </row>
    <row r="1311" spans="1:9" s="7" customFormat="1" ht="15" x14ac:dyDescent="0.2">
      <c r="A1311" s="7" t="str">
        <f>IF(Plantilla_SCAN_EQ3_COUNT_2[[#This Row],[ID MATERIAL]]="","",SIGN(Plantilla_SCAN_EQ3_COUNT_2[[#This Row],[Cantidad]])+A1310)</f>
        <v/>
      </c>
      <c r="B1311" s="21" t="str">
        <f>IF(Plantilla_SCAN_EQ3_COUNT_2[[#This Row],[ID MATERIAL]]="","",B1310)</f>
        <v/>
      </c>
      <c r="C1311" s="21"/>
      <c r="D1311" s="21"/>
      <c r="E1311" s="7" t="str">
        <f>IF(Plantilla_SCAN_EQ3_COUNT_2[[#This Row],[ID MATERIAL]]="","",VLOOKUP(Plantilla_SCAN_EQ3_COUNT_2[[#This Row],[ID MATERIAL]],INVENTARIO!$A:$D,2,FALSE))</f>
        <v/>
      </c>
      <c r="F1311" s="7" t="str">
        <f>IF(Plantilla_SCAN_EQ3_COUNT_2[[#This Row],[ID MATERIAL]]="","",IF(Plantilla_SCAN_EQ3_COUNT_2[[#This Row],[No. Empaques]]="",1,Plantilla_SCAN_EQ3_COUNT_2[[#This Row],[No. Empaques]]*1))</f>
        <v/>
      </c>
      <c r="G1311" s="7" t="str">
        <f>IF(Plantilla_SCAN_EQ3_COUNT_2[[#This Row],[ID MATERIAL]]="","","PZ")</f>
        <v/>
      </c>
      <c r="H1311" s="7" t="str">
        <f>IF(Plantilla_SCAN_EQ3_COUNT_2[[#This Row],[ID MATERIAL]]="","",$B$13)</f>
        <v/>
      </c>
      <c r="I1311" s="7" t="str">
        <f>IF(Plantilla_SCAN_EQ3_COUNT_2[[#This Row],[ID MATERIAL]]="","","Segundo Conteo")</f>
        <v/>
      </c>
    </row>
    <row r="1312" spans="1:9" s="7" customFormat="1" ht="15" x14ac:dyDescent="0.2">
      <c r="A1312" s="7" t="str">
        <f>IF(Plantilla_SCAN_EQ3_COUNT_2[[#This Row],[ID MATERIAL]]="","",SIGN(Plantilla_SCAN_EQ3_COUNT_2[[#This Row],[Cantidad]])+A1311)</f>
        <v/>
      </c>
      <c r="B1312" s="21" t="str">
        <f>IF(Plantilla_SCAN_EQ3_COUNT_2[[#This Row],[ID MATERIAL]]="","",B1311)</f>
        <v/>
      </c>
      <c r="C1312" s="21"/>
      <c r="D1312" s="21"/>
      <c r="E1312" s="7" t="str">
        <f>IF(Plantilla_SCAN_EQ3_COUNT_2[[#This Row],[ID MATERIAL]]="","",VLOOKUP(Plantilla_SCAN_EQ3_COUNT_2[[#This Row],[ID MATERIAL]],INVENTARIO!$A:$D,2,FALSE))</f>
        <v/>
      </c>
      <c r="F1312" s="7" t="str">
        <f>IF(Plantilla_SCAN_EQ3_COUNT_2[[#This Row],[ID MATERIAL]]="","",IF(Plantilla_SCAN_EQ3_COUNT_2[[#This Row],[No. Empaques]]="",1,Plantilla_SCAN_EQ3_COUNT_2[[#This Row],[No. Empaques]]*1))</f>
        <v/>
      </c>
      <c r="G1312" s="7" t="str">
        <f>IF(Plantilla_SCAN_EQ3_COUNT_2[[#This Row],[ID MATERIAL]]="","","PZ")</f>
        <v/>
      </c>
      <c r="H1312" s="7" t="str">
        <f>IF(Plantilla_SCAN_EQ3_COUNT_2[[#This Row],[ID MATERIAL]]="","",$B$13)</f>
        <v/>
      </c>
      <c r="I1312" s="7" t="str">
        <f>IF(Plantilla_SCAN_EQ3_COUNT_2[[#This Row],[ID MATERIAL]]="","","Segundo Conteo")</f>
        <v/>
      </c>
    </row>
    <row r="1313" spans="1:9" s="7" customFormat="1" ht="15" x14ac:dyDescent="0.2">
      <c r="A1313" s="7" t="str">
        <f>IF(Plantilla_SCAN_EQ3_COUNT_2[[#This Row],[ID MATERIAL]]="","",SIGN(Plantilla_SCAN_EQ3_COUNT_2[[#This Row],[Cantidad]])+A1312)</f>
        <v/>
      </c>
      <c r="B1313" s="21" t="str">
        <f>IF(Plantilla_SCAN_EQ3_COUNT_2[[#This Row],[ID MATERIAL]]="","",B1312)</f>
        <v/>
      </c>
      <c r="C1313" s="21"/>
      <c r="D1313" s="21"/>
      <c r="E1313" s="7" t="str">
        <f>IF(Plantilla_SCAN_EQ3_COUNT_2[[#This Row],[ID MATERIAL]]="","",VLOOKUP(Plantilla_SCAN_EQ3_COUNT_2[[#This Row],[ID MATERIAL]],INVENTARIO!$A:$D,2,FALSE))</f>
        <v/>
      </c>
      <c r="F1313" s="7" t="str">
        <f>IF(Plantilla_SCAN_EQ3_COUNT_2[[#This Row],[ID MATERIAL]]="","",IF(Plantilla_SCAN_EQ3_COUNT_2[[#This Row],[No. Empaques]]="",1,Plantilla_SCAN_EQ3_COUNT_2[[#This Row],[No. Empaques]]*1))</f>
        <v/>
      </c>
      <c r="G1313" s="7" t="str">
        <f>IF(Plantilla_SCAN_EQ3_COUNT_2[[#This Row],[ID MATERIAL]]="","","PZ")</f>
        <v/>
      </c>
      <c r="H1313" s="7" t="str">
        <f>IF(Plantilla_SCAN_EQ3_COUNT_2[[#This Row],[ID MATERIAL]]="","",$B$13)</f>
        <v/>
      </c>
      <c r="I1313" s="7" t="str">
        <f>IF(Plantilla_SCAN_EQ3_COUNT_2[[#This Row],[ID MATERIAL]]="","","Segundo Conteo")</f>
        <v/>
      </c>
    </row>
    <row r="1314" spans="1:9" s="7" customFormat="1" ht="15" x14ac:dyDescent="0.2">
      <c r="A1314" s="7" t="str">
        <f>IF(Plantilla_SCAN_EQ3_COUNT_2[[#This Row],[ID MATERIAL]]="","",SIGN(Plantilla_SCAN_EQ3_COUNT_2[[#This Row],[Cantidad]])+A1313)</f>
        <v/>
      </c>
      <c r="B1314" s="21" t="str">
        <f>IF(Plantilla_SCAN_EQ3_COUNT_2[[#This Row],[ID MATERIAL]]="","",B1313)</f>
        <v/>
      </c>
      <c r="C1314" s="21"/>
      <c r="D1314" s="21"/>
      <c r="E1314" s="7" t="str">
        <f>IF(Plantilla_SCAN_EQ3_COUNT_2[[#This Row],[ID MATERIAL]]="","",VLOOKUP(Plantilla_SCAN_EQ3_COUNT_2[[#This Row],[ID MATERIAL]],INVENTARIO!$A:$D,2,FALSE))</f>
        <v/>
      </c>
      <c r="F1314" s="7" t="str">
        <f>IF(Plantilla_SCAN_EQ3_COUNT_2[[#This Row],[ID MATERIAL]]="","",IF(Plantilla_SCAN_EQ3_COUNT_2[[#This Row],[No. Empaques]]="",1,Plantilla_SCAN_EQ3_COUNT_2[[#This Row],[No. Empaques]]*1))</f>
        <v/>
      </c>
      <c r="G1314" s="7" t="str">
        <f>IF(Plantilla_SCAN_EQ3_COUNT_2[[#This Row],[ID MATERIAL]]="","","PZ")</f>
        <v/>
      </c>
      <c r="H1314" s="7" t="str">
        <f>IF(Plantilla_SCAN_EQ3_COUNT_2[[#This Row],[ID MATERIAL]]="","",$B$13)</f>
        <v/>
      </c>
      <c r="I1314" s="7" t="str">
        <f>IF(Plantilla_SCAN_EQ3_COUNT_2[[#This Row],[ID MATERIAL]]="","","Segundo Conteo")</f>
        <v/>
      </c>
    </row>
    <row r="1315" spans="1:9" s="7" customFormat="1" ht="15" x14ac:dyDescent="0.2">
      <c r="A1315" s="7" t="str">
        <f>IF(Plantilla_SCAN_EQ3_COUNT_2[[#This Row],[ID MATERIAL]]="","",SIGN(Plantilla_SCAN_EQ3_COUNT_2[[#This Row],[Cantidad]])+A1314)</f>
        <v/>
      </c>
      <c r="B1315" s="21" t="str">
        <f>IF(Plantilla_SCAN_EQ3_COUNT_2[[#This Row],[ID MATERIAL]]="","",B1314)</f>
        <v/>
      </c>
      <c r="C1315" s="21"/>
      <c r="D1315" s="21"/>
      <c r="E1315" s="7" t="str">
        <f>IF(Plantilla_SCAN_EQ3_COUNT_2[[#This Row],[ID MATERIAL]]="","",VLOOKUP(Plantilla_SCAN_EQ3_COUNT_2[[#This Row],[ID MATERIAL]],INVENTARIO!$A:$D,2,FALSE))</f>
        <v/>
      </c>
      <c r="F1315" s="7" t="str">
        <f>IF(Plantilla_SCAN_EQ3_COUNT_2[[#This Row],[ID MATERIAL]]="","",IF(Plantilla_SCAN_EQ3_COUNT_2[[#This Row],[No. Empaques]]="",1,Plantilla_SCAN_EQ3_COUNT_2[[#This Row],[No. Empaques]]*1))</f>
        <v/>
      </c>
      <c r="G1315" s="7" t="str">
        <f>IF(Plantilla_SCAN_EQ3_COUNT_2[[#This Row],[ID MATERIAL]]="","","PZ")</f>
        <v/>
      </c>
      <c r="H1315" s="7" t="str">
        <f>IF(Plantilla_SCAN_EQ3_COUNT_2[[#This Row],[ID MATERIAL]]="","",$B$13)</f>
        <v/>
      </c>
      <c r="I1315" s="7" t="str">
        <f>IF(Plantilla_SCAN_EQ3_COUNT_2[[#This Row],[ID MATERIAL]]="","","Segundo Conteo")</f>
        <v/>
      </c>
    </row>
    <row r="1316" spans="1:9" s="7" customFormat="1" ht="15" x14ac:dyDescent="0.2">
      <c r="A1316" s="7" t="str">
        <f>IF(Plantilla_SCAN_EQ3_COUNT_2[[#This Row],[ID MATERIAL]]="","",SIGN(Plantilla_SCAN_EQ3_COUNT_2[[#This Row],[Cantidad]])+A1315)</f>
        <v/>
      </c>
      <c r="B1316" s="21" t="str">
        <f>IF(Plantilla_SCAN_EQ3_COUNT_2[[#This Row],[ID MATERIAL]]="","",B1315)</f>
        <v/>
      </c>
      <c r="C1316" s="21"/>
      <c r="D1316" s="21"/>
      <c r="E1316" s="7" t="str">
        <f>IF(Plantilla_SCAN_EQ3_COUNT_2[[#This Row],[ID MATERIAL]]="","",VLOOKUP(Plantilla_SCAN_EQ3_COUNT_2[[#This Row],[ID MATERIAL]],INVENTARIO!$A:$D,2,FALSE))</f>
        <v/>
      </c>
      <c r="F1316" s="7" t="str">
        <f>IF(Plantilla_SCAN_EQ3_COUNT_2[[#This Row],[ID MATERIAL]]="","",IF(Plantilla_SCAN_EQ3_COUNT_2[[#This Row],[No. Empaques]]="",1,Plantilla_SCAN_EQ3_COUNT_2[[#This Row],[No. Empaques]]*1))</f>
        <v/>
      </c>
      <c r="G1316" s="7" t="str">
        <f>IF(Plantilla_SCAN_EQ3_COUNT_2[[#This Row],[ID MATERIAL]]="","","PZ")</f>
        <v/>
      </c>
      <c r="H1316" s="7" t="str">
        <f>IF(Plantilla_SCAN_EQ3_COUNT_2[[#This Row],[ID MATERIAL]]="","",$B$13)</f>
        <v/>
      </c>
      <c r="I1316" s="7" t="str">
        <f>IF(Plantilla_SCAN_EQ3_COUNT_2[[#This Row],[ID MATERIAL]]="","","Segundo Conteo")</f>
        <v/>
      </c>
    </row>
    <row r="1317" spans="1:9" s="7" customFormat="1" ht="15" x14ac:dyDescent="0.2">
      <c r="A1317" s="7" t="str">
        <f>IF(Plantilla_SCAN_EQ3_COUNT_2[[#This Row],[ID MATERIAL]]="","",SIGN(Plantilla_SCAN_EQ3_COUNT_2[[#This Row],[Cantidad]])+A1316)</f>
        <v/>
      </c>
      <c r="B1317" s="21" t="str">
        <f>IF(Plantilla_SCAN_EQ3_COUNT_2[[#This Row],[ID MATERIAL]]="","",B1316)</f>
        <v/>
      </c>
      <c r="C1317" s="21"/>
      <c r="D1317" s="21"/>
      <c r="E1317" s="7" t="str">
        <f>IF(Plantilla_SCAN_EQ3_COUNT_2[[#This Row],[ID MATERIAL]]="","",VLOOKUP(Plantilla_SCAN_EQ3_COUNT_2[[#This Row],[ID MATERIAL]],INVENTARIO!$A:$D,2,FALSE))</f>
        <v/>
      </c>
      <c r="F1317" s="7" t="str">
        <f>IF(Plantilla_SCAN_EQ3_COUNT_2[[#This Row],[ID MATERIAL]]="","",IF(Plantilla_SCAN_EQ3_COUNT_2[[#This Row],[No. Empaques]]="",1,Plantilla_SCAN_EQ3_COUNT_2[[#This Row],[No. Empaques]]*1))</f>
        <v/>
      </c>
      <c r="G1317" s="7" t="str">
        <f>IF(Plantilla_SCAN_EQ3_COUNT_2[[#This Row],[ID MATERIAL]]="","","PZ")</f>
        <v/>
      </c>
      <c r="H1317" s="7" t="str">
        <f>IF(Plantilla_SCAN_EQ3_COUNT_2[[#This Row],[ID MATERIAL]]="","",$B$13)</f>
        <v/>
      </c>
      <c r="I1317" s="7" t="str">
        <f>IF(Plantilla_SCAN_EQ3_COUNT_2[[#This Row],[ID MATERIAL]]="","","Segundo Conteo")</f>
        <v/>
      </c>
    </row>
    <row r="1318" spans="1:9" s="7" customFormat="1" ht="15" x14ac:dyDescent="0.2">
      <c r="A1318" s="7" t="str">
        <f>IF(Plantilla_SCAN_EQ3_COUNT_2[[#This Row],[ID MATERIAL]]="","",SIGN(Plantilla_SCAN_EQ3_COUNT_2[[#This Row],[Cantidad]])+A1317)</f>
        <v/>
      </c>
      <c r="B1318" s="21" t="str">
        <f>IF(Plantilla_SCAN_EQ3_COUNT_2[[#This Row],[ID MATERIAL]]="","",B1317)</f>
        <v/>
      </c>
      <c r="C1318" s="21"/>
      <c r="D1318" s="21"/>
      <c r="E1318" s="7" t="str">
        <f>IF(Plantilla_SCAN_EQ3_COUNT_2[[#This Row],[ID MATERIAL]]="","",VLOOKUP(Plantilla_SCAN_EQ3_COUNT_2[[#This Row],[ID MATERIAL]],INVENTARIO!$A:$D,2,FALSE))</f>
        <v/>
      </c>
      <c r="F1318" s="7" t="str">
        <f>IF(Plantilla_SCAN_EQ3_COUNT_2[[#This Row],[ID MATERIAL]]="","",IF(Plantilla_SCAN_EQ3_COUNT_2[[#This Row],[No. Empaques]]="",1,Plantilla_SCAN_EQ3_COUNT_2[[#This Row],[No. Empaques]]*1))</f>
        <v/>
      </c>
      <c r="G1318" s="7" t="str">
        <f>IF(Plantilla_SCAN_EQ3_COUNT_2[[#This Row],[ID MATERIAL]]="","","PZ")</f>
        <v/>
      </c>
      <c r="H1318" s="7" t="str">
        <f>IF(Plantilla_SCAN_EQ3_COUNT_2[[#This Row],[ID MATERIAL]]="","",$B$13)</f>
        <v/>
      </c>
      <c r="I1318" s="7" t="str">
        <f>IF(Plantilla_SCAN_EQ3_COUNT_2[[#This Row],[ID MATERIAL]]="","","Segundo Conteo")</f>
        <v/>
      </c>
    </row>
    <row r="1319" spans="1:9" s="7" customFormat="1" ht="15" x14ac:dyDescent="0.2">
      <c r="A1319" s="7" t="str">
        <f>IF(Plantilla_SCAN_EQ3_COUNT_2[[#This Row],[ID MATERIAL]]="","",SIGN(Plantilla_SCAN_EQ3_COUNT_2[[#This Row],[Cantidad]])+A1318)</f>
        <v/>
      </c>
      <c r="B1319" s="21" t="str">
        <f>IF(Plantilla_SCAN_EQ3_COUNT_2[[#This Row],[ID MATERIAL]]="","",B1318)</f>
        <v/>
      </c>
      <c r="C1319" s="21"/>
      <c r="D1319" s="21"/>
      <c r="E1319" s="7" t="str">
        <f>IF(Plantilla_SCAN_EQ3_COUNT_2[[#This Row],[ID MATERIAL]]="","",VLOOKUP(Plantilla_SCAN_EQ3_COUNT_2[[#This Row],[ID MATERIAL]],INVENTARIO!$A:$D,2,FALSE))</f>
        <v/>
      </c>
      <c r="F1319" s="7" t="str">
        <f>IF(Plantilla_SCAN_EQ3_COUNT_2[[#This Row],[ID MATERIAL]]="","",IF(Plantilla_SCAN_EQ3_COUNT_2[[#This Row],[No. Empaques]]="",1,Plantilla_SCAN_EQ3_COUNT_2[[#This Row],[No. Empaques]]*1))</f>
        <v/>
      </c>
      <c r="G1319" s="7" t="str">
        <f>IF(Plantilla_SCAN_EQ3_COUNT_2[[#This Row],[ID MATERIAL]]="","","PZ")</f>
        <v/>
      </c>
      <c r="H1319" s="7" t="str">
        <f>IF(Plantilla_SCAN_EQ3_COUNT_2[[#This Row],[ID MATERIAL]]="","",$B$13)</f>
        <v/>
      </c>
      <c r="I1319" s="7" t="str">
        <f>IF(Plantilla_SCAN_EQ3_COUNT_2[[#This Row],[ID MATERIAL]]="","","Segundo Conteo")</f>
        <v/>
      </c>
    </row>
    <row r="1320" spans="1:9" s="7" customFormat="1" ht="15" x14ac:dyDescent="0.2">
      <c r="A1320" s="7" t="str">
        <f>IF(Plantilla_SCAN_EQ3_COUNT_2[[#This Row],[ID MATERIAL]]="","",SIGN(Plantilla_SCAN_EQ3_COUNT_2[[#This Row],[Cantidad]])+A1319)</f>
        <v/>
      </c>
      <c r="B1320" s="21" t="str">
        <f>IF(Plantilla_SCAN_EQ3_COUNT_2[[#This Row],[ID MATERIAL]]="","",B1319)</f>
        <v/>
      </c>
      <c r="C1320" s="21"/>
      <c r="D1320" s="21"/>
      <c r="E1320" s="7" t="str">
        <f>IF(Plantilla_SCAN_EQ3_COUNT_2[[#This Row],[ID MATERIAL]]="","",VLOOKUP(Plantilla_SCAN_EQ3_COUNT_2[[#This Row],[ID MATERIAL]],INVENTARIO!$A:$D,2,FALSE))</f>
        <v/>
      </c>
      <c r="F1320" s="7" t="str">
        <f>IF(Plantilla_SCAN_EQ3_COUNT_2[[#This Row],[ID MATERIAL]]="","",IF(Plantilla_SCAN_EQ3_COUNT_2[[#This Row],[No. Empaques]]="",1,Plantilla_SCAN_EQ3_COUNT_2[[#This Row],[No. Empaques]]*1))</f>
        <v/>
      </c>
      <c r="G1320" s="7" t="str">
        <f>IF(Plantilla_SCAN_EQ3_COUNT_2[[#This Row],[ID MATERIAL]]="","","PZ")</f>
        <v/>
      </c>
      <c r="H1320" s="7" t="str">
        <f>IF(Plantilla_SCAN_EQ3_COUNT_2[[#This Row],[ID MATERIAL]]="","",$B$13)</f>
        <v/>
      </c>
      <c r="I1320" s="7" t="str">
        <f>IF(Plantilla_SCAN_EQ3_COUNT_2[[#This Row],[ID MATERIAL]]="","","Segundo Conteo")</f>
        <v/>
      </c>
    </row>
    <row r="1321" spans="1:9" s="7" customFormat="1" ht="15" x14ac:dyDescent="0.2">
      <c r="A1321" s="7" t="str">
        <f>IF(Plantilla_SCAN_EQ3_COUNT_2[[#This Row],[ID MATERIAL]]="","",SIGN(Plantilla_SCAN_EQ3_COUNT_2[[#This Row],[Cantidad]])+A1320)</f>
        <v/>
      </c>
      <c r="B1321" s="21" t="str">
        <f>IF(Plantilla_SCAN_EQ3_COUNT_2[[#This Row],[ID MATERIAL]]="","",B1320)</f>
        <v/>
      </c>
      <c r="C1321" s="21"/>
      <c r="D1321" s="21"/>
      <c r="E1321" s="7" t="str">
        <f>IF(Plantilla_SCAN_EQ3_COUNT_2[[#This Row],[ID MATERIAL]]="","",VLOOKUP(Plantilla_SCAN_EQ3_COUNT_2[[#This Row],[ID MATERIAL]],INVENTARIO!$A:$D,2,FALSE))</f>
        <v/>
      </c>
      <c r="F1321" s="7" t="str">
        <f>IF(Plantilla_SCAN_EQ3_COUNT_2[[#This Row],[ID MATERIAL]]="","",IF(Plantilla_SCAN_EQ3_COUNT_2[[#This Row],[No. Empaques]]="",1,Plantilla_SCAN_EQ3_COUNT_2[[#This Row],[No. Empaques]]*1))</f>
        <v/>
      </c>
      <c r="G1321" s="7" t="str">
        <f>IF(Plantilla_SCAN_EQ3_COUNT_2[[#This Row],[ID MATERIAL]]="","","PZ")</f>
        <v/>
      </c>
      <c r="H1321" s="7" t="str">
        <f>IF(Plantilla_SCAN_EQ3_COUNT_2[[#This Row],[ID MATERIAL]]="","",$B$13)</f>
        <v/>
      </c>
      <c r="I1321" s="7" t="str">
        <f>IF(Plantilla_SCAN_EQ3_COUNT_2[[#This Row],[ID MATERIAL]]="","","Segundo Conteo")</f>
        <v/>
      </c>
    </row>
    <row r="1322" spans="1:9" s="7" customFormat="1" ht="15" x14ac:dyDescent="0.2">
      <c r="A1322" s="7" t="str">
        <f>IF(Plantilla_SCAN_EQ3_COUNT_2[[#This Row],[ID MATERIAL]]="","",SIGN(Plantilla_SCAN_EQ3_COUNT_2[[#This Row],[Cantidad]])+A1321)</f>
        <v/>
      </c>
      <c r="B1322" s="21" t="str">
        <f>IF(Plantilla_SCAN_EQ3_COUNT_2[[#This Row],[ID MATERIAL]]="","",B1321)</f>
        <v/>
      </c>
      <c r="C1322" s="21"/>
      <c r="D1322" s="21"/>
      <c r="E1322" s="7" t="str">
        <f>IF(Plantilla_SCAN_EQ3_COUNT_2[[#This Row],[ID MATERIAL]]="","",VLOOKUP(Plantilla_SCAN_EQ3_COUNT_2[[#This Row],[ID MATERIAL]],INVENTARIO!$A:$D,2,FALSE))</f>
        <v/>
      </c>
      <c r="F1322" s="7" t="str">
        <f>IF(Plantilla_SCAN_EQ3_COUNT_2[[#This Row],[ID MATERIAL]]="","",IF(Plantilla_SCAN_EQ3_COUNT_2[[#This Row],[No. Empaques]]="",1,Plantilla_SCAN_EQ3_COUNT_2[[#This Row],[No. Empaques]]*1))</f>
        <v/>
      </c>
      <c r="G1322" s="7" t="str">
        <f>IF(Plantilla_SCAN_EQ3_COUNT_2[[#This Row],[ID MATERIAL]]="","","PZ")</f>
        <v/>
      </c>
      <c r="H1322" s="7" t="str">
        <f>IF(Plantilla_SCAN_EQ3_COUNT_2[[#This Row],[ID MATERIAL]]="","",$B$13)</f>
        <v/>
      </c>
      <c r="I1322" s="7" t="str">
        <f>IF(Plantilla_SCAN_EQ3_COUNT_2[[#This Row],[ID MATERIAL]]="","","Segundo Conteo")</f>
        <v/>
      </c>
    </row>
    <row r="1323" spans="1:9" s="7" customFormat="1" ht="15" x14ac:dyDescent="0.2">
      <c r="A1323" s="7" t="str">
        <f>IF(Plantilla_SCAN_EQ3_COUNT_2[[#This Row],[ID MATERIAL]]="","",SIGN(Plantilla_SCAN_EQ3_COUNT_2[[#This Row],[Cantidad]])+A1322)</f>
        <v/>
      </c>
      <c r="B1323" s="21" t="str">
        <f>IF(Plantilla_SCAN_EQ3_COUNT_2[[#This Row],[ID MATERIAL]]="","",B1322)</f>
        <v/>
      </c>
      <c r="C1323" s="21"/>
      <c r="D1323" s="21"/>
      <c r="E1323" s="7" t="str">
        <f>IF(Plantilla_SCAN_EQ3_COUNT_2[[#This Row],[ID MATERIAL]]="","",VLOOKUP(Plantilla_SCAN_EQ3_COUNT_2[[#This Row],[ID MATERIAL]],INVENTARIO!$A:$D,2,FALSE))</f>
        <v/>
      </c>
      <c r="F1323" s="7" t="str">
        <f>IF(Plantilla_SCAN_EQ3_COUNT_2[[#This Row],[ID MATERIAL]]="","",IF(Plantilla_SCAN_EQ3_COUNT_2[[#This Row],[No. Empaques]]="",1,Plantilla_SCAN_EQ3_COUNT_2[[#This Row],[No. Empaques]]*1))</f>
        <v/>
      </c>
      <c r="G1323" s="7" t="str">
        <f>IF(Plantilla_SCAN_EQ3_COUNT_2[[#This Row],[ID MATERIAL]]="","","PZ")</f>
        <v/>
      </c>
      <c r="H1323" s="7" t="str">
        <f>IF(Plantilla_SCAN_EQ3_COUNT_2[[#This Row],[ID MATERIAL]]="","",$B$13)</f>
        <v/>
      </c>
      <c r="I1323" s="7" t="str">
        <f>IF(Plantilla_SCAN_EQ3_COUNT_2[[#This Row],[ID MATERIAL]]="","","Segundo Conteo")</f>
        <v/>
      </c>
    </row>
    <row r="1324" spans="1:9" s="7" customFormat="1" ht="15" x14ac:dyDescent="0.2">
      <c r="A1324" s="7" t="str">
        <f>IF(Plantilla_SCAN_EQ3_COUNT_2[[#This Row],[ID MATERIAL]]="","",SIGN(Plantilla_SCAN_EQ3_COUNT_2[[#This Row],[Cantidad]])+A1323)</f>
        <v/>
      </c>
      <c r="B1324" s="21" t="str">
        <f>IF(Plantilla_SCAN_EQ3_COUNT_2[[#This Row],[ID MATERIAL]]="","",B1323)</f>
        <v/>
      </c>
      <c r="C1324" s="21"/>
      <c r="D1324" s="21"/>
      <c r="E1324" s="7" t="str">
        <f>IF(Plantilla_SCAN_EQ3_COUNT_2[[#This Row],[ID MATERIAL]]="","",VLOOKUP(Plantilla_SCAN_EQ3_COUNT_2[[#This Row],[ID MATERIAL]],INVENTARIO!$A:$D,2,FALSE))</f>
        <v/>
      </c>
      <c r="F1324" s="7" t="str">
        <f>IF(Plantilla_SCAN_EQ3_COUNT_2[[#This Row],[ID MATERIAL]]="","",IF(Plantilla_SCAN_EQ3_COUNT_2[[#This Row],[No. Empaques]]="",1,Plantilla_SCAN_EQ3_COUNT_2[[#This Row],[No. Empaques]]*1))</f>
        <v/>
      </c>
      <c r="G1324" s="7" t="str">
        <f>IF(Plantilla_SCAN_EQ3_COUNT_2[[#This Row],[ID MATERIAL]]="","","PZ")</f>
        <v/>
      </c>
      <c r="H1324" s="7" t="str">
        <f>IF(Plantilla_SCAN_EQ3_COUNT_2[[#This Row],[ID MATERIAL]]="","",$B$13)</f>
        <v/>
      </c>
      <c r="I1324" s="7" t="str">
        <f>IF(Plantilla_SCAN_EQ3_COUNT_2[[#This Row],[ID MATERIAL]]="","","Segundo Conteo")</f>
        <v/>
      </c>
    </row>
    <row r="1325" spans="1:9" s="7" customFormat="1" ht="15" x14ac:dyDescent="0.2">
      <c r="A1325" s="7" t="str">
        <f>IF(Plantilla_SCAN_EQ3_COUNT_2[[#This Row],[ID MATERIAL]]="","",SIGN(Plantilla_SCAN_EQ3_COUNT_2[[#This Row],[Cantidad]])+A1324)</f>
        <v/>
      </c>
      <c r="B1325" s="21" t="str">
        <f>IF(Plantilla_SCAN_EQ3_COUNT_2[[#This Row],[ID MATERIAL]]="","",B1324)</f>
        <v/>
      </c>
      <c r="C1325" s="21"/>
      <c r="D1325" s="21"/>
      <c r="E1325" s="7" t="str">
        <f>IF(Plantilla_SCAN_EQ3_COUNT_2[[#This Row],[ID MATERIAL]]="","",VLOOKUP(Plantilla_SCAN_EQ3_COUNT_2[[#This Row],[ID MATERIAL]],INVENTARIO!$A:$D,2,FALSE))</f>
        <v/>
      </c>
      <c r="F1325" s="7" t="str">
        <f>IF(Plantilla_SCAN_EQ3_COUNT_2[[#This Row],[ID MATERIAL]]="","",IF(Plantilla_SCAN_EQ3_COUNT_2[[#This Row],[No. Empaques]]="",1,Plantilla_SCAN_EQ3_COUNT_2[[#This Row],[No. Empaques]]*1))</f>
        <v/>
      </c>
      <c r="G1325" s="7" t="str">
        <f>IF(Plantilla_SCAN_EQ3_COUNT_2[[#This Row],[ID MATERIAL]]="","","PZ")</f>
        <v/>
      </c>
      <c r="H1325" s="7" t="str">
        <f>IF(Plantilla_SCAN_EQ3_COUNT_2[[#This Row],[ID MATERIAL]]="","",$B$13)</f>
        <v/>
      </c>
      <c r="I1325" s="7" t="str">
        <f>IF(Plantilla_SCAN_EQ3_COUNT_2[[#This Row],[ID MATERIAL]]="","","Segundo Conteo")</f>
        <v/>
      </c>
    </row>
    <row r="1326" spans="1:9" s="7" customFormat="1" ht="15" x14ac:dyDescent="0.2">
      <c r="A1326" s="7" t="str">
        <f>IF(Plantilla_SCAN_EQ3_COUNT_2[[#This Row],[ID MATERIAL]]="","",SIGN(Plantilla_SCAN_EQ3_COUNT_2[[#This Row],[Cantidad]])+A1325)</f>
        <v/>
      </c>
      <c r="B1326" s="21" t="str">
        <f>IF(Plantilla_SCAN_EQ3_COUNT_2[[#This Row],[ID MATERIAL]]="","",B1325)</f>
        <v/>
      </c>
      <c r="C1326" s="21"/>
      <c r="D1326" s="21"/>
      <c r="E1326" s="7" t="str">
        <f>IF(Plantilla_SCAN_EQ3_COUNT_2[[#This Row],[ID MATERIAL]]="","",VLOOKUP(Plantilla_SCAN_EQ3_COUNT_2[[#This Row],[ID MATERIAL]],INVENTARIO!$A:$D,2,FALSE))</f>
        <v/>
      </c>
      <c r="F1326" s="7" t="str">
        <f>IF(Plantilla_SCAN_EQ3_COUNT_2[[#This Row],[ID MATERIAL]]="","",IF(Plantilla_SCAN_EQ3_COUNT_2[[#This Row],[No. Empaques]]="",1,Plantilla_SCAN_EQ3_COUNT_2[[#This Row],[No. Empaques]]*1))</f>
        <v/>
      </c>
      <c r="G1326" s="7" t="str">
        <f>IF(Plantilla_SCAN_EQ3_COUNT_2[[#This Row],[ID MATERIAL]]="","","PZ")</f>
        <v/>
      </c>
      <c r="H1326" s="7" t="str">
        <f>IF(Plantilla_SCAN_EQ3_COUNT_2[[#This Row],[ID MATERIAL]]="","",$B$13)</f>
        <v/>
      </c>
      <c r="I1326" s="7" t="str">
        <f>IF(Plantilla_SCAN_EQ3_COUNT_2[[#This Row],[ID MATERIAL]]="","","Segundo Conteo")</f>
        <v/>
      </c>
    </row>
    <row r="1327" spans="1:9" s="7" customFormat="1" ht="15" x14ac:dyDescent="0.2">
      <c r="A1327" s="7" t="str">
        <f>IF(Plantilla_SCAN_EQ3_COUNT_2[[#This Row],[ID MATERIAL]]="","",SIGN(Plantilla_SCAN_EQ3_COUNT_2[[#This Row],[Cantidad]])+A1326)</f>
        <v/>
      </c>
      <c r="B1327" s="21" t="str">
        <f>IF(Plantilla_SCAN_EQ3_COUNT_2[[#This Row],[ID MATERIAL]]="","",B1326)</f>
        <v/>
      </c>
      <c r="C1327" s="21"/>
      <c r="D1327" s="21"/>
      <c r="E1327" s="7" t="str">
        <f>IF(Plantilla_SCAN_EQ3_COUNT_2[[#This Row],[ID MATERIAL]]="","",VLOOKUP(Plantilla_SCAN_EQ3_COUNT_2[[#This Row],[ID MATERIAL]],INVENTARIO!$A:$D,2,FALSE))</f>
        <v/>
      </c>
      <c r="F1327" s="7" t="str">
        <f>IF(Plantilla_SCAN_EQ3_COUNT_2[[#This Row],[ID MATERIAL]]="","",IF(Plantilla_SCAN_EQ3_COUNT_2[[#This Row],[No. Empaques]]="",1,Plantilla_SCAN_EQ3_COUNT_2[[#This Row],[No. Empaques]]*1))</f>
        <v/>
      </c>
      <c r="G1327" s="7" t="str">
        <f>IF(Plantilla_SCAN_EQ3_COUNT_2[[#This Row],[ID MATERIAL]]="","","PZ")</f>
        <v/>
      </c>
      <c r="H1327" s="7" t="str">
        <f>IF(Plantilla_SCAN_EQ3_COUNT_2[[#This Row],[ID MATERIAL]]="","",$B$13)</f>
        <v/>
      </c>
      <c r="I1327" s="7" t="str">
        <f>IF(Plantilla_SCAN_EQ3_COUNT_2[[#This Row],[ID MATERIAL]]="","","Segundo Conteo")</f>
        <v/>
      </c>
    </row>
    <row r="1328" spans="1:9" s="7" customFormat="1" ht="15" x14ac:dyDescent="0.2">
      <c r="A1328" s="7" t="str">
        <f>IF(Plantilla_SCAN_EQ3_COUNT_2[[#This Row],[ID MATERIAL]]="","",SIGN(Plantilla_SCAN_EQ3_COUNT_2[[#This Row],[Cantidad]])+A1327)</f>
        <v/>
      </c>
      <c r="B1328" s="21" t="str">
        <f>IF(Plantilla_SCAN_EQ3_COUNT_2[[#This Row],[ID MATERIAL]]="","",B1327)</f>
        <v/>
      </c>
      <c r="C1328" s="21"/>
      <c r="D1328" s="21"/>
      <c r="E1328" s="7" t="str">
        <f>IF(Plantilla_SCAN_EQ3_COUNT_2[[#This Row],[ID MATERIAL]]="","",VLOOKUP(Plantilla_SCAN_EQ3_COUNT_2[[#This Row],[ID MATERIAL]],INVENTARIO!$A:$D,2,FALSE))</f>
        <v/>
      </c>
      <c r="F1328" s="7" t="str">
        <f>IF(Plantilla_SCAN_EQ3_COUNT_2[[#This Row],[ID MATERIAL]]="","",IF(Plantilla_SCAN_EQ3_COUNT_2[[#This Row],[No. Empaques]]="",1,Plantilla_SCAN_EQ3_COUNT_2[[#This Row],[No. Empaques]]*1))</f>
        <v/>
      </c>
      <c r="G1328" s="7" t="str">
        <f>IF(Plantilla_SCAN_EQ3_COUNT_2[[#This Row],[ID MATERIAL]]="","","PZ")</f>
        <v/>
      </c>
      <c r="H1328" s="7" t="str">
        <f>IF(Plantilla_SCAN_EQ3_COUNT_2[[#This Row],[ID MATERIAL]]="","",$B$13)</f>
        <v/>
      </c>
      <c r="I1328" s="7" t="str">
        <f>IF(Plantilla_SCAN_EQ3_COUNT_2[[#This Row],[ID MATERIAL]]="","","Segundo Conteo")</f>
        <v/>
      </c>
    </row>
    <row r="1329" spans="1:9" s="7" customFormat="1" ht="15" x14ac:dyDescent="0.2">
      <c r="A1329" s="7" t="str">
        <f>IF(Plantilla_SCAN_EQ3_COUNT_2[[#This Row],[ID MATERIAL]]="","",SIGN(Plantilla_SCAN_EQ3_COUNT_2[[#This Row],[Cantidad]])+A1328)</f>
        <v/>
      </c>
      <c r="B1329" s="21" t="str">
        <f>IF(Plantilla_SCAN_EQ3_COUNT_2[[#This Row],[ID MATERIAL]]="","",B1328)</f>
        <v/>
      </c>
      <c r="C1329" s="21"/>
      <c r="D1329" s="21"/>
      <c r="E1329" s="7" t="str">
        <f>IF(Plantilla_SCAN_EQ3_COUNT_2[[#This Row],[ID MATERIAL]]="","",VLOOKUP(Plantilla_SCAN_EQ3_COUNT_2[[#This Row],[ID MATERIAL]],INVENTARIO!$A:$D,2,FALSE))</f>
        <v/>
      </c>
      <c r="F1329" s="7" t="str">
        <f>IF(Plantilla_SCAN_EQ3_COUNT_2[[#This Row],[ID MATERIAL]]="","",IF(Plantilla_SCAN_EQ3_COUNT_2[[#This Row],[No. Empaques]]="",1,Plantilla_SCAN_EQ3_COUNT_2[[#This Row],[No. Empaques]]*1))</f>
        <v/>
      </c>
      <c r="G1329" s="7" t="str">
        <f>IF(Plantilla_SCAN_EQ3_COUNT_2[[#This Row],[ID MATERIAL]]="","","PZ")</f>
        <v/>
      </c>
      <c r="H1329" s="7" t="str">
        <f>IF(Plantilla_SCAN_EQ3_COUNT_2[[#This Row],[ID MATERIAL]]="","",$B$13)</f>
        <v/>
      </c>
      <c r="I1329" s="7" t="str">
        <f>IF(Plantilla_SCAN_EQ3_COUNT_2[[#This Row],[ID MATERIAL]]="","","Segundo Conteo")</f>
        <v/>
      </c>
    </row>
    <row r="1330" spans="1:9" s="7" customFormat="1" ht="15" x14ac:dyDescent="0.2">
      <c r="A1330" s="7" t="str">
        <f>IF(Plantilla_SCAN_EQ3_COUNT_2[[#This Row],[ID MATERIAL]]="","",SIGN(Plantilla_SCAN_EQ3_COUNT_2[[#This Row],[Cantidad]])+A1329)</f>
        <v/>
      </c>
      <c r="B1330" s="21" t="str">
        <f>IF(Plantilla_SCAN_EQ3_COUNT_2[[#This Row],[ID MATERIAL]]="","",B1329)</f>
        <v/>
      </c>
      <c r="C1330" s="21"/>
      <c r="D1330" s="21"/>
      <c r="E1330" s="7" t="str">
        <f>IF(Plantilla_SCAN_EQ3_COUNT_2[[#This Row],[ID MATERIAL]]="","",VLOOKUP(Plantilla_SCAN_EQ3_COUNT_2[[#This Row],[ID MATERIAL]],INVENTARIO!$A:$D,2,FALSE))</f>
        <v/>
      </c>
      <c r="F1330" s="7" t="str">
        <f>IF(Plantilla_SCAN_EQ3_COUNT_2[[#This Row],[ID MATERIAL]]="","",IF(Plantilla_SCAN_EQ3_COUNT_2[[#This Row],[No. Empaques]]="",1,Plantilla_SCAN_EQ3_COUNT_2[[#This Row],[No. Empaques]]*1))</f>
        <v/>
      </c>
      <c r="G1330" s="7" t="str">
        <f>IF(Plantilla_SCAN_EQ3_COUNT_2[[#This Row],[ID MATERIAL]]="","","PZ")</f>
        <v/>
      </c>
      <c r="H1330" s="7" t="str">
        <f>IF(Plantilla_SCAN_EQ3_COUNT_2[[#This Row],[ID MATERIAL]]="","",$B$13)</f>
        <v/>
      </c>
      <c r="I1330" s="7" t="str">
        <f>IF(Plantilla_SCAN_EQ3_COUNT_2[[#This Row],[ID MATERIAL]]="","","Segundo Conteo")</f>
        <v/>
      </c>
    </row>
    <row r="1331" spans="1:9" s="7" customFormat="1" ht="15" x14ac:dyDescent="0.2">
      <c r="A1331" s="7" t="str">
        <f>IF(Plantilla_SCAN_EQ3_COUNT_2[[#This Row],[ID MATERIAL]]="","",SIGN(Plantilla_SCAN_EQ3_COUNT_2[[#This Row],[Cantidad]])+A1330)</f>
        <v/>
      </c>
      <c r="B1331" s="21" t="str">
        <f>IF(Plantilla_SCAN_EQ3_COUNT_2[[#This Row],[ID MATERIAL]]="","",B1330)</f>
        <v/>
      </c>
      <c r="C1331" s="21"/>
      <c r="D1331" s="21"/>
      <c r="E1331" s="7" t="str">
        <f>IF(Plantilla_SCAN_EQ3_COUNT_2[[#This Row],[ID MATERIAL]]="","",VLOOKUP(Plantilla_SCAN_EQ3_COUNT_2[[#This Row],[ID MATERIAL]],INVENTARIO!$A:$D,2,FALSE))</f>
        <v/>
      </c>
      <c r="F1331" s="7" t="str">
        <f>IF(Plantilla_SCAN_EQ3_COUNT_2[[#This Row],[ID MATERIAL]]="","",IF(Plantilla_SCAN_EQ3_COUNT_2[[#This Row],[No. Empaques]]="",1,Plantilla_SCAN_EQ3_COUNT_2[[#This Row],[No. Empaques]]*1))</f>
        <v/>
      </c>
      <c r="G1331" s="7" t="str">
        <f>IF(Plantilla_SCAN_EQ3_COUNT_2[[#This Row],[ID MATERIAL]]="","","PZ")</f>
        <v/>
      </c>
      <c r="H1331" s="7" t="str">
        <f>IF(Plantilla_SCAN_EQ3_COUNT_2[[#This Row],[ID MATERIAL]]="","",$B$13)</f>
        <v/>
      </c>
      <c r="I1331" s="7" t="str">
        <f>IF(Plantilla_SCAN_EQ3_COUNT_2[[#This Row],[ID MATERIAL]]="","","Segundo Conteo")</f>
        <v/>
      </c>
    </row>
    <row r="1332" spans="1:9" s="7" customFormat="1" ht="15" x14ac:dyDescent="0.2">
      <c r="A1332" s="7" t="str">
        <f>IF(Plantilla_SCAN_EQ3_COUNT_2[[#This Row],[ID MATERIAL]]="","",SIGN(Plantilla_SCAN_EQ3_COUNT_2[[#This Row],[Cantidad]])+A1331)</f>
        <v/>
      </c>
      <c r="B1332" s="21" t="str">
        <f>IF(Plantilla_SCAN_EQ3_COUNT_2[[#This Row],[ID MATERIAL]]="","",B1331)</f>
        <v/>
      </c>
      <c r="C1332" s="21"/>
      <c r="D1332" s="21"/>
      <c r="E1332" s="7" t="str">
        <f>IF(Plantilla_SCAN_EQ3_COUNT_2[[#This Row],[ID MATERIAL]]="","",VLOOKUP(Plantilla_SCAN_EQ3_COUNT_2[[#This Row],[ID MATERIAL]],INVENTARIO!$A:$D,2,FALSE))</f>
        <v/>
      </c>
      <c r="F1332" s="7" t="str">
        <f>IF(Plantilla_SCAN_EQ3_COUNT_2[[#This Row],[ID MATERIAL]]="","",IF(Plantilla_SCAN_EQ3_COUNT_2[[#This Row],[No. Empaques]]="",1,Plantilla_SCAN_EQ3_COUNT_2[[#This Row],[No. Empaques]]*1))</f>
        <v/>
      </c>
      <c r="G1332" s="7" t="str">
        <f>IF(Plantilla_SCAN_EQ3_COUNT_2[[#This Row],[ID MATERIAL]]="","","PZ")</f>
        <v/>
      </c>
      <c r="H1332" s="7" t="str">
        <f>IF(Plantilla_SCAN_EQ3_COUNT_2[[#This Row],[ID MATERIAL]]="","",$B$13)</f>
        <v/>
      </c>
      <c r="I1332" s="7" t="str">
        <f>IF(Plantilla_SCAN_EQ3_COUNT_2[[#This Row],[ID MATERIAL]]="","","Segundo Conteo")</f>
        <v/>
      </c>
    </row>
    <row r="1333" spans="1:9" s="7" customFormat="1" ht="15" x14ac:dyDescent="0.2">
      <c r="A1333" s="7" t="str">
        <f>IF(Plantilla_SCAN_EQ3_COUNT_2[[#This Row],[ID MATERIAL]]="","",SIGN(Plantilla_SCAN_EQ3_COUNT_2[[#This Row],[Cantidad]])+A1332)</f>
        <v/>
      </c>
      <c r="B1333" s="21" t="str">
        <f>IF(Plantilla_SCAN_EQ3_COUNT_2[[#This Row],[ID MATERIAL]]="","",B1332)</f>
        <v/>
      </c>
      <c r="C1333" s="21"/>
      <c r="D1333" s="21"/>
      <c r="E1333" s="7" t="str">
        <f>IF(Plantilla_SCAN_EQ3_COUNT_2[[#This Row],[ID MATERIAL]]="","",VLOOKUP(Plantilla_SCAN_EQ3_COUNT_2[[#This Row],[ID MATERIAL]],INVENTARIO!$A:$D,2,FALSE))</f>
        <v/>
      </c>
      <c r="F1333" s="7" t="str">
        <f>IF(Plantilla_SCAN_EQ3_COUNT_2[[#This Row],[ID MATERIAL]]="","",IF(Plantilla_SCAN_EQ3_COUNT_2[[#This Row],[No. Empaques]]="",1,Plantilla_SCAN_EQ3_COUNT_2[[#This Row],[No. Empaques]]*1))</f>
        <v/>
      </c>
      <c r="G1333" s="7" t="str">
        <f>IF(Plantilla_SCAN_EQ3_COUNT_2[[#This Row],[ID MATERIAL]]="","","PZ")</f>
        <v/>
      </c>
      <c r="H1333" s="7" t="str">
        <f>IF(Plantilla_SCAN_EQ3_COUNT_2[[#This Row],[ID MATERIAL]]="","",$B$13)</f>
        <v/>
      </c>
      <c r="I1333" s="7" t="str">
        <f>IF(Plantilla_SCAN_EQ3_COUNT_2[[#This Row],[ID MATERIAL]]="","","Segundo Conteo")</f>
        <v/>
      </c>
    </row>
    <row r="1334" spans="1:9" s="7" customFormat="1" ht="15" x14ac:dyDescent="0.2">
      <c r="A1334" s="7" t="str">
        <f>IF(Plantilla_SCAN_EQ3_COUNT_2[[#This Row],[ID MATERIAL]]="","",SIGN(Plantilla_SCAN_EQ3_COUNT_2[[#This Row],[Cantidad]])+A1333)</f>
        <v/>
      </c>
      <c r="B1334" s="21" t="str">
        <f>IF(Plantilla_SCAN_EQ3_COUNT_2[[#This Row],[ID MATERIAL]]="","",B1333)</f>
        <v/>
      </c>
      <c r="C1334" s="21"/>
      <c r="D1334" s="21"/>
      <c r="E1334" s="7" t="str">
        <f>IF(Plantilla_SCAN_EQ3_COUNT_2[[#This Row],[ID MATERIAL]]="","",VLOOKUP(Plantilla_SCAN_EQ3_COUNT_2[[#This Row],[ID MATERIAL]],INVENTARIO!$A:$D,2,FALSE))</f>
        <v/>
      </c>
      <c r="F1334" s="7" t="str">
        <f>IF(Plantilla_SCAN_EQ3_COUNT_2[[#This Row],[ID MATERIAL]]="","",IF(Plantilla_SCAN_EQ3_COUNT_2[[#This Row],[No. Empaques]]="",1,Plantilla_SCAN_EQ3_COUNT_2[[#This Row],[No. Empaques]]*1))</f>
        <v/>
      </c>
      <c r="G1334" s="7" t="str">
        <f>IF(Plantilla_SCAN_EQ3_COUNT_2[[#This Row],[ID MATERIAL]]="","","PZ")</f>
        <v/>
      </c>
      <c r="H1334" s="7" t="str">
        <f>IF(Plantilla_SCAN_EQ3_COUNT_2[[#This Row],[ID MATERIAL]]="","",$B$13)</f>
        <v/>
      </c>
      <c r="I1334" s="7" t="str">
        <f>IF(Plantilla_SCAN_EQ3_COUNT_2[[#This Row],[ID MATERIAL]]="","","Segundo Conteo")</f>
        <v/>
      </c>
    </row>
    <row r="1335" spans="1:9" s="7" customFormat="1" ht="15" x14ac:dyDescent="0.2">
      <c r="A1335" s="7" t="str">
        <f>IF(Plantilla_SCAN_EQ3_COUNT_2[[#This Row],[ID MATERIAL]]="","",SIGN(Plantilla_SCAN_EQ3_COUNT_2[[#This Row],[Cantidad]])+A1334)</f>
        <v/>
      </c>
      <c r="B1335" s="21" t="str">
        <f>IF(Plantilla_SCAN_EQ3_COUNT_2[[#This Row],[ID MATERIAL]]="","",B1334)</f>
        <v/>
      </c>
      <c r="C1335" s="21"/>
      <c r="D1335" s="21"/>
      <c r="E1335" s="7" t="str">
        <f>IF(Plantilla_SCAN_EQ3_COUNT_2[[#This Row],[ID MATERIAL]]="","",VLOOKUP(Plantilla_SCAN_EQ3_COUNT_2[[#This Row],[ID MATERIAL]],INVENTARIO!$A:$D,2,FALSE))</f>
        <v/>
      </c>
      <c r="F1335" s="7" t="str">
        <f>IF(Plantilla_SCAN_EQ3_COUNT_2[[#This Row],[ID MATERIAL]]="","",IF(Plantilla_SCAN_EQ3_COUNT_2[[#This Row],[No. Empaques]]="",1,Plantilla_SCAN_EQ3_COUNT_2[[#This Row],[No. Empaques]]*1))</f>
        <v/>
      </c>
      <c r="G1335" s="7" t="str">
        <f>IF(Plantilla_SCAN_EQ3_COUNT_2[[#This Row],[ID MATERIAL]]="","","PZ")</f>
        <v/>
      </c>
      <c r="H1335" s="7" t="str">
        <f>IF(Plantilla_SCAN_EQ3_COUNT_2[[#This Row],[ID MATERIAL]]="","",$B$13)</f>
        <v/>
      </c>
      <c r="I1335" s="7" t="str">
        <f>IF(Plantilla_SCAN_EQ3_COUNT_2[[#This Row],[ID MATERIAL]]="","","Segundo Conteo")</f>
        <v/>
      </c>
    </row>
    <row r="1336" spans="1:9" s="7" customFormat="1" ht="15" x14ac:dyDescent="0.2">
      <c r="A1336" s="7" t="str">
        <f>IF(Plantilla_SCAN_EQ3_COUNT_2[[#This Row],[ID MATERIAL]]="","",SIGN(Plantilla_SCAN_EQ3_COUNT_2[[#This Row],[Cantidad]])+A1335)</f>
        <v/>
      </c>
      <c r="B1336" s="21" t="str">
        <f>IF(Plantilla_SCAN_EQ3_COUNT_2[[#This Row],[ID MATERIAL]]="","",B1335)</f>
        <v/>
      </c>
      <c r="C1336" s="21"/>
      <c r="D1336" s="21"/>
      <c r="E1336" s="7" t="str">
        <f>IF(Plantilla_SCAN_EQ3_COUNT_2[[#This Row],[ID MATERIAL]]="","",VLOOKUP(Plantilla_SCAN_EQ3_COUNT_2[[#This Row],[ID MATERIAL]],INVENTARIO!$A:$D,2,FALSE))</f>
        <v/>
      </c>
      <c r="F1336" s="7" t="str">
        <f>IF(Plantilla_SCAN_EQ3_COUNT_2[[#This Row],[ID MATERIAL]]="","",IF(Plantilla_SCAN_EQ3_COUNT_2[[#This Row],[No. Empaques]]="",1,Plantilla_SCAN_EQ3_COUNT_2[[#This Row],[No. Empaques]]*1))</f>
        <v/>
      </c>
      <c r="G1336" s="7" t="str">
        <f>IF(Plantilla_SCAN_EQ3_COUNT_2[[#This Row],[ID MATERIAL]]="","","PZ")</f>
        <v/>
      </c>
      <c r="H1336" s="7" t="str">
        <f>IF(Plantilla_SCAN_EQ3_COUNT_2[[#This Row],[ID MATERIAL]]="","",$B$13)</f>
        <v/>
      </c>
      <c r="I1336" s="7" t="str">
        <f>IF(Plantilla_SCAN_EQ3_COUNT_2[[#This Row],[ID MATERIAL]]="","","Segundo Conteo")</f>
        <v/>
      </c>
    </row>
    <row r="1337" spans="1:9" s="7" customFormat="1" ht="15" x14ac:dyDescent="0.2">
      <c r="A1337" s="7" t="str">
        <f>IF(Plantilla_SCAN_EQ3_COUNT_2[[#This Row],[ID MATERIAL]]="","",SIGN(Plantilla_SCAN_EQ3_COUNT_2[[#This Row],[Cantidad]])+A1336)</f>
        <v/>
      </c>
      <c r="B1337" s="21" t="str">
        <f>IF(Plantilla_SCAN_EQ3_COUNT_2[[#This Row],[ID MATERIAL]]="","",B1336)</f>
        <v/>
      </c>
      <c r="C1337" s="21"/>
      <c r="D1337" s="21"/>
      <c r="E1337" s="7" t="str">
        <f>IF(Plantilla_SCAN_EQ3_COUNT_2[[#This Row],[ID MATERIAL]]="","",VLOOKUP(Plantilla_SCAN_EQ3_COUNT_2[[#This Row],[ID MATERIAL]],INVENTARIO!$A:$D,2,FALSE))</f>
        <v/>
      </c>
      <c r="F1337" s="7" t="str">
        <f>IF(Plantilla_SCAN_EQ3_COUNT_2[[#This Row],[ID MATERIAL]]="","",IF(Plantilla_SCAN_EQ3_COUNT_2[[#This Row],[No. Empaques]]="",1,Plantilla_SCAN_EQ3_COUNT_2[[#This Row],[No. Empaques]]*1))</f>
        <v/>
      </c>
      <c r="G1337" s="7" t="str">
        <f>IF(Plantilla_SCAN_EQ3_COUNT_2[[#This Row],[ID MATERIAL]]="","","PZ")</f>
        <v/>
      </c>
      <c r="H1337" s="7" t="str">
        <f>IF(Plantilla_SCAN_EQ3_COUNT_2[[#This Row],[ID MATERIAL]]="","",$B$13)</f>
        <v/>
      </c>
      <c r="I1337" s="7" t="str">
        <f>IF(Plantilla_SCAN_EQ3_COUNT_2[[#This Row],[ID MATERIAL]]="","","Segundo Conteo")</f>
        <v/>
      </c>
    </row>
    <row r="1338" spans="1:9" s="7" customFormat="1" ht="15" x14ac:dyDescent="0.2">
      <c r="A1338" s="7" t="str">
        <f>IF(Plantilla_SCAN_EQ3_COUNT_2[[#This Row],[ID MATERIAL]]="","",SIGN(Plantilla_SCAN_EQ3_COUNT_2[[#This Row],[Cantidad]])+A1337)</f>
        <v/>
      </c>
      <c r="B1338" s="21" t="str">
        <f>IF(Plantilla_SCAN_EQ3_COUNT_2[[#This Row],[ID MATERIAL]]="","",B1337)</f>
        <v/>
      </c>
      <c r="C1338" s="21"/>
      <c r="D1338" s="21"/>
      <c r="E1338" s="7" t="str">
        <f>IF(Plantilla_SCAN_EQ3_COUNT_2[[#This Row],[ID MATERIAL]]="","",VLOOKUP(Plantilla_SCAN_EQ3_COUNT_2[[#This Row],[ID MATERIAL]],INVENTARIO!$A:$D,2,FALSE))</f>
        <v/>
      </c>
      <c r="F1338" s="7" t="str">
        <f>IF(Plantilla_SCAN_EQ3_COUNT_2[[#This Row],[ID MATERIAL]]="","",IF(Plantilla_SCAN_EQ3_COUNT_2[[#This Row],[No. Empaques]]="",1,Plantilla_SCAN_EQ3_COUNT_2[[#This Row],[No. Empaques]]*1))</f>
        <v/>
      </c>
      <c r="G1338" s="7" t="str">
        <f>IF(Plantilla_SCAN_EQ3_COUNT_2[[#This Row],[ID MATERIAL]]="","","PZ")</f>
        <v/>
      </c>
      <c r="H1338" s="7" t="str">
        <f>IF(Plantilla_SCAN_EQ3_COUNT_2[[#This Row],[ID MATERIAL]]="","",$B$13)</f>
        <v/>
      </c>
      <c r="I1338" s="7" t="str">
        <f>IF(Plantilla_SCAN_EQ3_COUNT_2[[#This Row],[ID MATERIAL]]="","","Segundo Conteo")</f>
        <v/>
      </c>
    </row>
    <row r="1339" spans="1:9" s="7" customFormat="1" ht="15" x14ac:dyDescent="0.2">
      <c r="A1339" s="7" t="str">
        <f>IF(Plantilla_SCAN_EQ3_COUNT_2[[#This Row],[ID MATERIAL]]="","",SIGN(Plantilla_SCAN_EQ3_COUNT_2[[#This Row],[Cantidad]])+A1338)</f>
        <v/>
      </c>
      <c r="B1339" s="21" t="str">
        <f>IF(Plantilla_SCAN_EQ3_COUNT_2[[#This Row],[ID MATERIAL]]="","",B1338)</f>
        <v/>
      </c>
      <c r="C1339" s="21"/>
      <c r="D1339" s="21"/>
      <c r="E1339" s="7" t="str">
        <f>IF(Plantilla_SCAN_EQ3_COUNT_2[[#This Row],[ID MATERIAL]]="","",VLOOKUP(Plantilla_SCAN_EQ3_COUNT_2[[#This Row],[ID MATERIAL]],INVENTARIO!$A:$D,2,FALSE))</f>
        <v/>
      </c>
      <c r="F1339" s="7" t="str">
        <f>IF(Plantilla_SCAN_EQ3_COUNT_2[[#This Row],[ID MATERIAL]]="","",IF(Plantilla_SCAN_EQ3_COUNT_2[[#This Row],[No. Empaques]]="",1,Plantilla_SCAN_EQ3_COUNT_2[[#This Row],[No. Empaques]]*1))</f>
        <v/>
      </c>
      <c r="G1339" s="7" t="str">
        <f>IF(Plantilla_SCAN_EQ3_COUNT_2[[#This Row],[ID MATERIAL]]="","","PZ")</f>
        <v/>
      </c>
      <c r="H1339" s="7" t="str">
        <f>IF(Plantilla_SCAN_EQ3_COUNT_2[[#This Row],[ID MATERIAL]]="","",$B$13)</f>
        <v/>
      </c>
      <c r="I1339" s="7" t="str">
        <f>IF(Plantilla_SCAN_EQ3_COUNT_2[[#This Row],[ID MATERIAL]]="","","Segundo Conteo")</f>
        <v/>
      </c>
    </row>
    <row r="1340" spans="1:9" s="7" customFormat="1" ht="15" x14ac:dyDescent="0.2">
      <c r="A1340" s="7" t="str">
        <f>IF(Plantilla_SCAN_EQ3_COUNT_2[[#This Row],[ID MATERIAL]]="","",SIGN(Plantilla_SCAN_EQ3_COUNT_2[[#This Row],[Cantidad]])+A1339)</f>
        <v/>
      </c>
      <c r="B1340" s="21" t="str">
        <f>IF(Plantilla_SCAN_EQ3_COUNT_2[[#This Row],[ID MATERIAL]]="","",B1339)</f>
        <v/>
      </c>
      <c r="C1340" s="21"/>
      <c r="D1340" s="21"/>
      <c r="E1340" s="7" t="str">
        <f>IF(Plantilla_SCAN_EQ3_COUNT_2[[#This Row],[ID MATERIAL]]="","",VLOOKUP(Plantilla_SCAN_EQ3_COUNT_2[[#This Row],[ID MATERIAL]],INVENTARIO!$A:$D,2,FALSE))</f>
        <v/>
      </c>
      <c r="F1340" s="7" t="str">
        <f>IF(Plantilla_SCAN_EQ3_COUNT_2[[#This Row],[ID MATERIAL]]="","",IF(Plantilla_SCAN_EQ3_COUNT_2[[#This Row],[No. Empaques]]="",1,Plantilla_SCAN_EQ3_COUNT_2[[#This Row],[No. Empaques]]*1))</f>
        <v/>
      </c>
      <c r="G1340" s="7" t="str">
        <f>IF(Plantilla_SCAN_EQ3_COUNT_2[[#This Row],[ID MATERIAL]]="","","PZ")</f>
        <v/>
      </c>
      <c r="H1340" s="7" t="str">
        <f>IF(Plantilla_SCAN_EQ3_COUNT_2[[#This Row],[ID MATERIAL]]="","",$B$13)</f>
        <v/>
      </c>
      <c r="I1340" s="7" t="str">
        <f>IF(Plantilla_SCAN_EQ3_COUNT_2[[#This Row],[ID MATERIAL]]="","","Segundo Conteo")</f>
        <v/>
      </c>
    </row>
    <row r="1341" spans="1:9" s="7" customFormat="1" ht="15" x14ac:dyDescent="0.2">
      <c r="A1341" s="7" t="str">
        <f>IF(Plantilla_SCAN_EQ3_COUNT_2[[#This Row],[ID MATERIAL]]="","",SIGN(Plantilla_SCAN_EQ3_COUNT_2[[#This Row],[Cantidad]])+A1340)</f>
        <v/>
      </c>
      <c r="B1341" s="21" t="str">
        <f>IF(Plantilla_SCAN_EQ3_COUNT_2[[#This Row],[ID MATERIAL]]="","",B1340)</f>
        <v/>
      </c>
      <c r="C1341" s="21"/>
      <c r="D1341" s="21"/>
      <c r="E1341" s="7" t="str">
        <f>IF(Plantilla_SCAN_EQ3_COUNT_2[[#This Row],[ID MATERIAL]]="","",VLOOKUP(Plantilla_SCAN_EQ3_COUNT_2[[#This Row],[ID MATERIAL]],INVENTARIO!$A:$D,2,FALSE))</f>
        <v/>
      </c>
      <c r="F1341" s="7" t="str">
        <f>IF(Plantilla_SCAN_EQ3_COUNT_2[[#This Row],[ID MATERIAL]]="","",IF(Plantilla_SCAN_EQ3_COUNT_2[[#This Row],[No. Empaques]]="",1,Plantilla_SCAN_EQ3_COUNT_2[[#This Row],[No. Empaques]]*1))</f>
        <v/>
      </c>
      <c r="G1341" s="7" t="str">
        <f>IF(Plantilla_SCAN_EQ3_COUNT_2[[#This Row],[ID MATERIAL]]="","","PZ")</f>
        <v/>
      </c>
      <c r="H1341" s="7" t="str">
        <f>IF(Plantilla_SCAN_EQ3_COUNT_2[[#This Row],[ID MATERIAL]]="","",$B$13)</f>
        <v/>
      </c>
      <c r="I1341" s="7" t="str">
        <f>IF(Plantilla_SCAN_EQ3_COUNT_2[[#This Row],[ID MATERIAL]]="","","Segundo Conteo")</f>
        <v/>
      </c>
    </row>
    <row r="1342" spans="1:9" s="7" customFormat="1" ht="15" x14ac:dyDescent="0.2">
      <c r="A1342" s="7" t="str">
        <f>IF(Plantilla_SCAN_EQ3_COUNT_2[[#This Row],[ID MATERIAL]]="","",SIGN(Plantilla_SCAN_EQ3_COUNT_2[[#This Row],[Cantidad]])+A1341)</f>
        <v/>
      </c>
      <c r="B1342" s="21" t="str">
        <f>IF(Plantilla_SCAN_EQ3_COUNT_2[[#This Row],[ID MATERIAL]]="","",B1341)</f>
        <v/>
      </c>
      <c r="C1342" s="21"/>
      <c r="D1342" s="21"/>
      <c r="E1342" s="7" t="str">
        <f>IF(Plantilla_SCAN_EQ3_COUNT_2[[#This Row],[ID MATERIAL]]="","",VLOOKUP(Plantilla_SCAN_EQ3_COUNT_2[[#This Row],[ID MATERIAL]],INVENTARIO!$A:$D,2,FALSE))</f>
        <v/>
      </c>
      <c r="F1342" s="7" t="str">
        <f>IF(Plantilla_SCAN_EQ3_COUNT_2[[#This Row],[ID MATERIAL]]="","",IF(Plantilla_SCAN_EQ3_COUNT_2[[#This Row],[No. Empaques]]="",1,Plantilla_SCAN_EQ3_COUNT_2[[#This Row],[No. Empaques]]*1))</f>
        <v/>
      </c>
      <c r="G1342" s="7" t="str">
        <f>IF(Plantilla_SCAN_EQ3_COUNT_2[[#This Row],[ID MATERIAL]]="","","PZ")</f>
        <v/>
      </c>
      <c r="H1342" s="7" t="str">
        <f>IF(Plantilla_SCAN_EQ3_COUNT_2[[#This Row],[ID MATERIAL]]="","",$B$13)</f>
        <v/>
      </c>
      <c r="I1342" s="7" t="str">
        <f>IF(Plantilla_SCAN_EQ3_COUNT_2[[#This Row],[ID MATERIAL]]="","","Segundo Conteo")</f>
        <v/>
      </c>
    </row>
    <row r="1343" spans="1:9" s="7" customFormat="1" ht="15" x14ac:dyDescent="0.2">
      <c r="A1343" s="7" t="str">
        <f>IF(Plantilla_SCAN_EQ3_COUNT_2[[#This Row],[ID MATERIAL]]="","",SIGN(Plantilla_SCAN_EQ3_COUNT_2[[#This Row],[Cantidad]])+A1342)</f>
        <v/>
      </c>
      <c r="B1343" s="21" t="str">
        <f>IF(Plantilla_SCAN_EQ3_COUNT_2[[#This Row],[ID MATERIAL]]="","",B1342)</f>
        <v/>
      </c>
      <c r="C1343" s="21"/>
      <c r="D1343" s="21"/>
      <c r="E1343" s="7" t="str">
        <f>IF(Plantilla_SCAN_EQ3_COUNT_2[[#This Row],[ID MATERIAL]]="","",VLOOKUP(Plantilla_SCAN_EQ3_COUNT_2[[#This Row],[ID MATERIAL]],INVENTARIO!$A:$D,2,FALSE))</f>
        <v/>
      </c>
      <c r="F1343" s="7" t="str">
        <f>IF(Plantilla_SCAN_EQ3_COUNT_2[[#This Row],[ID MATERIAL]]="","",IF(Plantilla_SCAN_EQ3_COUNT_2[[#This Row],[No. Empaques]]="",1,Plantilla_SCAN_EQ3_COUNT_2[[#This Row],[No. Empaques]]*1))</f>
        <v/>
      </c>
      <c r="G1343" s="7" t="str">
        <f>IF(Plantilla_SCAN_EQ3_COUNT_2[[#This Row],[ID MATERIAL]]="","","PZ")</f>
        <v/>
      </c>
      <c r="H1343" s="7" t="str">
        <f>IF(Plantilla_SCAN_EQ3_COUNT_2[[#This Row],[ID MATERIAL]]="","",$B$13)</f>
        <v/>
      </c>
      <c r="I1343" s="7" t="str">
        <f>IF(Plantilla_SCAN_EQ3_COUNT_2[[#This Row],[ID MATERIAL]]="","","Segundo Conteo")</f>
        <v/>
      </c>
    </row>
    <row r="1344" spans="1:9" s="7" customFormat="1" ht="15" x14ac:dyDescent="0.2">
      <c r="A1344" s="7" t="str">
        <f>IF(Plantilla_SCAN_EQ3_COUNT_2[[#This Row],[ID MATERIAL]]="","",SIGN(Plantilla_SCAN_EQ3_COUNT_2[[#This Row],[Cantidad]])+A1343)</f>
        <v/>
      </c>
      <c r="B1344" s="21" t="str">
        <f>IF(Plantilla_SCAN_EQ3_COUNT_2[[#This Row],[ID MATERIAL]]="","",B1343)</f>
        <v/>
      </c>
      <c r="C1344" s="21"/>
      <c r="D1344" s="21"/>
      <c r="E1344" s="7" t="str">
        <f>IF(Plantilla_SCAN_EQ3_COUNT_2[[#This Row],[ID MATERIAL]]="","",VLOOKUP(Plantilla_SCAN_EQ3_COUNT_2[[#This Row],[ID MATERIAL]],INVENTARIO!$A:$D,2,FALSE))</f>
        <v/>
      </c>
      <c r="F1344" s="7" t="str">
        <f>IF(Plantilla_SCAN_EQ3_COUNT_2[[#This Row],[ID MATERIAL]]="","",IF(Plantilla_SCAN_EQ3_COUNT_2[[#This Row],[No. Empaques]]="",1,Plantilla_SCAN_EQ3_COUNT_2[[#This Row],[No. Empaques]]*1))</f>
        <v/>
      </c>
      <c r="G1344" s="7" t="str">
        <f>IF(Plantilla_SCAN_EQ3_COUNT_2[[#This Row],[ID MATERIAL]]="","","PZ")</f>
        <v/>
      </c>
      <c r="H1344" s="7" t="str">
        <f>IF(Plantilla_SCAN_EQ3_COUNT_2[[#This Row],[ID MATERIAL]]="","",$B$13)</f>
        <v/>
      </c>
      <c r="I1344" s="7" t="str">
        <f>IF(Plantilla_SCAN_EQ3_COUNT_2[[#This Row],[ID MATERIAL]]="","","Segundo Conteo")</f>
        <v/>
      </c>
    </row>
    <row r="1345" spans="1:9" s="7" customFormat="1" ht="15" x14ac:dyDescent="0.2">
      <c r="A1345" s="7" t="str">
        <f>IF(Plantilla_SCAN_EQ3_COUNT_2[[#This Row],[ID MATERIAL]]="","",SIGN(Plantilla_SCAN_EQ3_COUNT_2[[#This Row],[Cantidad]])+A1344)</f>
        <v/>
      </c>
      <c r="B1345" s="21" t="str">
        <f>IF(Plantilla_SCAN_EQ3_COUNT_2[[#This Row],[ID MATERIAL]]="","",B1344)</f>
        <v/>
      </c>
      <c r="C1345" s="21"/>
      <c r="D1345" s="21"/>
      <c r="E1345" s="7" t="str">
        <f>IF(Plantilla_SCAN_EQ3_COUNT_2[[#This Row],[ID MATERIAL]]="","",VLOOKUP(Plantilla_SCAN_EQ3_COUNT_2[[#This Row],[ID MATERIAL]],INVENTARIO!$A:$D,2,FALSE))</f>
        <v/>
      </c>
      <c r="F1345" s="7" t="str">
        <f>IF(Plantilla_SCAN_EQ3_COUNT_2[[#This Row],[ID MATERIAL]]="","",IF(Plantilla_SCAN_EQ3_COUNT_2[[#This Row],[No. Empaques]]="",1,Plantilla_SCAN_EQ3_COUNT_2[[#This Row],[No. Empaques]]*1))</f>
        <v/>
      </c>
      <c r="G1345" s="7" t="str">
        <f>IF(Plantilla_SCAN_EQ3_COUNT_2[[#This Row],[ID MATERIAL]]="","","PZ")</f>
        <v/>
      </c>
      <c r="H1345" s="7" t="str">
        <f>IF(Plantilla_SCAN_EQ3_COUNT_2[[#This Row],[ID MATERIAL]]="","",$B$13)</f>
        <v/>
      </c>
      <c r="I1345" s="7" t="str">
        <f>IF(Plantilla_SCAN_EQ3_COUNT_2[[#This Row],[ID MATERIAL]]="","","Segundo Conteo")</f>
        <v/>
      </c>
    </row>
    <row r="1346" spans="1:9" s="7" customFormat="1" ht="15" x14ac:dyDescent="0.2">
      <c r="A1346" s="7" t="str">
        <f>IF(Plantilla_SCAN_EQ3_COUNT_2[[#This Row],[ID MATERIAL]]="","",SIGN(Plantilla_SCAN_EQ3_COUNT_2[[#This Row],[Cantidad]])+A1345)</f>
        <v/>
      </c>
      <c r="B1346" s="21" t="str">
        <f>IF(Plantilla_SCAN_EQ3_COUNT_2[[#This Row],[ID MATERIAL]]="","",B1345)</f>
        <v/>
      </c>
      <c r="C1346" s="21"/>
      <c r="D1346" s="21"/>
      <c r="E1346" s="7" t="str">
        <f>IF(Plantilla_SCAN_EQ3_COUNT_2[[#This Row],[ID MATERIAL]]="","",VLOOKUP(Plantilla_SCAN_EQ3_COUNT_2[[#This Row],[ID MATERIAL]],INVENTARIO!$A:$D,2,FALSE))</f>
        <v/>
      </c>
      <c r="F1346" s="7" t="str">
        <f>IF(Plantilla_SCAN_EQ3_COUNT_2[[#This Row],[ID MATERIAL]]="","",IF(Plantilla_SCAN_EQ3_COUNT_2[[#This Row],[No. Empaques]]="",1,Plantilla_SCAN_EQ3_COUNT_2[[#This Row],[No. Empaques]]*1))</f>
        <v/>
      </c>
      <c r="G1346" s="7" t="str">
        <f>IF(Plantilla_SCAN_EQ3_COUNT_2[[#This Row],[ID MATERIAL]]="","","PZ")</f>
        <v/>
      </c>
      <c r="H1346" s="7" t="str">
        <f>IF(Plantilla_SCAN_EQ3_COUNT_2[[#This Row],[ID MATERIAL]]="","",$B$13)</f>
        <v/>
      </c>
      <c r="I1346" s="7" t="str">
        <f>IF(Plantilla_SCAN_EQ3_COUNT_2[[#This Row],[ID MATERIAL]]="","","Segundo Conteo")</f>
        <v/>
      </c>
    </row>
    <row r="1347" spans="1:9" s="7" customFormat="1" ht="15" x14ac:dyDescent="0.2">
      <c r="A1347" s="7" t="str">
        <f>IF(Plantilla_SCAN_EQ3_COUNT_2[[#This Row],[ID MATERIAL]]="","",SIGN(Plantilla_SCAN_EQ3_COUNT_2[[#This Row],[Cantidad]])+A1346)</f>
        <v/>
      </c>
      <c r="B1347" s="21" t="str">
        <f>IF(Plantilla_SCAN_EQ3_COUNT_2[[#This Row],[ID MATERIAL]]="","",B1346)</f>
        <v/>
      </c>
      <c r="C1347" s="21"/>
      <c r="D1347" s="21"/>
      <c r="E1347" s="7" t="str">
        <f>IF(Plantilla_SCAN_EQ3_COUNT_2[[#This Row],[ID MATERIAL]]="","",VLOOKUP(Plantilla_SCAN_EQ3_COUNT_2[[#This Row],[ID MATERIAL]],INVENTARIO!$A:$D,2,FALSE))</f>
        <v/>
      </c>
      <c r="F1347" s="7" t="str">
        <f>IF(Plantilla_SCAN_EQ3_COUNT_2[[#This Row],[ID MATERIAL]]="","",IF(Plantilla_SCAN_EQ3_COUNT_2[[#This Row],[No. Empaques]]="",1,Plantilla_SCAN_EQ3_COUNT_2[[#This Row],[No. Empaques]]*1))</f>
        <v/>
      </c>
      <c r="G1347" s="7" t="str">
        <f>IF(Plantilla_SCAN_EQ3_COUNT_2[[#This Row],[ID MATERIAL]]="","","PZ")</f>
        <v/>
      </c>
      <c r="H1347" s="7" t="str">
        <f>IF(Plantilla_SCAN_EQ3_COUNT_2[[#This Row],[ID MATERIAL]]="","",$B$13)</f>
        <v/>
      </c>
      <c r="I1347" s="7" t="str">
        <f>IF(Plantilla_SCAN_EQ3_COUNT_2[[#This Row],[ID MATERIAL]]="","","Segundo Conteo")</f>
        <v/>
      </c>
    </row>
    <row r="1348" spans="1:9" s="7" customFormat="1" ht="15" x14ac:dyDescent="0.2">
      <c r="A1348" s="7" t="str">
        <f>IF(Plantilla_SCAN_EQ3_COUNT_2[[#This Row],[ID MATERIAL]]="","",SIGN(Plantilla_SCAN_EQ3_COUNT_2[[#This Row],[Cantidad]])+A1347)</f>
        <v/>
      </c>
      <c r="B1348" s="21" t="str">
        <f>IF(Plantilla_SCAN_EQ3_COUNT_2[[#This Row],[ID MATERIAL]]="","",B1347)</f>
        <v/>
      </c>
      <c r="C1348" s="21"/>
      <c r="D1348" s="21"/>
      <c r="E1348" s="7" t="str">
        <f>IF(Plantilla_SCAN_EQ3_COUNT_2[[#This Row],[ID MATERIAL]]="","",VLOOKUP(Plantilla_SCAN_EQ3_COUNT_2[[#This Row],[ID MATERIAL]],INVENTARIO!$A:$D,2,FALSE))</f>
        <v/>
      </c>
      <c r="F1348" s="7" t="str">
        <f>IF(Plantilla_SCAN_EQ3_COUNT_2[[#This Row],[ID MATERIAL]]="","",IF(Plantilla_SCAN_EQ3_COUNT_2[[#This Row],[No. Empaques]]="",1,Plantilla_SCAN_EQ3_COUNT_2[[#This Row],[No. Empaques]]*1))</f>
        <v/>
      </c>
      <c r="G1348" s="7" t="str">
        <f>IF(Plantilla_SCAN_EQ3_COUNT_2[[#This Row],[ID MATERIAL]]="","","PZ")</f>
        <v/>
      </c>
      <c r="H1348" s="7" t="str">
        <f>IF(Plantilla_SCAN_EQ3_COUNT_2[[#This Row],[ID MATERIAL]]="","",$B$13)</f>
        <v/>
      </c>
      <c r="I1348" s="7" t="str">
        <f>IF(Plantilla_SCAN_EQ3_COUNT_2[[#This Row],[ID MATERIAL]]="","","Segundo Conteo")</f>
        <v/>
      </c>
    </row>
    <row r="1349" spans="1:9" s="7" customFormat="1" ht="15" x14ac:dyDescent="0.2">
      <c r="A1349" s="7" t="str">
        <f>IF(Plantilla_SCAN_EQ3_COUNT_2[[#This Row],[ID MATERIAL]]="","",SIGN(Plantilla_SCAN_EQ3_COUNT_2[[#This Row],[Cantidad]])+A1348)</f>
        <v/>
      </c>
      <c r="B1349" s="21" t="str">
        <f>IF(Plantilla_SCAN_EQ3_COUNT_2[[#This Row],[ID MATERIAL]]="","",B1348)</f>
        <v/>
      </c>
      <c r="C1349" s="21"/>
      <c r="D1349" s="21"/>
      <c r="E1349" s="7" t="str">
        <f>IF(Plantilla_SCAN_EQ3_COUNT_2[[#This Row],[ID MATERIAL]]="","",VLOOKUP(Plantilla_SCAN_EQ3_COUNT_2[[#This Row],[ID MATERIAL]],INVENTARIO!$A:$D,2,FALSE))</f>
        <v/>
      </c>
      <c r="F1349" s="7" t="str">
        <f>IF(Plantilla_SCAN_EQ3_COUNT_2[[#This Row],[ID MATERIAL]]="","",IF(Plantilla_SCAN_EQ3_COUNT_2[[#This Row],[No. Empaques]]="",1,Plantilla_SCAN_EQ3_COUNT_2[[#This Row],[No. Empaques]]*1))</f>
        <v/>
      </c>
      <c r="G1349" s="7" t="str">
        <f>IF(Plantilla_SCAN_EQ3_COUNT_2[[#This Row],[ID MATERIAL]]="","","PZ")</f>
        <v/>
      </c>
      <c r="H1349" s="7" t="str">
        <f>IF(Plantilla_SCAN_EQ3_COUNT_2[[#This Row],[ID MATERIAL]]="","",$B$13)</f>
        <v/>
      </c>
      <c r="I1349" s="7" t="str">
        <f>IF(Plantilla_SCAN_EQ3_COUNT_2[[#This Row],[ID MATERIAL]]="","","Segundo Conteo")</f>
        <v/>
      </c>
    </row>
    <row r="1350" spans="1:9" s="7" customFormat="1" ht="15" x14ac:dyDescent="0.2">
      <c r="A1350" s="7" t="str">
        <f>IF(Plantilla_SCAN_EQ3_COUNT_2[[#This Row],[ID MATERIAL]]="","",SIGN(Plantilla_SCAN_EQ3_COUNT_2[[#This Row],[Cantidad]])+A1349)</f>
        <v/>
      </c>
      <c r="B1350" s="21" t="str">
        <f>IF(Plantilla_SCAN_EQ3_COUNT_2[[#This Row],[ID MATERIAL]]="","",B1349)</f>
        <v/>
      </c>
      <c r="C1350" s="21"/>
      <c r="D1350" s="21"/>
      <c r="E1350" s="7" t="str">
        <f>IF(Plantilla_SCAN_EQ3_COUNT_2[[#This Row],[ID MATERIAL]]="","",VLOOKUP(Plantilla_SCAN_EQ3_COUNT_2[[#This Row],[ID MATERIAL]],INVENTARIO!$A:$D,2,FALSE))</f>
        <v/>
      </c>
      <c r="F1350" s="7" t="str">
        <f>IF(Plantilla_SCAN_EQ3_COUNT_2[[#This Row],[ID MATERIAL]]="","",IF(Plantilla_SCAN_EQ3_COUNT_2[[#This Row],[No. Empaques]]="",1,Plantilla_SCAN_EQ3_COUNT_2[[#This Row],[No. Empaques]]*1))</f>
        <v/>
      </c>
      <c r="G1350" s="7" t="str">
        <f>IF(Plantilla_SCAN_EQ3_COUNT_2[[#This Row],[ID MATERIAL]]="","","PZ")</f>
        <v/>
      </c>
      <c r="H1350" s="7" t="str">
        <f>IF(Plantilla_SCAN_EQ3_COUNT_2[[#This Row],[ID MATERIAL]]="","",$B$13)</f>
        <v/>
      </c>
      <c r="I1350" s="7" t="str">
        <f>IF(Plantilla_SCAN_EQ3_COUNT_2[[#This Row],[ID MATERIAL]]="","","Segundo Conteo")</f>
        <v/>
      </c>
    </row>
    <row r="1351" spans="1:9" s="7" customFormat="1" ht="15" x14ac:dyDescent="0.2">
      <c r="A1351" s="7" t="str">
        <f>IF(Plantilla_SCAN_EQ3_COUNT_2[[#This Row],[ID MATERIAL]]="","",SIGN(Plantilla_SCAN_EQ3_COUNT_2[[#This Row],[Cantidad]])+A1350)</f>
        <v/>
      </c>
      <c r="B1351" s="21" t="str">
        <f>IF(Plantilla_SCAN_EQ3_COUNT_2[[#This Row],[ID MATERIAL]]="","",B1350)</f>
        <v/>
      </c>
      <c r="C1351" s="21"/>
      <c r="D1351" s="21"/>
      <c r="E1351" s="7" t="str">
        <f>IF(Plantilla_SCAN_EQ3_COUNT_2[[#This Row],[ID MATERIAL]]="","",VLOOKUP(Plantilla_SCAN_EQ3_COUNT_2[[#This Row],[ID MATERIAL]],INVENTARIO!$A:$D,2,FALSE))</f>
        <v/>
      </c>
      <c r="F1351" s="7" t="str">
        <f>IF(Plantilla_SCAN_EQ3_COUNT_2[[#This Row],[ID MATERIAL]]="","",IF(Plantilla_SCAN_EQ3_COUNT_2[[#This Row],[No. Empaques]]="",1,Plantilla_SCAN_EQ3_COUNT_2[[#This Row],[No. Empaques]]*1))</f>
        <v/>
      </c>
      <c r="G1351" s="7" t="str">
        <f>IF(Plantilla_SCAN_EQ3_COUNT_2[[#This Row],[ID MATERIAL]]="","","PZ")</f>
        <v/>
      </c>
      <c r="H1351" s="7" t="str">
        <f>IF(Plantilla_SCAN_EQ3_COUNT_2[[#This Row],[ID MATERIAL]]="","",$B$13)</f>
        <v/>
      </c>
      <c r="I1351" s="7" t="str">
        <f>IF(Plantilla_SCAN_EQ3_COUNT_2[[#This Row],[ID MATERIAL]]="","","Segundo Conteo")</f>
        <v/>
      </c>
    </row>
    <row r="1352" spans="1:9" s="7" customFormat="1" ht="15" x14ac:dyDescent="0.2">
      <c r="A1352" s="7" t="str">
        <f>IF(Plantilla_SCAN_EQ3_COUNT_2[[#This Row],[ID MATERIAL]]="","",SIGN(Plantilla_SCAN_EQ3_COUNT_2[[#This Row],[Cantidad]])+A1351)</f>
        <v/>
      </c>
      <c r="B1352" s="21" t="str">
        <f>IF(Plantilla_SCAN_EQ3_COUNT_2[[#This Row],[ID MATERIAL]]="","",B1351)</f>
        <v/>
      </c>
      <c r="C1352" s="21"/>
      <c r="D1352" s="21"/>
      <c r="E1352" s="7" t="str">
        <f>IF(Plantilla_SCAN_EQ3_COUNT_2[[#This Row],[ID MATERIAL]]="","",VLOOKUP(Plantilla_SCAN_EQ3_COUNT_2[[#This Row],[ID MATERIAL]],INVENTARIO!$A:$D,2,FALSE))</f>
        <v/>
      </c>
      <c r="F1352" s="7" t="str">
        <f>IF(Plantilla_SCAN_EQ3_COUNT_2[[#This Row],[ID MATERIAL]]="","",IF(Plantilla_SCAN_EQ3_COUNT_2[[#This Row],[No. Empaques]]="",1,Plantilla_SCAN_EQ3_COUNT_2[[#This Row],[No. Empaques]]*1))</f>
        <v/>
      </c>
      <c r="G1352" s="7" t="str">
        <f>IF(Plantilla_SCAN_EQ3_COUNT_2[[#This Row],[ID MATERIAL]]="","","PZ")</f>
        <v/>
      </c>
      <c r="H1352" s="7" t="str">
        <f>IF(Plantilla_SCAN_EQ3_COUNT_2[[#This Row],[ID MATERIAL]]="","",$B$13)</f>
        <v/>
      </c>
      <c r="I1352" s="7" t="str">
        <f>IF(Plantilla_SCAN_EQ3_COUNT_2[[#This Row],[ID MATERIAL]]="","","Segundo Conteo")</f>
        <v/>
      </c>
    </row>
    <row r="1353" spans="1:9" s="7" customFormat="1" ht="15" x14ac:dyDescent="0.2">
      <c r="A1353" s="7" t="str">
        <f>IF(Plantilla_SCAN_EQ3_COUNT_2[[#This Row],[ID MATERIAL]]="","",SIGN(Plantilla_SCAN_EQ3_COUNT_2[[#This Row],[Cantidad]])+A1352)</f>
        <v/>
      </c>
      <c r="B1353" s="21" t="str">
        <f>IF(Plantilla_SCAN_EQ3_COUNT_2[[#This Row],[ID MATERIAL]]="","",B1352)</f>
        <v/>
      </c>
      <c r="C1353" s="21"/>
      <c r="D1353" s="21"/>
      <c r="E1353" s="7" t="str">
        <f>IF(Plantilla_SCAN_EQ3_COUNT_2[[#This Row],[ID MATERIAL]]="","",VLOOKUP(Plantilla_SCAN_EQ3_COUNT_2[[#This Row],[ID MATERIAL]],INVENTARIO!$A:$D,2,FALSE))</f>
        <v/>
      </c>
      <c r="F1353" s="7" t="str">
        <f>IF(Plantilla_SCAN_EQ3_COUNT_2[[#This Row],[ID MATERIAL]]="","",IF(Plantilla_SCAN_EQ3_COUNT_2[[#This Row],[No. Empaques]]="",1,Plantilla_SCAN_EQ3_COUNT_2[[#This Row],[No. Empaques]]*1))</f>
        <v/>
      </c>
      <c r="G1353" s="7" t="str">
        <f>IF(Plantilla_SCAN_EQ3_COUNT_2[[#This Row],[ID MATERIAL]]="","","PZ")</f>
        <v/>
      </c>
      <c r="H1353" s="7" t="str">
        <f>IF(Plantilla_SCAN_EQ3_COUNT_2[[#This Row],[ID MATERIAL]]="","",$B$13)</f>
        <v/>
      </c>
      <c r="I1353" s="7" t="str">
        <f>IF(Plantilla_SCAN_EQ3_COUNT_2[[#This Row],[ID MATERIAL]]="","","Segundo Conteo")</f>
        <v/>
      </c>
    </row>
    <row r="1354" spans="1:9" s="7" customFormat="1" ht="15" x14ac:dyDescent="0.2">
      <c r="A1354" s="7" t="str">
        <f>IF(Plantilla_SCAN_EQ3_COUNT_2[[#This Row],[ID MATERIAL]]="","",SIGN(Plantilla_SCAN_EQ3_COUNT_2[[#This Row],[Cantidad]])+A1353)</f>
        <v/>
      </c>
      <c r="B1354" s="21" t="str">
        <f>IF(Plantilla_SCAN_EQ3_COUNT_2[[#This Row],[ID MATERIAL]]="","",B1353)</f>
        <v/>
      </c>
      <c r="C1354" s="21"/>
      <c r="D1354" s="21"/>
      <c r="E1354" s="7" t="str">
        <f>IF(Plantilla_SCAN_EQ3_COUNT_2[[#This Row],[ID MATERIAL]]="","",VLOOKUP(Plantilla_SCAN_EQ3_COUNT_2[[#This Row],[ID MATERIAL]],INVENTARIO!$A:$D,2,FALSE))</f>
        <v/>
      </c>
      <c r="F1354" s="7" t="str">
        <f>IF(Plantilla_SCAN_EQ3_COUNT_2[[#This Row],[ID MATERIAL]]="","",IF(Plantilla_SCAN_EQ3_COUNT_2[[#This Row],[No. Empaques]]="",1,Plantilla_SCAN_EQ3_COUNT_2[[#This Row],[No. Empaques]]*1))</f>
        <v/>
      </c>
      <c r="G1354" s="7" t="str">
        <f>IF(Plantilla_SCAN_EQ3_COUNT_2[[#This Row],[ID MATERIAL]]="","","PZ")</f>
        <v/>
      </c>
      <c r="H1354" s="7" t="str">
        <f>IF(Plantilla_SCAN_EQ3_COUNT_2[[#This Row],[ID MATERIAL]]="","",$B$13)</f>
        <v/>
      </c>
      <c r="I1354" s="7" t="str">
        <f>IF(Plantilla_SCAN_EQ3_COUNT_2[[#This Row],[ID MATERIAL]]="","","Segundo Conteo")</f>
        <v/>
      </c>
    </row>
    <row r="1355" spans="1:9" s="7" customFormat="1" ht="15" x14ac:dyDescent="0.2">
      <c r="A1355" s="7" t="str">
        <f>IF(Plantilla_SCAN_EQ3_COUNT_2[[#This Row],[ID MATERIAL]]="","",SIGN(Plantilla_SCAN_EQ3_COUNT_2[[#This Row],[Cantidad]])+A1354)</f>
        <v/>
      </c>
      <c r="B1355" s="21" t="str">
        <f>IF(Plantilla_SCAN_EQ3_COUNT_2[[#This Row],[ID MATERIAL]]="","",B1354)</f>
        <v/>
      </c>
      <c r="C1355" s="21"/>
      <c r="D1355" s="21"/>
      <c r="E1355" s="7" t="str">
        <f>IF(Plantilla_SCAN_EQ3_COUNT_2[[#This Row],[ID MATERIAL]]="","",VLOOKUP(Plantilla_SCAN_EQ3_COUNT_2[[#This Row],[ID MATERIAL]],INVENTARIO!$A:$D,2,FALSE))</f>
        <v/>
      </c>
      <c r="F1355" s="7" t="str">
        <f>IF(Plantilla_SCAN_EQ3_COUNT_2[[#This Row],[ID MATERIAL]]="","",IF(Plantilla_SCAN_EQ3_COUNT_2[[#This Row],[No. Empaques]]="",1,Plantilla_SCAN_EQ3_COUNT_2[[#This Row],[No. Empaques]]*1))</f>
        <v/>
      </c>
      <c r="G1355" s="7" t="str">
        <f>IF(Plantilla_SCAN_EQ3_COUNT_2[[#This Row],[ID MATERIAL]]="","","PZ")</f>
        <v/>
      </c>
      <c r="H1355" s="7" t="str">
        <f>IF(Plantilla_SCAN_EQ3_COUNT_2[[#This Row],[ID MATERIAL]]="","",$B$13)</f>
        <v/>
      </c>
      <c r="I1355" s="7" t="str">
        <f>IF(Plantilla_SCAN_EQ3_COUNT_2[[#This Row],[ID MATERIAL]]="","","Segundo Conteo")</f>
        <v/>
      </c>
    </row>
    <row r="1356" spans="1:9" s="7" customFormat="1" ht="15" x14ac:dyDescent="0.2">
      <c r="A1356" s="7" t="str">
        <f>IF(Plantilla_SCAN_EQ3_COUNT_2[[#This Row],[ID MATERIAL]]="","",SIGN(Plantilla_SCAN_EQ3_COUNT_2[[#This Row],[Cantidad]])+A1355)</f>
        <v/>
      </c>
      <c r="B1356" s="21" t="str">
        <f>IF(Plantilla_SCAN_EQ3_COUNT_2[[#This Row],[ID MATERIAL]]="","",B1355)</f>
        <v/>
      </c>
      <c r="C1356" s="21"/>
      <c r="D1356" s="21"/>
      <c r="E1356" s="7" t="str">
        <f>IF(Plantilla_SCAN_EQ3_COUNT_2[[#This Row],[ID MATERIAL]]="","",VLOOKUP(Plantilla_SCAN_EQ3_COUNT_2[[#This Row],[ID MATERIAL]],INVENTARIO!$A:$D,2,FALSE))</f>
        <v/>
      </c>
      <c r="F1356" s="7" t="str">
        <f>IF(Plantilla_SCAN_EQ3_COUNT_2[[#This Row],[ID MATERIAL]]="","",IF(Plantilla_SCAN_EQ3_COUNT_2[[#This Row],[No. Empaques]]="",1,Plantilla_SCAN_EQ3_COUNT_2[[#This Row],[No. Empaques]]*1))</f>
        <v/>
      </c>
      <c r="G1356" s="7" t="str">
        <f>IF(Plantilla_SCAN_EQ3_COUNT_2[[#This Row],[ID MATERIAL]]="","","PZ")</f>
        <v/>
      </c>
      <c r="H1356" s="7" t="str">
        <f>IF(Plantilla_SCAN_EQ3_COUNT_2[[#This Row],[ID MATERIAL]]="","",$B$13)</f>
        <v/>
      </c>
      <c r="I1356" s="7" t="str">
        <f>IF(Plantilla_SCAN_EQ3_COUNT_2[[#This Row],[ID MATERIAL]]="","","Segundo Conteo")</f>
        <v/>
      </c>
    </row>
    <row r="1357" spans="1:9" s="7" customFormat="1" ht="15" x14ac:dyDescent="0.2">
      <c r="A1357" s="7" t="str">
        <f>IF(Plantilla_SCAN_EQ3_COUNT_2[[#This Row],[ID MATERIAL]]="","",SIGN(Plantilla_SCAN_EQ3_COUNT_2[[#This Row],[Cantidad]])+A1356)</f>
        <v/>
      </c>
      <c r="B1357" s="21" t="str">
        <f>IF(Plantilla_SCAN_EQ3_COUNT_2[[#This Row],[ID MATERIAL]]="","",B1356)</f>
        <v/>
      </c>
      <c r="C1357" s="21"/>
      <c r="D1357" s="21"/>
      <c r="E1357" s="7" t="str">
        <f>IF(Plantilla_SCAN_EQ3_COUNT_2[[#This Row],[ID MATERIAL]]="","",VLOOKUP(Plantilla_SCAN_EQ3_COUNT_2[[#This Row],[ID MATERIAL]],INVENTARIO!$A:$D,2,FALSE))</f>
        <v/>
      </c>
      <c r="F1357" s="7" t="str">
        <f>IF(Plantilla_SCAN_EQ3_COUNT_2[[#This Row],[ID MATERIAL]]="","",IF(Plantilla_SCAN_EQ3_COUNT_2[[#This Row],[No. Empaques]]="",1,Plantilla_SCAN_EQ3_COUNT_2[[#This Row],[No. Empaques]]*1))</f>
        <v/>
      </c>
      <c r="G1357" s="7" t="str">
        <f>IF(Plantilla_SCAN_EQ3_COUNT_2[[#This Row],[ID MATERIAL]]="","","PZ")</f>
        <v/>
      </c>
      <c r="H1357" s="7" t="str">
        <f>IF(Plantilla_SCAN_EQ3_COUNT_2[[#This Row],[ID MATERIAL]]="","",$B$13)</f>
        <v/>
      </c>
      <c r="I1357" s="7" t="str">
        <f>IF(Plantilla_SCAN_EQ3_COUNT_2[[#This Row],[ID MATERIAL]]="","","Segundo Conteo")</f>
        <v/>
      </c>
    </row>
    <row r="1358" spans="1:9" s="7" customFormat="1" ht="15" x14ac:dyDescent="0.2">
      <c r="A1358" s="7" t="str">
        <f>IF(Plantilla_SCAN_EQ3_COUNT_2[[#This Row],[ID MATERIAL]]="","",SIGN(Plantilla_SCAN_EQ3_COUNT_2[[#This Row],[Cantidad]])+A1357)</f>
        <v/>
      </c>
      <c r="B1358" s="21" t="str">
        <f>IF(Plantilla_SCAN_EQ3_COUNT_2[[#This Row],[ID MATERIAL]]="","",B1357)</f>
        <v/>
      </c>
      <c r="C1358" s="21"/>
      <c r="D1358" s="21"/>
      <c r="E1358" s="7" t="str">
        <f>IF(Plantilla_SCAN_EQ3_COUNT_2[[#This Row],[ID MATERIAL]]="","",VLOOKUP(Plantilla_SCAN_EQ3_COUNT_2[[#This Row],[ID MATERIAL]],INVENTARIO!$A:$D,2,FALSE))</f>
        <v/>
      </c>
      <c r="F1358" s="7" t="str">
        <f>IF(Plantilla_SCAN_EQ3_COUNT_2[[#This Row],[ID MATERIAL]]="","",IF(Plantilla_SCAN_EQ3_COUNT_2[[#This Row],[No. Empaques]]="",1,Plantilla_SCAN_EQ3_COUNT_2[[#This Row],[No. Empaques]]*1))</f>
        <v/>
      </c>
      <c r="G1358" s="7" t="str">
        <f>IF(Plantilla_SCAN_EQ3_COUNT_2[[#This Row],[ID MATERIAL]]="","","PZ")</f>
        <v/>
      </c>
      <c r="H1358" s="7" t="str">
        <f>IF(Plantilla_SCAN_EQ3_COUNT_2[[#This Row],[ID MATERIAL]]="","",$B$13)</f>
        <v/>
      </c>
      <c r="I1358" s="7" t="str">
        <f>IF(Plantilla_SCAN_EQ3_COUNT_2[[#This Row],[ID MATERIAL]]="","","Segundo Conteo")</f>
        <v/>
      </c>
    </row>
    <row r="1359" spans="1:9" s="7" customFormat="1" ht="15" x14ac:dyDescent="0.2">
      <c r="A1359" s="7" t="str">
        <f>IF(Plantilla_SCAN_EQ3_COUNT_2[[#This Row],[ID MATERIAL]]="","",SIGN(Plantilla_SCAN_EQ3_COUNT_2[[#This Row],[Cantidad]])+A1358)</f>
        <v/>
      </c>
      <c r="B1359" s="21" t="str">
        <f>IF(Plantilla_SCAN_EQ3_COUNT_2[[#This Row],[ID MATERIAL]]="","",B1358)</f>
        <v/>
      </c>
      <c r="C1359" s="21"/>
      <c r="D1359" s="21"/>
      <c r="E1359" s="7" t="str">
        <f>IF(Plantilla_SCAN_EQ3_COUNT_2[[#This Row],[ID MATERIAL]]="","",VLOOKUP(Plantilla_SCAN_EQ3_COUNT_2[[#This Row],[ID MATERIAL]],INVENTARIO!$A:$D,2,FALSE))</f>
        <v/>
      </c>
      <c r="F1359" s="7" t="str">
        <f>IF(Plantilla_SCAN_EQ3_COUNT_2[[#This Row],[ID MATERIAL]]="","",IF(Plantilla_SCAN_EQ3_COUNT_2[[#This Row],[No. Empaques]]="",1,Plantilla_SCAN_EQ3_COUNT_2[[#This Row],[No. Empaques]]*1))</f>
        <v/>
      </c>
      <c r="G1359" s="7" t="str">
        <f>IF(Plantilla_SCAN_EQ3_COUNT_2[[#This Row],[ID MATERIAL]]="","","PZ")</f>
        <v/>
      </c>
      <c r="H1359" s="7" t="str">
        <f>IF(Plantilla_SCAN_EQ3_COUNT_2[[#This Row],[ID MATERIAL]]="","",$B$13)</f>
        <v/>
      </c>
      <c r="I1359" s="7" t="str">
        <f>IF(Plantilla_SCAN_EQ3_COUNT_2[[#This Row],[ID MATERIAL]]="","","Segundo Conteo")</f>
        <v/>
      </c>
    </row>
    <row r="1360" spans="1:9" s="7" customFormat="1" ht="15" x14ac:dyDescent="0.2">
      <c r="A1360" s="7" t="str">
        <f>IF(Plantilla_SCAN_EQ3_COUNT_2[[#This Row],[ID MATERIAL]]="","",SIGN(Plantilla_SCAN_EQ3_COUNT_2[[#This Row],[Cantidad]])+A1359)</f>
        <v/>
      </c>
      <c r="B1360" s="21" t="str">
        <f>IF(Plantilla_SCAN_EQ3_COUNT_2[[#This Row],[ID MATERIAL]]="","",B1359)</f>
        <v/>
      </c>
      <c r="C1360" s="21"/>
      <c r="D1360" s="21"/>
      <c r="E1360" s="7" t="str">
        <f>IF(Plantilla_SCAN_EQ3_COUNT_2[[#This Row],[ID MATERIAL]]="","",VLOOKUP(Plantilla_SCAN_EQ3_COUNT_2[[#This Row],[ID MATERIAL]],INVENTARIO!$A:$D,2,FALSE))</f>
        <v/>
      </c>
      <c r="F1360" s="7" t="str">
        <f>IF(Plantilla_SCAN_EQ3_COUNT_2[[#This Row],[ID MATERIAL]]="","",IF(Plantilla_SCAN_EQ3_COUNT_2[[#This Row],[No. Empaques]]="",1,Plantilla_SCAN_EQ3_COUNT_2[[#This Row],[No. Empaques]]*1))</f>
        <v/>
      </c>
      <c r="G1360" s="7" t="str">
        <f>IF(Plantilla_SCAN_EQ3_COUNT_2[[#This Row],[ID MATERIAL]]="","","PZ")</f>
        <v/>
      </c>
      <c r="H1360" s="7" t="str">
        <f>IF(Plantilla_SCAN_EQ3_COUNT_2[[#This Row],[ID MATERIAL]]="","",$B$13)</f>
        <v/>
      </c>
      <c r="I1360" s="7" t="str">
        <f>IF(Plantilla_SCAN_EQ3_COUNT_2[[#This Row],[ID MATERIAL]]="","","Segundo Conteo")</f>
        <v/>
      </c>
    </row>
    <row r="1361" spans="1:9" s="7" customFormat="1" ht="15" x14ac:dyDescent="0.2">
      <c r="A1361" s="7" t="str">
        <f>IF(Plantilla_SCAN_EQ3_COUNT_2[[#This Row],[ID MATERIAL]]="","",SIGN(Plantilla_SCAN_EQ3_COUNT_2[[#This Row],[Cantidad]])+A1360)</f>
        <v/>
      </c>
      <c r="B1361" s="21" t="str">
        <f>IF(Plantilla_SCAN_EQ3_COUNT_2[[#This Row],[ID MATERIAL]]="","",B1360)</f>
        <v/>
      </c>
      <c r="C1361" s="21"/>
      <c r="D1361" s="21"/>
      <c r="E1361" s="7" t="str">
        <f>IF(Plantilla_SCAN_EQ3_COUNT_2[[#This Row],[ID MATERIAL]]="","",VLOOKUP(Plantilla_SCAN_EQ3_COUNT_2[[#This Row],[ID MATERIAL]],INVENTARIO!$A:$D,2,FALSE))</f>
        <v/>
      </c>
      <c r="F1361" s="7" t="str">
        <f>IF(Plantilla_SCAN_EQ3_COUNT_2[[#This Row],[ID MATERIAL]]="","",IF(Plantilla_SCAN_EQ3_COUNT_2[[#This Row],[No. Empaques]]="",1,Plantilla_SCAN_EQ3_COUNT_2[[#This Row],[No. Empaques]]*1))</f>
        <v/>
      </c>
      <c r="G1361" s="7" t="str">
        <f>IF(Plantilla_SCAN_EQ3_COUNT_2[[#This Row],[ID MATERIAL]]="","","PZ")</f>
        <v/>
      </c>
      <c r="H1361" s="7" t="str">
        <f>IF(Plantilla_SCAN_EQ3_COUNT_2[[#This Row],[ID MATERIAL]]="","",$B$13)</f>
        <v/>
      </c>
      <c r="I1361" s="7" t="str">
        <f>IF(Plantilla_SCAN_EQ3_COUNT_2[[#This Row],[ID MATERIAL]]="","","Segundo Conteo")</f>
        <v/>
      </c>
    </row>
    <row r="1362" spans="1:9" s="7" customFormat="1" ht="15" x14ac:dyDescent="0.2">
      <c r="A1362" s="7" t="str">
        <f>IF(Plantilla_SCAN_EQ3_COUNT_2[[#This Row],[ID MATERIAL]]="","",SIGN(Plantilla_SCAN_EQ3_COUNT_2[[#This Row],[Cantidad]])+A1361)</f>
        <v/>
      </c>
      <c r="B1362" s="21" t="str">
        <f>IF(Plantilla_SCAN_EQ3_COUNT_2[[#This Row],[ID MATERIAL]]="","",B1361)</f>
        <v/>
      </c>
      <c r="C1362" s="21"/>
      <c r="D1362" s="21"/>
      <c r="E1362" s="7" t="str">
        <f>IF(Plantilla_SCAN_EQ3_COUNT_2[[#This Row],[ID MATERIAL]]="","",VLOOKUP(Plantilla_SCAN_EQ3_COUNT_2[[#This Row],[ID MATERIAL]],INVENTARIO!$A:$D,2,FALSE))</f>
        <v/>
      </c>
      <c r="F1362" s="7" t="str">
        <f>IF(Plantilla_SCAN_EQ3_COUNT_2[[#This Row],[ID MATERIAL]]="","",IF(Plantilla_SCAN_EQ3_COUNT_2[[#This Row],[No. Empaques]]="",1,Plantilla_SCAN_EQ3_COUNT_2[[#This Row],[No. Empaques]]*1))</f>
        <v/>
      </c>
      <c r="G1362" s="7" t="str">
        <f>IF(Plantilla_SCAN_EQ3_COUNT_2[[#This Row],[ID MATERIAL]]="","","PZ")</f>
        <v/>
      </c>
      <c r="H1362" s="7" t="str">
        <f>IF(Plantilla_SCAN_EQ3_COUNT_2[[#This Row],[ID MATERIAL]]="","",$B$13)</f>
        <v/>
      </c>
      <c r="I1362" s="7" t="str">
        <f>IF(Plantilla_SCAN_EQ3_COUNT_2[[#This Row],[ID MATERIAL]]="","","Segundo Conteo")</f>
        <v/>
      </c>
    </row>
    <row r="1363" spans="1:9" s="7" customFormat="1" ht="15" x14ac:dyDescent="0.2">
      <c r="A1363" s="7" t="str">
        <f>IF(Plantilla_SCAN_EQ3_COUNT_2[[#This Row],[ID MATERIAL]]="","",SIGN(Plantilla_SCAN_EQ3_COUNT_2[[#This Row],[Cantidad]])+A1362)</f>
        <v/>
      </c>
      <c r="B1363" s="21" t="str">
        <f>IF(Plantilla_SCAN_EQ3_COUNT_2[[#This Row],[ID MATERIAL]]="","",B1362)</f>
        <v/>
      </c>
      <c r="C1363" s="21"/>
      <c r="D1363" s="21"/>
      <c r="E1363" s="7" t="str">
        <f>IF(Plantilla_SCAN_EQ3_COUNT_2[[#This Row],[ID MATERIAL]]="","",VLOOKUP(Plantilla_SCAN_EQ3_COUNT_2[[#This Row],[ID MATERIAL]],INVENTARIO!$A:$D,2,FALSE))</f>
        <v/>
      </c>
      <c r="F1363" s="7" t="str">
        <f>IF(Plantilla_SCAN_EQ3_COUNT_2[[#This Row],[ID MATERIAL]]="","",IF(Plantilla_SCAN_EQ3_COUNT_2[[#This Row],[No. Empaques]]="",1,Plantilla_SCAN_EQ3_COUNT_2[[#This Row],[No. Empaques]]*1))</f>
        <v/>
      </c>
      <c r="G1363" s="7" t="str">
        <f>IF(Plantilla_SCAN_EQ3_COUNT_2[[#This Row],[ID MATERIAL]]="","","PZ")</f>
        <v/>
      </c>
      <c r="H1363" s="7" t="str">
        <f>IF(Plantilla_SCAN_EQ3_COUNT_2[[#This Row],[ID MATERIAL]]="","",$B$13)</f>
        <v/>
      </c>
      <c r="I1363" s="7" t="str">
        <f>IF(Plantilla_SCAN_EQ3_COUNT_2[[#This Row],[ID MATERIAL]]="","","Segundo Conteo")</f>
        <v/>
      </c>
    </row>
    <row r="1364" spans="1:9" s="7" customFormat="1" ht="15" x14ac:dyDescent="0.2">
      <c r="A1364" s="7" t="str">
        <f>IF(Plantilla_SCAN_EQ3_COUNT_2[[#This Row],[ID MATERIAL]]="","",SIGN(Plantilla_SCAN_EQ3_COUNT_2[[#This Row],[Cantidad]])+A1363)</f>
        <v/>
      </c>
      <c r="B1364" s="21" t="str">
        <f>IF(Plantilla_SCAN_EQ3_COUNT_2[[#This Row],[ID MATERIAL]]="","",B1363)</f>
        <v/>
      </c>
      <c r="C1364" s="21"/>
      <c r="D1364" s="21"/>
      <c r="E1364" s="7" t="str">
        <f>IF(Plantilla_SCAN_EQ3_COUNT_2[[#This Row],[ID MATERIAL]]="","",VLOOKUP(Plantilla_SCAN_EQ3_COUNT_2[[#This Row],[ID MATERIAL]],INVENTARIO!$A:$D,2,FALSE))</f>
        <v/>
      </c>
      <c r="F1364" s="7" t="str">
        <f>IF(Plantilla_SCAN_EQ3_COUNT_2[[#This Row],[ID MATERIAL]]="","",IF(Plantilla_SCAN_EQ3_COUNT_2[[#This Row],[No. Empaques]]="",1,Plantilla_SCAN_EQ3_COUNT_2[[#This Row],[No. Empaques]]*1))</f>
        <v/>
      </c>
      <c r="G1364" s="7" t="str">
        <f>IF(Plantilla_SCAN_EQ3_COUNT_2[[#This Row],[ID MATERIAL]]="","","PZ")</f>
        <v/>
      </c>
      <c r="H1364" s="7" t="str">
        <f>IF(Plantilla_SCAN_EQ3_COUNT_2[[#This Row],[ID MATERIAL]]="","",$B$13)</f>
        <v/>
      </c>
      <c r="I1364" s="7" t="str">
        <f>IF(Plantilla_SCAN_EQ3_COUNT_2[[#This Row],[ID MATERIAL]]="","","Segundo Conteo")</f>
        <v/>
      </c>
    </row>
    <row r="1365" spans="1:9" s="7" customFormat="1" ht="15" x14ac:dyDescent="0.2">
      <c r="A1365" s="7" t="str">
        <f>IF(Plantilla_SCAN_EQ3_COUNT_2[[#This Row],[ID MATERIAL]]="","",SIGN(Plantilla_SCAN_EQ3_COUNT_2[[#This Row],[Cantidad]])+A1364)</f>
        <v/>
      </c>
      <c r="B1365" s="21" t="str">
        <f>IF(Plantilla_SCAN_EQ3_COUNT_2[[#This Row],[ID MATERIAL]]="","",B1364)</f>
        <v/>
      </c>
      <c r="C1365" s="21"/>
      <c r="D1365" s="21"/>
      <c r="E1365" s="7" t="str">
        <f>IF(Plantilla_SCAN_EQ3_COUNT_2[[#This Row],[ID MATERIAL]]="","",VLOOKUP(Plantilla_SCAN_EQ3_COUNT_2[[#This Row],[ID MATERIAL]],INVENTARIO!$A:$D,2,FALSE))</f>
        <v/>
      </c>
      <c r="F1365" s="7" t="str">
        <f>IF(Plantilla_SCAN_EQ3_COUNT_2[[#This Row],[ID MATERIAL]]="","",IF(Plantilla_SCAN_EQ3_COUNT_2[[#This Row],[No. Empaques]]="",1,Plantilla_SCAN_EQ3_COUNT_2[[#This Row],[No. Empaques]]*1))</f>
        <v/>
      </c>
      <c r="G1365" s="7" t="str">
        <f>IF(Plantilla_SCAN_EQ3_COUNT_2[[#This Row],[ID MATERIAL]]="","","PZ")</f>
        <v/>
      </c>
      <c r="H1365" s="7" t="str">
        <f>IF(Plantilla_SCAN_EQ3_COUNT_2[[#This Row],[ID MATERIAL]]="","",$B$13)</f>
        <v/>
      </c>
      <c r="I1365" s="7" t="str">
        <f>IF(Plantilla_SCAN_EQ3_COUNT_2[[#This Row],[ID MATERIAL]]="","","Segundo Conteo")</f>
        <v/>
      </c>
    </row>
    <row r="1366" spans="1:9" s="7" customFormat="1" ht="15" x14ac:dyDescent="0.2">
      <c r="A1366" s="7" t="str">
        <f>IF(Plantilla_SCAN_EQ3_COUNT_2[[#This Row],[ID MATERIAL]]="","",SIGN(Plantilla_SCAN_EQ3_COUNT_2[[#This Row],[Cantidad]])+A1365)</f>
        <v/>
      </c>
      <c r="B1366" s="21" t="str">
        <f>IF(Plantilla_SCAN_EQ3_COUNT_2[[#This Row],[ID MATERIAL]]="","",B1365)</f>
        <v/>
      </c>
      <c r="C1366" s="21"/>
      <c r="D1366" s="21"/>
      <c r="E1366" s="7" t="str">
        <f>IF(Plantilla_SCAN_EQ3_COUNT_2[[#This Row],[ID MATERIAL]]="","",VLOOKUP(Plantilla_SCAN_EQ3_COUNT_2[[#This Row],[ID MATERIAL]],INVENTARIO!$A:$D,2,FALSE))</f>
        <v/>
      </c>
      <c r="F1366" s="7" t="str">
        <f>IF(Plantilla_SCAN_EQ3_COUNT_2[[#This Row],[ID MATERIAL]]="","",IF(Plantilla_SCAN_EQ3_COUNT_2[[#This Row],[No. Empaques]]="",1,Plantilla_SCAN_EQ3_COUNT_2[[#This Row],[No. Empaques]]*1))</f>
        <v/>
      </c>
      <c r="G1366" s="7" t="str">
        <f>IF(Plantilla_SCAN_EQ3_COUNT_2[[#This Row],[ID MATERIAL]]="","","PZ")</f>
        <v/>
      </c>
      <c r="H1366" s="7" t="str">
        <f>IF(Plantilla_SCAN_EQ3_COUNT_2[[#This Row],[ID MATERIAL]]="","",$B$13)</f>
        <v/>
      </c>
      <c r="I1366" s="7" t="str">
        <f>IF(Plantilla_SCAN_EQ3_COUNT_2[[#This Row],[ID MATERIAL]]="","","Segundo Conteo")</f>
        <v/>
      </c>
    </row>
    <row r="1367" spans="1:9" s="7" customFormat="1" ht="15" x14ac:dyDescent="0.2">
      <c r="A1367" s="7" t="str">
        <f>IF(Plantilla_SCAN_EQ3_COUNT_2[[#This Row],[ID MATERIAL]]="","",SIGN(Plantilla_SCAN_EQ3_COUNT_2[[#This Row],[Cantidad]])+A1366)</f>
        <v/>
      </c>
      <c r="B1367" s="21" t="str">
        <f>IF(Plantilla_SCAN_EQ3_COUNT_2[[#This Row],[ID MATERIAL]]="","",B1366)</f>
        <v/>
      </c>
      <c r="C1367" s="21"/>
      <c r="D1367" s="21"/>
      <c r="E1367" s="7" t="str">
        <f>IF(Plantilla_SCAN_EQ3_COUNT_2[[#This Row],[ID MATERIAL]]="","",VLOOKUP(Plantilla_SCAN_EQ3_COUNT_2[[#This Row],[ID MATERIAL]],INVENTARIO!$A:$D,2,FALSE))</f>
        <v/>
      </c>
      <c r="F1367" s="7" t="str">
        <f>IF(Plantilla_SCAN_EQ3_COUNT_2[[#This Row],[ID MATERIAL]]="","",IF(Plantilla_SCAN_EQ3_COUNT_2[[#This Row],[No. Empaques]]="",1,Plantilla_SCAN_EQ3_COUNT_2[[#This Row],[No. Empaques]]*1))</f>
        <v/>
      </c>
      <c r="G1367" s="7" t="str">
        <f>IF(Plantilla_SCAN_EQ3_COUNT_2[[#This Row],[ID MATERIAL]]="","","PZ")</f>
        <v/>
      </c>
      <c r="H1367" s="7" t="str">
        <f>IF(Plantilla_SCAN_EQ3_COUNT_2[[#This Row],[ID MATERIAL]]="","",$B$13)</f>
        <v/>
      </c>
      <c r="I1367" s="7" t="str">
        <f>IF(Plantilla_SCAN_EQ3_COUNT_2[[#This Row],[ID MATERIAL]]="","","Segundo Conteo")</f>
        <v/>
      </c>
    </row>
    <row r="1368" spans="1:9" s="7" customFormat="1" ht="15" x14ac:dyDescent="0.2">
      <c r="A1368" s="7" t="str">
        <f>IF(Plantilla_SCAN_EQ3_COUNT_2[[#This Row],[ID MATERIAL]]="","",SIGN(Plantilla_SCAN_EQ3_COUNT_2[[#This Row],[Cantidad]])+A1367)</f>
        <v/>
      </c>
      <c r="B1368" s="21" t="str">
        <f>IF(Plantilla_SCAN_EQ3_COUNT_2[[#This Row],[ID MATERIAL]]="","",B1367)</f>
        <v/>
      </c>
      <c r="C1368" s="21"/>
      <c r="D1368" s="21"/>
      <c r="E1368" s="7" t="str">
        <f>IF(Plantilla_SCAN_EQ3_COUNT_2[[#This Row],[ID MATERIAL]]="","",VLOOKUP(Plantilla_SCAN_EQ3_COUNT_2[[#This Row],[ID MATERIAL]],INVENTARIO!$A:$D,2,FALSE))</f>
        <v/>
      </c>
      <c r="F1368" s="7" t="str">
        <f>IF(Plantilla_SCAN_EQ3_COUNT_2[[#This Row],[ID MATERIAL]]="","",IF(Plantilla_SCAN_EQ3_COUNT_2[[#This Row],[No. Empaques]]="",1,Plantilla_SCAN_EQ3_COUNT_2[[#This Row],[No. Empaques]]*1))</f>
        <v/>
      </c>
      <c r="G1368" s="7" t="str">
        <f>IF(Plantilla_SCAN_EQ3_COUNT_2[[#This Row],[ID MATERIAL]]="","","PZ")</f>
        <v/>
      </c>
      <c r="H1368" s="7" t="str">
        <f>IF(Plantilla_SCAN_EQ3_COUNT_2[[#This Row],[ID MATERIAL]]="","",$B$13)</f>
        <v/>
      </c>
      <c r="I1368" s="7" t="str">
        <f>IF(Plantilla_SCAN_EQ3_COUNT_2[[#This Row],[ID MATERIAL]]="","","Segundo Conteo")</f>
        <v/>
      </c>
    </row>
    <row r="1369" spans="1:9" s="7" customFormat="1" ht="15" x14ac:dyDescent="0.2">
      <c r="A1369" s="7" t="str">
        <f>IF(Plantilla_SCAN_EQ3_COUNT_2[[#This Row],[ID MATERIAL]]="","",SIGN(Plantilla_SCAN_EQ3_COUNT_2[[#This Row],[Cantidad]])+A1368)</f>
        <v/>
      </c>
      <c r="B1369" s="21" t="str">
        <f>IF(Plantilla_SCAN_EQ3_COUNT_2[[#This Row],[ID MATERIAL]]="","",B1368)</f>
        <v/>
      </c>
      <c r="C1369" s="21"/>
      <c r="D1369" s="21"/>
      <c r="E1369" s="7" t="str">
        <f>IF(Plantilla_SCAN_EQ3_COUNT_2[[#This Row],[ID MATERIAL]]="","",VLOOKUP(Plantilla_SCAN_EQ3_COUNT_2[[#This Row],[ID MATERIAL]],INVENTARIO!$A:$D,2,FALSE))</f>
        <v/>
      </c>
      <c r="F1369" s="7" t="str">
        <f>IF(Plantilla_SCAN_EQ3_COUNT_2[[#This Row],[ID MATERIAL]]="","",IF(Plantilla_SCAN_EQ3_COUNT_2[[#This Row],[No. Empaques]]="",1,Plantilla_SCAN_EQ3_COUNT_2[[#This Row],[No. Empaques]]*1))</f>
        <v/>
      </c>
      <c r="G1369" s="7" t="str">
        <f>IF(Plantilla_SCAN_EQ3_COUNT_2[[#This Row],[ID MATERIAL]]="","","PZ")</f>
        <v/>
      </c>
      <c r="H1369" s="7" t="str">
        <f>IF(Plantilla_SCAN_EQ3_COUNT_2[[#This Row],[ID MATERIAL]]="","",$B$13)</f>
        <v/>
      </c>
      <c r="I1369" s="7" t="str">
        <f>IF(Plantilla_SCAN_EQ3_COUNT_2[[#This Row],[ID MATERIAL]]="","","Segundo Conteo")</f>
        <v/>
      </c>
    </row>
    <row r="1370" spans="1:9" s="7" customFormat="1" ht="15" x14ac:dyDescent="0.2">
      <c r="A1370" s="7" t="str">
        <f>IF(Plantilla_SCAN_EQ3_COUNT_2[[#This Row],[ID MATERIAL]]="","",SIGN(Plantilla_SCAN_EQ3_COUNT_2[[#This Row],[Cantidad]])+A1369)</f>
        <v/>
      </c>
      <c r="B1370" s="21" t="str">
        <f>IF(Plantilla_SCAN_EQ3_COUNT_2[[#This Row],[ID MATERIAL]]="","",B1369)</f>
        <v/>
      </c>
      <c r="C1370" s="21"/>
      <c r="D1370" s="21"/>
      <c r="E1370" s="7" t="str">
        <f>IF(Plantilla_SCAN_EQ3_COUNT_2[[#This Row],[ID MATERIAL]]="","",VLOOKUP(Plantilla_SCAN_EQ3_COUNT_2[[#This Row],[ID MATERIAL]],INVENTARIO!$A:$D,2,FALSE))</f>
        <v/>
      </c>
      <c r="F1370" s="7" t="str">
        <f>IF(Plantilla_SCAN_EQ3_COUNT_2[[#This Row],[ID MATERIAL]]="","",IF(Plantilla_SCAN_EQ3_COUNT_2[[#This Row],[No. Empaques]]="",1,Plantilla_SCAN_EQ3_COUNT_2[[#This Row],[No. Empaques]]*1))</f>
        <v/>
      </c>
      <c r="G1370" s="7" t="str">
        <f>IF(Plantilla_SCAN_EQ3_COUNT_2[[#This Row],[ID MATERIAL]]="","","PZ")</f>
        <v/>
      </c>
      <c r="H1370" s="7" t="str">
        <f>IF(Plantilla_SCAN_EQ3_COUNT_2[[#This Row],[ID MATERIAL]]="","",$B$13)</f>
        <v/>
      </c>
      <c r="I1370" s="7" t="str">
        <f>IF(Plantilla_SCAN_EQ3_COUNT_2[[#This Row],[ID MATERIAL]]="","","Segundo Conteo")</f>
        <v/>
      </c>
    </row>
    <row r="1371" spans="1:9" s="7" customFormat="1" ht="15" x14ac:dyDescent="0.2">
      <c r="A1371" s="7" t="str">
        <f>IF(Plantilla_SCAN_EQ3_COUNT_2[[#This Row],[ID MATERIAL]]="","",SIGN(Plantilla_SCAN_EQ3_COUNT_2[[#This Row],[Cantidad]])+A1370)</f>
        <v/>
      </c>
      <c r="B1371" s="21" t="str">
        <f>IF(Plantilla_SCAN_EQ3_COUNT_2[[#This Row],[ID MATERIAL]]="","",B1370)</f>
        <v/>
      </c>
      <c r="C1371" s="21"/>
      <c r="D1371" s="21"/>
      <c r="E1371" s="7" t="str">
        <f>IF(Plantilla_SCAN_EQ3_COUNT_2[[#This Row],[ID MATERIAL]]="","",VLOOKUP(Plantilla_SCAN_EQ3_COUNT_2[[#This Row],[ID MATERIAL]],INVENTARIO!$A:$D,2,FALSE))</f>
        <v/>
      </c>
      <c r="F1371" s="7" t="str">
        <f>IF(Plantilla_SCAN_EQ3_COUNT_2[[#This Row],[ID MATERIAL]]="","",IF(Plantilla_SCAN_EQ3_COUNT_2[[#This Row],[No. Empaques]]="",1,Plantilla_SCAN_EQ3_COUNT_2[[#This Row],[No. Empaques]]*1))</f>
        <v/>
      </c>
      <c r="G1371" s="7" t="str">
        <f>IF(Plantilla_SCAN_EQ3_COUNT_2[[#This Row],[ID MATERIAL]]="","","PZ")</f>
        <v/>
      </c>
      <c r="H1371" s="7" t="str">
        <f>IF(Plantilla_SCAN_EQ3_COUNT_2[[#This Row],[ID MATERIAL]]="","",$B$13)</f>
        <v/>
      </c>
      <c r="I1371" s="7" t="str">
        <f>IF(Plantilla_SCAN_EQ3_COUNT_2[[#This Row],[ID MATERIAL]]="","","Segundo Conteo")</f>
        <v/>
      </c>
    </row>
    <row r="1372" spans="1:9" s="7" customFormat="1" ht="15" x14ac:dyDescent="0.2">
      <c r="A1372" s="7" t="str">
        <f>IF(Plantilla_SCAN_EQ3_COUNT_2[[#This Row],[ID MATERIAL]]="","",SIGN(Plantilla_SCAN_EQ3_COUNT_2[[#This Row],[Cantidad]])+A1371)</f>
        <v/>
      </c>
      <c r="B1372" s="21" t="str">
        <f>IF(Plantilla_SCAN_EQ3_COUNT_2[[#This Row],[ID MATERIAL]]="","",B1371)</f>
        <v/>
      </c>
      <c r="C1372" s="21"/>
      <c r="D1372" s="21"/>
      <c r="E1372" s="7" t="str">
        <f>IF(Plantilla_SCAN_EQ3_COUNT_2[[#This Row],[ID MATERIAL]]="","",VLOOKUP(Plantilla_SCAN_EQ3_COUNT_2[[#This Row],[ID MATERIAL]],INVENTARIO!$A:$D,2,FALSE))</f>
        <v/>
      </c>
      <c r="F1372" s="7" t="str">
        <f>IF(Plantilla_SCAN_EQ3_COUNT_2[[#This Row],[ID MATERIAL]]="","",IF(Plantilla_SCAN_EQ3_COUNT_2[[#This Row],[No. Empaques]]="",1,Plantilla_SCAN_EQ3_COUNT_2[[#This Row],[No. Empaques]]*1))</f>
        <v/>
      </c>
      <c r="G1372" s="7" t="str">
        <f>IF(Plantilla_SCAN_EQ3_COUNT_2[[#This Row],[ID MATERIAL]]="","","PZ")</f>
        <v/>
      </c>
      <c r="H1372" s="7" t="str">
        <f>IF(Plantilla_SCAN_EQ3_COUNT_2[[#This Row],[ID MATERIAL]]="","",$B$13)</f>
        <v/>
      </c>
      <c r="I1372" s="7" t="str">
        <f>IF(Plantilla_SCAN_EQ3_COUNT_2[[#This Row],[ID MATERIAL]]="","","Segundo Conteo")</f>
        <v/>
      </c>
    </row>
    <row r="1373" spans="1:9" s="7" customFormat="1" ht="15" x14ac:dyDescent="0.2">
      <c r="A1373" s="7" t="str">
        <f>IF(Plantilla_SCAN_EQ3_COUNT_2[[#This Row],[ID MATERIAL]]="","",SIGN(Plantilla_SCAN_EQ3_COUNT_2[[#This Row],[Cantidad]])+A1372)</f>
        <v/>
      </c>
      <c r="B1373" s="21" t="str">
        <f>IF(Plantilla_SCAN_EQ3_COUNT_2[[#This Row],[ID MATERIAL]]="","",B1372)</f>
        <v/>
      </c>
      <c r="C1373" s="21"/>
      <c r="D1373" s="21"/>
      <c r="E1373" s="7" t="str">
        <f>IF(Plantilla_SCAN_EQ3_COUNT_2[[#This Row],[ID MATERIAL]]="","",VLOOKUP(Plantilla_SCAN_EQ3_COUNT_2[[#This Row],[ID MATERIAL]],INVENTARIO!$A:$D,2,FALSE))</f>
        <v/>
      </c>
      <c r="F1373" s="7" t="str">
        <f>IF(Plantilla_SCAN_EQ3_COUNT_2[[#This Row],[ID MATERIAL]]="","",IF(Plantilla_SCAN_EQ3_COUNT_2[[#This Row],[No. Empaques]]="",1,Plantilla_SCAN_EQ3_COUNT_2[[#This Row],[No. Empaques]]*1))</f>
        <v/>
      </c>
      <c r="G1373" s="7" t="str">
        <f>IF(Plantilla_SCAN_EQ3_COUNT_2[[#This Row],[ID MATERIAL]]="","","PZ")</f>
        <v/>
      </c>
      <c r="H1373" s="7" t="str">
        <f>IF(Plantilla_SCAN_EQ3_COUNT_2[[#This Row],[ID MATERIAL]]="","",$B$13)</f>
        <v/>
      </c>
      <c r="I1373" s="7" t="str">
        <f>IF(Plantilla_SCAN_EQ3_COUNT_2[[#This Row],[ID MATERIAL]]="","","Segundo Conteo")</f>
        <v/>
      </c>
    </row>
    <row r="1374" spans="1:9" s="7" customFormat="1" ht="15" x14ac:dyDescent="0.2">
      <c r="A1374" s="7" t="str">
        <f>IF(Plantilla_SCAN_EQ3_COUNT_2[[#This Row],[ID MATERIAL]]="","",SIGN(Plantilla_SCAN_EQ3_COUNT_2[[#This Row],[Cantidad]])+A1373)</f>
        <v/>
      </c>
      <c r="B1374" s="21" t="str">
        <f>IF(Plantilla_SCAN_EQ3_COUNT_2[[#This Row],[ID MATERIAL]]="","",B1373)</f>
        <v/>
      </c>
      <c r="C1374" s="21"/>
      <c r="D1374" s="21"/>
      <c r="E1374" s="7" t="str">
        <f>IF(Plantilla_SCAN_EQ3_COUNT_2[[#This Row],[ID MATERIAL]]="","",VLOOKUP(Plantilla_SCAN_EQ3_COUNT_2[[#This Row],[ID MATERIAL]],INVENTARIO!$A:$D,2,FALSE))</f>
        <v/>
      </c>
      <c r="F1374" s="7" t="str">
        <f>IF(Plantilla_SCAN_EQ3_COUNT_2[[#This Row],[ID MATERIAL]]="","",IF(Plantilla_SCAN_EQ3_COUNT_2[[#This Row],[No. Empaques]]="",1,Plantilla_SCAN_EQ3_COUNT_2[[#This Row],[No. Empaques]]*1))</f>
        <v/>
      </c>
      <c r="G1374" s="7" t="str">
        <f>IF(Plantilla_SCAN_EQ3_COUNT_2[[#This Row],[ID MATERIAL]]="","","PZ")</f>
        <v/>
      </c>
      <c r="H1374" s="7" t="str">
        <f>IF(Plantilla_SCAN_EQ3_COUNT_2[[#This Row],[ID MATERIAL]]="","",$B$13)</f>
        <v/>
      </c>
      <c r="I1374" s="7" t="str">
        <f>IF(Plantilla_SCAN_EQ3_COUNT_2[[#This Row],[ID MATERIAL]]="","","Segundo Conteo")</f>
        <v/>
      </c>
    </row>
    <row r="1375" spans="1:9" s="7" customFormat="1" ht="15" x14ac:dyDescent="0.2">
      <c r="A1375" s="7" t="str">
        <f>IF(Plantilla_SCAN_EQ3_COUNT_2[[#This Row],[ID MATERIAL]]="","",SIGN(Plantilla_SCAN_EQ3_COUNT_2[[#This Row],[Cantidad]])+A1374)</f>
        <v/>
      </c>
      <c r="B1375" s="21" t="str">
        <f>IF(Plantilla_SCAN_EQ3_COUNT_2[[#This Row],[ID MATERIAL]]="","",B1374)</f>
        <v/>
      </c>
      <c r="C1375" s="21"/>
      <c r="D1375" s="21"/>
      <c r="E1375" s="7" t="str">
        <f>IF(Plantilla_SCAN_EQ3_COUNT_2[[#This Row],[ID MATERIAL]]="","",VLOOKUP(Plantilla_SCAN_EQ3_COUNT_2[[#This Row],[ID MATERIAL]],INVENTARIO!$A:$D,2,FALSE))</f>
        <v/>
      </c>
      <c r="F1375" s="7" t="str">
        <f>IF(Plantilla_SCAN_EQ3_COUNT_2[[#This Row],[ID MATERIAL]]="","",IF(Plantilla_SCAN_EQ3_COUNT_2[[#This Row],[No. Empaques]]="",1,Plantilla_SCAN_EQ3_COUNT_2[[#This Row],[No. Empaques]]*1))</f>
        <v/>
      </c>
      <c r="G1375" s="7" t="str">
        <f>IF(Plantilla_SCAN_EQ3_COUNT_2[[#This Row],[ID MATERIAL]]="","","PZ")</f>
        <v/>
      </c>
      <c r="H1375" s="7" t="str">
        <f>IF(Plantilla_SCAN_EQ3_COUNT_2[[#This Row],[ID MATERIAL]]="","",$B$13)</f>
        <v/>
      </c>
      <c r="I1375" s="7" t="str">
        <f>IF(Plantilla_SCAN_EQ3_COUNT_2[[#This Row],[ID MATERIAL]]="","","Segundo Conteo")</f>
        <v/>
      </c>
    </row>
    <row r="1376" spans="1:9" s="7" customFormat="1" ht="15" x14ac:dyDescent="0.2">
      <c r="A1376" s="7" t="str">
        <f>IF(Plantilla_SCAN_EQ3_COUNT_2[[#This Row],[ID MATERIAL]]="","",SIGN(Plantilla_SCAN_EQ3_COUNT_2[[#This Row],[Cantidad]])+A1375)</f>
        <v/>
      </c>
      <c r="B1376" s="21" t="str">
        <f>IF(Plantilla_SCAN_EQ3_COUNT_2[[#This Row],[ID MATERIAL]]="","",B1375)</f>
        <v/>
      </c>
      <c r="C1376" s="21"/>
      <c r="D1376" s="21"/>
      <c r="E1376" s="7" t="str">
        <f>IF(Plantilla_SCAN_EQ3_COUNT_2[[#This Row],[ID MATERIAL]]="","",VLOOKUP(Plantilla_SCAN_EQ3_COUNT_2[[#This Row],[ID MATERIAL]],INVENTARIO!$A:$D,2,FALSE))</f>
        <v/>
      </c>
      <c r="F1376" s="7" t="str">
        <f>IF(Plantilla_SCAN_EQ3_COUNT_2[[#This Row],[ID MATERIAL]]="","",IF(Plantilla_SCAN_EQ3_COUNT_2[[#This Row],[No. Empaques]]="",1,Plantilla_SCAN_EQ3_COUNT_2[[#This Row],[No. Empaques]]*1))</f>
        <v/>
      </c>
      <c r="G1376" s="7" t="str">
        <f>IF(Plantilla_SCAN_EQ3_COUNT_2[[#This Row],[ID MATERIAL]]="","","PZ")</f>
        <v/>
      </c>
      <c r="H1376" s="7" t="str">
        <f>IF(Plantilla_SCAN_EQ3_COUNT_2[[#This Row],[ID MATERIAL]]="","",$B$13)</f>
        <v/>
      </c>
      <c r="I1376" s="7" t="str">
        <f>IF(Plantilla_SCAN_EQ3_COUNT_2[[#This Row],[ID MATERIAL]]="","","Segundo Conteo")</f>
        <v/>
      </c>
    </row>
    <row r="1377" spans="1:9" s="7" customFormat="1" ht="15" x14ac:dyDescent="0.2">
      <c r="A1377" s="7" t="str">
        <f>IF(Plantilla_SCAN_EQ3_COUNT_2[[#This Row],[ID MATERIAL]]="","",SIGN(Plantilla_SCAN_EQ3_COUNT_2[[#This Row],[Cantidad]])+A1376)</f>
        <v/>
      </c>
      <c r="B1377" s="21" t="str">
        <f>IF(Plantilla_SCAN_EQ3_COUNT_2[[#This Row],[ID MATERIAL]]="","",B1376)</f>
        <v/>
      </c>
      <c r="C1377" s="21"/>
      <c r="D1377" s="21"/>
      <c r="E1377" s="7" t="str">
        <f>IF(Plantilla_SCAN_EQ3_COUNT_2[[#This Row],[ID MATERIAL]]="","",VLOOKUP(Plantilla_SCAN_EQ3_COUNT_2[[#This Row],[ID MATERIAL]],INVENTARIO!$A:$D,2,FALSE))</f>
        <v/>
      </c>
      <c r="F1377" s="7" t="str">
        <f>IF(Plantilla_SCAN_EQ3_COUNT_2[[#This Row],[ID MATERIAL]]="","",IF(Plantilla_SCAN_EQ3_COUNT_2[[#This Row],[No. Empaques]]="",1,Plantilla_SCAN_EQ3_COUNT_2[[#This Row],[No. Empaques]]*1))</f>
        <v/>
      </c>
      <c r="G1377" s="7" t="str">
        <f>IF(Plantilla_SCAN_EQ3_COUNT_2[[#This Row],[ID MATERIAL]]="","","PZ")</f>
        <v/>
      </c>
      <c r="H1377" s="7" t="str">
        <f>IF(Plantilla_SCAN_EQ3_COUNT_2[[#This Row],[ID MATERIAL]]="","",$B$13)</f>
        <v/>
      </c>
      <c r="I1377" s="7" t="str">
        <f>IF(Plantilla_SCAN_EQ3_COUNT_2[[#This Row],[ID MATERIAL]]="","","Segundo Conteo")</f>
        <v/>
      </c>
    </row>
    <row r="1378" spans="1:9" s="7" customFormat="1" ht="15" x14ac:dyDescent="0.2">
      <c r="A1378" s="7" t="str">
        <f>IF(Plantilla_SCAN_EQ3_COUNT_2[[#This Row],[ID MATERIAL]]="","",SIGN(Plantilla_SCAN_EQ3_COUNT_2[[#This Row],[Cantidad]])+A1377)</f>
        <v/>
      </c>
      <c r="B1378" s="21" t="str">
        <f>IF(Plantilla_SCAN_EQ3_COUNT_2[[#This Row],[ID MATERIAL]]="","",B1377)</f>
        <v/>
      </c>
      <c r="C1378" s="21"/>
      <c r="D1378" s="21"/>
      <c r="E1378" s="7" t="str">
        <f>IF(Plantilla_SCAN_EQ3_COUNT_2[[#This Row],[ID MATERIAL]]="","",VLOOKUP(Plantilla_SCAN_EQ3_COUNT_2[[#This Row],[ID MATERIAL]],INVENTARIO!$A:$D,2,FALSE))</f>
        <v/>
      </c>
      <c r="F1378" s="7" t="str">
        <f>IF(Plantilla_SCAN_EQ3_COUNT_2[[#This Row],[ID MATERIAL]]="","",IF(Plantilla_SCAN_EQ3_COUNT_2[[#This Row],[No. Empaques]]="",1,Plantilla_SCAN_EQ3_COUNT_2[[#This Row],[No. Empaques]]*1))</f>
        <v/>
      </c>
      <c r="G1378" s="7" t="str">
        <f>IF(Plantilla_SCAN_EQ3_COUNT_2[[#This Row],[ID MATERIAL]]="","","PZ")</f>
        <v/>
      </c>
      <c r="H1378" s="7" t="str">
        <f>IF(Plantilla_SCAN_EQ3_COUNT_2[[#This Row],[ID MATERIAL]]="","",$B$13)</f>
        <v/>
      </c>
      <c r="I1378" s="7" t="str">
        <f>IF(Plantilla_SCAN_EQ3_COUNT_2[[#This Row],[ID MATERIAL]]="","","Segundo Conteo")</f>
        <v/>
      </c>
    </row>
    <row r="1379" spans="1:9" s="7" customFormat="1" ht="15" x14ac:dyDescent="0.2">
      <c r="A1379" s="7" t="str">
        <f>IF(Plantilla_SCAN_EQ3_COUNT_2[[#This Row],[ID MATERIAL]]="","",SIGN(Plantilla_SCAN_EQ3_COUNT_2[[#This Row],[Cantidad]])+A1378)</f>
        <v/>
      </c>
      <c r="B1379" s="21" t="str">
        <f>IF(Plantilla_SCAN_EQ3_COUNT_2[[#This Row],[ID MATERIAL]]="","",B1378)</f>
        <v/>
      </c>
      <c r="C1379" s="21"/>
      <c r="D1379" s="21"/>
      <c r="E1379" s="7" t="str">
        <f>IF(Plantilla_SCAN_EQ3_COUNT_2[[#This Row],[ID MATERIAL]]="","",VLOOKUP(Plantilla_SCAN_EQ3_COUNT_2[[#This Row],[ID MATERIAL]],INVENTARIO!$A:$D,2,FALSE))</f>
        <v/>
      </c>
      <c r="F1379" s="7" t="str">
        <f>IF(Plantilla_SCAN_EQ3_COUNT_2[[#This Row],[ID MATERIAL]]="","",IF(Plantilla_SCAN_EQ3_COUNT_2[[#This Row],[No. Empaques]]="",1,Plantilla_SCAN_EQ3_COUNT_2[[#This Row],[No. Empaques]]*1))</f>
        <v/>
      </c>
      <c r="G1379" s="7" t="str">
        <f>IF(Plantilla_SCAN_EQ3_COUNT_2[[#This Row],[ID MATERIAL]]="","","PZ")</f>
        <v/>
      </c>
      <c r="H1379" s="7" t="str">
        <f>IF(Plantilla_SCAN_EQ3_COUNT_2[[#This Row],[ID MATERIAL]]="","",$B$13)</f>
        <v/>
      </c>
      <c r="I1379" s="7" t="str">
        <f>IF(Plantilla_SCAN_EQ3_COUNT_2[[#This Row],[ID MATERIAL]]="","","Segundo Conteo")</f>
        <v/>
      </c>
    </row>
    <row r="1380" spans="1:9" s="7" customFormat="1" ht="15" x14ac:dyDescent="0.2">
      <c r="A1380" s="7" t="str">
        <f>IF(Plantilla_SCAN_EQ3_COUNT_2[[#This Row],[ID MATERIAL]]="","",SIGN(Plantilla_SCAN_EQ3_COUNT_2[[#This Row],[Cantidad]])+A1379)</f>
        <v/>
      </c>
      <c r="B1380" s="21" t="str">
        <f>IF(Plantilla_SCAN_EQ3_COUNT_2[[#This Row],[ID MATERIAL]]="","",B1379)</f>
        <v/>
      </c>
      <c r="C1380" s="21"/>
      <c r="D1380" s="21"/>
      <c r="E1380" s="7" t="str">
        <f>IF(Plantilla_SCAN_EQ3_COUNT_2[[#This Row],[ID MATERIAL]]="","",VLOOKUP(Plantilla_SCAN_EQ3_COUNT_2[[#This Row],[ID MATERIAL]],INVENTARIO!$A:$D,2,FALSE))</f>
        <v/>
      </c>
      <c r="F1380" s="7" t="str">
        <f>IF(Plantilla_SCAN_EQ3_COUNT_2[[#This Row],[ID MATERIAL]]="","",IF(Plantilla_SCAN_EQ3_COUNT_2[[#This Row],[No. Empaques]]="",1,Plantilla_SCAN_EQ3_COUNT_2[[#This Row],[No. Empaques]]*1))</f>
        <v/>
      </c>
      <c r="G1380" s="7" t="str">
        <f>IF(Plantilla_SCAN_EQ3_COUNT_2[[#This Row],[ID MATERIAL]]="","","PZ")</f>
        <v/>
      </c>
      <c r="H1380" s="7" t="str">
        <f>IF(Plantilla_SCAN_EQ3_COUNT_2[[#This Row],[ID MATERIAL]]="","",$B$13)</f>
        <v/>
      </c>
      <c r="I1380" s="7" t="str">
        <f>IF(Plantilla_SCAN_EQ3_COUNT_2[[#This Row],[ID MATERIAL]]="","","Segundo Conteo")</f>
        <v/>
      </c>
    </row>
    <row r="1381" spans="1:9" s="7" customFormat="1" ht="15" x14ac:dyDescent="0.2">
      <c r="A1381" s="7" t="str">
        <f>IF(Plantilla_SCAN_EQ3_COUNT_2[[#This Row],[ID MATERIAL]]="","",SIGN(Plantilla_SCAN_EQ3_COUNT_2[[#This Row],[Cantidad]])+A1380)</f>
        <v/>
      </c>
      <c r="B1381" s="21" t="str">
        <f>IF(Plantilla_SCAN_EQ3_COUNT_2[[#This Row],[ID MATERIAL]]="","",B1380)</f>
        <v/>
      </c>
      <c r="C1381" s="21"/>
      <c r="D1381" s="21"/>
      <c r="E1381" s="7" t="str">
        <f>IF(Plantilla_SCAN_EQ3_COUNT_2[[#This Row],[ID MATERIAL]]="","",VLOOKUP(Plantilla_SCAN_EQ3_COUNT_2[[#This Row],[ID MATERIAL]],INVENTARIO!$A:$D,2,FALSE))</f>
        <v/>
      </c>
      <c r="F1381" s="7" t="str">
        <f>IF(Plantilla_SCAN_EQ3_COUNT_2[[#This Row],[ID MATERIAL]]="","",IF(Plantilla_SCAN_EQ3_COUNT_2[[#This Row],[No. Empaques]]="",1,Plantilla_SCAN_EQ3_COUNT_2[[#This Row],[No. Empaques]]*1))</f>
        <v/>
      </c>
      <c r="G1381" s="7" t="str">
        <f>IF(Plantilla_SCAN_EQ3_COUNT_2[[#This Row],[ID MATERIAL]]="","","PZ")</f>
        <v/>
      </c>
      <c r="H1381" s="7" t="str">
        <f>IF(Plantilla_SCAN_EQ3_COUNT_2[[#This Row],[ID MATERIAL]]="","",$B$13)</f>
        <v/>
      </c>
      <c r="I1381" s="7" t="str">
        <f>IF(Plantilla_SCAN_EQ3_COUNT_2[[#This Row],[ID MATERIAL]]="","","Segundo Conteo")</f>
        <v/>
      </c>
    </row>
    <row r="1382" spans="1:9" s="7" customFormat="1" ht="15" x14ac:dyDescent="0.2">
      <c r="A1382" s="7" t="str">
        <f>IF(Plantilla_SCAN_EQ3_COUNT_2[[#This Row],[ID MATERIAL]]="","",SIGN(Plantilla_SCAN_EQ3_COUNT_2[[#This Row],[Cantidad]])+A1381)</f>
        <v/>
      </c>
      <c r="B1382" s="21" t="str">
        <f>IF(Plantilla_SCAN_EQ3_COUNT_2[[#This Row],[ID MATERIAL]]="","",B1381)</f>
        <v/>
      </c>
      <c r="C1382" s="21"/>
      <c r="D1382" s="21"/>
      <c r="E1382" s="7" t="str">
        <f>IF(Plantilla_SCAN_EQ3_COUNT_2[[#This Row],[ID MATERIAL]]="","",VLOOKUP(Plantilla_SCAN_EQ3_COUNT_2[[#This Row],[ID MATERIAL]],INVENTARIO!$A:$D,2,FALSE))</f>
        <v/>
      </c>
      <c r="F1382" s="7" t="str">
        <f>IF(Plantilla_SCAN_EQ3_COUNT_2[[#This Row],[ID MATERIAL]]="","",IF(Plantilla_SCAN_EQ3_COUNT_2[[#This Row],[No. Empaques]]="",1,Plantilla_SCAN_EQ3_COUNT_2[[#This Row],[No. Empaques]]*1))</f>
        <v/>
      </c>
      <c r="G1382" s="7" t="str">
        <f>IF(Plantilla_SCAN_EQ3_COUNT_2[[#This Row],[ID MATERIAL]]="","","PZ")</f>
        <v/>
      </c>
      <c r="H1382" s="7" t="str">
        <f>IF(Plantilla_SCAN_EQ3_COUNT_2[[#This Row],[ID MATERIAL]]="","",$B$13)</f>
        <v/>
      </c>
      <c r="I1382" s="7" t="str">
        <f>IF(Plantilla_SCAN_EQ3_COUNT_2[[#This Row],[ID MATERIAL]]="","","Segundo Conteo")</f>
        <v/>
      </c>
    </row>
    <row r="1383" spans="1:9" s="7" customFormat="1" ht="15" x14ac:dyDescent="0.2">
      <c r="A1383" s="7" t="str">
        <f>IF(Plantilla_SCAN_EQ3_COUNT_2[[#This Row],[ID MATERIAL]]="","",SIGN(Plantilla_SCAN_EQ3_COUNT_2[[#This Row],[Cantidad]])+A1382)</f>
        <v/>
      </c>
      <c r="B1383" s="21" t="str">
        <f>IF(Plantilla_SCAN_EQ3_COUNT_2[[#This Row],[ID MATERIAL]]="","",B1382)</f>
        <v/>
      </c>
      <c r="C1383" s="21"/>
      <c r="D1383" s="21"/>
      <c r="E1383" s="7" t="str">
        <f>IF(Plantilla_SCAN_EQ3_COUNT_2[[#This Row],[ID MATERIAL]]="","",VLOOKUP(Plantilla_SCAN_EQ3_COUNT_2[[#This Row],[ID MATERIAL]],INVENTARIO!$A:$D,2,FALSE))</f>
        <v/>
      </c>
      <c r="F1383" s="7" t="str">
        <f>IF(Plantilla_SCAN_EQ3_COUNT_2[[#This Row],[ID MATERIAL]]="","",IF(Plantilla_SCAN_EQ3_COUNT_2[[#This Row],[No. Empaques]]="",1,Plantilla_SCAN_EQ3_COUNT_2[[#This Row],[No. Empaques]]*1))</f>
        <v/>
      </c>
      <c r="G1383" s="7" t="str">
        <f>IF(Plantilla_SCAN_EQ3_COUNT_2[[#This Row],[ID MATERIAL]]="","","PZ")</f>
        <v/>
      </c>
      <c r="H1383" s="7" t="str">
        <f>IF(Plantilla_SCAN_EQ3_COUNT_2[[#This Row],[ID MATERIAL]]="","",$B$13)</f>
        <v/>
      </c>
      <c r="I1383" s="7" t="str">
        <f>IF(Plantilla_SCAN_EQ3_COUNT_2[[#This Row],[ID MATERIAL]]="","","Segundo Conteo")</f>
        <v/>
      </c>
    </row>
    <row r="1384" spans="1:9" s="7" customFormat="1" ht="15" x14ac:dyDescent="0.2">
      <c r="A1384" s="7" t="str">
        <f>IF(Plantilla_SCAN_EQ3_COUNT_2[[#This Row],[ID MATERIAL]]="","",SIGN(Plantilla_SCAN_EQ3_COUNT_2[[#This Row],[Cantidad]])+A1383)</f>
        <v/>
      </c>
      <c r="B1384" s="21" t="str">
        <f>IF(Plantilla_SCAN_EQ3_COUNT_2[[#This Row],[ID MATERIAL]]="","",B1383)</f>
        <v/>
      </c>
      <c r="C1384" s="21"/>
      <c r="D1384" s="21"/>
      <c r="E1384" s="7" t="str">
        <f>IF(Plantilla_SCAN_EQ3_COUNT_2[[#This Row],[ID MATERIAL]]="","",VLOOKUP(Plantilla_SCAN_EQ3_COUNT_2[[#This Row],[ID MATERIAL]],INVENTARIO!$A:$D,2,FALSE))</f>
        <v/>
      </c>
      <c r="F1384" s="7" t="str">
        <f>IF(Plantilla_SCAN_EQ3_COUNT_2[[#This Row],[ID MATERIAL]]="","",IF(Plantilla_SCAN_EQ3_COUNT_2[[#This Row],[No. Empaques]]="",1,Plantilla_SCAN_EQ3_COUNT_2[[#This Row],[No. Empaques]]*1))</f>
        <v/>
      </c>
      <c r="G1384" s="7" t="str">
        <f>IF(Plantilla_SCAN_EQ3_COUNT_2[[#This Row],[ID MATERIAL]]="","","PZ")</f>
        <v/>
      </c>
      <c r="H1384" s="7" t="str">
        <f>IF(Plantilla_SCAN_EQ3_COUNT_2[[#This Row],[ID MATERIAL]]="","",$B$13)</f>
        <v/>
      </c>
      <c r="I1384" s="7" t="str">
        <f>IF(Plantilla_SCAN_EQ3_COUNT_2[[#This Row],[ID MATERIAL]]="","","Segundo Conteo")</f>
        <v/>
      </c>
    </row>
    <row r="1385" spans="1:9" s="7" customFormat="1" ht="15" x14ac:dyDescent="0.2">
      <c r="A1385" s="7" t="str">
        <f>IF(Plantilla_SCAN_EQ3_COUNT_2[[#This Row],[ID MATERIAL]]="","",SIGN(Plantilla_SCAN_EQ3_COUNT_2[[#This Row],[Cantidad]])+A1384)</f>
        <v/>
      </c>
      <c r="B1385" s="21" t="str">
        <f>IF(Plantilla_SCAN_EQ3_COUNT_2[[#This Row],[ID MATERIAL]]="","",B1384)</f>
        <v/>
      </c>
      <c r="C1385" s="21"/>
      <c r="D1385" s="21"/>
      <c r="E1385" s="7" t="str">
        <f>IF(Plantilla_SCAN_EQ3_COUNT_2[[#This Row],[ID MATERIAL]]="","",VLOOKUP(Plantilla_SCAN_EQ3_COUNT_2[[#This Row],[ID MATERIAL]],INVENTARIO!$A:$D,2,FALSE))</f>
        <v/>
      </c>
      <c r="F1385" s="7" t="str">
        <f>IF(Plantilla_SCAN_EQ3_COUNT_2[[#This Row],[ID MATERIAL]]="","",IF(Plantilla_SCAN_EQ3_COUNT_2[[#This Row],[No. Empaques]]="",1,Plantilla_SCAN_EQ3_COUNT_2[[#This Row],[No. Empaques]]*1))</f>
        <v/>
      </c>
      <c r="G1385" s="7" t="str">
        <f>IF(Plantilla_SCAN_EQ3_COUNT_2[[#This Row],[ID MATERIAL]]="","","PZ")</f>
        <v/>
      </c>
      <c r="H1385" s="7" t="str">
        <f>IF(Plantilla_SCAN_EQ3_COUNT_2[[#This Row],[ID MATERIAL]]="","",$B$13)</f>
        <v/>
      </c>
      <c r="I1385" s="7" t="str">
        <f>IF(Plantilla_SCAN_EQ3_COUNT_2[[#This Row],[ID MATERIAL]]="","","Segundo Conteo")</f>
        <v/>
      </c>
    </row>
    <row r="1386" spans="1:9" s="7" customFormat="1" ht="15" x14ac:dyDescent="0.2">
      <c r="A1386" s="7" t="str">
        <f>IF(Plantilla_SCAN_EQ3_COUNT_2[[#This Row],[ID MATERIAL]]="","",SIGN(Plantilla_SCAN_EQ3_COUNT_2[[#This Row],[Cantidad]])+A1385)</f>
        <v/>
      </c>
      <c r="B1386" s="21" t="str">
        <f>IF(Plantilla_SCAN_EQ3_COUNT_2[[#This Row],[ID MATERIAL]]="","",B1385)</f>
        <v/>
      </c>
      <c r="C1386" s="21"/>
      <c r="D1386" s="21"/>
      <c r="E1386" s="7" t="str">
        <f>IF(Plantilla_SCAN_EQ3_COUNT_2[[#This Row],[ID MATERIAL]]="","",VLOOKUP(Plantilla_SCAN_EQ3_COUNT_2[[#This Row],[ID MATERIAL]],INVENTARIO!$A:$D,2,FALSE))</f>
        <v/>
      </c>
      <c r="F1386" s="7" t="str">
        <f>IF(Plantilla_SCAN_EQ3_COUNT_2[[#This Row],[ID MATERIAL]]="","",IF(Plantilla_SCAN_EQ3_COUNT_2[[#This Row],[No. Empaques]]="",1,Plantilla_SCAN_EQ3_COUNT_2[[#This Row],[No. Empaques]]*1))</f>
        <v/>
      </c>
      <c r="G1386" s="7" t="str">
        <f>IF(Plantilla_SCAN_EQ3_COUNT_2[[#This Row],[ID MATERIAL]]="","","PZ")</f>
        <v/>
      </c>
      <c r="H1386" s="7" t="str">
        <f>IF(Plantilla_SCAN_EQ3_COUNT_2[[#This Row],[ID MATERIAL]]="","",$B$13)</f>
        <v/>
      </c>
      <c r="I1386" s="7" t="str">
        <f>IF(Plantilla_SCAN_EQ3_COUNT_2[[#This Row],[ID MATERIAL]]="","","Segundo Conteo")</f>
        <v/>
      </c>
    </row>
    <row r="1387" spans="1:9" s="7" customFormat="1" ht="15" x14ac:dyDescent="0.2">
      <c r="A1387" s="7" t="str">
        <f>IF(Plantilla_SCAN_EQ3_COUNT_2[[#This Row],[ID MATERIAL]]="","",SIGN(Plantilla_SCAN_EQ3_COUNT_2[[#This Row],[Cantidad]])+A1386)</f>
        <v/>
      </c>
      <c r="B1387" s="21" t="str">
        <f>IF(Plantilla_SCAN_EQ3_COUNT_2[[#This Row],[ID MATERIAL]]="","",B1386)</f>
        <v/>
      </c>
      <c r="C1387" s="21"/>
      <c r="D1387" s="21"/>
      <c r="E1387" s="7" t="str">
        <f>IF(Plantilla_SCAN_EQ3_COUNT_2[[#This Row],[ID MATERIAL]]="","",VLOOKUP(Plantilla_SCAN_EQ3_COUNT_2[[#This Row],[ID MATERIAL]],INVENTARIO!$A:$D,2,FALSE))</f>
        <v/>
      </c>
      <c r="F1387" s="7" t="str">
        <f>IF(Plantilla_SCAN_EQ3_COUNT_2[[#This Row],[ID MATERIAL]]="","",IF(Plantilla_SCAN_EQ3_COUNT_2[[#This Row],[No. Empaques]]="",1,Plantilla_SCAN_EQ3_COUNT_2[[#This Row],[No. Empaques]]*1))</f>
        <v/>
      </c>
      <c r="G1387" s="7" t="str">
        <f>IF(Plantilla_SCAN_EQ3_COUNT_2[[#This Row],[ID MATERIAL]]="","","PZ")</f>
        <v/>
      </c>
      <c r="H1387" s="7" t="str">
        <f>IF(Plantilla_SCAN_EQ3_COUNT_2[[#This Row],[ID MATERIAL]]="","",$B$13)</f>
        <v/>
      </c>
      <c r="I1387" s="7" t="str">
        <f>IF(Plantilla_SCAN_EQ3_COUNT_2[[#This Row],[ID MATERIAL]]="","","Segundo Conteo")</f>
        <v/>
      </c>
    </row>
    <row r="1388" spans="1:9" s="7" customFormat="1" ht="15" x14ac:dyDescent="0.2">
      <c r="A1388" s="7" t="str">
        <f>IF(Plantilla_SCAN_EQ3_COUNT_2[[#This Row],[ID MATERIAL]]="","",SIGN(Plantilla_SCAN_EQ3_COUNT_2[[#This Row],[Cantidad]])+A1387)</f>
        <v/>
      </c>
      <c r="B1388" s="21" t="str">
        <f>IF(Plantilla_SCAN_EQ3_COUNT_2[[#This Row],[ID MATERIAL]]="","",B1387)</f>
        <v/>
      </c>
      <c r="C1388" s="21"/>
      <c r="D1388" s="21"/>
      <c r="E1388" s="7" t="str">
        <f>IF(Plantilla_SCAN_EQ3_COUNT_2[[#This Row],[ID MATERIAL]]="","",VLOOKUP(Plantilla_SCAN_EQ3_COUNT_2[[#This Row],[ID MATERIAL]],INVENTARIO!$A:$D,2,FALSE))</f>
        <v/>
      </c>
      <c r="F1388" s="7" t="str">
        <f>IF(Plantilla_SCAN_EQ3_COUNT_2[[#This Row],[ID MATERIAL]]="","",IF(Plantilla_SCAN_EQ3_COUNT_2[[#This Row],[No. Empaques]]="",1,Plantilla_SCAN_EQ3_COUNT_2[[#This Row],[No. Empaques]]*1))</f>
        <v/>
      </c>
      <c r="G1388" s="7" t="str">
        <f>IF(Plantilla_SCAN_EQ3_COUNT_2[[#This Row],[ID MATERIAL]]="","","PZ")</f>
        <v/>
      </c>
      <c r="H1388" s="7" t="str">
        <f>IF(Plantilla_SCAN_EQ3_COUNT_2[[#This Row],[ID MATERIAL]]="","",$B$13)</f>
        <v/>
      </c>
      <c r="I1388" s="7" t="str">
        <f>IF(Plantilla_SCAN_EQ3_COUNT_2[[#This Row],[ID MATERIAL]]="","","Segundo Conteo")</f>
        <v/>
      </c>
    </row>
    <row r="1389" spans="1:9" s="7" customFormat="1" ht="15" x14ac:dyDescent="0.2">
      <c r="A1389" s="7" t="str">
        <f>IF(Plantilla_SCAN_EQ3_COUNT_2[[#This Row],[ID MATERIAL]]="","",SIGN(Plantilla_SCAN_EQ3_COUNT_2[[#This Row],[Cantidad]])+A1388)</f>
        <v/>
      </c>
      <c r="B1389" s="21" t="str">
        <f>IF(Plantilla_SCAN_EQ3_COUNT_2[[#This Row],[ID MATERIAL]]="","",B1388)</f>
        <v/>
      </c>
      <c r="C1389" s="21"/>
      <c r="D1389" s="21"/>
      <c r="E1389" s="7" t="str">
        <f>IF(Plantilla_SCAN_EQ3_COUNT_2[[#This Row],[ID MATERIAL]]="","",VLOOKUP(Plantilla_SCAN_EQ3_COUNT_2[[#This Row],[ID MATERIAL]],INVENTARIO!$A:$D,2,FALSE))</f>
        <v/>
      </c>
      <c r="F1389" s="7" t="str">
        <f>IF(Plantilla_SCAN_EQ3_COUNT_2[[#This Row],[ID MATERIAL]]="","",IF(Plantilla_SCAN_EQ3_COUNT_2[[#This Row],[No. Empaques]]="",1,Plantilla_SCAN_EQ3_COUNT_2[[#This Row],[No. Empaques]]*1))</f>
        <v/>
      </c>
      <c r="G1389" s="7" t="str">
        <f>IF(Plantilla_SCAN_EQ3_COUNT_2[[#This Row],[ID MATERIAL]]="","","PZ")</f>
        <v/>
      </c>
      <c r="H1389" s="7" t="str">
        <f>IF(Plantilla_SCAN_EQ3_COUNT_2[[#This Row],[ID MATERIAL]]="","",$B$13)</f>
        <v/>
      </c>
      <c r="I1389" s="7" t="str">
        <f>IF(Plantilla_SCAN_EQ3_COUNT_2[[#This Row],[ID MATERIAL]]="","","Segundo Conteo")</f>
        <v/>
      </c>
    </row>
    <row r="1390" spans="1:9" s="7" customFormat="1" ht="15" x14ac:dyDescent="0.2">
      <c r="A1390" s="7" t="str">
        <f>IF(Plantilla_SCAN_EQ3_COUNT_2[[#This Row],[ID MATERIAL]]="","",SIGN(Plantilla_SCAN_EQ3_COUNT_2[[#This Row],[Cantidad]])+A1389)</f>
        <v/>
      </c>
      <c r="B1390" s="21" t="str">
        <f>IF(Plantilla_SCAN_EQ3_COUNT_2[[#This Row],[ID MATERIAL]]="","",B1389)</f>
        <v/>
      </c>
      <c r="C1390" s="21"/>
      <c r="D1390" s="21"/>
      <c r="E1390" s="7" t="str">
        <f>IF(Plantilla_SCAN_EQ3_COUNT_2[[#This Row],[ID MATERIAL]]="","",VLOOKUP(Plantilla_SCAN_EQ3_COUNT_2[[#This Row],[ID MATERIAL]],INVENTARIO!$A:$D,2,FALSE))</f>
        <v/>
      </c>
      <c r="F1390" s="7" t="str">
        <f>IF(Plantilla_SCAN_EQ3_COUNT_2[[#This Row],[ID MATERIAL]]="","",IF(Plantilla_SCAN_EQ3_COUNT_2[[#This Row],[No. Empaques]]="",1,Plantilla_SCAN_EQ3_COUNT_2[[#This Row],[No. Empaques]]*1))</f>
        <v/>
      </c>
      <c r="G1390" s="7" t="str">
        <f>IF(Plantilla_SCAN_EQ3_COUNT_2[[#This Row],[ID MATERIAL]]="","","PZ")</f>
        <v/>
      </c>
      <c r="H1390" s="7" t="str">
        <f>IF(Plantilla_SCAN_EQ3_COUNT_2[[#This Row],[ID MATERIAL]]="","",$B$13)</f>
        <v/>
      </c>
      <c r="I1390" s="7" t="str">
        <f>IF(Plantilla_SCAN_EQ3_COUNT_2[[#This Row],[ID MATERIAL]]="","","Segundo Conteo")</f>
        <v/>
      </c>
    </row>
    <row r="1391" spans="1:9" s="7" customFormat="1" ht="15" x14ac:dyDescent="0.2">
      <c r="A1391" s="7" t="str">
        <f>IF(Plantilla_SCAN_EQ3_COUNT_2[[#This Row],[ID MATERIAL]]="","",SIGN(Plantilla_SCAN_EQ3_COUNT_2[[#This Row],[Cantidad]])+A1390)</f>
        <v/>
      </c>
      <c r="B1391" s="21" t="str">
        <f>IF(Plantilla_SCAN_EQ3_COUNT_2[[#This Row],[ID MATERIAL]]="","",B1390)</f>
        <v/>
      </c>
      <c r="C1391" s="21"/>
      <c r="D1391" s="21"/>
      <c r="E1391" s="7" t="str">
        <f>IF(Plantilla_SCAN_EQ3_COUNT_2[[#This Row],[ID MATERIAL]]="","",VLOOKUP(Plantilla_SCAN_EQ3_COUNT_2[[#This Row],[ID MATERIAL]],INVENTARIO!$A:$D,2,FALSE))</f>
        <v/>
      </c>
      <c r="F1391" s="7" t="str">
        <f>IF(Plantilla_SCAN_EQ3_COUNT_2[[#This Row],[ID MATERIAL]]="","",IF(Plantilla_SCAN_EQ3_COUNT_2[[#This Row],[No. Empaques]]="",1,Plantilla_SCAN_EQ3_COUNT_2[[#This Row],[No. Empaques]]*1))</f>
        <v/>
      </c>
      <c r="G1391" s="7" t="str">
        <f>IF(Plantilla_SCAN_EQ3_COUNT_2[[#This Row],[ID MATERIAL]]="","","PZ")</f>
        <v/>
      </c>
      <c r="H1391" s="7" t="str">
        <f>IF(Plantilla_SCAN_EQ3_COUNT_2[[#This Row],[ID MATERIAL]]="","",$B$13)</f>
        <v/>
      </c>
      <c r="I1391" s="7" t="str">
        <f>IF(Plantilla_SCAN_EQ3_COUNT_2[[#This Row],[ID MATERIAL]]="","","Segundo Conteo")</f>
        <v/>
      </c>
    </row>
    <row r="1392" spans="1:9" s="7" customFormat="1" ht="15" x14ac:dyDescent="0.2">
      <c r="A1392" s="7" t="str">
        <f>IF(Plantilla_SCAN_EQ3_COUNT_2[[#This Row],[ID MATERIAL]]="","",SIGN(Plantilla_SCAN_EQ3_COUNT_2[[#This Row],[Cantidad]])+A1391)</f>
        <v/>
      </c>
      <c r="B1392" s="21" t="str">
        <f>IF(Plantilla_SCAN_EQ3_COUNT_2[[#This Row],[ID MATERIAL]]="","",B1391)</f>
        <v/>
      </c>
      <c r="C1392" s="21"/>
      <c r="D1392" s="21"/>
      <c r="E1392" s="7" t="str">
        <f>IF(Plantilla_SCAN_EQ3_COUNT_2[[#This Row],[ID MATERIAL]]="","",VLOOKUP(Plantilla_SCAN_EQ3_COUNT_2[[#This Row],[ID MATERIAL]],INVENTARIO!$A:$D,2,FALSE))</f>
        <v/>
      </c>
      <c r="F1392" s="7" t="str">
        <f>IF(Plantilla_SCAN_EQ3_COUNT_2[[#This Row],[ID MATERIAL]]="","",IF(Plantilla_SCAN_EQ3_COUNT_2[[#This Row],[No. Empaques]]="",1,Plantilla_SCAN_EQ3_COUNT_2[[#This Row],[No. Empaques]]*1))</f>
        <v/>
      </c>
      <c r="G1392" s="7" t="str">
        <f>IF(Plantilla_SCAN_EQ3_COUNT_2[[#This Row],[ID MATERIAL]]="","","PZ")</f>
        <v/>
      </c>
      <c r="H1392" s="7" t="str">
        <f>IF(Plantilla_SCAN_EQ3_COUNT_2[[#This Row],[ID MATERIAL]]="","",$B$13)</f>
        <v/>
      </c>
      <c r="I1392" s="7" t="str">
        <f>IF(Plantilla_SCAN_EQ3_COUNT_2[[#This Row],[ID MATERIAL]]="","","Segundo Conteo")</f>
        <v/>
      </c>
    </row>
    <row r="1393" spans="1:9" s="7" customFormat="1" ht="15" x14ac:dyDescent="0.2">
      <c r="A1393" s="7" t="str">
        <f>IF(Plantilla_SCAN_EQ3_COUNT_2[[#This Row],[ID MATERIAL]]="","",SIGN(Plantilla_SCAN_EQ3_COUNT_2[[#This Row],[Cantidad]])+A1392)</f>
        <v/>
      </c>
      <c r="B1393" s="21" t="str">
        <f>IF(Plantilla_SCAN_EQ3_COUNT_2[[#This Row],[ID MATERIAL]]="","",B1392)</f>
        <v/>
      </c>
      <c r="C1393" s="21"/>
      <c r="D1393" s="21"/>
      <c r="E1393" s="7" t="str">
        <f>IF(Plantilla_SCAN_EQ3_COUNT_2[[#This Row],[ID MATERIAL]]="","",VLOOKUP(Plantilla_SCAN_EQ3_COUNT_2[[#This Row],[ID MATERIAL]],INVENTARIO!$A:$D,2,FALSE))</f>
        <v/>
      </c>
      <c r="F1393" s="7" t="str">
        <f>IF(Plantilla_SCAN_EQ3_COUNT_2[[#This Row],[ID MATERIAL]]="","",IF(Plantilla_SCAN_EQ3_COUNT_2[[#This Row],[No. Empaques]]="",1,Plantilla_SCAN_EQ3_COUNT_2[[#This Row],[No. Empaques]]*1))</f>
        <v/>
      </c>
      <c r="G1393" s="7" t="str">
        <f>IF(Plantilla_SCAN_EQ3_COUNT_2[[#This Row],[ID MATERIAL]]="","","PZ")</f>
        <v/>
      </c>
      <c r="H1393" s="7" t="str">
        <f>IF(Plantilla_SCAN_EQ3_COUNT_2[[#This Row],[ID MATERIAL]]="","",$B$13)</f>
        <v/>
      </c>
      <c r="I1393" s="7" t="str">
        <f>IF(Plantilla_SCAN_EQ3_COUNT_2[[#This Row],[ID MATERIAL]]="","","Segundo Conteo")</f>
        <v/>
      </c>
    </row>
    <row r="1394" spans="1:9" s="7" customFormat="1" ht="15" x14ac:dyDescent="0.2">
      <c r="A1394" s="7" t="str">
        <f>IF(Plantilla_SCAN_EQ3_COUNT_2[[#This Row],[ID MATERIAL]]="","",SIGN(Plantilla_SCAN_EQ3_COUNT_2[[#This Row],[Cantidad]])+A1393)</f>
        <v/>
      </c>
      <c r="B1394" s="21" t="str">
        <f>IF(Plantilla_SCAN_EQ3_COUNT_2[[#This Row],[ID MATERIAL]]="","",B1393)</f>
        <v/>
      </c>
      <c r="C1394" s="21"/>
      <c r="D1394" s="21"/>
      <c r="E1394" s="7" t="str">
        <f>IF(Plantilla_SCAN_EQ3_COUNT_2[[#This Row],[ID MATERIAL]]="","",VLOOKUP(Plantilla_SCAN_EQ3_COUNT_2[[#This Row],[ID MATERIAL]],INVENTARIO!$A:$D,2,FALSE))</f>
        <v/>
      </c>
      <c r="F1394" s="7" t="str">
        <f>IF(Plantilla_SCAN_EQ3_COUNT_2[[#This Row],[ID MATERIAL]]="","",IF(Plantilla_SCAN_EQ3_COUNT_2[[#This Row],[No. Empaques]]="",1,Plantilla_SCAN_EQ3_COUNT_2[[#This Row],[No. Empaques]]*1))</f>
        <v/>
      </c>
      <c r="G1394" s="7" t="str">
        <f>IF(Plantilla_SCAN_EQ3_COUNT_2[[#This Row],[ID MATERIAL]]="","","PZ")</f>
        <v/>
      </c>
      <c r="H1394" s="7" t="str">
        <f>IF(Plantilla_SCAN_EQ3_COUNT_2[[#This Row],[ID MATERIAL]]="","",$B$13)</f>
        <v/>
      </c>
      <c r="I1394" s="7" t="str">
        <f>IF(Plantilla_SCAN_EQ3_COUNT_2[[#This Row],[ID MATERIAL]]="","","Segundo Conteo")</f>
        <v/>
      </c>
    </row>
    <row r="1395" spans="1:9" s="7" customFormat="1" ht="15" x14ac:dyDescent="0.2">
      <c r="A1395" s="7" t="str">
        <f>IF(Plantilla_SCAN_EQ3_COUNT_2[[#This Row],[ID MATERIAL]]="","",SIGN(Plantilla_SCAN_EQ3_COUNT_2[[#This Row],[Cantidad]])+A1394)</f>
        <v/>
      </c>
      <c r="B1395" s="21" t="str">
        <f>IF(Plantilla_SCAN_EQ3_COUNT_2[[#This Row],[ID MATERIAL]]="","",B1394)</f>
        <v/>
      </c>
      <c r="C1395" s="21"/>
      <c r="D1395" s="21"/>
      <c r="E1395" s="7" t="str">
        <f>IF(Plantilla_SCAN_EQ3_COUNT_2[[#This Row],[ID MATERIAL]]="","",VLOOKUP(Plantilla_SCAN_EQ3_COUNT_2[[#This Row],[ID MATERIAL]],INVENTARIO!$A:$D,2,FALSE))</f>
        <v/>
      </c>
      <c r="F1395" s="7" t="str">
        <f>IF(Plantilla_SCAN_EQ3_COUNT_2[[#This Row],[ID MATERIAL]]="","",IF(Plantilla_SCAN_EQ3_COUNT_2[[#This Row],[No. Empaques]]="",1,Plantilla_SCAN_EQ3_COUNT_2[[#This Row],[No. Empaques]]*1))</f>
        <v/>
      </c>
      <c r="G1395" s="7" t="str">
        <f>IF(Plantilla_SCAN_EQ3_COUNT_2[[#This Row],[ID MATERIAL]]="","","PZ")</f>
        <v/>
      </c>
      <c r="H1395" s="7" t="str">
        <f>IF(Plantilla_SCAN_EQ3_COUNT_2[[#This Row],[ID MATERIAL]]="","",$B$13)</f>
        <v/>
      </c>
      <c r="I1395" s="7" t="str">
        <f>IF(Plantilla_SCAN_EQ3_COUNT_2[[#This Row],[ID MATERIAL]]="","","Segundo Conteo")</f>
        <v/>
      </c>
    </row>
    <row r="1396" spans="1:9" s="7" customFormat="1" ht="15" x14ac:dyDescent="0.2">
      <c r="A1396" s="7" t="str">
        <f>IF(Plantilla_SCAN_EQ3_COUNT_2[[#This Row],[ID MATERIAL]]="","",SIGN(Plantilla_SCAN_EQ3_COUNT_2[[#This Row],[Cantidad]])+A1395)</f>
        <v/>
      </c>
      <c r="B1396" s="21" t="str">
        <f>IF(Plantilla_SCAN_EQ3_COUNT_2[[#This Row],[ID MATERIAL]]="","",B1395)</f>
        <v/>
      </c>
      <c r="C1396" s="21"/>
      <c r="D1396" s="21"/>
      <c r="E1396" s="7" t="str">
        <f>IF(Plantilla_SCAN_EQ3_COUNT_2[[#This Row],[ID MATERIAL]]="","",VLOOKUP(Plantilla_SCAN_EQ3_COUNT_2[[#This Row],[ID MATERIAL]],INVENTARIO!$A:$D,2,FALSE))</f>
        <v/>
      </c>
      <c r="F1396" s="7" t="str">
        <f>IF(Plantilla_SCAN_EQ3_COUNT_2[[#This Row],[ID MATERIAL]]="","",IF(Plantilla_SCAN_EQ3_COUNT_2[[#This Row],[No. Empaques]]="",1,Plantilla_SCAN_EQ3_COUNT_2[[#This Row],[No. Empaques]]*1))</f>
        <v/>
      </c>
      <c r="G1396" s="7" t="str">
        <f>IF(Plantilla_SCAN_EQ3_COUNT_2[[#This Row],[ID MATERIAL]]="","","PZ")</f>
        <v/>
      </c>
      <c r="H1396" s="7" t="str">
        <f>IF(Plantilla_SCAN_EQ3_COUNT_2[[#This Row],[ID MATERIAL]]="","",$B$13)</f>
        <v/>
      </c>
      <c r="I1396" s="7" t="str">
        <f>IF(Plantilla_SCAN_EQ3_COUNT_2[[#This Row],[ID MATERIAL]]="","","Segundo Conteo")</f>
        <v/>
      </c>
    </row>
    <row r="1397" spans="1:9" s="7" customFormat="1" ht="15" x14ac:dyDescent="0.2">
      <c r="A1397" s="7" t="str">
        <f>IF(Plantilla_SCAN_EQ3_COUNT_2[[#This Row],[ID MATERIAL]]="","",SIGN(Plantilla_SCAN_EQ3_COUNT_2[[#This Row],[Cantidad]])+A1396)</f>
        <v/>
      </c>
      <c r="B1397" s="21" t="str">
        <f>IF(Plantilla_SCAN_EQ3_COUNT_2[[#This Row],[ID MATERIAL]]="","",B1396)</f>
        <v/>
      </c>
      <c r="C1397" s="21"/>
      <c r="D1397" s="21"/>
      <c r="E1397" s="7" t="str">
        <f>IF(Plantilla_SCAN_EQ3_COUNT_2[[#This Row],[ID MATERIAL]]="","",VLOOKUP(Plantilla_SCAN_EQ3_COUNT_2[[#This Row],[ID MATERIAL]],INVENTARIO!$A:$D,2,FALSE))</f>
        <v/>
      </c>
      <c r="F1397" s="7" t="str">
        <f>IF(Plantilla_SCAN_EQ3_COUNT_2[[#This Row],[ID MATERIAL]]="","",IF(Plantilla_SCAN_EQ3_COUNT_2[[#This Row],[No. Empaques]]="",1,Plantilla_SCAN_EQ3_COUNT_2[[#This Row],[No. Empaques]]*1))</f>
        <v/>
      </c>
      <c r="G1397" s="7" t="str">
        <f>IF(Plantilla_SCAN_EQ3_COUNT_2[[#This Row],[ID MATERIAL]]="","","PZ")</f>
        <v/>
      </c>
      <c r="H1397" s="7" t="str">
        <f>IF(Plantilla_SCAN_EQ3_COUNT_2[[#This Row],[ID MATERIAL]]="","",$B$13)</f>
        <v/>
      </c>
      <c r="I1397" s="7" t="str">
        <f>IF(Plantilla_SCAN_EQ3_COUNT_2[[#This Row],[ID MATERIAL]]="","","Segundo Conteo")</f>
        <v/>
      </c>
    </row>
    <row r="1398" spans="1:9" s="7" customFormat="1" ht="15" x14ac:dyDescent="0.2">
      <c r="A1398" s="7" t="str">
        <f>IF(Plantilla_SCAN_EQ3_COUNT_2[[#This Row],[ID MATERIAL]]="","",SIGN(Plantilla_SCAN_EQ3_COUNT_2[[#This Row],[Cantidad]])+A1397)</f>
        <v/>
      </c>
      <c r="B1398" s="21" t="str">
        <f>IF(Plantilla_SCAN_EQ3_COUNT_2[[#This Row],[ID MATERIAL]]="","",B1397)</f>
        <v/>
      </c>
      <c r="C1398" s="21"/>
      <c r="D1398" s="21"/>
      <c r="E1398" s="7" t="str">
        <f>IF(Plantilla_SCAN_EQ3_COUNT_2[[#This Row],[ID MATERIAL]]="","",VLOOKUP(Plantilla_SCAN_EQ3_COUNT_2[[#This Row],[ID MATERIAL]],INVENTARIO!$A:$D,2,FALSE))</f>
        <v/>
      </c>
      <c r="F1398" s="7" t="str">
        <f>IF(Plantilla_SCAN_EQ3_COUNT_2[[#This Row],[ID MATERIAL]]="","",IF(Plantilla_SCAN_EQ3_COUNT_2[[#This Row],[No. Empaques]]="",1,Plantilla_SCAN_EQ3_COUNT_2[[#This Row],[No. Empaques]]*1))</f>
        <v/>
      </c>
      <c r="G1398" s="7" t="str">
        <f>IF(Plantilla_SCAN_EQ3_COUNT_2[[#This Row],[ID MATERIAL]]="","","PZ")</f>
        <v/>
      </c>
      <c r="H1398" s="7" t="str">
        <f>IF(Plantilla_SCAN_EQ3_COUNT_2[[#This Row],[ID MATERIAL]]="","",$B$13)</f>
        <v/>
      </c>
      <c r="I1398" s="7" t="str">
        <f>IF(Plantilla_SCAN_EQ3_COUNT_2[[#This Row],[ID MATERIAL]]="","","Segundo Conteo")</f>
        <v/>
      </c>
    </row>
    <row r="1399" spans="1:9" s="7" customFormat="1" ht="15" x14ac:dyDescent="0.2">
      <c r="A1399" s="7" t="str">
        <f>IF(Plantilla_SCAN_EQ3_COUNT_2[[#This Row],[ID MATERIAL]]="","",SIGN(Plantilla_SCAN_EQ3_COUNT_2[[#This Row],[Cantidad]])+A1398)</f>
        <v/>
      </c>
      <c r="B1399" s="21" t="str">
        <f>IF(Plantilla_SCAN_EQ3_COUNT_2[[#This Row],[ID MATERIAL]]="","",B1398)</f>
        <v/>
      </c>
      <c r="C1399" s="21"/>
      <c r="D1399" s="21"/>
      <c r="E1399" s="7" t="str">
        <f>IF(Plantilla_SCAN_EQ3_COUNT_2[[#This Row],[ID MATERIAL]]="","",VLOOKUP(Plantilla_SCAN_EQ3_COUNT_2[[#This Row],[ID MATERIAL]],INVENTARIO!$A:$D,2,FALSE))</f>
        <v/>
      </c>
      <c r="F1399" s="7" t="str">
        <f>IF(Plantilla_SCAN_EQ3_COUNT_2[[#This Row],[ID MATERIAL]]="","",IF(Plantilla_SCAN_EQ3_COUNT_2[[#This Row],[No. Empaques]]="",1,Plantilla_SCAN_EQ3_COUNT_2[[#This Row],[No. Empaques]]*1))</f>
        <v/>
      </c>
      <c r="G1399" s="7" t="str">
        <f>IF(Plantilla_SCAN_EQ3_COUNT_2[[#This Row],[ID MATERIAL]]="","","PZ")</f>
        <v/>
      </c>
      <c r="H1399" s="7" t="str">
        <f>IF(Plantilla_SCAN_EQ3_COUNT_2[[#This Row],[ID MATERIAL]]="","",$B$13)</f>
        <v/>
      </c>
      <c r="I1399" s="7" t="str">
        <f>IF(Plantilla_SCAN_EQ3_COUNT_2[[#This Row],[ID MATERIAL]]="","","Segundo Conteo")</f>
        <v/>
      </c>
    </row>
    <row r="1400" spans="1:9" s="7" customFormat="1" ht="15" x14ac:dyDescent="0.2">
      <c r="A1400" s="7" t="str">
        <f>IF(Plantilla_SCAN_EQ3_COUNT_2[[#This Row],[ID MATERIAL]]="","",SIGN(Plantilla_SCAN_EQ3_COUNT_2[[#This Row],[Cantidad]])+A1399)</f>
        <v/>
      </c>
      <c r="B1400" s="21" t="str">
        <f>IF(Plantilla_SCAN_EQ3_COUNT_2[[#This Row],[ID MATERIAL]]="","",B1399)</f>
        <v/>
      </c>
      <c r="C1400" s="21"/>
      <c r="D1400" s="21"/>
      <c r="E1400" s="7" t="str">
        <f>IF(Plantilla_SCAN_EQ3_COUNT_2[[#This Row],[ID MATERIAL]]="","",VLOOKUP(Plantilla_SCAN_EQ3_COUNT_2[[#This Row],[ID MATERIAL]],INVENTARIO!$A:$D,2,FALSE))</f>
        <v/>
      </c>
      <c r="F1400" s="7" t="str">
        <f>IF(Plantilla_SCAN_EQ3_COUNT_2[[#This Row],[ID MATERIAL]]="","",IF(Plantilla_SCAN_EQ3_COUNT_2[[#This Row],[No. Empaques]]="",1,Plantilla_SCAN_EQ3_COUNT_2[[#This Row],[No. Empaques]]*1))</f>
        <v/>
      </c>
      <c r="G1400" s="7" t="str">
        <f>IF(Plantilla_SCAN_EQ3_COUNT_2[[#This Row],[ID MATERIAL]]="","","PZ")</f>
        <v/>
      </c>
      <c r="H1400" s="7" t="str">
        <f>IF(Plantilla_SCAN_EQ3_COUNT_2[[#This Row],[ID MATERIAL]]="","",$B$13)</f>
        <v/>
      </c>
      <c r="I1400" s="7" t="str">
        <f>IF(Plantilla_SCAN_EQ3_COUNT_2[[#This Row],[ID MATERIAL]]="","","Segundo Conteo")</f>
        <v/>
      </c>
    </row>
    <row r="1401" spans="1:9" s="7" customFormat="1" ht="15" x14ac:dyDescent="0.2">
      <c r="A1401" s="7" t="str">
        <f>IF(Plantilla_SCAN_EQ3_COUNT_2[[#This Row],[ID MATERIAL]]="","",SIGN(Plantilla_SCAN_EQ3_COUNT_2[[#This Row],[Cantidad]])+A1400)</f>
        <v/>
      </c>
      <c r="B1401" s="21" t="str">
        <f>IF(Plantilla_SCAN_EQ3_COUNT_2[[#This Row],[ID MATERIAL]]="","",B1400)</f>
        <v/>
      </c>
      <c r="C1401" s="21"/>
      <c r="D1401" s="21"/>
      <c r="E1401" s="7" t="str">
        <f>IF(Plantilla_SCAN_EQ3_COUNT_2[[#This Row],[ID MATERIAL]]="","",VLOOKUP(Plantilla_SCAN_EQ3_COUNT_2[[#This Row],[ID MATERIAL]],INVENTARIO!$A:$D,2,FALSE))</f>
        <v/>
      </c>
      <c r="F1401" s="7" t="str">
        <f>IF(Plantilla_SCAN_EQ3_COUNT_2[[#This Row],[ID MATERIAL]]="","",IF(Plantilla_SCAN_EQ3_COUNT_2[[#This Row],[No. Empaques]]="",1,Plantilla_SCAN_EQ3_COUNT_2[[#This Row],[No. Empaques]]*1))</f>
        <v/>
      </c>
      <c r="G1401" s="7" t="str">
        <f>IF(Plantilla_SCAN_EQ3_COUNT_2[[#This Row],[ID MATERIAL]]="","","PZ")</f>
        <v/>
      </c>
      <c r="H1401" s="7" t="str">
        <f>IF(Plantilla_SCAN_EQ3_COUNT_2[[#This Row],[ID MATERIAL]]="","",$B$13)</f>
        <v/>
      </c>
      <c r="I1401" s="7" t="str">
        <f>IF(Plantilla_SCAN_EQ3_COUNT_2[[#This Row],[ID MATERIAL]]="","","Segundo Conteo")</f>
        <v/>
      </c>
    </row>
    <row r="1402" spans="1:9" s="7" customFormat="1" ht="15" x14ac:dyDescent="0.2">
      <c r="A1402" s="7" t="str">
        <f>IF(Plantilla_SCAN_EQ3_COUNT_2[[#This Row],[ID MATERIAL]]="","",SIGN(Plantilla_SCAN_EQ3_COUNT_2[[#This Row],[Cantidad]])+A1401)</f>
        <v/>
      </c>
      <c r="B1402" s="21" t="str">
        <f>IF(Plantilla_SCAN_EQ3_COUNT_2[[#This Row],[ID MATERIAL]]="","",B1401)</f>
        <v/>
      </c>
      <c r="C1402" s="21"/>
      <c r="D1402" s="21"/>
      <c r="E1402" s="7" t="str">
        <f>IF(Plantilla_SCAN_EQ3_COUNT_2[[#This Row],[ID MATERIAL]]="","",VLOOKUP(Plantilla_SCAN_EQ3_COUNT_2[[#This Row],[ID MATERIAL]],INVENTARIO!$A:$D,2,FALSE))</f>
        <v/>
      </c>
      <c r="F1402" s="7" t="str">
        <f>IF(Plantilla_SCAN_EQ3_COUNT_2[[#This Row],[ID MATERIAL]]="","",IF(Plantilla_SCAN_EQ3_COUNT_2[[#This Row],[No. Empaques]]="",1,Plantilla_SCAN_EQ3_COUNT_2[[#This Row],[No. Empaques]]*1))</f>
        <v/>
      </c>
      <c r="G1402" s="7" t="str">
        <f>IF(Plantilla_SCAN_EQ3_COUNT_2[[#This Row],[ID MATERIAL]]="","","PZ")</f>
        <v/>
      </c>
      <c r="H1402" s="7" t="str">
        <f>IF(Plantilla_SCAN_EQ3_COUNT_2[[#This Row],[ID MATERIAL]]="","",$B$13)</f>
        <v/>
      </c>
      <c r="I1402" s="7" t="str">
        <f>IF(Plantilla_SCAN_EQ3_COUNT_2[[#This Row],[ID MATERIAL]]="","","Segundo Conteo")</f>
        <v/>
      </c>
    </row>
    <row r="1403" spans="1:9" s="7" customFormat="1" ht="15" x14ac:dyDescent="0.2">
      <c r="A1403" s="7" t="str">
        <f>IF(Plantilla_SCAN_EQ3_COUNT_2[[#This Row],[ID MATERIAL]]="","",SIGN(Plantilla_SCAN_EQ3_COUNT_2[[#This Row],[Cantidad]])+A1402)</f>
        <v/>
      </c>
      <c r="B1403" s="21" t="str">
        <f>IF(Plantilla_SCAN_EQ3_COUNT_2[[#This Row],[ID MATERIAL]]="","",B1402)</f>
        <v/>
      </c>
      <c r="C1403" s="21"/>
      <c r="D1403" s="21"/>
      <c r="E1403" s="7" t="str">
        <f>IF(Plantilla_SCAN_EQ3_COUNT_2[[#This Row],[ID MATERIAL]]="","",VLOOKUP(Plantilla_SCAN_EQ3_COUNT_2[[#This Row],[ID MATERIAL]],INVENTARIO!$A:$D,2,FALSE))</f>
        <v/>
      </c>
      <c r="F1403" s="7" t="str">
        <f>IF(Plantilla_SCAN_EQ3_COUNT_2[[#This Row],[ID MATERIAL]]="","",IF(Plantilla_SCAN_EQ3_COUNT_2[[#This Row],[No. Empaques]]="",1,Plantilla_SCAN_EQ3_COUNT_2[[#This Row],[No. Empaques]]*1))</f>
        <v/>
      </c>
      <c r="G1403" s="7" t="str">
        <f>IF(Plantilla_SCAN_EQ3_COUNT_2[[#This Row],[ID MATERIAL]]="","","PZ")</f>
        <v/>
      </c>
      <c r="H1403" s="7" t="str">
        <f>IF(Plantilla_SCAN_EQ3_COUNT_2[[#This Row],[ID MATERIAL]]="","",$B$13)</f>
        <v/>
      </c>
      <c r="I1403" s="7" t="str">
        <f>IF(Plantilla_SCAN_EQ3_COUNT_2[[#This Row],[ID MATERIAL]]="","","Segundo Conteo")</f>
        <v/>
      </c>
    </row>
    <row r="1404" spans="1:9" s="7" customFormat="1" ht="15" x14ac:dyDescent="0.2">
      <c r="A1404" s="7" t="str">
        <f>IF(Plantilla_SCAN_EQ3_COUNT_2[[#This Row],[ID MATERIAL]]="","",SIGN(Plantilla_SCAN_EQ3_COUNT_2[[#This Row],[Cantidad]])+A1403)</f>
        <v/>
      </c>
      <c r="B1404" s="21" t="str">
        <f>IF(Plantilla_SCAN_EQ3_COUNT_2[[#This Row],[ID MATERIAL]]="","",B1403)</f>
        <v/>
      </c>
      <c r="C1404" s="21"/>
      <c r="D1404" s="21"/>
      <c r="E1404" s="7" t="str">
        <f>IF(Plantilla_SCAN_EQ3_COUNT_2[[#This Row],[ID MATERIAL]]="","",VLOOKUP(Plantilla_SCAN_EQ3_COUNT_2[[#This Row],[ID MATERIAL]],INVENTARIO!$A:$D,2,FALSE))</f>
        <v/>
      </c>
      <c r="F1404" s="7" t="str">
        <f>IF(Plantilla_SCAN_EQ3_COUNT_2[[#This Row],[ID MATERIAL]]="","",IF(Plantilla_SCAN_EQ3_COUNT_2[[#This Row],[No. Empaques]]="",1,Plantilla_SCAN_EQ3_COUNT_2[[#This Row],[No. Empaques]]*1))</f>
        <v/>
      </c>
      <c r="G1404" s="7" t="str">
        <f>IF(Plantilla_SCAN_EQ3_COUNT_2[[#This Row],[ID MATERIAL]]="","","PZ")</f>
        <v/>
      </c>
      <c r="H1404" s="7" t="str">
        <f>IF(Plantilla_SCAN_EQ3_COUNT_2[[#This Row],[ID MATERIAL]]="","",$B$13)</f>
        <v/>
      </c>
      <c r="I1404" s="7" t="str">
        <f>IF(Plantilla_SCAN_EQ3_COUNT_2[[#This Row],[ID MATERIAL]]="","","Segundo Conteo")</f>
        <v/>
      </c>
    </row>
    <row r="1405" spans="1:9" s="7" customFormat="1" ht="15" x14ac:dyDescent="0.2">
      <c r="A1405" s="7" t="str">
        <f>IF(Plantilla_SCAN_EQ3_COUNT_2[[#This Row],[ID MATERIAL]]="","",SIGN(Plantilla_SCAN_EQ3_COUNT_2[[#This Row],[Cantidad]])+A1404)</f>
        <v/>
      </c>
      <c r="B1405" s="21" t="str">
        <f>IF(Plantilla_SCAN_EQ3_COUNT_2[[#This Row],[ID MATERIAL]]="","",B1404)</f>
        <v/>
      </c>
      <c r="C1405" s="21"/>
      <c r="D1405" s="21"/>
      <c r="E1405" s="7" t="str">
        <f>IF(Plantilla_SCAN_EQ3_COUNT_2[[#This Row],[ID MATERIAL]]="","",VLOOKUP(Plantilla_SCAN_EQ3_COUNT_2[[#This Row],[ID MATERIAL]],INVENTARIO!$A:$D,2,FALSE))</f>
        <v/>
      </c>
      <c r="F1405" s="7" t="str">
        <f>IF(Plantilla_SCAN_EQ3_COUNT_2[[#This Row],[ID MATERIAL]]="","",IF(Plantilla_SCAN_EQ3_COUNT_2[[#This Row],[No. Empaques]]="",1,Plantilla_SCAN_EQ3_COUNT_2[[#This Row],[No. Empaques]]*1))</f>
        <v/>
      </c>
      <c r="G1405" s="7" t="str">
        <f>IF(Plantilla_SCAN_EQ3_COUNT_2[[#This Row],[ID MATERIAL]]="","","PZ")</f>
        <v/>
      </c>
      <c r="H1405" s="7" t="str">
        <f>IF(Plantilla_SCAN_EQ3_COUNT_2[[#This Row],[ID MATERIAL]]="","",$B$13)</f>
        <v/>
      </c>
      <c r="I1405" s="7" t="str">
        <f>IF(Plantilla_SCAN_EQ3_COUNT_2[[#This Row],[ID MATERIAL]]="","","Segundo Conteo")</f>
        <v/>
      </c>
    </row>
    <row r="1406" spans="1:9" s="7" customFormat="1" ht="15" x14ac:dyDescent="0.2">
      <c r="A1406" s="7" t="str">
        <f>IF(Plantilla_SCAN_EQ3_COUNT_2[[#This Row],[ID MATERIAL]]="","",SIGN(Plantilla_SCAN_EQ3_COUNT_2[[#This Row],[Cantidad]])+A1405)</f>
        <v/>
      </c>
      <c r="B1406" s="21" t="str">
        <f>IF(Plantilla_SCAN_EQ3_COUNT_2[[#This Row],[ID MATERIAL]]="","",B1405)</f>
        <v/>
      </c>
      <c r="C1406" s="21"/>
      <c r="D1406" s="21"/>
      <c r="E1406" s="7" t="str">
        <f>IF(Plantilla_SCAN_EQ3_COUNT_2[[#This Row],[ID MATERIAL]]="","",VLOOKUP(Plantilla_SCAN_EQ3_COUNT_2[[#This Row],[ID MATERIAL]],INVENTARIO!$A:$D,2,FALSE))</f>
        <v/>
      </c>
      <c r="F1406" s="7" t="str">
        <f>IF(Plantilla_SCAN_EQ3_COUNT_2[[#This Row],[ID MATERIAL]]="","",IF(Plantilla_SCAN_EQ3_COUNT_2[[#This Row],[No. Empaques]]="",1,Plantilla_SCAN_EQ3_COUNT_2[[#This Row],[No. Empaques]]*1))</f>
        <v/>
      </c>
      <c r="G1406" s="7" t="str">
        <f>IF(Plantilla_SCAN_EQ3_COUNT_2[[#This Row],[ID MATERIAL]]="","","PZ")</f>
        <v/>
      </c>
      <c r="H1406" s="7" t="str">
        <f>IF(Plantilla_SCAN_EQ3_COUNT_2[[#This Row],[ID MATERIAL]]="","",$B$13)</f>
        <v/>
      </c>
      <c r="I1406" s="7" t="str">
        <f>IF(Plantilla_SCAN_EQ3_COUNT_2[[#This Row],[ID MATERIAL]]="","","Segundo Conteo")</f>
        <v/>
      </c>
    </row>
    <row r="1407" spans="1:9" s="7" customFormat="1" ht="15" x14ac:dyDescent="0.2">
      <c r="A1407" s="7" t="str">
        <f>IF(Plantilla_SCAN_EQ3_COUNT_2[[#This Row],[ID MATERIAL]]="","",SIGN(Plantilla_SCAN_EQ3_COUNT_2[[#This Row],[Cantidad]])+A1406)</f>
        <v/>
      </c>
      <c r="B1407" s="21" t="str">
        <f>IF(Plantilla_SCAN_EQ3_COUNT_2[[#This Row],[ID MATERIAL]]="","",B1406)</f>
        <v/>
      </c>
      <c r="C1407" s="21"/>
      <c r="D1407" s="21"/>
      <c r="E1407" s="7" t="str">
        <f>IF(Plantilla_SCAN_EQ3_COUNT_2[[#This Row],[ID MATERIAL]]="","",VLOOKUP(Plantilla_SCAN_EQ3_COUNT_2[[#This Row],[ID MATERIAL]],INVENTARIO!$A:$D,2,FALSE))</f>
        <v/>
      </c>
      <c r="F1407" s="7" t="str">
        <f>IF(Plantilla_SCAN_EQ3_COUNT_2[[#This Row],[ID MATERIAL]]="","",IF(Plantilla_SCAN_EQ3_COUNT_2[[#This Row],[No. Empaques]]="",1,Plantilla_SCAN_EQ3_COUNT_2[[#This Row],[No. Empaques]]*1))</f>
        <v/>
      </c>
      <c r="G1407" s="7" t="str">
        <f>IF(Plantilla_SCAN_EQ3_COUNT_2[[#This Row],[ID MATERIAL]]="","","PZ")</f>
        <v/>
      </c>
      <c r="H1407" s="7" t="str">
        <f>IF(Plantilla_SCAN_EQ3_COUNT_2[[#This Row],[ID MATERIAL]]="","",$B$13)</f>
        <v/>
      </c>
      <c r="I1407" s="7" t="str">
        <f>IF(Plantilla_SCAN_EQ3_COUNT_2[[#This Row],[ID MATERIAL]]="","","Segundo Conteo")</f>
        <v/>
      </c>
    </row>
    <row r="1408" spans="1:9" s="7" customFormat="1" ht="15" x14ac:dyDescent="0.2">
      <c r="A1408" s="7" t="str">
        <f>IF(Plantilla_SCAN_EQ3_COUNT_2[[#This Row],[ID MATERIAL]]="","",SIGN(Plantilla_SCAN_EQ3_COUNT_2[[#This Row],[Cantidad]])+A1407)</f>
        <v/>
      </c>
      <c r="B1408" s="21" t="str">
        <f>IF(Plantilla_SCAN_EQ3_COUNT_2[[#This Row],[ID MATERIAL]]="","",B1407)</f>
        <v/>
      </c>
      <c r="C1408" s="21"/>
      <c r="D1408" s="21"/>
      <c r="E1408" s="7" t="str">
        <f>IF(Plantilla_SCAN_EQ3_COUNT_2[[#This Row],[ID MATERIAL]]="","",VLOOKUP(Plantilla_SCAN_EQ3_COUNT_2[[#This Row],[ID MATERIAL]],INVENTARIO!$A:$D,2,FALSE))</f>
        <v/>
      </c>
      <c r="F1408" s="7" t="str">
        <f>IF(Plantilla_SCAN_EQ3_COUNT_2[[#This Row],[ID MATERIAL]]="","",IF(Plantilla_SCAN_EQ3_COUNT_2[[#This Row],[No. Empaques]]="",1,Plantilla_SCAN_EQ3_COUNT_2[[#This Row],[No. Empaques]]*1))</f>
        <v/>
      </c>
      <c r="G1408" s="7" t="str">
        <f>IF(Plantilla_SCAN_EQ3_COUNT_2[[#This Row],[ID MATERIAL]]="","","PZ")</f>
        <v/>
      </c>
      <c r="H1408" s="7" t="str">
        <f>IF(Plantilla_SCAN_EQ3_COUNT_2[[#This Row],[ID MATERIAL]]="","",$B$13)</f>
        <v/>
      </c>
      <c r="I1408" s="7" t="str">
        <f>IF(Plantilla_SCAN_EQ3_COUNT_2[[#This Row],[ID MATERIAL]]="","","Segundo Conteo")</f>
        <v/>
      </c>
    </row>
    <row r="1409" spans="1:9" s="7" customFormat="1" ht="15" x14ac:dyDescent="0.2">
      <c r="A1409" s="7" t="str">
        <f>IF(Plantilla_SCAN_EQ3_COUNT_2[[#This Row],[ID MATERIAL]]="","",SIGN(Plantilla_SCAN_EQ3_COUNT_2[[#This Row],[Cantidad]])+A1408)</f>
        <v/>
      </c>
      <c r="B1409" s="21" t="str">
        <f>IF(Plantilla_SCAN_EQ3_COUNT_2[[#This Row],[ID MATERIAL]]="","",B1408)</f>
        <v/>
      </c>
      <c r="C1409" s="21"/>
      <c r="D1409" s="21"/>
      <c r="E1409" s="7" t="str">
        <f>IF(Plantilla_SCAN_EQ3_COUNT_2[[#This Row],[ID MATERIAL]]="","",VLOOKUP(Plantilla_SCAN_EQ3_COUNT_2[[#This Row],[ID MATERIAL]],INVENTARIO!$A:$D,2,FALSE))</f>
        <v/>
      </c>
      <c r="F1409" s="7" t="str">
        <f>IF(Plantilla_SCAN_EQ3_COUNT_2[[#This Row],[ID MATERIAL]]="","",IF(Plantilla_SCAN_EQ3_COUNT_2[[#This Row],[No. Empaques]]="",1,Plantilla_SCAN_EQ3_COUNT_2[[#This Row],[No. Empaques]]*1))</f>
        <v/>
      </c>
      <c r="G1409" s="7" t="str">
        <f>IF(Plantilla_SCAN_EQ3_COUNT_2[[#This Row],[ID MATERIAL]]="","","PZ")</f>
        <v/>
      </c>
      <c r="H1409" s="7" t="str">
        <f>IF(Plantilla_SCAN_EQ3_COUNT_2[[#This Row],[ID MATERIAL]]="","",$B$13)</f>
        <v/>
      </c>
      <c r="I1409" s="7" t="str">
        <f>IF(Plantilla_SCAN_EQ3_COUNT_2[[#This Row],[ID MATERIAL]]="","","Segundo Conteo")</f>
        <v/>
      </c>
    </row>
    <row r="1410" spans="1:9" s="7" customFormat="1" ht="15" x14ac:dyDescent="0.2">
      <c r="A1410" s="7" t="str">
        <f>IF(Plantilla_SCAN_EQ3_COUNT_2[[#This Row],[ID MATERIAL]]="","",SIGN(Plantilla_SCAN_EQ3_COUNT_2[[#This Row],[Cantidad]])+A1409)</f>
        <v/>
      </c>
      <c r="B1410" s="21" t="str">
        <f>IF(Plantilla_SCAN_EQ3_COUNT_2[[#This Row],[ID MATERIAL]]="","",B1409)</f>
        <v/>
      </c>
      <c r="C1410" s="21"/>
      <c r="D1410" s="21"/>
      <c r="E1410" s="7" t="str">
        <f>IF(Plantilla_SCAN_EQ3_COUNT_2[[#This Row],[ID MATERIAL]]="","",VLOOKUP(Plantilla_SCAN_EQ3_COUNT_2[[#This Row],[ID MATERIAL]],INVENTARIO!$A:$D,2,FALSE))</f>
        <v/>
      </c>
      <c r="F1410" s="7" t="str">
        <f>IF(Plantilla_SCAN_EQ3_COUNT_2[[#This Row],[ID MATERIAL]]="","",IF(Plantilla_SCAN_EQ3_COUNT_2[[#This Row],[No. Empaques]]="",1,Plantilla_SCAN_EQ3_COUNT_2[[#This Row],[No. Empaques]]*1))</f>
        <v/>
      </c>
      <c r="G1410" s="7" t="str">
        <f>IF(Plantilla_SCAN_EQ3_COUNT_2[[#This Row],[ID MATERIAL]]="","","PZ")</f>
        <v/>
      </c>
      <c r="H1410" s="7" t="str">
        <f>IF(Plantilla_SCAN_EQ3_COUNT_2[[#This Row],[ID MATERIAL]]="","",$B$13)</f>
        <v/>
      </c>
      <c r="I1410" s="7" t="str">
        <f>IF(Plantilla_SCAN_EQ3_COUNT_2[[#This Row],[ID MATERIAL]]="","","Segundo Conteo")</f>
        <v/>
      </c>
    </row>
    <row r="1411" spans="1:9" s="7" customFormat="1" ht="15" x14ac:dyDescent="0.2">
      <c r="A1411" s="7" t="str">
        <f>IF(Plantilla_SCAN_EQ3_COUNT_2[[#This Row],[ID MATERIAL]]="","",SIGN(Plantilla_SCAN_EQ3_COUNT_2[[#This Row],[Cantidad]])+A1410)</f>
        <v/>
      </c>
      <c r="B1411" s="21" t="str">
        <f>IF(Plantilla_SCAN_EQ3_COUNT_2[[#This Row],[ID MATERIAL]]="","",B1410)</f>
        <v/>
      </c>
      <c r="C1411" s="21"/>
      <c r="D1411" s="21"/>
      <c r="E1411" s="7" t="str">
        <f>IF(Plantilla_SCAN_EQ3_COUNT_2[[#This Row],[ID MATERIAL]]="","",VLOOKUP(Plantilla_SCAN_EQ3_COUNT_2[[#This Row],[ID MATERIAL]],INVENTARIO!$A:$D,2,FALSE))</f>
        <v/>
      </c>
      <c r="F1411" s="7" t="str">
        <f>IF(Plantilla_SCAN_EQ3_COUNT_2[[#This Row],[ID MATERIAL]]="","",IF(Plantilla_SCAN_EQ3_COUNT_2[[#This Row],[No. Empaques]]="",1,Plantilla_SCAN_EQ3_COUNT_2[[#This Row],[No. Empaques]]*1))</f>
        <v/>
      </c>
      <c r="G1411" s="7" t="str">
        <f>IF(Plantilla_SCAN_EQ3_COUNT_2[[#This Row],[ID MATERIAL]]="","","PZ")</f>
        <v/>
      </c>
      <c r="H1411" s="7" t="str">
        <f>IF(Plantilla_SCAN_EQ3_COUNT_2[[#This Row],[ID MATERIAL]]="","",$B$13)</f>
        <v/>
      </c>
      <c r="I1411" s="7" t="str">
        <f>IF(Plantilla_SCAN_EQ3_COUNT_2[[#This Row],[ID MATERIAL]]="","","Segundo Conteo")</f>
        <v/>
      </c>
    </row>
    <row r="1412" spans="1:9" s="7" customFormat="1" ht="15" x14ac:dyDescent="0.2">
      <c r="A1412" s="7" t="str">
        <f>IF(Plantilla_SCAN_EQ3_COUNT_2[[#This Row],[ID MATERIAL]]="","",SIGN(Plantilla_SCAN_EQ3_COUNT_2[[#This Row],[Cantidad]])+A1411)</f>
        <v/>
      </c>
      <c r="B1412" s="21" t="str">
        <f>IF(Plantilla_SCAN_EQ3_COUNT_2[[#This Row],[ID MATERIAL]]="","",B1411)</f>
        <v/>
      </c>
      <c r="C1412" s="21"/>
      <c r="D1412" s="21"/>
      <c r="E1412" s="7" t="str">
        <f>IF(Plantilla_SCAN_EQ3_COUNT_2[[#This Row],[ID MATERIAL]]="","",VLOOKUP(Plantilla_SCAN_EQ3_COUNT_2[[#This Row],[ID MATERIAL]],INVENTARIO!$A:$D,2,FALSE))</f>
        <v/>
      </c>
      <c r="F1412" s="7" t="str">
        <f>IF(Plantilla_SCAN_EQ3_COUNT_2[[#This Row],[ID MATERIAL]]="","",IF(Plantilla_SCAN_EQ3_COUNT_2[[#This Row],[No. Empaques]]="",1,Plantilla_SCAN_EQ3_COUNT_2[[#This Row],[No. Empaques]]*1))</f>
        <v/>
      </c>
      <c r="G1412" s="7" t="str">
        <f>IF(Plantilla_SCAN_EQ3_COUNT_2[[#This Row],[ID MATERIAL]]="","","PZ")</f>
        <v/>
      </c>
      <c r="H1412" s="7" t="str">
        <f>IF(Plantilla_SCAN_EQ3_COUNT_2[[#This Row],[ID MATERIAL]]="","",$B$13)</f>
        <v/>
      </c>
      <c r="I1412" s="7" t="str">
        <f>IF(Plantilla_SCAN_EQ3_COUNT_2[[#This Row],[ID MATERIAL]]="","","Segundo Conteo")</f>
        <v/>
      </c>
    </row>
    <row r="1413" spans="1:9" s="7" customFormat="1" ht="15" x14ac:dyDescent="0.2">
      <c r="A1413" s="7" t="str">
        <f>IF(Plantilla_SCAN_EQ3_COUNT_2[[#This Row],[ID MATERIAL]]="","",SIGN(Plantilla_SCAN_EQ3_COUNT_2[[#This Row],[Cantidad]])+A1412)</f>
        <v/>
      </c>
      <c r="B1413" s="21" t="str">
        <f>IF(Plantilla_SCAN_EQ3_COUNT_2[[#This Row],[ID MATERIAL]]="","",B1412)</f>
        <v/>
      </c>
      <c r="C1413" s="21"/>
      <c r="D1413" s="21"/>
      <c r="E1413" s="7" t="str">
        <f>IF(Plantilla_SCAN_EQ3_COUNT_2[[#This Row],[ID MATERIAL]]="","",VLOOKUP(Plantilla_SCAN_EQ3_COUNT_2[[#This Row],[ID MATERIAL]],INVENTARIO!$A:$D,2,FALSE))</f>
        <v/>
      </c>
      <c r="F1413" s="7" t="str">
        <f>IF(Plantilla_SCAN_EQ3_COUNT_2[[#This Row],[ID MATERIAL]]="","",IF(Plantilla_SCAN_EQ3_COUNT_2[[#This Row],[No. Empaques]]="",1,Plantilla_SCAN_EQ3_COUNT_2[[#This Row],[No. Empaques]]*1))</f>
        <v/>
      </c>
      <c r="G1413" s="7" t="str">
        <f>IF(Plantilla_SCAN_EQ3_COUNT_2[[#This Row],[ID MATERIAL]]="","","PZ")</f>
        <v/>
      </c>
      <c r="H1413" s="7" t="str">
        <f>IF(Plantilla_SCAN_EQ3_COUNT_2[[#This Row],[ID MATERIAL]]="","",$B$13)</f>
        <v/>
      </c>
      <c r="I1413" s="7" t="str">
        <f>IF(Plantilla_SCAN_EQ3_COUNT_2[[#This Row],[ID MATERIAL]]="","","Segundo Conteo")</f>
        <v/>
      </c>
    </row>
    <row r="1414" spans="1:9" s="7" customFormat="1" ht="15" x14ac:dyDescent="0.2">
      <c r="A1414" s="7" t="str">
        <f>IF(Plantilla_SCAN_EQ3_COUNT_2[[#This Row],[ID MATERIAL]]="","",SIGN(Plantilla_SCAN_EQ3_COUNT_2[[#This Row],[Cantidad]])+A1413)</f>
        <v/>
      </c>
      <c r="B1414" s="21" t="str">
        <f>IF(Plantilla_SCAN_EQ3_COUNT_2[[#This Row],[ID MATERIAL]]="","",B1413)</f>
        <v/>
      </c>
      <c r="C1414" s="21"/>
      <c r="D1414" s="21"/>
      <c r="E1414" s="7" t="str">
        <f>IF(Plantilla_SCAN_EQ3_COUNT_2[[#This Row],[ID MATERIAL]]="","",VLOOKUP(Plantilla_SCAN_EQ3_COUNT_2[[#This Row],[ID MATERIAL]],INVENTARIO!$A:$D,2,FALSE))</f>
        <v/>
      </c>
      <c r="F1414" s="7" t="str">
        <f>IF(Plantilla_SCAN_EQ3_COUNT_2[[#This Row],[ID MATERIAL]]="","",IF(Plantilla_SCAN_EQ3_COUNT_2[[#This Row],[No. Empaques]]="",1,Plantilla_SCAN_EQ3_COUNT_2[[#This Row],[No. Empaques]]*1))</f>
        <v/>
      </c>
      <c r="G1414" s="7" t="str">
        <f>IF(Plantilla_SCAN_EQ3_COUNT_2[[#This Row],[ID MATERIAL]]="","","PZ")</f>
        <v/>
      </c>
      <c r="H1414" s="7" t="str">
        <f>IF(Plantilla_SCAN_EQ3_COUNT_2[[#This Row],[ID MATERIAL]]="","",$B$13)</f>
        <v/>
      </c>
      <c r="I1414" s="7" t="str">
        <f>IF(Plantilla_SCAN_EQ3_COUNT_2[[#This Row],[ID MATERIAL]]="","","Segundo Conteo")</f>
        <v/>
      </c>
    </row>
    <row r="1415" spans="1:9" s="7" customFormat="1" ht="15" x14ac:dyDescent="0.2">
      <c r="A1415" s="7" t="str">
        <f>IF(Plantilla_SCAN_EQ3_COUNT_2[[#This Row],[ID MATERIAL]]="","",SIGN(Plantilla_SCAN_EQ3_COUNT_2[[#This Row],[Cantidad]])+A1414)</f>
        <v/>
      </c>
      <c r="B1415" s="21" t="str">
        <f>IF(Plantilla_SCAN_EQ3_COUNT_2[[#This Row],[ID MATERIAL]]="","",B1414)</f>
        <v/>
      </c>
      <c r="C1415" s="21"/>
      <c r="D1415" s="21"/>
      <c r="E1415" s="7" t="str">
        <f>IF(Plantilla_SCAN_EQ3_COUNT_2[[#This Row],[ID MATERIAL]]="","",VLOOKUP(Plantilla_SCAN_EQ3_COUNT_2[[#This Row],[ID MATERIAL]],INVENTARIO!$A:$D,2,FALSE))</f>
        <v/>
      </c>
      <c r="F1415" s="7" t="str">
        <f>IF(Plantilla_SCAN_EQ3_COUNT_2[[#This Row],[ID MATERIAL]]="","",IF(Plantilla_SCAN_EQ3_COUNT_2[[#This Row],[No. Empaques]]="",1,Plantilla_SCAN_EQ3_COUNT_2[[#This Row],[No. Empaques]]*1))</f>
        <v/>
      </c>
      <c r="G1415" s="7" t="str">
        <f>IF(Plantilla_SCAN_EQ3_COUNT_2[[#This Row],[ID MATERIAL]]="","","PZ")</f>
        <v/>
      </c>
      <c r="H1415" s="7" t="str">
        <f>IF(Plantilla_SCAN_EQ3_COUNT_2[[#This Row],[ID MATERIAL]]="","",$B$13)</f>
        <v/>
      </c>
      <c r="I1415" s="7" t="str">
        <f>IF(Plantilla_SCAN_EQ3_COUNT_2[[#This Row],[ID MATERIAL]]="","","Segundo Conteo")</f>
        <v/>
      </c>
    </row>
    <row r="1416" spans="1:9" s="7" customFormat="1" ht="15" x14ac:dyDescent="0.2">
      <c r="A1416" s="7" t="str">
        <f>IF(Plantilla_SCAN_EQ3_COUNT_2[[#This Row],[ID MATERIAL]]="","",SIGN(Plantilla_SCAN_EQ3_COUNT_2[[#This Row],[Cantidad]])+A1415)</f>
        <v/>
      </c>
      <c r="B1416" s="21" t="str">
        <f>IF(Plantilla_SCAN_EQ3_COUNT_2[[#This Row],[ID MATERIAL]]="","",B1415)</f>
        <v/>
      </c>
      <c r="C1416" s="21"/>
      <c r="D1416" s="21"/>
      <c r="E1416" s="7" t="str">
        <f>IF(Plantilla_SCAN_EQ3_COUNT_2[[#This Row],[ID MATERIAL]]="","",VLOOKUP(Plantilla_SCAN_EQ3_COUNT_2[[#This Row],[ID MATERIAL]],INVENTARIO!$A:$D,2,FALSE))</f>
        <v/>
      </c>
      <c r="F1416" s="7" t="str">
        <f>IF(Plantilla_SCAN_EQ3_COUNT_2[[#This Row],[ID MATERIAL]]="","",IF(Plantilla_SCAN_EQ3_COUNT_2[[#This Row],[No. Empaques]]="",1,Plantilla_SCAN_EQ3_COUNT_2[[#This Row],[No. Empaques]]*1))</f>
        <v/>
      </c>
      <c r="G1416" s="7" t="str">
        <f>IF(Plantilla_SCAN_EQ3_COUNT_2[[#This Row],[ID MATERIAL]]="","","PZ")</f>
        <v/>
      </c>
      <c r="H1416" s="7" t="str">
        <f>IF(Plantilla_SCAN_EQ3_COUNT_2[[#This Row],[ID MATERIAL]]="","",$B$13)</f>
        <v/>
      </c>
      <c r="I1416" s="7" t="str">
        <f>IF(Plantilla_SCAN_EQ3_COUNT_2[[#This Row],[ID MATERIAL]]="","","Segundo Conteo")</f>
        <v/>
      </c>
    </row>
    <row r="1417" spans="1:9" s="7" customFormat="1" ht="15" x14ac:dyDescent="0.2">
      <c r="A1417" s="7" t="str">
        <f>IF(Plantilla_SCAN_EQ3_COUNT_2[[#This Row],[ID MATERIAL]]="","",SIGN(Plantilla_SCAN_EQ3_COUNT_2[[#This Row],[Cantidad]])+A1416)</f>
        <v/>
      </c>
      <c r="B1417" s="21" t="str">
        <f>IF(Plantilla_SCAN_EQ3_COUNT_2[[#This Row],[ID MATERIAL]]="","",B1416)</f>
        <v/>
      </c>
      <c r="C1417" s="21"/>
      <c r="D1417" s="21"/>
      <c r="E1417" s="7" t="str">
        <f>IF(Plantilla_SCAN_EQ3_COUNT_2[[#This Row],[ID MATERIAL]]="","",VLOOKUP(Plantilla_SCAN_EQ3_COUNT_2[[#This Row],[ID MATERIAL]],INVENTARIO!$A:$D,2,FALSE))</f>
        <v/>
      </c>
      <c r="F1417" s="7" t="str">
        <f>IF(Plantilla_SCAN_EQ3_COUNT_2[[#This Row],[ID MATERIAL]]="","",IF(Plantilla_SCAN_EQ3_COUNT_2[[#This Row],[No. Empaques]]="",1,Plantilla_SCAN_EQ3_COUNT_2[[#This Row],[No. Empaques]]*1))</f>
        <v/>
      </c>
      <c r="G1417" s="7" t="str">
        <f>IF(Plantilla_SCAN_EQ3_COUNT_2[[#This Row],[ID MATERIAL]]="","","PZ")</f>
        <v/>
      </c>
      <c r="H1417" s="7" t="str">
        <f>IF(Plantilla_SCAN_EQ3_COUNT_2[[#This Row],[ID MATERIAL]]="","",$B$13)</f>
        <v/>
      </c>
      <c r="I1417" s="7" t="str">
        <f>IF(Plantilla_SCAN_EQ3_COUNT_2[[#This Row],[ID MATERIAL]]="","","Segundo Conteo")</f>
        <v/>
      </c>
    </row>
    <row r="1418" spans="1:9" s="7" customFormat="1" ht="15" x14ac:dyDescent="0.2">
      <c r="A1418" s="7" t="str">
        <f>IF(Plantilla_SCAN_EQ3_COUNT_2[[#This Row],[ID MATERIAL]]="","",SIGN(Plantilla_SCAN_EQ3_COUNT_2[[#This Row],[Cantidad]])+A1417)</f>
        <v/>
      </c>
      <c r="B1418" s="21" t="str">
        <f>IF(Plantilla_SCAN_EQ3_COUNT_2[[#This Row],[ID MATERIAL]]="","",B1417)</f>
        <v/>
      </c>
      <c r="C1418" s="21"/>
      <c r="D1418" s="21"/>
      <c r="E1418" s="7" t="str">
        <f>IF(Plantilla_SCAN_EQ3_COUNT_2[[#This Row],[ID MATERIAL]]="","",VLOOKUP(Plantilla_SCAN_EQ3_COUNT_2[[#This Row],[ID MATERIAL]],INVENTARIO!$A:$D,2,FALSE))</f>
        <v/>
      </c>
      <c r="F1418" s="7" t="str">
        <f>IF(Plantilla_SCAN_EQ3_COUNT_2[[#This Row],[ID MATERIAL]]="","",IF(Plantilla_SCAN_EQ3_COUNT_2[[#This Row],[No. Empaques]]="",1,Plantilla_SCAN_EQ3_COUNT_2[[#This Row],[No. Empaques]]*1))</f>
        <v/>
      </c>
      <c r="G1418" s="7" t="str">
        <f>IF(Plantilla_SCAN_EQ3_COUNT_2[[#This Row],[ID MATERIAL]]="","","PZ")</f>
        <v/>
      </c>
      <c r="H1418" s="7" t="str">
        <f>IF(Plantilla_SCAN_EQ3_COUNT_2[[#This Row],[ID MATERIAL]]="","",$B$13)</f>
        <v/>
      </c>
      <c r="I1418" s="7" t="str">
        <f>IF(Plantilla_SCAN_EQ3_COUNT_2[[#This Row],[ID MATERIAL]]="","","Segundo Conteo")</f>
        <v/>
      </c>
    </row>
    <row r="1419" spans="1:9" s="7" customFormat="1" ht="15" x14ac:dyDescent="0.2">
      <c r="A1419" s="7" t="str">
        <f>IF(Plantilla_SCAN_EQ3_COUNT_2[[#This Row],[ID MATERIAL]]="","",SIGN(Plantilla_SCAN_EQ3_COUNT_2[[#This Row],[Cantidad]])+A1418)</f>
        <v/>
      </c>
      <c r="B1419" s="21" t="str">
        <f>IF(Plantilla_SCAN_EQ3_COUNT_2[[#This Row],[ID MATERIAL]]="","",B1418)</f>
        <v/>
      </c>
      <c r="C1419" s="21"/>
      <c r="D1419" s="21"/>
      <c r="E1419" s="7" t="str">
        <f>IF(Plantilla_SCAN_EQ3_COUNT_2[[#This Row],[ID MATERIAL]]="","",VLOOKUP(Plantilla_SCAN_EQ3_COUNT_2[[#This Row],[ID MATERIAL]],INVENTARIO!$A:$D,2,FALSE))</f>
        <v/>
      </c>
      <c r="F1419" s="7" t="str">
        <f>IF(Plantilla_SCAN_EQ3_COUNT_2[[#This Row],[ID MATERIAL]]="","",IF(Plantilla_SCAN_EQ3_COUNT_2[[#This Row],[No. Empaques]]="",1,Plantilla_SCAN_EQ3_COUNT_2[[#This Row],[No. Empaques]]*1))</f>
        <v/>
      </c>
      <c r="G1419" s="7" t="str">
        <f>IF(Plantilla_SCAN_EQ3_COUNT_2[[#This Row],[ID MATERIAL]]="","","PZ")</f>
        <v/>
      </c>
      <c r="H1419" s="7" t="str">
        <f>IF(Plantilla_SCAN_EQ3_COUNT_2[[#This Row],[ID MATERIAL]]="","",$B$13)</f>
        <v/>
      </c>
      <c r="I1419" s="7" t="str">
        <f>IF(Plantilla_SCAN_EQ3_COUNT_2[[#This Row],[ID MATERIAL]]="","","Segundo Conteo")</f>
        <v/>
      </c>
    </row>
    <row r="1420" spans="1:9" s="7" customFormat="1" ht="15" x14ac:dyDescent="0.2">
      <c r="A1420" s="7" t="str">
        <f>IF(Plantilla_SCAN_EQ3_COUNT_2[[#This Row],[ID MATERIAL]]="","",SIGN(Plantilla_SCAN_EQ3_COUNT_2[[#This Row],[Cantidad]])+A1419)</f>
        <v/>
      </c>
      <c r="B1420" s="21" t="str">
        <f>IF(Plantilla_SCAN_EQ3_COUNT_2[[#This Row],[ID MATERIAL]]="","",B1419)</f>
        <v/>
      </c>
      <c r="C1420" s="21"/>
      <c r="D1420" s="21"/>
      <c r="E1420" s="7" t="str">
        <f>IF(Plantilla_SCAN_EQ3_COUNT_2[[#This Row],[ID MATERIAL]]="","",VLOOKUP(Plantilla_SCAN_EQ3_COUNT_2[[#This Row],[ID MATERIAL]],INVENTARIO!$A:$D,2,FALSE))</f>
        <v/>
      </c>
      <c r="F1420" s="7" t="str">
        <f>IF(Plantilla_SCAN_EQ3_COUNT_2[[#This Row],[ID MATERIAL]]="","",IF(Plantilla_SCAN_EQ3_COUNT_2[[#This Row],[No. Empaques]]="",1,Plantilla_SCAN_EQ3_COUNT_2[[#This Row],[No. Empaques]]*1))</f>
        <v/>
      </c>
      <c r="G1420" s="7" t="str">
        <f>IF(Plantilla_SCAN_EQ3_COUNT_2[[#This Row],[ID MATERIAL]]="","","PZ")</f>
        <v/>
      </c>
      <c r="H1420" s="7" t="str">
        <f>IF(Plantilla_SCAN_EQ3_COUNT_2[[#This Row],[ID MATERIAL]]="","",$B$13)</f>
        <v/>
      </c>
      <c r="I1420" s="7" t="str">
        <f>IF(Plantilla_SCAN_EQ3_COUNT_2[[#This Row],[ID MATERIAL]]="","","Segundo Conteo")</f>
        <v/>
      </c>
    </row>
    <row r="1421" spans="1:9" s="7" customFormat="1" ht="15" x14ac:dyDescent="0.2">
      <c r="A1421" s="7" t="str">
        <f>IF(Plantilla_SCAN_EQ3_COUNT_2[[#This Row],[ID MATERIAL]]="","",SIGN(Plantilla_SCAN_EQ3_COUNT_2[[#This Row],[Cantidad]])+A1420)</f>
        <v/>
      </c>
      <c r="B1421" s="21" t="str">
        <f>IF(Plantilla_SCAN_EQ3_COUNT_2[[#This Row],[ID MATERIAL]]="","",B1420)</f>
        <v/>
      </c>
      <c r="C1421" s="21"/>
      <c r="D1421" s="21"/>
      <c r="E1421" s="7" t="str">
        <f>IF(Plantilla_SCAN_EQ3_COUNT_2[[#This Row],[ID MATERIAL]]="","",VLOOKUP(Plantilla_SCAN_EQ3_COUNT_2[[#This Row],[ID MATERIAL]],INVENTARIO!$A:$D,2,FALSE))</f>
        <v/>
      </c>
      <c r="F1421" s="7" t="str">
        <f>IF(Plantilla_SCAN_EQ3_COUNT_2[[#This Row],[ID MATERIAL]]="","",IF(Plantilla_SCAN_EQ3_COUNT_2[[#This Row],[No. Empaques]]="",1,Plantilla_SCAN_EQ3_COUNT_2[[#This Row],[No. Empaques]]*1))</f>
        <v/>
      </c>
      <c r="G1421" s="7" t="str">
        <f>IF(Plantilla_SCAN_EQ3_COUNT_2[[#This Row],[ID MATERIAL]]="","","PZ")</f>
        <v/>
      </c>
      <c r="H1421" s="7" t="str">
        <f>IF(Plantilla_SCAN_EQ3_COUNT_2[[#This Row],[ID MATERIAL]]="","",$B$13)</f>
        <v/>
      </c>
      <c r="I1421" s="7" t="str">
        <f>IF(Plantilla_SCAN_EQ3_COUNT_2[[#This Row],[ID MATERIAL]]="","","Segundo Conteo")</f>
        <v/>
      </c>
    </row>
    <row r="1422" spans="1:9" s="7" customFormat="1" ht="15" x14ac:dyDescent="0.2">
      <c r="A1422" s="7" t="str">
        <f>IF(Plantilla_SCAN_EQ3_COUNT_2[[#This Row],[ID MATERIAL]]="","",SIGN(Plantilla_SCAN_EQ3_COUNT_2[[#This Row],[Cantidad]])+A1421)</f>
        <v/>
      </c>
      <c r="B1422" s="21" t="str">
        <f>IF(Plantilla_SCAN_EQ3_COUNT_2[[#This Row],[ID MATERIAL]]="","",B1421)</f>
        <v/>
      </c>
      <c r="C1422" s="21"/>
      <c r="D1422" s="21"/>
      <c r="E1422" s="7" t="str">
        <f>IF(Plantilla_SCAN_EQ3_COUNT_2[[#This Row],[ID MATERIAL]]="","",VLOOKUP(Plantilla_SCAN_EQ3_COUNT_2[[#This Row],[ID MATERIAL]],INVENTARIO!$A:$D,2,FALSE))</f>
        <v/>
      </c>
      <c r="F1422" s="7" t="str">
        <f>IF(Plantilla_SCAN_EQ3_COUNT_2[[#This Row],[ID MATERIAL]]="","",IF(Plantilla_SCAN_EQ3_COUNT_2[[#This Row],[No. Empaques]]="",1,Plantilla_SCAN_EQ3_COUNT_2[[#This Row],[No. Empaques]]*1))</f>
        <v/>
      </c>
      <c r="G1422" s="7" t="str">
        <f>IF(Plantilla_SCAN_EQ3_COUNT_2[[#This Row],[ID MATERIAL]]="","","PZ")</f>
        <v/>
      </c>
      <c r="H1422" s="7" t="str">
        <f>IF(Plantilla_SCAN_EQ3_COUNT_2[[#This Row],[ID MATERIAL]]="","",$B$13)</f>
        <v/>
      </c>
      <c r="I1422" s="7" t="str">
        <f>IF(Plantilla_SCAN_EQ3_COUNT_2[[#This Row],[ID MATERIAL]]="","","Segundo Conteo")</f>
        <v/>
      </c>
    </row>
    <row r="1423" spans="1:9" s="7" customFormat="1" ht="15" x14ac:dyDescent="0.2">
      <c r="A1423" s="7" t="str">
        <f>IF(Plantilla_SCAN_EQ3_COUNT_2[[#This Row],[ID MATERIAL]]="","",SIGN(Plantilla_SCAN_EQ3_COUNT_2[[#This Row],[Cantidad]])+A1422)</f>
        <v/>
      </c>
      <c r="B1423" s="21" t="str">
        <f>IF(Plantilla_SCAN_EQ3_COUNT_2[[#This Row],[ID MATERIAL]]="","",B1422)</f>
        <v/>
      </c>
      <c r="C1423" s="21"/>
      <c r="D1423" s="21"/>
      <c r="E1423" s="7" t="str">
        <f>IF(Plantilla_SCAN_EQ3_COUNT_2[[#This Row],[ID MATERIAL]]="","",VLOOKUP(Plantilla_SCAN_EQ3_COUNT_2[[#This Row],[ID MATERIAL]],INVENTARIO!$A:$D,2,FALSE))</f>
        <v/>
      </c>
      <c r="F1423" s="7" t="str">
        <f>IF(Plantilla_SCAN_EQ3_COUNT_2[[#This Row],[ID MATERIAL]]="","",IF(Plantilla_SCAN_EQ3_COUNT_2[[#This Row],[No. Empaques]]="",1,Plantilla_SCAN_EQ3_COUNT_2[[#This Row],[No. Empaques]]*1))</f>
        <v/>
      </c>
      <c r="G1423" s="7" t="str">
        <f>IF(Plantilla_SCAN_EQ3_COUNT_2[[#This Row],[ID MATERIAL]]="","","PZ")</f>
        <v/>
      </c>
      <c r="H1423" s="7" t="str">
        <f>IF(Plantilla_SCAN_EQ3_COUNT_2[[#This Row],[ID MATERIAL]]="","",$B$13)</f>
        <v/>
      </c>
      <c r="I1423" s="7" t="str">
        <f>IF(Plantilla_SCAN_EQ3_COUNT_2[[#This Row],[ID MATERIAL]]="","","Segundo Conteo")</f>
        <v/>
      </c>
    </row>
    <row r="1424" spans="1:9" s="7" customFormat="1" ht="15" x14ac:dyDescent="0.2">
      <c r="A1424" s="7" t="str">
        <f>IF(Plantilla_SCAN_EQ3_COUNT_2[[#This Row],[ID MATERIAL]]="","",SIGN(Plantilla_SCAN_EQ3_COUNT_2[[#This Row],[Cantidad]])+A1423)</f>
        <v/>
      </c>
      <c r="B1424" s="21" t="str">
        <f>IF(Plantilla_SCAN_EQ3_COUNT_2[[#This Row],[ID MATERIAL]]="","",B1423)</f>
        <v/>
      </c>
      <c r="C1424" s="21"/>
      <c r="D1424" s="21"/>
      <c r="E1424" s="7" t="str">
        <f>IF(Plantilla_SCAN_EQ3_COUNT_2[[#This Row],[ID MATERIAL]]="","",VLOOKUP(Plantilla_SCAN_EQ3_COUNT_2[[#This Row],[ID MATERIAL]],INVENTARIO!$A:$D,2,FALSE))</f>
        <v/>
      </c>
      <c r="F1424" s="7" t="str">
        <f>IF(Plantilla_SCAN_EQ3_COUNT_2[[#This Row],[ID MATERIAL]]="","",IF(Plantilla_SCAN_EQ3_COUNT_2[[#This Row],[No. Empaques]]="",1,Plantilla_SCAN_EQ3_COUNT_2[[#This Row],[No. Empaques]]*1))</f>
        <v/>
      </c>
      <c r="G1424" s="7" t="str">
        <f>IF(Plantilla_SCAN_EQ3_COUNT_2[[#This Row],[ID MATERIAL]]="","","PZ")</f>
        <v/>
      </c>
      <c r="H1424" s="7" t="str">
        <f>IF(Plantilla_SCAN_EQ3_COUNT_2[[#This Row],[ID MATERIAL]]="","",$B$13)</f>
        <v/>
      </c>
      <c r="I1424" s="7" t="str">
        <f>IF(Plantilla_SCAN_EQ3_COUNT_2[[#This Row],[ID MATERIAL]]="","","Segundo Conteo")</f>
        <v/>
      </c>
    </row>
    <row r="1425" spans="1:9" s="7" customFormat="1" ht="15" x14ac:dyDescent="0.2">
      <c r="A1425" s="7" t="str">
        <f>IF(Plantilla_SCAN_EQ3_COUNT_2[[#This Row],[ID MATERIAL]]="","",SIGN(Plantilla_SCAN_EQ3_COUNT_2[[#This Row],[Cantidad]])+A1424)</f>
        <v/>
      </c>
      <c r="B1425" s="21" t="str">
        <f>IF(Plantilla_SCAN_EQ3_COUNT_2[[#This Row],[ID MATERIAL]]="","",B1424)</f>
        <v/>
      </c>
      <c r="C1425" s="21"/>
      <c r="D1425" s="21"/>
      <c r="E1425" s="7" t="str">
        <f>IF(Plantilla_SCAN_EQ3_COUNT_2[[#This Row],[ID MATERIAL]]="","",VLOOKUP(Plantilla_SCAN_EQ3_COUNT_2[[#This Row],[ID MATERIAL]],INVENTARIO!$A:$D,2,FALSE))</f>
        <v/>
      </c>
      <c r="F1425" s="7" t="str">
        <f>IF(Plantilla_SCAN_EQ3_COUNT_2[[#This Row],[ID MATERIAL]]="","",IF(Plantilla_SCAN_EQ3_COUNT_2[[#This Row],[No. Empaques]]="",1,Plantilla_SCAN_EQ3_COUNT_2[[#This Row],[No. Empaques]]*1))</f>
        <v/>
      </c>
      <c r="G1425" s="7" t="str">
        <f>IF(Plantilla_SCAN_EQ3_COUNT_2[[#This Row],[ID MATERIAL]]="","","PZ")</f>
        <v/>
      </c>
      <c r="H1425" s="7" t="str">
        <f>IF(Plantilla_SCAN_EQ3_COUNT_2[[#This Row],[ID MATERIAL]]="","",$B$13)</f>
        <v/>
      </c>
      <c r="I1425" s="7" t="str">
        <f>IF(Plantilla_SCAN_EQ3_COUNT_2[[#This Row],[ID MATERIAL]]="","","Segundo Conteo")</f>
        <v/>
      </c>
    </row>
    <row r="1426" spans="1:9" s="7" customFormat="1" ht="15" x14ac:dyDescent="0.2">
      <c r="A1426" s="7" t="str">
        <f>IF(Plantilla_SCAN_EQ3_COUNT_2[[#This Row],[ID MATERIAL]]="","",SIGN(Plantilla_SCAN_EQ3_COUNT_2[[#This Row],[Cantidad]])+A1425)</f>
        <v/>
      </c>
      <c r="B1426" s="21" t="str">
        <f>IF(Plantilla_SCAN_EQ3_COUNT_2[[#This Row],[ID MATERIAL]]="","",B1425)</f>
        <v/>
      </c>
      <c r="C1426" s="21"/>
      <c r="D1426" s="21"/>
      <c r="E1426" s="7" t="str">
        <f>IF(Plantilla_SCAN_EQ3_COUNT_2[[#This Row],[ID MATERIAL]]="","",VLOOKUP(Plantilla_SCAN_EQ3_COUNT_2[[#This Row],[ID MATERIAL]],INVENTARIO!$A:$D,2,FALSE))</f>
        <v/>
      </c>
      <c r="F1426" s="7" t="str">
        <f>IF(Plantilla_SCAN_EQ3_COUNT_2[[#This Row],[ID MATERIAL]]="","",IF(Plantilla_SCAN_EQ3_COUNT_2[[#This Row],[No. Empaques]]="",1,Plantilla_SCAN_EQ3_COUNT_2[[#This Row],[No. Empaques]]*1))</f>
        <v/>
      </c>
      <c r="G1426" s="7" t="str">
        <f>IF(Plantilla_SCAN_EQ3_COUNT_2[[#This Row],[ID MATERIAL]]="","","PZ")</f>
        <v/>
      </c>
      <c r="H1426" s="7" t="str">
        <f>IF(Plantilla_SCAN_EQ3_COUNT_2[[#This Row],[ID MATERIAL]]="","",$B$13)</f>
        <v/>
      </c>
      <c r="I1426" s="7" t="str">
        <f>IF(Plantilla_SCAN_EQ3_COUNT_2[[#This Row],[ID MATERIAL]]="","","Segundo Conteo")</f>
        <v/>
      </c>
    </row>
    <row r="1427" spans="1:9" s="7" customFormat="1" ht="15" x14ac:dyDescent="0.2">
      <c r="A1427" s="7" t="str">
        <f>IF(Plantilla_SCAN_EQ3_COUNT_2[[#This Row],[ID MATERIAL]]="","",SIGN(Plantilla_SCAN_EQ3_COUNT_2[[#This Row],[Cantidad]])+A1426)</f>
        <v/>
      </c>
      <c r="B1427" s="21" t="str">
        <f>IF(Plantilla_SCAN_EQ3_COUNT_2[[#This Row],[ID MATERIAL]]="","",B1426)</f>
        <v/>
      </c>
      <c r="C1427" s="21"/>
      <c r="D1427" s="21"/>
      <c r="E1427" s="7" t="str">
        <f>IF(Plantilla_SCAN_EQ3_COUNT_2[[#This Row],[ID MATERIAL]]="","",VLOOKUP(Plantilla_SCAN_EQ3_COUNT_2[[#This Row],[ID MATERIAL]],INVENTARIO!$A:$D,2,FALSE))</f>
        <v/>
      </c>
      <c r="F1427" s="7" t="str">
        <f>IF(Plantilla_SCAN_EQ3_COUNT_2[[#This Row],[ID MATERIAL]]="","",IF(Plantilla_SCAN_EQ3_COUNT_2[[#This Row],[No. Empaques]]="",1,Plantilla_SCAN_EQ3_COUNT_2[[#This Row],[No. Empaques]]*1))</f>
        <v/>
      </c>
      <c r="G1427" s="7" t="str">
        <f>IF(Plantilla_SCAN_EQ3_COUNT_2[[#This Row],[ID MATERIAL]]="","","PZ")</f>
        <v/>
      </c>
      <c r="H1427" s="7" t="str">
        <f>IF(Plantilla_SCAN_EQ3_COUNT_2[[#This Row],[ID MATERIAL]]="","",$B$13)</f>
        <v/>
      </c>
      <c r="I1427" s="7" t="str">
        <f>IF(Plantilla_SCAN_EQ3_COUNT_2[[#This Row],[ID MATERIAL]]="","","Segundo Conteo")</f>
        <v/>
      </c>
    </row>
    <row r="1428" spans="1:9" s="7" customFormat="1" ht="15" x14ac:dyDescent="0.2">
      <c r="A1428" s="7" t="str">
        <f>IF(Plantilla_SCAN_EQ3_COUNT_2[[#This Row],[ID MATERIAL]]="","",SIGN(Plantilla_SCAN_EQ3_COUNT_2[[#This Row],[Cantidad]])+A1427)</f>
        <v/>
      </c>
      <c r="B1428" s="21" t="str">
        <f>IF(Plantilla_SCAN_EQ3_COUNT_2[[#This Row],[ID MATERIAL]]="","",B1427)</f>
        <v/>
      </c>
      <c r="C1428" s="21"/>
      <c r="D1428" s="21"/>
      <c r="E1428" s="7" t="str">
        <f>IF(Plantilla_SCAN_EQ3_COUNT_2[[#This Row],[ID MATERIAL]]="","",VLOOKUP(Plantilla_SCAN_EQ3_COUNT_2[[#This Row],[ID MATERIAL]],INVENTARIO!$A:$D,2,FALSE))</f>
        <v/>
      </c>
      <c r="F1428" s="7" t="str">
        <f>IF(Plantilla_SCAN_EQ3_COUNT_2[[#This Row],[ID MATERIAL]]="","",IF(Plantilla_SCAN_EQ3_COUNT_2[[#This Row],[No. Empaques]]="",1,Plantilla_SCAN_EQ3_COUNT_2[[#This Row],[No. Empaques]]*1))</f>
        <v/>
      </c>
      <c r="G1428" s="7" t="str">
        <f>IF(Plantilla_SCAN_EQ3_COUNT_2[[#This Row],[ID MATERIAL]]="","","PZ")</f>
        <v/>
      </c>
      <c r="H1428" s="7" t="str">
        <f>IF(Plantilla_SCAN_EQ3_COUNT_2[[#This Row],[ID MATERIAL]]="","",$B$13)</f>
        <v/>
      </c>
      <c r="I1428" s="7" t="str">
        <f>IF(Plantilla_SCAN_EQ3_COUNT_2[[#This Row],[ID MATERIAL]]="","","Segundo Conteo")</f>
        <v/>
      </c>
    </row>
    <row r="1429" spans="1:9" s="7" customFormat="1" ht="15" x14ac:dyDescent="0.2">
      <c r="A1429" s="7" t="str">
        <f>IF(Plantilla_SCAN_EQ3_COUNT_2[[#This Row],[ID MATERIAL]]="","",SIGN(Plantilla_SCAN_EQ3_COUNT_2[[#This Row],[Cantidad]])+A1428)</f>
        <v/>
      </c>
      <c r="B1429" s="21" t="str">
        <f>IF(Plantilla_SCAN_EQ3_COUNT_2[[#This Row],[ID MATERIAL]]="","",B1428)</f>
        <v/>
      </c>
      <c r="C1429" s="21"/>
      <c r="D1429" s="21"/>
      <c r="E1429" s="7" t="str">
        <f>IF(Plantilla_SCAN_EQ3_COUNT_2[[#This Row],[ID MATERIAL]]="","",VLOOKUP(Plantilla_SCAN_EQ3_COUNT_2[[#This Row],[ID MATERIAL]],INVENTARIO!$A:$D,2,FALSE))</f>
        <v/>
      </c>
      <c r="F1429" s="7" t="str">
        <f>IF(Plantilla_SCAN_EQ3_COUNT_2[[#This Row],[ID MATERIAL]]="","",IF(Plantilla_SCAN_EQ3_COUNT_2[[#This Row],[No. Empaques]]="",1,Plantilla_SCAN_EQ3_COUNT_2[[#This Row],[No. Empaques]]*1))</f>
        <v/>
      </c>
      <c r="G1429" s="7" t="str">
        <f>IF(Plantilla_SCAN_EQ3_COUNT_2[[#This Row],[ID MATERIAL]]="","","PZ")</f>
        <v/>
      </c>
      <c r="H1429" s="7" t="str">
        <f>IF(Plantilla_SCAN_EQ3_COUNT_2[[#This Row],[ID MATERIAL]]="","",$B$13)</f>
        <v/>
      </c>
      <c r="I1429" s="7" t="str">
        <f>IF(Plantilla_SCAN_EQ3_COUNT_2[[#This Row],[ID MATERIAL]]="","","Segundo Conteo")</f>
        <v/>
      </c>
    </row>
    <row r="1430" spans="1:9" s="7" customFormat="1" ht="15" x14ac:dyDescent="0.2">
      <c r="A1430" s="7" t="str">
        <f>IF(Plantilla_SCAN_EQ3_COUNT_2[[#This Row],[ID MATERIAL]]="","",SIGN(Plantilla_SCAN_EQ3_COUNT_2[[#This Row],[Cantidad]])+A1429)</f>
        <v/>
      </c>
      <c r="B1430" s="21" t="str">
        <f>IF(Plantilla_SCAN_EQ3_COUNT_2[[#This Row],[ID MATERIAL]]="","",B1429)</f>
        <v/>
      </c>
      <c r="C1430" s="21"/>
      <c r="D1430" s="21"/>
      <c r="E1430" s="7" t="str">
        <f>IF(Plantilla_SCAN_EQ3_COUNT_2[[#This Row],[ID MATERIAL]]="","",VLOOKUP(Plantilla_SCAN_EQ3_COUNT_2[[#This Row],[ID MATERIAL]],INVENTARIO!$A:$D,2,FALSE))</f>
        <v/>
      </c>
      <c r="F1430" s="7" t="str">
        <f>IF(Plantilla_SCAN_EQ3_COUNT_2[[#This Row],[ID MATERIAL]]="","",IF(Plantilla_SCAN_EQ3_COUNT_2[[#This Row],[No. Empaques]]="",1,Plantilla_SCAN_EQ3_COUNT_2[[#This Row],[No. Empaques]]*1))</f>
        <v/>
      </c>
      <c r="G1430" s="7" t="str">
        <f>IF(Plantilla_SCAN_EQ3_COUNT_2[[#This Row],[ID MATERIAL]]="","","PZ")</f>
        <v/>
      </c>
      <c r="H1430" s="7" t="str">
        <f>IF(Plantilla_SCAN_EQ3_COUNT_2[[#This Row],[ID MATERIAL]]="","",$B$13)</f>
        <v/>
      </c>
      <c r="I1430" s="7" t="str">
        <f>IF(Plantilla_SCAN_EQ3_COUNT_2[[#This Row],[ID MATERIAL]]="","","Segundo Conteo")</f>
        <v/>
      </c>
    </row>
    <row r="1431" spans="1:9" s="7" customFormat="1" ht="15" x14ac:dyDescent="0.2">
      <c r="A1431" s="7" t="str">
        <f>IF(Plantilla_SCAN_EQ3_COUNT_2[[#This Row],[ID MATERIAL]]="","",SIGN(Plantilla_SCAN_EQ3_COUNT_2[[#This Row],[Cantidad]])+A1430)</f>
        <v/>
      </c>
      <c r="B1431" s="21" t="str">
        <f>IF(Plantilla_SCAN_EQ3_COUNT_2[[#This Row],[ID MATERIAL]]="","",B1430)</f>
        <v/>
      </c>
      <c r="C1431" s="21"/>
      <c r="D1431" s="21"/>
      <c r="E1431" s="7" t="str">
        <f>IF(Plantilla_SCAN_EQ3_COUNT_2[[#This Row],[ID MATERIAL]]="","",VLOOKUP(Plantilla_SCAN_EQ3_COUNT_2[[#This Row],[ID MATERIAL]],INVENTARIO!$A:$D,2,FALSE))</f>
        <v/>
      </c>
      <c r="F1431" s="7" t="str">
        <f>IF(Plantilla_SCAN_EQ3_COUNT_2[[#This Row],[ID MATERIAL]]="","",IF(Plantilla_SCAN_EQ3_COUNT_2[[#This Row],[No. Empaques]]="",1,Plantilla_SCAN_EQ3_COUNT_2[[#This Row],[No. Empaques]]*1))</f>
        <v/>
      </c>
      <c r="G1431" s="7" t="str">
        <f>IF(Plantilla_SCAN_EQ3_COUNT_2[[#This Row],[ID MATERIAL]]="","","PZ")</f>
        <v/>
      </c>
      <c r="H1431" s="7" t="str">
        <f>IF(Plantilla_SCAN_EQ3_COUNT_2[[#This Row],[ID MATERIAL]]="","",$B$13)</f>
        <v/>
      </c>
      <c r="I1431" s="7" t="str">
        <f>IF(Plantilla_SCAN_EQ3_COUNT_2[[#This Row],[ID MATERIAL]]="","","Segundo Conteo")</f>
        <v/>
      </c>
    </row>
    <row r="1432" spans="1:9" s="7" customFormat="1" ht="15" x14ac:dyDescent="0.2">
      <c r="A1432" s="7" t="str">
        <f>IF(Plantilla_SCAN_EQ3_COUNT_2[[#This Row],[ID MATERIAL]]="","",SIGN(Plantilla_SCAN_EQ3_COUNT_2[[#This Row],[Cantidad]])+A1431)</f>
        <v/>
      </c>
      <c r="B1432" s="21" t="str">
        <f>IF(Plantilla_SCAN_EQ3_COUNT_2[[#This Row],[ID MATERIAL]]="","",B1431)</f>
        <v/>
      </c>
      <c r="C1432" s="21"/>
      <c r="D1432" s="21"/>
      <c r="E1432" s="7" t="str">
        <f>IF(Plantilla_SCAN_EQ3_COUNT_2[[#This Row],[ID MATERIAL]]="","",VLOOKUP(Plantilla_SCAN_EQ3_COUNT_2[[#This Row],[ID MATERIAL]],INVENTARIO!$A:$D,2,FALSE))</f>
        <v/>
      </c>
      <c r="F1432" s="7" t="str">
        <f>IF(Plantilla_SCAN_EQ3_COUNT_2[[#This Row],[ID MATERIAL]]="","",IF(Plantilla_SCAN_EQ3_COUNT_2[[#This Row],[No. Empaques]]="",1,Plantilla_SCAN_EQ3_COUNT_2[[#This Row],[No. Empaques]]*1))</f>
        <v/>
      </c>
      <c r="G1432" s="7" t="str">
        <f>IF(Plantilla_SCAN_EQ3_COUNT_2[[#This Row],[ID MATERIAL]]="","","PZ")</f>
        <v/>
      </c>
      <c r="H1432" s="7" t="str">
        <f>IF(Plantilla_SCAN_EQ3_COUNT_2[[#This Row],[ID MATERIAL]]="","",$B$13)</f>
        <v/>
      </c>
      <c r="I1432" s="7" t="str">
        <f>IF(Plantilla_SCAN_EQ3_COUNT_2[[#This Row],[ID MATERIAL]]="","","Segundo Conteo")</f>
        <v/>
      </c>
    </row>
    <row r="1433" spans="1:9" s="7" customFormat="1" ht="15" x14ac:dyDescent="0.2">
      <c r="A1433" s="7" t="str">
        <f>IF(Plantilla_SCAN_EQ3_COUNT_2[[#This Row],[ID MATERIAL]]="","",SIGN(Plantilla_SCAN_EQ3_COUNT_2[[#This Row],[Cantidad]])+A1432)</f>
        <v/>
      </c>
      <c r="B1433" s="21" t="str">
        <f>IF(Plantilla_SCAN_EQ3_COUNT_2[[#This Row],[ID MATERIAL]]="","",B1432)</f>
        <v/>
      </c>
      <c r="C1433" s="21"/>
      <c r="D1433" s="21"/>
      <c r="E1433" s="7" t="str">
        <f>IF(Plantilla_SCAN_EQ3_COUNT_2[[#This Row],[ID MATERIAL]]="","",VLOOKUP(Plantilla_SCAN_EQ3_COUNT_2[[#This Row],[ID MATERIAL]],INVENTARIO!$A:$D,2,FALSE))</f>
        <v/>
      </c>
      <c r="F1433" s="7" t="str">
        <f>IF(Plantilla_SCAN_EQ3_COUNT_2[[#This Row],[ID MATERIAL]]="","",IF(Plantilla_SCAN_EQ3_COUNT_2[[#This Row],[No. Empaques]]="",1,Plantilla_SCAN_EQ3_COUNT_2[[#This Row],[No. Empaques]]*1))</f>
        <v/>
      </c>
      <c r="G1433" s="7" t="str">
        <f>IF(Plantilla_SCAN_EQ3_COUNT_2[[#This Row],[ID MATERIAL]]="","","PZ")</f>
        <v/>
      </c>
      <c r="H1433" s="7" t="str">
        <f>IF(Plantilla_SCAN_EQ3_COUNT_2[[#This Row],[ID MATERIAL]]="","",$B$13)</f>
        <v/>
      </c>
      <c r="I1433" s="7" t="str">
        <f>IF(Plantilla_SCAN_EQ3_COUNT_2[[#This Row],[ID MATERIAL]]="","","Segundo Conteo")</f>
        <v/>
      </c>
    </row>
    <row r="1434" spans="1:9" s="7" customFormat="1" ht="15" x14ac:dyDescent="0.2">
      <c r="A1434" s="7" t="str">
        <f>IF(Plantilla_SCAN_EQ3_COUNT_2[[#This Row],[ID MATERIAL]]="","",SIGN(Plantilla_SCAN_EQ3_COUNT_2[[#This Row],[Cantidad]])+A1433)</f>
        <v/>
      </c>
      <c r="B1434" s="21" t="str">
        <f>IF(Plantilla_SCAN_EQ3_COUNT_2[[#This Row],[ID MATERIAL]]="","",B1433)</f>
        <v/>
      </c>
      <c r="C1434" s="21"/>
      <c r="D1434" s="21"/>
      <c r="E1434" s="7" t="str">
        <f>IF(Plantilla_SCAN_EQ3_COUNT_2[[#This Row],[ID MATERIAL]]="","",VLOOKUP(Plantilla_SCAN_EQ3_COUNT_2[[#This Row],[ID MATERIAL]],INVENTARIO!$A:$D,2,FALSE))</f>
        <v/>
      </c>
      <c r="F1434" s="7" t="str">
        <f>IF(Plantilla_SCAN_EQ3_COUNT_2[[#This Row],[ID MATERIAL]]="","",IF(Plantilla_SCAN_EQ3_COUNT_2[[#This Row],[No. Empaques]]="",1,Plantilla_SCAN_EQ3_COUNT_2[[#This Row],[No. Empaques]]*1))</f>
        <v/>
      </c>
      <c r="G1434" s="7" t="str">
        <f>IF(Plantilla_SCAN_EQ3_COUNT_2[[#This Row],[ID MATERIAL]]="","","PZ")</f>
        <v/>
      </c>
      <c r="H1434" s="7" t="str">
        <f>IF(Plantilla_SCAN_EQ3_COUNT_2[[#This Row],[ID MATERIAL]]="","",$B$13)</f>
        <v/>
      </c>
      <c r="I1434" s="7" t="str">
        <f>IF(Plantilla_SCAN_EQ3_COUNT_2[[#This Row],[ID MATERIAL]]="","","Segundo Conteo")</f>
        <v/>
      </c>
    </row>
    <row r="1435" spans="1:9" s="7" customFormat="1" ht="15" x14ac:dyDescent="0.2">
      <c r="A1435" s="7" t="str">
        <f>IF(Plantilla_SCAN_EQ3_COUNT_2[[#This Row],[ID MATERIAL]]="","",SIGN(Plantilla_SCAN_EQ3_COUNT_2[[#This Row],[Cantidad]])+A1434)</f>
        <v/>
      </c>
      <c r="B1435" s="21" t="str">
        <f>IF(Plantilla_SCAN_EQ3_COUNT_2[[#This Row],[ID MATERIAL]]="","",B1434)</f>
        <v/>
      </c>
      <c r="C1435" s="21"/>
      <c r="D1435" s="21"/>
      <c r="E1435" s="7" t="str">
        <f>IF(Plantilla_SCAN_EQ3_COUNT_2[[#This Row],[ID MATERIAL]]="","",VLOOKUP(Plantilla_SCAN_EQ3_COUNT_2[[#This Row],[ID MATERIAL]],INVENTARIO!$A:$D,2,FALSE))</f>
        <v/>
      </c>
      <c r="F1435" s="7" t="str">
        <f>IF(Plantilla_SCAN_EQ3_COUNT_2[[#This Row],[ID MATERIAL]]="","",IF(Plantilla_SCAN_EQ3_COUNT_2[[#This Row],[No. Empaques]]="",1,Plantilla_SCAN_EQ3_COUNT_2[[#This Row],[No. Empaques]]*1))</f>
        <v/>
      </c>
      <c r="G1435" s="7" t="str">
        <f>IF(Plantilla_SCAN_EQ3_COUNT_2[[#This Row],[ID MATERIAL]]="","","PZ")</f>
        <v/>
      </c>
      <c r="H1435" s="7" t="str">
        <f>IF(Plantilla_SCAN_EQ3_COUNT_2[[#This Row],[ID MATERIAL]]="","",$B$13)</f>
        <v/>
      </c>
      <c r="I1435" s="7" t="str">
        <f>IF(Plantilla_SCAN_EQ3_COUNT_2[[#This Row],[ID MATERIAL]]="","","Segundo Conteo")</f>
        <v/>
      </c>
    </row>
    <row r="1436" spans="1:9" s="7" customFormat="1" ht="15" x14ac:dyDescent="0.2">
      <c r="A1436" s="7" t="str">
        <f>IF(Plantilla_SCAN_EQ3_COUNT_2[[#This Row],[ID MATERIAL]]="","",SIGN(Plantilla_SCAN_EQ3_COUNT_2[[#This Row],[Cantidad]])+A1435)</f>
        <v/>
      </c>
      <c r="B1436" s="21" t="str">
        <f>IF(Plantilla_SCAN_EQ3_COUNT_2[[#This Row],[ID MATERIAL]]="","",B1435)</f>
        <v/>
      </c>
      <c r="C1436" s="21"/>
      <c r="D1436" s="21"/>
      <c r="E1436" s="7" t="str">
        <f>IF(Plantilla_SCAN_EQ3_COUNT_2[[#This Row],[ID MATERIAL]]="","",VLOOKUP(Plantilla_SCAN_EQ3_COUNT_2[[#This Row],[ID MATERIAL]],INVENTARIO!$A:$D,2,FALSE))</f>
        <v/>
      </c>
      <c r="F1436" s="7" t="str">
        <f>IF(Plantilla_SCAN_EQ3_COUNT_2[[#This Row],[ID MATERIAL]]="","",IF(Plantilla_SCAN_EQ3_COUNT_2[[#This Row],[No. Empaques]]="",1,Plantilla_SCAN_EQ3_COUNT_2[[#This Row],[No. Empaques]]*1))</f>
        <v/>
      </c>
      <c r="G1436" s="7" t="str">
        <f>IF(Plantilla_SCAN_EQ3_COUNT_2[[#This Row],[ID MATERIAL]]="","","PZ")</f>
        <v/>
      </c>
      <c r="H1436" s="7" t="str">
        <f>IF(Plantilla_SCAN_EQ3_COUNT_2[[#This Row],[ID MATERIAL]]="","",$B$13)</f>
        <v/>
      </c>
      <c r="I1436" s="7" t="str">
        <f>IF(Plantilla_SCAN_EQ3_COUNT_2[[#This Row],[ID MATERIAL]]="","","Segundo Conteo")</f>
        <v/>
      </c>
    </row>
    <row r="1437" spans="1:9" s="7" customFormat="1" ht="15" x14ac:dyDescent="0.2">
      <c r="A1437" s="7" t="str">
        <f>IF(Plantilla_SCAN_EQ3_COUNT_2[[#This Row],[ID MATERIAL]]="","",SIGN(Plantilla_SCAN_EQ3_COUNT_2[[#This Row],[Cantidad]])+A1436)</f>
        <v/>
      </c>
      <c r="B1437" s="21" t="str">
        <f>IF(Plantilla_SCAN_EQ3_COUNT_2[[#This Row],[ID MATERIAL]]="","",B1436)</f>
        <v/>
      </c>
      <c r="C1437" s="21"/>
      <c r="D1437" s="21"/>
      <c r="E1437" s="7" t="str">
        <f>IF(Plantilla_SCAN_EQ3_COUNT_2[[#This Row],[ID MATERIAL]]="","",VLOOKUP(Plantilla_SCAN_EQ3_COUNT_2[[#This Row],[ID MATERIAL]],INVENTARIO!$A:$D,2,FALSE))</f>
        <v/>
      </c>
      <c r="F1437" s="7" t="str">
        <f>IF(Plantilla_SCAN_EQ3_COUNT_2[[#This Row],[ID MATERIAL]]="","",IF(Plantilla_SCAN_EQ3_COUNT_2[[#This Row],[No. Empaques]]="",1,Plantilla_SCAN_EQ3_COUNT_2[[#This Row],[No. Empaques]]*1))</f>
        <v/>
      </c>
      <c r="G1437" s="7" t="str">
        <f>IF(Plantilla_SCAN_EQ3_COUNT_2[[#This Row],[ID MATERIAL]]="","","PZ")</f>
        <v/>
      </c>
      <c r="H1437" s="7" t="str">
        <f>IF(Plantilla_SCAN_EQ3_COUNT_2[[#This Row],[ID MATERIAL]]="","",$B$13)</f>
        <v/>
      </c>
      <c r="I1437" s="7" t="str">
        <f>IF(Plantilla_SCAN_EQ3_COUNT_2[[#This Row],[ID MATERIAL]]="","","Segundo Conteo")</f>
        <v/>
      </c>
    </row>
    <row r="1438" spans="1:9" s="7" customFormat="1" ht="15" x14ac:dyDescent="0.2">
      <c r="A1438" s="7" t="str">
        <f>IF(Plantilla_SCAN_EQ3_COUNT_2[[#This Row],[ID MATERIAL]]="","",SIGN(Plantilla_SCAN_EQ3_COUNT_2[[#This Row],[Cantidad]])+A1437)</f>
        <v/>
      </c>
      <c r="B1438" s="21" t="str">
        <f>IF(Plantilla_SCAN_EQ3_COUNT_2[[#This Row],[ID MATERIAL]]="","",B1437)</f>
        <v/>
      </c>
      <c r="C1438" s="21"/>
      <c r="D1438" s="21"/>
      <c r="E1438" s="7" t="str">
        <f>IF(Plantilla_SCAN_EQ3_COUNT_2[[#This Row],[ID MATERIAL]]="","",VLOOKUP(Plantilla_SCAN_EQ3_COUNT_2[[#This Row],[ID MATERIAL]],INVENTARIO!$A:$D,2,FALSE))</f>
        <v/>
      </c>
      <c r="F1438" s="7" t="str">
        <f>IF(Plantilla_SCAN_EQ3_COUNT_2[[#This Row],[ID MATERIAL]]="","",IF(Plantilla_SCAN_EQ3_COUNT_2[[#This Row],[No. Empaques]]="",1,Plantilla_SCAN_EQ3_COUNT_2[[#This Row],[No. Empaques]]*1))</f>
        <v/>
      </c>
      <c r="G1438" s="7" t="str">
        <f>IF(Plantilla_SCAN_EQ3_COUNT_2[[#This Row],[ID MATERIAL]]="","","PZ")</f>
        <v/>
      </c>
      <c r="H1438" s="7" t="str">
        <f>IF(Plantilla_SCAN_EQ3_COUNT_2[[#This Row],[ID MATERIAL]]="","",$B$13)</f>
        <v/>
      </c>
      <c r="I1438" s="7" t="str">
        <f>IF(Plantilla_SCAN_EQ3_COUNT_2[[#This Row],[ID MATERIAL]]="","","Segundo Conteo")</f>
        <v/>
      </c>
    </row>
    <row r="1439" spans="1:9" s="7" customFormat="1" ht="15" x14ac:dyDescent="0.2">
      <c r="A1439" s="7" t="str">
        <f>IF(Plantilla_SCAN_EQ3_COUNT_2[[#This Row],[ID MATERIAL]]="","",SIGN(Plantilla_SCAN_EQ3_COUNT_2[[#This Row],[Cantidad]])+A1438)</f>
        <v/>
      </c>
      <c r="B1439" s="21" t="str">
        <f>IF(Plantilla_SCAN_EQ3_COUNT_2[[#This Row],[ID MATERIAL]]="","",B1438)</f>
        <v/>
      </c>
      <c r="C1439" s="21"/>
      <c r="D1439" s="21"/>
      <c r="E1439" s="7" t="str">
        <f>IF(Plantilla_SCAN_EQ3_COUNT_2[[#This Row],[ID MATERIAL]]="","",VLOOKUP(Plantilla_SCAN_EQ3_COUNT_2[[#This Row],[ID MATERIAL]],INVENTARIO!$A:$D,2,FALSE))</f>
        <v/>
      </c>
      <c r="F1439" s="7" t="str">
        <f>IF(Plantilla_SCAN_EQ3_COUNT_2[[#This Row],[ID MATERIAL]]="","",IF(Plantilla_SCAN_EQ3_COUNT_2[[#This Row],[No. Empaques]]="",1,Plantilla_SCAN_EQ3_COUNT_2[[#This Row],[No. Empaques]]*1))</f>
        <v/>
      </c>
      <c r="G1439" s="7" t="str">
        <f>IF(Plantilla_SCAN_EQ3_COUNT_2[[#This Row],[ID MATERIAL]]="","","PZ")</f>
        <v/>
      </c>
      <c r="H1439" s="7" t="str">
        <f>IF(Plantilla_SCAN_EQ3_COUNT_2[[#This Row],[ID MATERIAL]]="","",$B$13)</f>
        <v/>
      </c>
      <c r="I1439" s="7" t="str">
        <f>IF(Plantilla_SCAN_EQ3_COUNT_2[[#This Row],[ID MATERIAL]]="","","Segundo Conteo")</f>
        <v/>
      </c>
    </row>
    <row r="1440" spans="1:9" s="7" customFormat="1" ht="15" x14ac:dyDescent="0.2">
      <c r="A1440" s="7" t="str">
        <f>IF(Plantilla_SCAN_EQ3_COUNT_2[[#This Row],[ID MATERIAL]]="","",SIGN(Plantilla_SCAN_EQ3_COUNT_2[[#This Row],[Cantidad]])+A1439)</f>
        <v/>
      </c>
      <c r="B1440" s="21" t="str">
        <f>IF(Plantilla_SCAN_EQ3_COUNT_2[[#This Row],[ID MATERIAL]]="","",B1439)</f>
        <v/>
      </c>
      <c r="C1440" s="21"/>
      <c r="D1440" s="21"/>
      <c r="E1440" s="7" t="str">
        <f>IF(Plantilla_SCAN_EQ3_COUNT_2[[#This Row],[ID MATERIAL]]="","",VLOOKUP(Plantilla_SCAN_EQ3_COUNT_2[[#This Row],[ID MATERIAL]],INVENTARIO!$A:$D,2,FALSE))</f>
        <v/>
      </c>
      <c r="F1440" s="7" t="str">
        <f>IF(Plantilla_SCAN_EQ3_COUNT_2[[#This Row],[ID MATERIAL]]="","",IF(Plantilla_SCAN_EQ3_COUNT_2[[#This Row],[No. Empaques]]="",1,Plantilla_SCAN_EQ3_COUNT_2[[#This Row],[No. Empaques]]*1))</f>
        <v/>
      </c>
      <c r="G1440" s="7" t="str">
        <f>IF(Plantilla_SCAN_EQ3_COUNT_2[[#This Row],[ID MATERIAL]]="","","PZ")</f>
        <v/>
      </c>
      <c r="H1440" s="7" t="str">
        <f>IF(Plantilla_SCAN_EQ3_COUNT_2[[#This Row],[ID MATERIAL]]="","",$B$13)</f>
        <v/>
      </c>
      <c r="I1440" s="7" t="str">
        <f>IF(Plantilla_SCAN_EQ3_COUNT_2[[#This Row],[ID MATERIAL]]="","","Segundo Conteo")</f>
        <v/>
      </c>
    </row>
    <row r="1441" spans="1:9" s="7" customFormat="1" ht="15" x14ac:dyDescent="0.2">
      <c r="A1441" s="7" t="str">
        <f>IF(Plantilla_SCAN_EQ3_COUNT_2[[#This Row],[ID MATERIAL]]="","",SIGN(Plantilla_SCAN_EQ3_COUNT_2[[#This Row],[Cantidad]])+A1440)</f>
        <v/>
      </c>
      <c r="B1441" s="21" t="str">
        <f>IF(Plantilla_SCAN_EQ3_COUNT_2[[#This Row],[ID MATERIAL]]="","",B1440)</f>
        <v/>
      </c>
      <c r="C1441" s="21"/>
      <c r="D1441" s="21"/>
      <c r="E1441" s="7" t="str">
        <f>IF(Plantilla_SCAN_EQ3_COUNT_2[[#This Row],[ID MATERIAL]]="","",VLOOKUP(Plantilla_SCAN_EQ3_COUNT_2[[#This Row],[ID MATERIAL]],INVENTARIO!$A:$D,2,FALSE))</f>
        <v/>
      </c>
      <c r="F1441" s="7" t="str">
        <f>IF(Plantilla_SCAN_EQ3_COUNT_2[[#This Row],[ID MATERIAL]]="","",IF(Plantilla_SCAN_EQ3_COUNT_2[[#This Row],[No. Empaques]]="",1,Plantilla_SCAN_EQ3_COUNT_2[[#This Row],[No. Empaques]]*1))</f>
        <v/>
      </c>
      <c r="G1441" s="7" t="str">
        <f>IF(Plantilla_SCAN_EQ3_COUNT_2[[#This Row],[ID MATERIAL]]="","","PZ")</f>
        <v/>
      </c>
      <c r="H1441" s="7" t="str">
        <f>IF(Plantilla_SCAN_EQ3_COUNT_2[[#This Row],[ID MATERIAL]]="","",$B$13)</f>
        <v/>
      </c>
      <c r="I1441" s="7" t="str">
        <f>IF(Plantilla_SCAN_EQ3_COUNT_2[[#This Row],[ID MATERIAL]]="","","Segundo Conteo")</f>
        <v/>
      </c>
    </row>
    <row r="1442" spans="1:9" s="7" customFormat="1" ht="15" x14ac:dyDescent="0.2">
      <c r="A1442" s="7" t="str">
        <f>IF(Plantilla_SCAN_EQ3_COUNT_2[[#This Row],[ID MATERIAL]]="","",SIGN(Plantilla_SCAN_EQ3_COUNT_2[[#This Row],[Cantidad]])+A1441)</f>
        <v/>
      </c>
      <c r="B1442" s="21" t="str">
        <f>IF(Plantilla_SCAN_EQ3_COUNT_2[[#This Row],[ID MATERIAL]]="","",B1441)</f>
        <v/>
      </c>
      <c r="C1442" s="21"/>
      <c r="D1442" s="21"/>
      <c r="E1442" s="7" t="str">
        <f>IF(Plantilla_SCAN_EQ3_COUNT_2[[#This Row],[ID MATERIAL]]="","",VLOOKUP(Plantilla_SCAN_EQ3_COUNT_2[[#This Row],[ID MATERIAL]],INVENTARIO!$A:$D,2,FALSE))</f>
        <v/>
      </c>
      <c r="F1442" s="7" t="str">
        <f>IF(Plantilla_SCAN_EQ3_COUNT_2[[#This Row],[ID MATERIAL]]="","",IF(Plantilla_SCAN_EQ3_COUNT_2[[#This Row],[No. Empaques]]="",1,Plantilla_SCAN_EQ3_COUNT_2[[#This Row],[No. Empaques]]*1))</f>
        <v/>
      </c>
      <c r="G1442" s="7" t="str">
        <f>IF(Plantilla_SCAN_EQ3_COUNT_2[[#This Row],[ID MATERIAL]]="","","PZ")</f>
        <v/>
      </c>
      <c r="H1442" s="7" t="str">
        <f>IF(Plantilla_SCAN_EQ3_COUNT_2[[#This Row],[ID MATERIAL]]="","",$B$13)</f>
        <v/>
      </c>
      <c r="I1442" s="7" t="str">
        <f>IF(Plantilla_SCAN_EQ3_COUNT_2[[#This Row],[ID MATERIAL]]="","","Segundo Conteo")</f>
        <v/>
      </c>
    </row>
    <row r="1443" spans="1:9" s="7" customFormat="1" ht="15" x14ac:dyDescent="0.2">
      <c r="A1443" s="7" t="str">
        <f>IF(Plantilla_SCAN_EQ3_COUNT_2[[#This Row],[ID MATERIAL]]="","",SIGN(Plantilla_SCAN_EQ3_COUNT_2[[#This Row],[Cantidad]])+A1442)</f>
        <v/>
      </c>
      <c r="B1443" s="21" t="str">
        <f>IF(Plantilla_SCAN_EQ3_COUNT_2[[#This Row],[ID MATERIAL]]="","",B1442)</f>
        <v/>
      </c>
      <c r="C1443" s="21"/>
      <c r="D1443" s="21"/>
      <c r="E1443" s="7" t="str">
        <f>IF(Plantilla_SCAN_EQ3_COUNT_2[[#This Row],[ID MATERIAL]]="","",VLOOKUP(Plantilla_SCAN_EQ3_COUNT_2[[#This Row],[ID MATERIAL]],INVENTARIO!$A:$D,2,FALSE))</f>
        <v/>
      </c>
      <c r="F1443" s="7" t="str">
        <f>IF(Plantilla_SCAN_EQ3_COUNT_2[[#This Row],[ID MATERIAL]]="","",IF(Plantilla_SCAN_EQ3_COUNT_2[[#This Row],[No. Empaques]]="",1,Plantilla_SCAN_EQ3_COUNT_2[[#This Row],[No. Empaques]]*1))</f>
        <v/>
      </c>
      <c r="G1443" s="7" t="str">
        <f>IF(Plantilla_SCAN_EQ3_COUNT_2[[#This Row],[ID MATERIAL]]="","","PZ")</f>
        <v/>
      </c>
      <c r="H1443" s="7" t="str">
        <f>IF(Plantilla_SCAN_EQ3_COUNT_2[[#This Row],[ID MATERIAL]]="","",$B$13)</f>
        <v/>
      </c>
      <c r="I1443" s="7" t="str">
        <f>IF(Plantilla_SCAN_EQ3_COUNT_2[[#This Row],[ID MATERIAL]]="","","Segundo Conteo")</f>
        <v/>
      </c>
    </row>
    <row r="1444" spans="1:9" s="7" customFormat="1" ht="15" x14ac:dyDescent="0.2">
      <c r="A1444" s="7" t="str">
        <f>IF(Plantilla_SCAN_EQ3_COUNT_2[[#This Row],[ID MATERIAL]]="","",SIGN(Plantilla_SCAN_EQ3_COUNT_2[[#This Row],[Cantidad]])+A1443)</f>
        <v/>
      </c>
      <c r="B1444" s="21" t="str">
        <f>IF(Plantilla_SCAN_EQ3_COUNT_2[[#This Row],[ID MATERIAL]]="","",B1443)</f>
        <v/>
      </c>
      <c r="C1444" s="21"/>
      <c r="D1444" s="21"/>
      <c r="E1444" s="7" t="str">
        <f>IF(Plantilla_SCAN_EQ3_COUNT_2[[#This Row],[ID MATERIAL]]="","",VLOOKUP(Plantilla_SCAN_EQ3_COUNT_2[[#This Row],[ID MATERIAL]],INVENTARIO!$A:$D,2,FALSE))</f>
        <v/>
      </c>
      <c r="F1444" s="7" t="str">
        <f>IF(Plantilla_SCAN_EQ3_COUNT_2[[#This Row],[ID MATERIAL]]="","",IF(Plantilla_SCAN_EQ3_COUNT_2[[#This Row],[No. Empaques]]="",1,Plantilla_SCAN_EQ3_COUNT_2[[#This Row],[No. Empaques]]*1))</f>
        <v/>
      </c>
      <c r="G1444" s="7" t="str">
        <f>IF(Plantilla_SCAN_EQ3_COUNT_2[[#This Row],[ID MATERIAL]]="","","PZ")</f>
        <v/>
      </c>
      <c r="H1444" s="7" t="str">
        <f>IF(Plantilla_SCAN_EQ3_COUNT_2[[#This Row],[ID MATERIAL]]="","",$B$13)</f>
        <v/>
      </c>
      <c r="I1444" s="7" t="str">
        <f>IF(Plantilla_SCAN_EQ3_COUNT_2[[#This Row],[ID MATERIAL]]="","","Segundo Conteo")</f>
        <v/>
      </c>
    </row>
    <row r="1445" spans="1:9" s="7" customFormat="1" ht="15" x14ac:dyDescent="0.2">
      <c r="A1445" s="7" t="str">
        <f>IF(Plantilla_SCAN_EQ3_COUNT_2[[#This Row],[ID MATERIAL]]="","",SIGN(Plantilla_SCAN_EQ3_COUNT_2[[#This Row],[Cantidad]])+A1444)</f>
        <v/>
      </c>
      <c r="B1445" s="21" t="str">
        <f>IF(Plantilla_SCAN_EQ3_COUNT_2[[#This Row],[ID MATERIAL]]="","",B1444)</f>
        <v/>
      </c>
      <c r="C1445" s="21"/>
      <c r="D1445" s="21"/>
      <c r="E1445" s="7" t="str">
        <f>IF(Plantilla_SCAN_EQ3_COUNT_2[[#This Row],[ID MATERIAL]]="","",VLOOKUP(Plantilla_SCAN_EQ3_COUNT_2[[#This Row],[ID MATERIAL]],INVENTARIO!$A:$D,2,FALSE))</f>
        <v/>
      </c>
      <c r="F1445" s="7" t="str">
        <f>IF(Plantilla_SCAN_EQ3_COUNT_2[[#This Row],[ID MATERIAL]]="","",IF(Plantilla_SCAN_EQ3_COUNT_2[[#This Row],[No. Empaques]]="",1,Plantilla_SCAN_EQ3_COUNT_2[[#This Row],[No. Empaques]]*1))</f>
        <v/>
      </c>
      <c r="G1445" s="7" t="str">
        <f>IF(Plantilla_SCAN_EQ3_COUNT_2[[#This Row],[ID MATERIAL]]="","","PZ")</f>
        <v/>
      </c>
      <c r="H1445" s="7" t="str">
        <f>IF(Plantilla_SCAN_EQ3_COUNT_2[[#This Row],[ID MATERIAL]]="","",$B$13)</f>
        <v/>
      </c>
      <c r="I1445" s="7" t="str">
        <f>IF(Plantilla_SCAN_EQ3_COUNT_2[[#This Row],[ID MATERIAL]]="","","Segundo Conteo")</f>
        <v/>
      </c>
    </row>
    <row r="1446" spans="1:9" s="7" customFormat="1" ht="15" x14ac:dyDescent="0.2">
      <c r="A1446" s="7" t="str">
        <f>IF(Plantilla_SCAN_EQ3_COUNT_2[[#This Row],[ID MATERIAL]]="","",SIGN(Plantilla_SCAN_EQ3_COUNT_2[[#This Row],[Cantidad]])+A1445)</f>
        <v/>
      </c>
      <c r="B1446" s="21" t="str">
        <f>IF(Plantilla_SCAN_EQ3_COUNT_2[[#This Row],[ID MATERIAL]]="","",B1445)</f>
        <v/>
      </c>
      <c r="C1446" s="21"/>
      <c r="D1446" s="21"/>
      <c r="E1446" s="7" t="str">
        <f>IF(Plantilla_SCAN_EQ3_COUNT_2[[#This Row],[ID MATERIAL]]="","",VLOOKUP(Plantilla_SCAN_EQ3_COUNT_2[[#This Row],[ID MATERIAL]],INVENTARIO!$A:$D,2,FALSE))</f>
        <v/>
      </c>
      <c r="F1446" s="7" t="str">
        <f>IF(Plantilla_SCAN_EQ3_COUNT_2[[#This Row],[ID MATERIAL]]="","",IF(Plantilla_SCAN_EQ3_COUNT_2[[#This Row],[No. Empaques]]="",1,Plantilla_SCAN_EQ3_COUNT_2[[#This Row],[No. Empaques]]*1))</f>
        <v/>
      </c>
      <c r="G1446" s="7" t="str">
        <f>IF(Plantilla_SCAN_EQ3_COUNT_2[[#This Row],[ID MATERIAL]]="","","PZ")</f>
        <v/>
      </c>
      <c r="H1446" s="7" t="str">
        <f>IF(Plantilla_SCAN_EQ3_COUNT_2[[#This Row],[ID MATERIAL]]="","",$B$13)</f>
        <v/>
      </c>
      <c r="I1446" s="7" t="str">
        <f>IF(Plantilla_SCAN_EQ3_COUNT_2[[#This Row],[ID MATERIAL]]="","","Segundo Conteo")</f>
        <v/>
      </c>
    </row>
    <row r="1447" spans="1:9" s="7" customFormat="1" ht="15" x14ac:dyDescent="0.2">
      <c r="A1447" s="7" t="str">
        <f>IF(Plantilla_SCAN_EQ3_COUNT_2[[#This Row],[ID MATERIAL]]="","",SIGN(Plantilla_SCAN_EQ3_COUNT_2[[#This Row],[Cantidad]])+A1446)</f>
        <v/>
      </c>
      <c r="B1447" s="21" t="str">
        <f>IF(Plantilla_SCAN_EQ3_COUNT_2[[#This Row],[ID MATERIAL]]="","",B1446)</f>
        <v/>
      </c>
      <c r="C1447" s="21"/>
      <c r="D1447" s="21"/>
      <c r="E1447" s="7" t="str">
        <f>IF(Plantilla_SCAN_EQ3_COUNT_2[[#This Row],[ID MATERIAL]]="","",VLOOKUP(Plantilla_SCAN_EQ3_COUNT_2[[#This Row],[ID MATERIAL]],INVENTARIO!$A:$D,2,FALSE))</f>
        <v/>
      </c>
      <c r="F1447" s="7" t="str">
        <f>IF(Plantilla_SCAN_EQ3_COUNT_2[[#This Row],[ID MATERIAL]]="","",IF(Plantilla_SCAN_EQ3_COUNT_2[[#This Row],[No. Empaques]]="",1,Plantilla_SCAN_EQ3_COUNT_2[[#This Row],[No. Empaques]]*1))</f>
        <v/>
      </c>
      <c r="G1447" s="7" t="str">
        <f>IF(Plantilla_SCAN_EQ3_COUNT_2[[#This Row],[ID MATERIAL]]="","","PZ")</f>
        <v/>
      </c>
      <c r="H1447" s="7" t="str">
        <f>IF(Plantilla_SCAN_EQ3_COUNT_2[[#This Row],[ID MATERIAL]]="","",$B$13)</f>
        <v/>
      </c>
      <c r="I1447" s="7" t="str">
        <f>IF(Plantilla_SCAN_EQ3_COUNT_2[[#This Row],[ID MATERIAL]]="","","Segundo Conteo")</f>
        <v/>
      </c>
    </row>
    <row r="1448" spans="1:9" s="7" customFormat="1" ht="15" x14ac:dyDescent="0.2">
      <c r="A1448" s="7" t="str">
        <f>IF(Plantilla_SCAN_EQ3_COUNT_2[[#This Row],[ID MATERIAL]]="","",SIGN(Plantilla_SCAN_EQ3_COUNT_2[[#This Row],[Cantidad]])+A1447)</f>
        <v/>
      </c>
      <c r="B1448" s="21" t="str">
        <f>IF(Plantilla_SCAN_EQ3_COUNT_2[[#This Row],[ID MATERIAL]]="","",B1447)</f>
        <v/>
      </c>
      <c r="C1448" s="21"/>
      <c r="D1448" s="21"/>
      <c r="E1448" s="7" t="str">
        <f>IF(Plantilla_SCAN_EQ3_COUNT_2[[#This Row],[ID MATERIAL]]="","",VLOOKUP(Plantilla_SCAN_EQ3_COUNT_2[[#This Row],[ID MATERIAL]],INVENTARIO!$A:$D,2,FALSE))</f>
        <v/>
      </c>
      <c r="F1448" s="7" t="str">
        <f>IF(Plantilla_SCAN_EQ3_COUNT_2[[#This Row],[ID MATERIAL]]="","",IF(Plantilla_SCAN_EQ3_COUNT_2[[#This Row],[No. Empaques]]="",1,Plantilla_SCAN_EQ3_COUNT_2[[#This Row],[No. Empaques]]*1))</f>
        <v/>
      </c>
      <c r="G1448" s="7" t="str">
        <f>IF(Plantilla_SCAN_EQ3_COUNT_2[[#This Row],[ID MATERIAL]]="","","PZ")</f>
        <v/>
      </c>
      <c r="H1448" s="7" t="str">
        <f>IF(Plantilla_SCAN_EQ3_COUNT_2[[#This Row],[ID MATERIAL]]="","",$B$13)</f>
        <v/>
      </c>
      <c r="I1448" s="7" t="str">
        <f>IF(Plantilla_SCAN_EQ3_COUNT_2[[#This Row],[ID MATERIAL]]="","","Segundo Conteo")</f>
        <v/>
      </c>
    </row>
    <row r="1449" spans="1:9" s="7" customFormat="1" ht="15" x14ac:dyDescent="0.2">
      <c r="A1449" s="7" t="str">
        <f>IF(Plantilla_SCAN_EQ3_COUNT_2[[#This Row],[ID MATERIAL]]="","",SIGN(Plantilla_SCAN_EQ3_COUNT_2[[#This Row],[Cantidad]])+A1448)</f>
        <v/>
      </c>
      <c r="B1449" s="21" t="str">
        <f>IF(Plantilla_SCAN_EQ3_COUNT_2[[#This Row],[ID MATERIAL]]="","",B1448)</f>
        <v/>
      </c>
      <c r="C1449" s="21"/>
      <c r="D1449" s="21"/>
      <c r="E1449" s="7" t="str">
        <f>IF(Plantilla_SCAN_EQ3_COUNT_2[[#This Row],[ID MATERIAL]]="","",VLOOKUP(Plantilla_SCAN_EQ3_COUNT_2[[#This Row],[ID MATERIAL]],INVENTARIO!$A:$D,2,FALSE))</f>
        <v/>
      </c>
      <c r="F1449" s="7" t="str">
        <f>IF(Plantilla_SCAN_EQ3_COUNT_2[[#This Row],[ID MATERIAL]]="","",IF(Plantilla_SCAN_EQ3_COUNT_2[[#This Row],[No. Empaques]]="",1,Plantilla_SCAN_EQ3_COUNT_2[[#This Row],[No. Empaques]]*1))</f>
        <v/>
      </c>
      <c r="G1449" s="7" t="str">
        <f>IF(Plantilla_SCAN_EQ3_COUNT_2[[#This Row],[ID MATERIAL]]="","","PZ")</f>
        <v/>
      </c>
      <c r="H1449" s="7" t="str">
        <f>IF(Plantilla_SCAN_EQ3_COUNT_2[[#This Row],[ID MATERIAL]]="","",$B$13)</f>
        <v/>
      </c>
      <c r="I1449" s="7" t="str">
        <f>IF(Plantilla_SCAN_EQ3_COUNT_2[[#This Row],[ID MATERIAL]]="","","Segundo Conteo")</f>
        <v/>
      </c>
    </row>
    <row r="1450" spans="1:9" s="7" customFormat="1" ht="15" x14ac:dyDescent="0.2">
      <c r="A1450" s="7" t="str">
        <f>IF(Plantilla_SCAN_EQ3_COUNT_2[[#This Row],[ID MATERIAL]]="","",SIGN(Plantilla_SCAN_EQ3_COUNT_2[[#This Row],[Cantidad]])+A1449)</f>
        <v/>
      </c>
      <c r="B1450" s="21" t="str">
        <f>IF(Plantilla_SCAN_EQ3_COUNT_2[[#This Row],[ID MATERIAL]]="","",B1449)</f>
        <v/>
      </c>
      <c r="C1450" s="21"/>
      <c r="D1450" s="21"/>
      <c r="E1450" s="7" t="str">
        <f>IF(Plantilla_SCAN_EQ3_COUNT_2[[#This Row],[ID MATERIAL]]="","",VLOOKUP(Plantilla_SCAN_EQ3_COUNT_2[[#This Row],[ID MATERIAL]],INVENTARIO!$A:$D,2,FALSE))</f>
        <v/>
      </c>
      <c r="F1450" s="7" t="str">
        <f>IF(Plantilla_SCAN_EQ3_COUNT_2[[#This Row],[ID MATERIAL]]="","",IF(Plantilla_SCAN_EQ3_COUNT_2[[#This Row],[No. Empaques]]="",1,Plantilla_SCAN_EQ3_COUNT_2[[#This Row],[No. Empaques]]*1))</f>
        <v/>
      </c>
      <c r="G1450" s="7" t="str">
        <f>IF(Plantilla_SCAN_EQ3_COUNT_2[[#This Row],[ID MATERIAL]]="","","PZ")</f>
        <v/>
      </c>
      <c r="H1450" s="7" t="str">
        <f>IF(Plantilla_SCAN_EQ3_COUNT_2[[#This Row],[ID MATERIAL]]="","",$B$13)</f>
        <v/>
      </c>
      <c r="I1450" s="7" t="str">
        <f>IF(Plantilla_SCAN_EQ3_COUNT_2[[#This Row],[ID MATERIAL]]="","","Segundo Conteo")</f>
        <v/>
      </c>
    </row>
    <row r="1451" spans="1:9" s="7" customFormat="1" ht="15" x14ac:dyDescent="0.2">
      <c r="A1451" s="7" t="str">
        <f>IF(Plantilla_SCAN_EQ3_COUNT_2[[#This Row],[ID MATERIAL]]="","",SIGN(Plantilla_SCAN_EQ3_COUNT_2[[#This Row],[Cantidad]])+A1450)</f>
        <v/>
      </c>
      <c r="B1451" s="21" t="str">
        <f>IF(Plantilla_SCAN_EQ3_COUNT_2[[#This Row],[ID MATERIAL]]="","",B1450)</f>
        <v/>
      </c>
      <c r="C1451" s="21"/>
      <c r="D1451" s="21"/>
      <c r="E1451" s="7" t="str">
        <f>IF(Plantilla_SCAN_EQ3_COUNT_2[[#This Row],[ID MATERIAL]]="","",VLOOKUP(Plantilla_SCAN_EQ3_COUNT_2[[#This Row],[ID MATERIAL]],INVENTARIO!$A:$D,2,FALSE))</f>
        <v/>
      </c>
      <c r="F1451" s="7" t="str">
        <f>IF(Plantilla_SCAN_EQ3_COUNT_2[[#This Row],[ID MATERIAL]]="","",IF(Plantilla_SCAN_EQ3_COUNT_2[[#This Row],[No. Empaques]]="",1,Plantilla_SCAN_EQ3_COUNT_2[[#This Row],[No. Empaques]]*1))</f>
        <v/>
      </c>
      <c r="G1451" s="7" t="str">
        <f>IF(Plantilla_SCAN_EQ3_COUNT_2[[#This Row],[ID MATERIAL]]="","","PZ")</f>
        <v/>
      </c>
      <c r="H1451" s="7" t="str">
        <f>IF(Plantilla_SCAN_EQ3_COUNT_2[[#This Row],[ID MATERIAL]]="","",$B$13)</f>
        <v/>
      </c>
      <c r="I1451" s="7" t="str">
        <f>IF(Plantilla_SCAN_EQ3_COUNT_2[[#This Row],[ID MATERIAL]]="","","Segundo Conteo")</f>
        <v/>
      </c>
    </row>
    <row r="1452" spans="1:9" s="7" customFormat="1" ht="15" x14ac:dyDescent="0.2">
      <c r="A1452" s="7" t="str">
        <f>IF(Plantilla_SCAN_EQ3_COUNT_2[[#This Row],[ID MATERIAL]]="","",SIGN(Plantilla_SCAN_EQ3_COUNT_2[[#This Row],[Cantidad]])+A1451)</f>
        <v/>
      </c>
      <c r="B1452" s="21" t="str">
        <f>IF(Plantilla_SCAN_EQ3_COUNT_2[[#This Row],[ID MATERIAL]]="","",B1451)</f>
        <v/>
      </c>
      <c r="C1452" s="21"/>
      <c r="D1452" s="21"/>
      <c r="E1452" s="7" t="str">
        <f>IF(Plantilla_SCAN_EQ3_COUNT_2[[#This Row],[ID MATERIAL]]="","",VLOOKUP(Plantilla_SCAN_EQ3_COUNT_2[[#This Row],[ID MATERIAL]],INVENTARIO!$A:$D,2,FALSE))</f>
        <v/>
      </c>
      <c r="F1452" s="7" t="str">
        <f>IF(Plantilla_SCAN_EQ3_COUNT_2[[#This Row],[ID MATERIAL]]="","",IF(Plantilla_SCAN_EQ3_COUNT_2[[#This Row],[No. Empaques]]="",1,Plantilla_SCAN_EQ3_COUNT_2[[#This Row],[No. Empaques]]*1))</f>
        <v/>
      </c>
      <c r="G1452" s="7" t="str">
        <f>IF(Plantilla_SCAN_EQ3_COUNT_2[[#This Row],[ID MATERIAL]]="","","PZ")</f>
        <v/>
      </c>
      <c r="H1452" s="7" t="str">
        <f>IF(Plantilla_SCAN_EQ3_COUNT_2[[#This Row],[ID MATERIAL]]="","",$B$13)</f>
        <v/>
      </c>
      <c r="I1452" s="7" t="str">
        <f>IF(Plantilla_SCAN_EQ3_COUNT_2[[#This Row],[ID MATERIAL]]="","","Segundo Conteo")</f>
        <v/>
      </c>
    </row>
    <row r="1453" spans="1:9" s="7" customFormat="1" ht="15" x14ac:dyDescent="0.2">
      <c r="A1453" s="7" t="str">
        <f>IF(Plantilla_SCAN_EQ3_COUNT_2[[#This Row],[ID MATERIAL]]="","",SIGN(Plantilla_SCAN_EQ3_COUNT_2[[#This Row],[Cantidad]])+A1452)</f>
        <v/>
      </c>
      <c r="B1453" s="21" t="str">
        <f>IF(Plantilla_SCAN_EQ3_COUNT_2[[#This Row],[ID MATERIAL]]="","",B1452)</f>
        <v/>
      </c>
      <c r="C1453" s="21"/>
      <c r="D1453" s="21"/>
      <c r="E1453" s="7" t="str">
        <f>IF(Plantilla_SCAN_EQ3_COUNT_2[[#This Row],[ID MATERIAL]]="","",VLOOKUP(Plantilla_SCAN_EQ3_COUNT_2[[#This Row],[ID MATERIAL]],INVENTARIO!$A:$D,2,FALSE))</f>
        <v/>
      </c>
      <c r="F1453" s="7" t="str">
        <f>IF(Plantilla_SCAN_EQ3_COUNT_2[[#This Row],[ID MATERIAL]]="","",IF(Plantilla_SCAN_EQ3_COUNT_2[[#This Row],[No. Empaques]]="",1,Plantilla_SCAN_EQ3_COUNT_2[[#This Row],[No. Empaques]]*1))</f>
        <v/>
      </c>
      <c r="G1453" s="7" t="str">
        <f>IF(Plantilla_SCAN_EQ3_COUNT_2[[#This Row],[ID MATERIAL]]="","","PZ")</f>
        <v/>
      </c>
      <c r="H1453" s="7" t="str">
        <f>IF(Plantilla_SCAN_EQ3_COUNT_2[[#This Row],[ID MATERIAL]]="","",$B$13)</f>
        <v/>
      </c>
      <c r="I1453" s="7" t="str">
        <f>IF(Plantilla_SCAN_EQ3_COUNT_2[[#This Row],[ID MATERIAL]]="","","Segundo Conteo")</f>
        <v/>
      </c>
    </row>
    <row r="1454" spans="1:9" s="7" customFormat="1" ht="15" x14ac:dyDescent="0.2">
      <c r="A1454" s="7" t="str">
        <f>IF(Plantilla_SCAN_EQ3_COUNT_2[[#This Row],[ID MATERIAL]]="","",SIGN(Plantilla_SCAN_EQ3_COUNT_2[[#This Row],[Cantidad]])+A1453)</f>
        <v/>
      </c>
      <c r="B1454" s="21" t="str">
        <f>IF(Plantilla_SCAN_EQ3_COUNT_2[[#This Row],[ID MATERIAL]]="","",B1453)</f>
        <v/>
      </c>
      <c r="C1454" s="21"/>
      <c r="D1454" s="21"/>
      <c r="E1454" s="7" t="str">
        <f>IF(Plantilla_SCAN_EQ3_COUNT_2[[#This Row],[ID MATERIAL]]="","",VLOOKUP(Plantilla_SCAN_EQ3_COUNT_2[[#This Row],[ID MATERIAL]],INVENTARIO!$A:$D,2,FALSE))</f>
        <v/>
      </c>
      <c r="F1454" s="7" t="str">
        <f>IF(Plantilla_SCAN_EQ3_COUNT_2[[#This Row],[ID MATERIAL]]="","",IF(Plantilla_SCAN_EQ3_COUNT_2[[#This Row],[No. Empaques]]="",1,Plantilla_SCAN_EQ3_COUNT_2[[#This Row],[No. Empaques]]*1))</f>
        <v/>
      </c>
      <c r="G1454" s="7" t="str">
        <f>IF(Plantilla_SCAN_EQ3_COUNT_2[[#This Row],[ID MATERIAL]]="","","PZ")</f>
        <v/>
      </c>
      <c r="H1454" s="7" t="str">
        <f>IF(Plantilla_SCAN_EQ3_COUNT_2[[#This Row],[ID MATERIAL]]="","",$B$13)</f>
        <v/>
      </c>
      <c r="I1454" s="7" t="str">
        <f>IF(Plantilla_SCAN_EQ3_COUNT_2[[#This Row],[ID MATERIAL]]="","","Segundo Conteo")</f>
        <v/>
      </c>
    </row>
    <row r="1455" spans="1:9" s="7" customFormat="1" ht="15" x14ac:dyDescent="0.2">
      <c r="A1455" s="7" t="str">
        <f>IF(Plantilla_SCAN_EQ3_COUNT_2[[#This Row],[ID MATERIAL]]="","",SIGN(Plantilla_SCAN_EQ3_COUNT_2[[#This Row],[Cantidad]])+A1454)</f>
        <v/>
      </c>
      <c r="B1455" s="21" t="str">
        <f>IF(Plantilla_SCAN_EQ3_COUNT_2[[#This Row],[ID MATERIAL]]="","",B1454)</f>
        <v/>
      </c>
      <c r="C1455" s="21"/>
      <c r="D1455" s="21"/>
      <c r="E1455" s="7" t="str">
        <f>IF(Plantilla_SCAN_EQ3_COUNT_2[[#This Row],[ID MATERIAL]]="","",VLOOKUP(Plantilla_SCAN_EQ3_COUNT_2[[#This Row],[ID MATERIAL]],INVENTARIO!$A:$D,2,FALSE))</f>
        <v/>
      </c>
      <c r="F1455" s="7" t="str">
        <f>IF(Plantilla_SCAN_EQ3_COUNT_2[[#This Row],[ID MATERIAL]]="","",IF(Plantilla_SCAN_EQ3_COUNT_2[[#This Row],[No. Empaques]]="",1,Plantilla_SCAN_EQ3_COUNT_2[[#This Row],[No. Empaques]]*1))</f>
        <v/>
      </c>
      <c r="G1455" s="7" t="str">
        <f>IF(Plantilla_SCAN_EQ3_COUNT_2[[#This Row],[ID MATERIAL]]="","","PZ")</f>
        <v/>
      </c>
      <c r="H1455" s="7" t="str">
        <f>IF(Plantilla_SCAN_EQ3_COUNT_2[[#This Row],[ID MATERIAL]]="","",$B$13)</f>
        <v/>
      </c>
      <c r="I1455" s="7" t="str">
        <f>IF(Plantilla_SCAN_EQ3_COUNT_2[[#This Row],[ID MATERIAL]]="","","Segundo Conteo")</f>
        <v/>
      </c>
    </row>
    <row r="1456" spans="1:9" s="7" customFormat="1" ht="15" x14ac:dyDescent="0.2">
      <c r="A1456" s="7" t="str">
        <f>IF(Plantilla_SCAN_EQ3_COUNT_2[[#This Row],[ID MATERIAL]]="","",SIGN(Plantilla_SCAN_EQ3_COUNT_2[[#This Row],[Cantidad]])+A1455)</f>
        <v/>
      </c>
      <c r="B1456" s="21" t="str">
        <f>IF(Plantilla_SCAN_EQ3_COUNT_2[[#This Row],[ID MATERIAL]]="","",B1455)</f>
        <v/>
      </c>
      <c r="C1456" s="21"/>
      <c r="D1456" s="21"/>
      <c r="E1456" s="7" t="str">
        <f>IF(Plantilla_SCAN_EQ3_COUNT_2[[#This Row],[ID MATERIAL]]="","",VLOOKUP(Plantilla_SCAN_EQ3_COUNT_2[[#This Row],[ID MATERIAL]],INVENTARIO!$A:$D,2,FALSE))</f>
        <v/>
      </c>
      <c r="F1456" s="7" t="str">
        <f>IF(Plantilla_SCAN_EQ3_COUNT_2[[#This Row],[ID MATERIAL]]="","",IF(Plantilla_SCAN_EQ3_COUNT_2[[#This Row],[No. Empaques]]="",1,Plantilla_SCAN_EQ3_COUNT_2[[#This Row],[No. Empaques]]*1))</f>
        <v/>
      </c>
      <c r="G1456" s="7" t="str">
        <f>IF(Plantilla_SCAN_EQ3_COUNT_2[[#This Row],[ID MATERIAL]]="","","PZ")</f>
        <v/>
      </c>
      <c r="H1456" s="7" t="str">
        <f>IF(Plantilla_SCAN_EQ3_COUNT_2[[#This Row],[ID MATERIAL]]="","",$B$13)</f>
        <v/>
      </c>
      <c r="I1456" s="7" t="str">
        <f>IF(Plantilla_SCAN_EQ3_COUNT_2[[#This Row],[ID MATERIAL]]="","","Segundo Conteo")</f>
        <v/>
      </c>
    </row>
    <row r="1457" spans="1:9" s="7" customFormat="1" ht="15" x14ac:dyDescent="0.2">
      <c r="A1457" s="7" t="str">
        <f>IF(Plantilla_SCAN_EQ3_COUNT_2[[#This Row],[ID MATERIAL]]="","",SIGN(Plantilla_SCAN_EQ3_COUNT_2[[#This Row],[Cantidad]])+A1456)</f>
        <v/>
      </c>
      <c r="B1457" s="21" t="str">
        <f>IF(Plantilla_SCAN_EQ3_COUNT_2[[#This Row],[ID MATERIAL]]="","",B1456)</f>
        <v/>
      </c>
      <c r="C1457" s="21"/>
      <c r="D1457" s="21"/>
      <c r="E1457" s="7" t="str">
        <f>IF(Plantilla_SCAN_EQ3_COUNT_2[[#This Row],[ID MATERIAL]]="","",VLOOKUP(Plantilla_SCAN_EQ3_COUNT_2[[#This Row],[ID MATERIAL]],INVENTARIO!$A:$D,2,FALSE))</f>
        <v/>
      </c>
      <c r="F1457" s="7" t="str">
        <f>IF(Plantilla_SCAN_EQ3_COUNT_2[[#This Row],[ID MATERIAL]]="","",IF(Plantilla_SCAN_EQ3_COUNT_2[[#This Row],[No. Empaques]]="",1,Plantilla_SCAN_EQ3_COUNT_2[[#This Row],[No. Empaques]]*1))</f>
        <v/>
      </c>
      <c r="G1457" s="7" t="str">
        <f>IF(Plantilla_SCAN_EQ3_COUNT_2[[#This Row],[ID MATERIAL]]="","","PZ")</f>
        <v/>
      </c>
      <c r="H1457" s="7" t="str">
        <f>IF(Plantilla_SCAN_EQ3_COUNT_2[[#This Row],[ID MATERIAL]]="","",$B$13)</f>
        <v/>
      </c>
      <c r="I1457" s="7" t="str">
        <f>IF(Plantilla_SCAN_EQ3_COUNT_2[[#This Row],[ID MATERIAL]]="","","Segundo Conteo")</f>
        <v/>
      </c>
    </row>
    <row r="1458" spans="1:9" s="7" customFormat="1" ht="15" x14ac:dyDescent="0.2">
      <c r="A1458" s="7" t="str">
        <f>IF(Plantilla_SCAN_EQ3_COUNT_2[[#This Row],[ID MATERIAL]]="","",SIGN(Plantilla_SCAN_EQ3_COUNT_2[[#This Row],[Cantidad]])+A1457)</f>
        <v/>
      </c>
      <c r="B1458" s="21" t="str">
        <f>IF(Plantilla_SCAN_EQ3_COUNT_2[[#This Row],[ID MATERIAL]]="","",B1457)</f>
        <v/>
      </c>
      <c r="C1458" s="21"/>
      <c r="D1458" s="21"/>
      <c r="E1458" s="7" t="str">
        <f>IF(Plantilla_SCAN_EQ3_COUNT_2[[#This Row],[ID MATERIAL]]="","",VLOOKUP(Plantilla_SCAN_EQ3_COUNT_2[[#This Row],[ID MATERIAL]],INVENTARIO!$A:$D,2,FALSE))</f>
        <v/>
      </c>
      <c r="F1458" s="7" t="str">
        <f>IF(Plantilla_SCAN_EQ3_COUNT_2[[#This Row],[ID MATERIAL]]="","",IF(Plantilla_SCAN_EQ3_COUNT_2[[#This Row],[No. Empaques]]="",1,Plantilla_SCAN_EQ3_COUNT_2[[#This Row],[No. Empaques]]*1))</f>
        <v/>
      </c>
      <c r="G1458" s="7" t="str">
        <f>IF(Plantilla_SCAN_EQ3_COUNT_2[[#This Row],[ID MATERIAL]]="","","PZ")</f>
        <v/>
      </c>
      <c r="H1458" s="7" t="str">
        <f>IF(Plantilla_SCAN_EQ3_COUNT_2[[#This Row],[ID MATERIAL]]="","",$B$13)</f>
        <v/>
      </c>
      <c r="I1458" s="7" t="str">
        <f>IF(Plantilla_SCAN_EQ3_COUNT_2[[#This Row],[ID MATERIAL]]="","","Segundo Conteo")</f>
        <v/>
      </c>
    </row>
    <row r="1459" spans="1:9" s="7" customFormat="1" ht="15" x14ac:dyDescent="0.2">
      <c r="A1459" s="7" t="str">
        <f>IF(Plantilla_SCAN_EQ3_COUNT_2[[#This Row],[ID MATERIAL]]="","",SIGN(Plantilla_SCAN_EQ3_COUNT_2[[#This Row],[Cantidad]])+A1458)</f>
        <v/>
      </c>
      <c r="B1459" s="21" t="str">
        <f>IF(Plantilla_SCAN_EQ3_COUNT_2[[#This Row],[ID MATERIAL]]="","",B1458)</f>
        <v/>
      </c>
      <c r="C1459" s="21"/>
      <c r="D1459" s="21"/>
      <c r="E1459" s="7" t="str">
        <f>IF(Plantilla_SCAN_EQ3_COUNT_2[[#This Row],[ID MATERIAL]]="","",VLOOKUP(Plantilla_SCAN_EQ3_COUNT_2[[#This Row],[ID MATERIAL]],INVENTARIO!$A:$D,2,FALSE))</f>
        <v/>
      </c>
      <c r="F1459" s="7" t="str">
        <f>IF(Plantilla_SCAN_EQ3_COUNT_2[[#This Row],[ID MATERIAL]]="","",IF(Plantilla_SCAN_EQ3_COUNT_2[[#This Row],[No. Empaques]]="",1,Plantilla_SCAN_EQ3_COUNT_2[[#This Row],[No. Empaques]]*1))</f>
        <v/>
      </c>
      <c r="G1459" s="7" t="str">
        <f>IF(Plantilla_SCAN_EQ3_COUNT_2[[#This Row],[ID MATERIAL]]="","","PZ")</f>
        <v/>
      </c>
      <c r="H1459" s="7" t="str">
        <f>IF(Plantilla_SCAN_EQ3_COUNT_2[[#This Row],[ID MATERIAL]]="","",$B$13)</f>
        <v/>
      </c>
      <c r="I1459" s="7" t="str">
        <f>IF(Plantilla_SCAN_EQ3_COUNT_2[[#This Row],[ID MATERIAL]]="","","Segundo Conteo")</f>
        <v/>
      </c>
    </row>
    <row r="1460" spans="1:9" s="7" customFormat="1" ht="15" x14ac:dyDescent="0.2">
      <c r="A1460" s="7" t="str">
        <f>IF(Plantilla_SCAN_EQ3_COUNT_2[[#This Row],[ID MATERIAL]]="","",SIGN(Plantilla_SCAN_EQ3_COUNT_2[[#This Row],[Cantidad]])+A1459)</f>
        <v/>
      </c>
      <c r="B1460" s="21" t="str">
        <f>IF(Plantilla_SCAN_EQ3_COUNT_2[[#This Row],[ID MATERIAL]]="","",B1459)</f>
        <v/>
      </c>
      <c r="C1460" s="21"/>
      <c r="D1460" s="21"/>
      <c r="E1460" s="7" t="str">
        <f>IF(Plantilla_SCAN_EQ3_COUNT_2[[#This Row],[ID MATERIAL]]="","",VLOOKUP(Plantilla_SCAN_EQ3_COUNT_2[[#This Row],[ID MATERIAL]],INVENTARIO!$A:$D,2,FALSE))</f>
        <v/>
      </c>
      <c r="F1460" s="7" t="str">
        <f>IF(Plantilla_SCAN_EQ3_COUNT_2[[#This Row],[ID MATERIAL]]="","",IF(Plantilla_SCAN_EQ3_COUNT_2[[#This Row],[No. Empaques]]="",1,Plantilla_SCAN_EQ3_COUNT_2[[#This Row],[No. Empaques]]*1))</f>
        <v/>
      </c>
      <c r="G1460" s="7" t="str">
        <f>IF(Plantilla_SCAN_EQ3_COUNT_2[[#This Row],[ID MATERIAL]]="","","PZ")</f>
        <v/>
      </c>
      <c r="H1460" s="7" t="str">
        <f>IF(Plantilla_SCAN_EQ3_COUNT_2[[#This Row],[ID MATERIAL]]="","",$B$13)</f>
        <v/>
      </c>
      <c r="I1460" s="7" t="str">
        <f>IF(Plantilla_SCAN_EQ3_COUNT_2[[#This Row],[ID MATERIAL]]="","","Segundo Conteo")</f>
        <v/>
      </c>
    </row>
    <row r="1461" spans="1:9" s="7" customFormat="1" ht="15" x14ac:dyDescent="0.2">
      <c r="A1461" s="7" t="str">
        <f>IF(Plantilla_SCAN_EQ3_COUNT_2[[#This Row],[ID MATERIAL]]="","",SIGN(Plantilla_SCAN_EQ3_COUNT_2[[#This Row],[Cantidad]])+A1460)</f>
        <v/>
      </c>
      <c r="B1461" s="21" t="str">
        <f>IF(Plantilla_SCAN_EQ3_COUNT_2[[#This Row],[ID MATERIAL]]="","",B1460)</f>
        <v/>
      </c>
      <c r="C1461" s="21"/>
      <c r="D1461" s="21"/>
      <c r="E1461" s="7" t="str">
        <f>IF(Plantilla_SCAN_EQ3_COUNT_2[[#This Row],[ID MATERIAL]]="","",VLOOKUP(Plantilla_SCAN_EQ3_COUNT_2[[#This Row],[ID MATERIAL]],INVENTARIO!$A:$D,2,FALSE))</f>
        <v/>
      </c>
      <c r="F1461" s="7" t="str">
        <f>IF(Plantilla_SCAN_EQ3_COUNT_2[[#This Row],[ID MATERIAL]]="","",IF(Plantilla_SCAN_EQ3_COUNT_2[[#This Row],[No. Empaques]]="",1,Plantilla_SCAN_EQ3_COUNT_2[[#This Row],[No. Empaques]]*1))</f>
        <v/>
      </c>
      <c r="G1461" s="7" t="str">
        <f>IF(Plantilla_SCAN_EQ3_COUNT_2[[#This Row],[ID MATERIAL]]="","","PZ")</f>
        <v/>
      </c>
      <c r="H1461" s="7" t="str">
        <f>IF(Plantilla_SCAN_EQ3_COUNT_2[[#This Row],[ID MATERIAL]]="","",$B$13)</f>
        <v/>
      </c>
      <c r="I1461" s="7" t="str">
        <f>IF(Plantilla_SCAN_EQ3_COUNT_2[[#This Row],[ID MATERIAL]]="","","Segundo Conteo")</f>
        <v/>
      </c>
    </row>
    <row r="1462" spans="1:9" s="7" customFormat="1" ht="15" x14ac:dyDescent="0.2">
      <c r="A1462" s="7" t="str">
        <f>IF(Plantilla_SCAN_EQ3_COUNT_2[[#This Row],[ID MATERIAL]]="","",SIGN(Plantilla_SCAN_EQ3_COUNT_2[[#This Row],[Cantidad]])+A1461)</f>
        <v/>
      </c>
      <c r="B1462" s="21" t="str">
        <f>IF(Plantilla_SCAN_EQ3_COUNT_2[[#This Row],[ID MATERIAL]]="","",B1461)</f>
        <v/>
      </c>
      <c r="C1462" s="21"/>
      <c r="D1462" s="21"/>
      <c r="E1462" s="7" t="str">
        <f>IF(Plantilla_SCAN_EQ3_COUNT_2[[#This Row],[ID MATERIAL]]="","",VLOOKUP(Plantilla_SCAN_EQ3_COUNT_2[[#This Row],[ID MATERIAL]],INVENTARIO!$A:$D,2,FALSE))</f>
        <v/>
      </c>
      <c r="F1462" s="7" t="str">
        <f>IF(Plantilla_SCAN_EQ3_COUNT_2[[#This Row],[ID MATERIAL]]="","",IF(Plantilla_SCAN_EQ3_COUNT_2[[#This Row],[No. Empaques]]="",1,Plantilla_SCAN_EQ3_COUNT_2[[#This Row],[No. Empaques]]*1))</f>
        <v/>
      </c>
      <c r="G1462" s="7" t="str">
        <f>IF(Plantilla_SCAN_EQ3_COUNT_2[[#This Row],[ID MATERIAL]]="","","PZ")</f>
        <v/>
      </c>
      <c r="H1462" s="7" t="str">
        <f>IF(Plantilla_SCAN_EQ3_COUNT_2[[#This Row],[ID MATERIAL]]="","",$B$13)</f>
        <v/>
      </c>
      <c r="I1462" s="7" t="str">
        <f>IF(Plantilla_SCAN_EQ3_COUNT_2[[#This Row],[ID MATERIAL]]="","","Segundo Conteo")</f>
        <v/>
      </c>
    </row>
    <row r="1463" spans="1:9" s="7" customFormat="1" ht="15" x14ac:dyDescent="0.2">
      <c r="A1463" s="7" t="str">
        <f>IF(Plantilla_SCAN_EQ3_COUNT_2[[#This Row],[ID MATERIAL]]="","",SIGN(Plantilla_SCAN_EQ3_COUNT_2[[#This Row],[Cantidad]])+A1462)</f>
        <v/>
      </c>
      <c r="B1463" s="21" t="str">
        <f>IF(Plantilla_SCAN_EQ3_COUNT_2[[#This Row],[ID MATERIAL]]="","",B1462)</f>
        <v/>
      </c>
      <c r="C1463" s="21"/>
      <c r="D1463" s="21"/>
      <c r="E1463" s="7" t="str">
        <f>IF(Plantilla_SCAN_EQ3_COUNT_2[[#This Row],[ID MATERIAL]]="","",VLOOKUP(Plantilla_SCAN_EQ3_COUNT_2[[#This Row],[ID MATERIAL]],INVENTARIO!$A:$D,2,FALSE))</f>
        <v/>
      </c>
      <c r="F1463" s="7" t="str">
        <f>IF(Plantilla_SCAN_EQ3_COUNT_2[[#This Row],[ID MATERIAL]]="","",IF(Plantilla_SCAN_EQ3_COUNT_2[[#This Row],[No. Empaques]]="",1,Plantilla_SCAN_EQ3_COUNT_2[[#This Row],[No. Empaques]]*1))</f>
        <v/>
      </c>
      <c r="G1463" s="7" t="str">
        <f>IF(Plantilla_SCAN_EQ3_COUNT_2[[#This Row],[ID MATERIAL]]="","","PZ")</f>
        <v/>
      </c>
      <c r="H1463" s="7" t="str">
        <f>IF(Plantilla_SCAN_EQ3_COUNT_2[[#This Row],[ID MATERIAL]]="","",$B$13)</f>
        <v/>
      </c>
      <c r="I1463" s="7" t="str">
        <f>IF(Plantilla_SCAN_EQ3_COUNT_2[[#This Row],[ID MATERIAL]]="","","Segundo Conteo")</f>
        <v/>
      </c>
    </row>
    <row r="1464" spans="1:9" s="7" customFormat="1" ht="15" x14ac:dyDescent="0.2">
      <c r="A1464" s="7" t="str">
        <f>IF(Plantilla_SCAN_EQ3_COUNT_2[[#This Row],[ID MATERIAL]]="","",SIGN(Plantilla_SCAN_EQ3_COUNT_2[[#This Row],[Cantidad]])+A1463)</f>
        <v/>
      </c>
      <c r="B1464" s="21" t="str">
        <f>IF(Plantilla_SCAN_EQ3_COUNT_2[[#This Row],[ID MATERIAL]]="","",B1463)</f>
        <v/>
      </c>
      <c r="C1464" s="21"/>
      <c r="D1464" s="21"/>
      <c r="E1464" s="7" t="str">
        <f>IF(Plantilla_SCAN_EQ3_COUNT_2[[#This Row],[ID MATERIAL]]="","",VLOOKUP(Plantilla_SCAN_EQ3_COUNT_2[[#This Row],[ID MATERIAL]],INVENTARIO!$A:$D,2,FALSE))</f>
        <v/>
      </c>
      <c r="F1464" s="7" t="str">
        <f>IF(Plantilla_SCAN_EQ3_COUNT_2[[#This Row],[ID MATERIAL]]="","",IF(Plantilla_SCAN_EQ3_COUNT_2[[#This Row],[No. Empaques]]="",1,Plantilla_SCAN_EQ3_COUNT_2[[#This Row],[No. Empaques]]*1))</f>
        <v/>
      </c>
      <c r="G1464" s="7" t="str">
        <f>IF(Plantilla_SCAN_EQ3_COUNT_2[[#This Row],[ID MATERIAL]]="","","PZ")</f>
        <v/>
      </c>
      <c r="H1464" s="7" t="str">
        <f>IF(Plantilla_SCAN_EQ3_COUNT_2[[#This Row],[ID MATERIAL]]="","",$B$13)</f>
        <v/>
      </c>
      <c r="I1464" s="7" t="str">
        <f>IF(Plantilla_SCAN_EQ3_COUNT_2[[#This Row],[ID MATERIAL]]="","","Segundo Conteo")</f>
        <v/>
      </c>
    </row>
    <row r="1465" spans="1:9" s="7" customFormat="1" ht="15" x14ac:dyDescent="0.2">
      <c r="A1465" s="7" t="str">
        <f>IF(Plantilla_SCAN_EQ3_COUNT_2[[#This Row],[ID MATERIAL]]="","",SIGN(Plantilla_SCAN_EQ3_COUNT_2[[#This Row],[Cantidad]])+A1464)</f>
        <v/>
      </c>
      <c r="B1465" s="21" t="str">
        <f>IF(Plantilla_SCAN_EQ3_COUNT_2[[#This Row],[ID MATERIAL]]="","",B1464)</f>
        <v/>
      </c>
      <c r="C1465" s="21"/>
      <c r="D1465" s="21"/>
      <c r="E1465" s="7" t="str">
        <f>IF(Plantilla_SCAN_EQ3_COUNT_2[[#This Row],[ID MATERIAL]]="","",VLOOKUP(Plantilla_SCAN_EQ3_COUNT_2[[#This Row],[ID MATERIAL]],INVENTARIO!$A:$D,2,FALSE))</f>
        <v/>
      </c>
      <c r="F1465" s="7" t="str">
        <f>IF(Plantilla_SCAN_EQ3_COUNT_2[[#This Row],[ID MATERIAL]]="","",IF(Plantilla_SCAN_EQ3_COUNT_2[[#This Row],[No. Empaques]]="",1,Plantilla_SCAN_EQ3_COUNT_2[[#This Row],[No. Empaques]]*1))</f>
        <v/>
      </c>
      <c r="G1465" s="7" t="str">
        <f>IF(Plantilla_SCAN_EQ3_COUNT_2[[#This Row],[ID MATERIAL]]="","","PZ")</f>
        <v/>
      </c>
      <c r="H1465" s="7" t="str">
        <f>IF(Plantilla_SCAN_EQ3_COUNT_2[[#This Row],[ID MATERIAL]]="","",$B$13)</f>
        <v/>
      </c>
      <c r="I1465" s="7" t="str">
        <f>IF(Plantilla_SCAN_EQ3_COUNT_2[[#This Row],[ID MATERIAL]]="","","Segundo Conteo")</f>
        <v/>
      </c>
    </row>
    <row r="1466" spans="1:9" s="7" customFormat="1" ht="15" x14ac:dyDescent="0.2">
      <c r="A1466" s="7" t="str">
        <f>IF(Plantilla_SCAN_EQ3_COUNT_2[[#This Row],[ID MATERIAL]]="","",SIGN(Plantilla_SCAN_EQ3_COUNT_2[[#This Row],[Cantidad]])+A1465)</f>
        <v/>
      </c>
      <c r="B1466" s="21" t="str">
        <f>IF(Plantilla_SCAN_EQ3_COUNT_2[[#This Row],[ID MATERIAL]]="","",B1465)</f>
        <v/>
      </c>
      <c r="C1466" s="21"/>
      <c r="D1466" s="21"/>
      <c r="E1466" s="7" t="str">
        <f>IF(Plantilla_SCAN_EQ3_COUNT_2[[#This Row],[ID MATERIAL]]="","",VLOOKUP(Plantilla_SCAN_EQ3_COUNT_2[[#This Row],[ID MATERIAL]],INVENTARIO!$A:$D,2,FALSE))</f>
        <v/>
      </c>
      <c r="F1466" s="7" t="str">
        <f>IF(Plantilla_SCAN_EQ3_COUNT_2[[#This Row],[ID MATERIAL]]="","",IF(Plantilla_SCAN_EQ3_COUNT_2[[#This Row],[No. Empaques]]="",1,Plantilla_SCAN_EQ3_COUNT_2[[#This Row],[No. Empaques]]*1))</f>
        <v/>
      </c>
      <c r="G1466" s="7" t="str">
        <f>IF(Plantilla_SCAN_EQ3_COUNT_2[[#This Row],[ID MATERIAL]]="","","PZ")</f>
        <v/>
      </c>
      <c r="H1466" s="7" t="str">
        <f>IF(Plantilla_SCAN_EQ3_COUNT_2[[#This Row],[ID MATERIAL]]="","",$B$13)</f>
        <v/>
      </c>
      <c r="I1466" s="7" t="str">
        <f>IF(Plantilla_SCAN_EQ3_COUNT_2[[#This Row],[ID MATERIAL]]="","","Segundo Conteo")</f>
        <v/>
      </c>
    </row>
    <row r="1467" spans="1:9" s="7" customFormat="1" ht="15" x14ac:dyDescent="0.2">
      <c r="A1467" s="7" t="str">
        <f>IF(Plantilla_SCAN_EQ3_COUNT_2[[#This Row],[ID MATERIAL]]="","",SIGN(Plantilla_SCAN_EQ3_COUNT_2[[#This Row],[Cantidad]])+A1466)</f>
        <v/>
      </c>
      <c r="B1467" s="21" t="str">
        <f>IF(Plantilla_SCAN_EQ3_COUNT_2[[#This Row],[ID MATERIAL]]="","",B1466)</f>
        <v/>
      </c>
      <c r="C1467" s="21"/>
      <c r="D1467" s="21"/>
      <c r="E1467" s="7" t="str">
        <f>IF(Plantilla_SCAN_EQ3_COUNT_2[[#This Row],[ID MATERIAL]]="","",VLOOKUP(Plantilla_SCAN_EQ3_COUNT_2[[#This Row],[ID MATERIAL]],INVENTARIO!$A:$D,2,FALSE))</f>
        <v/>
      </c>
      <c r="F1467" s="7" t="str">
        <f>IF(Plantilla_SCAN_EQ3_COUNT_2[[#This Row],[ID MATERIAL]]="","",IF(Plantilla_SCAN_EQ3_COUNT_2[[#This Row],[No. Empaques]]="",1,Plantilla_SCAN_EQ3_COUNT_2[[#This Row],[No. Empaques]]*1))</f>
        <v/>
      </c>
      <c r="G1467" s="7" t="str">
        <f>IF(Plantilla_SCAN_EQ3_COUNT_2[[#This Row],[ID MATERIAL]]="","","PZ")</f>
        <v/>
      </c>
      <c r="H1467" s="7" t="str">
        <f>IF(Plantilla_SCAN_EQ3_COUNT_2[[#This Row],[ID MATERIAL]]="","",$B$13)</f>
        <v/>
      </c>
      <c r="I1467" s="7" t="str">
        <f>IF(Plantilla_SCAN_EQ3_COUNT_2[[#This Row],[ID MATERIAL]]="","","Segundo Conteo")</f>
        <v/>
      </c>
    </row>
    <row r="1468" spans="1:9" s="7" customFormat="1" ht="15" x14ac:dyDescent="0.2">
      <c r="A1468" s="7" t="str">
        <f>IF(Plantilla_SCAN_EQ3_COUNT_2[[#This Row],[ID MATERIAL]]="","",SIGN(Plantilla_SCAN_EQ3_COUNT_2[[#This Row],[Cantidad]])+A1467)</f>
        <v/>
      </c>
      <c r="B1468" s="21" t="str">
        <f>IF(Plantilla_SCAN_EQ3_COUNT_2[[#This Row],[ID MATERIAL]]="","",B1467)</f>
        <v/>
      </c>
      <c r="C1468" s="21"/>
      <c r="D1468" s="21"/>
      <c r="E1468" s="7" t="str">
        <f>IF(Plantilla_SCAN_EQ3_COUNT_2[[#This Row],[ID MATERIAL]]="","",VLOOKUP(Plantilla_SCAN_EQ3_COUNT_2[[#This Row],[ID MATERIAL]],INVENTARIO!$A:$D,2,FALSE))</f>
        <v/>
      </c>
      <c r="F1468" s="7" t="str">
        <f>IF(Plantilla_SCAN_EQ3_COUNT_2[[#This Row],[ID MATERIAL]]="","",IF(Plantilla_SCAN_EQ3_COUNT_2[[#This Row],[No. Empaques]]="",1,Plantilla_SCAN_EQ3_COUNT_2[[#This Row],[No. Empaques]]*1))</f>
        <v/>
      </c>
      <c r="G1468" s="7" t="str">
        <f>IF(Plantilla_SCAN_EQ3_COUNT_2[[#This Row],[ID MATERIAL]]="","","PZ")</f>
        <v/>
      </c>
      <c r="H1468" s="7" t="str">
        <f>IF(Plantilla_SCAN_EQ3_COUNT_2[[#This Row],[ID MATERIAL]]="","",$B$13)</f>
        <v/>
      </c>
      <c r="I1468" s="7" t="str">
        <f>IF(Plantilla_SCAN_EQ3_COUNT_2[[#This Row],[ID MATERIAL]]="","","Segundo Conteo")</f>
        <v/>
      </c>
    </row>
    <row r="1469" spans="1:9" s="7" customFormat="1" ht="15" x14ac:dyDescent="0.2">
      <c r="A1469" s="7" t="str">
        <f>IF(Plantilla_SCAN_EQ3_COUNT_2[[#This Row],[ID MATERIAL]]="","",SIGN(Plantilla_SCAN_EQ3_COUNT_2[[#This Row],[Cantidad]])+A1468)</f>
        <v/>
      </c>
      <c r="B1469" s="21" t="str">
        <f>IF(Plantilla_SCAN_EQ3_COUNT_2[[#This Row],[ID MATERIAL]]="","",B1468)</f>
        <v/>
      </c>
      <c r="C1469" s="21"/>
      <c r="D1469" s="21"/>
      <c r="E1469" s="7" t="str">
        <f>IF(Plantilla_SCAN_EQ3_COUNT_2[[#This Row],[ID MATERIAL]]="","",VLOOKUP(Plantilla_SCAN_EQ3_COUNT_2[[#This Row],[ID MATERIAL]],INVENTARIO!$A:$D,2,FALSE))</f>
        <v/>
      </c>
      <c r="F1469" s="7" t="str">
        <f>IF(Plantilla_SCAN_EQ3_COUNT_2[[#This Row],[ID MATERIAL]]="","",IF(Plantilla_SCAN_EQ3_COUNT_2[[#This Row],[No. Empaques]]="",1,Plantilla_SCAN_EQ3_COUNT_2[[#This Row],[No. Empaques]]*1))</f>
        <v/>
      </c>
      <c r="G1469" s="7" t="str">
        <f>IF(Plantilla_SCAN_EQ3_COUNT_2[[#This Row],[ID MATERIAL]]="","","PZ")</f>
        <v/>
      </c>
      <c r="H1469" s="7" t="str">
        <f>IF(Plantilla_SCAN_EQ3_COUNT_2[[#This Row],[ID MATERIAL]]="","",$B$13)</f>
        <v/>
      </c>
      <c r="I1469" s="7" t="str">
        <f>IF(Plantilla_SCAN_EQ3_COUNT_2[[#This Row],[ID MATERIAL]]="","","Segundo Conteo")</f>
        <v/>
      </c>
    </row>
    <row r="1470" spans="1:9" s="7" customFormat="1" ht="15" x14ac:dyDescent="0.2">
      <c r="A1470" s="7" t="str">
        <f>IF(Plantilla_SCAN_EQ3_COUNT_2[[#This Row],[ID MATERIAL]]="","",SIGN(Plantilla_SCAN_EQ3_COUNT_2[[#This Row],[Cantidad]])+A1469)</f>
        <v/>
      </c>
      <c r="B1470" s="21" t="str">
        <f>IF(Plantilla_SCAN_EQ3_COUNT_2[[#This Row],[ID MATERIAL]]="","",B1469)</f>
        <v/>
      </c>
      <c r="C1470" s="21"/>
      <c r="D1470" s="21"/>
      <c r="E1470" s="7" t="str">
        <f>IF(Plantilla_SCAN_EQ3_COUNT_2[[#This Row],[ID MATERIAL]]="","",VLOOKUP(Plantilla_SCAN_EQ3_COUNT_2[[#This Row],[ID MATERIAL]],INVENTARIO!$A:$D,2,FALSE))</f>
        <v/>
      </c>
      <c r="F1470" s="7" t="str">
        <f>IF(Plantilla_SCAN_EQ3_COUNT_2[[#This Row],[ID MATERIAL]]="","",IF(Plantilla_SCAN_EQ3_COUNT_2[[#This Row],[No. Empaques]]="",1,Plantilla_SCAN_EQ3_COUNT_2[[#This Row],[No. Empaques]]*1))</f>
        <v/>
      </c>
      <c r="G1470" s="7" t="str">
        <f>IF(Plantilla_SCAN_EQ3_COUNT_2[[#This Row],[ID MATERIAL]]="","","PZ")</f>
        <v/>
      </c>
      <c r="H1470" s="7" t="str">
        <f>IF(Plantilla_SCAN_EQ3_COUNT_2[[#This Row],[ID MATERIAL]]="","",$B$13)</f>
        <v/>
      </c>
      <c r="I1470" s="7" t="str">
        <f>IF(Plantilla_SCAN_EQ3_COUNT_2[[#This Row],[ID MATERIAL]]="","","Segundo Conteo")</f>
        <v/>
      </c>
    </row>
    <row r="1471" spans="1:9" s="7" customFormat="1" ht="15" x14ac:dyDescent="0.2">
      <c r="A1471" s="7" t="str">
        <f>IF(Plantilla_SCAN_EQ3_COUNT_2[[#This Row],[ID MATERIAL]]="","",SIGN(Plantilla_SCAN_EQ3_COUNT_2[[#This Row],[Cantidad]])+A1470)</f>
        <v/>
      </c>
      <c r="B1471" s="21" t="str">
        <f>IF(Plantilla_SCAN_EQ3_COUNT_2[[#This Row],[ID MATERIAL]]="","",B1470)</f>
        <v/>
      </c>
      <c r="C1471" s="21"/>
      <c r="D1471" s="21"/>
      <c r="E1471" s="7" t="str">
        <f>IF(Plantilla_SCAN_EQ3_COUNT_2[[#This Row],[ID MATERIAL]]="","",VLOOKUP(Plantilla_SCAN_EQ3_COUNT_2[[#This Row],[ID MATERIAL]],INVENTARIO!$A:$D,2,FALSE))</f>
        <v/>
      </c>
      <c r="F1471" s="7" t="str">
        <f>IF(Plantilla_SCAN_EQ3_COUNT_2[[#This Row],[ID MATERIAL]]="","",IF(Plantilla_SCAN_EQ3_COUNT_2[[#This Row],[No. Empaques]]="",1,Plantilla_SCAN_EQ3_COUNT_2[[#This Row],[No. Empaques]]*1))</f>
        <v/>
      </c>
      <c r="G1471" s="7" t="str">
        <f>IF(Plantilla_SCAN_EQ3_COUNT_2[[#This Row],[ID MATERIAL]]="","","PZ")</f>
        <v/>
      </c>
      <c r="H1471" s="7" t="str">
        <f>IF(Plantilla_SCAN_EQ3_COUNT_2[[#This Row],[ID MATERIAL]]="","",$B$13)</f>
        <v/>
      </c>
      <c r="I1471" s="7" t="str">
        <f>IF(Plantilla_SCAN_EQ3_COUNT_2[[#This Row],[ID MATERIAL]]="","","Segundo Conteo")</f>
        <v/>
      </c>
    </row>
    <row r="1472" spans="1:9" s="7" customFormat="1" ht="15" x14ac:dyDescent="0.2">
      <c r="A1472" s="7" t="str">
        <f>IF(Plantilla_SCAN_EQ3_COUNT_2[[#This Row],[ID MATERIAL]]="","",SIGN(Plantilla_SCAN_EQ3_COUNT_2[[#This Row],[Cantidad]])+A1471)</f>
        <v/>
      </c>
      <c r="B1472" s="21" t="str">
        <f>IF(Plantilla_SCAN_EQ3_COUNT_2[[#This Row],[ID MATERIAL]]="","",B1471)</f>
        <v/>
      </c>
      <c r="C1472" s="21"/>
      <c r="D1472" s="21"/>
      <c r="E1472" s="7" t="str">
        <f>IF(Plantilla_SCAN_EQ3_COUNT_2[[#This Row],[ID MATERIAL]]="","",VLOOKUP(Plantilla_SCAN_EQ3_COUNT_2[[#This Row],[ID MATERIAL]],INVENTARIO!$A:$D,2,FALSE))</f>
        <v/>
      </c>
      <c r="F1472" s="7" t="str">
        <f>IF(Plantilla_SCAN_EQ3_COUNT_2[[#This Row],[ID MATERIAL]]="","",IF(Plantilla_SCAN_EQ3_COUNT_2[[#This Row],[No. Empaques]]="",1,Plantilla_SCAN_EQ3_COUNT_2[[#This Row],[No. Empaques]]*1))</f>
        <v/>
      </c>
      <c r="G1472" s="7" t="str">
        <f>IF(Plantilla_SCAN_EQ3_COUNT_2[[#This Row],[ID MATERIAL]]="","","PZ")</f>
        <v/>
      </c>
      <c r="H1472" s="7" t="str">
        <f>IF(Plantilla_SCAN_EQ3_COUNT_2[[#This Row],[ID MATERIAL]]="","",$B$13)</f>
        <v/>
      </c>
      <c r="I1472" s="7" t="str">
        <f>IF(Plantilla_SCAN_EQ3_COUNT_2[[#This Row],[ID MATERIAL]]="","","Segundo Conteo")</f>
        <v/>
      </c>
    </row>
    <row r="1473" spans="1:9" s="7" customFormat="1" ht="15" x14ac:dyDescent="0.2">
      <c r="A1473" s="7" t="str">
        <f>IF(Plantilla_SCAN_EQ3_COUNT_2[[#This Row],[ID MATERIAL]]="","",SIGN(Plantilla_SCAN_EQ3_COUNT_2[[#This Row],[Cantidad]])+A1472)</f>
        <v/>
      </c>
      <c r="B1473" s="21" t="str">
        <f>IF(Plantilla_SCAN_EQ3_COUNT_2[[#This Row],[ID MATERIAL]]="","",B1472)</f>
        <v/>
      </c>
      <c r="C1473" s="21"/>
      <c r="D1473" s="21"/>
      <c r="E1473" s="7" t="str">
        <f>IF(Plantilla_SCAN_EQ3_COUNT_2[[#This Row],[ID MATERIAL]]="","",VLOOKUP(Plantilla_SCAN_EQ3_COUNT_2[[#This Row],[ID MATERIAL]],INVENTARIO!$A:$D,2,FALSE))</f>
        <v/>
      </c>
      <c r="F1473" s="7" t="str">
        <f>IF(Plantilla_SCAN_EQ3_COUNT_2[[#This Row],[ID MATERIAL]]="","",IF(Plantilla_SCAN_EQ3_COUNT_2[[#This Row],[No. Empaques]]="",1,Plantilla_SCAN_EQ3_COUNT_2[[#This Row],[No. Empaques]]*1))</f>
        <v/>
      </c>
      <c r="G1473" s="7" t="str">
        <f>IF(Plantilla_SCAN_EQ3_COUNT_2[[#This Row],[ID MATERIAL]]="","","PZ")</f>
        <v/>
      </c>
      <c r="H1473" s="7" t="str">
        <f>IF(Plantilla_SCAN_EQ3_COUNT_2[[#This Row],[ID MATERIAL]]="","",$B$13)</f>
        <v/>
      </c>
      <c r="I1473" s="7" t="str">
        <f>IF(Plantilla_SCAN_EQ3_COUNT_2[[#This Row],[ID MATERIAL]]="","","Segundo Conteo")</f>
        <v/>
      </c>
    </row>
    <row r="1474" spans="1:9" s="7" customFormat="1" ht="15" x14ac:dyDescent="0.2">
      <c r="A1474" s="7" t="str">
        <f>IF(Plantilla_SCAN_EQ3_COUNT_2[[#This Row],[ID MATERIAL]]="","",SIGN(Plantilla_SCAN_EQ3_COUNT_2[[#This Row],[Cantidad]])+A1473)</f>
        <v/>
      </c>
      <c r="B1474" s="21" t="str">
        <f>IF(Plantilla_SCAN_EQ3_COUNT_2[[#This Row],[ID MATERIAL]]="","",B1473)</f>
        <v/>
      </c>
      <c r="C1474" s="21"/>
      <c r="D1474" s="21"/>
      <c r="E1474" s="7" t="str">
        <f>IF(Plantilla_SCAN_EQ3_COUNT_2[[#This Row],[ID MATERIAL]]="","",VLOOKUP(Plantilla_SCAN_EQ3_COUNT_2[[#This Row],[ID MATERIAL]],INVENTARIO!$A:$D,2,FALSE))</f>
        <v/>
      </c>
      <c r="F1474" s="7" t="str">
        <f>IF(Plantilla_SCAN_EQ3_COUNT_2[[#This Row],[ID MATERIAL]]="","",IF(Plantilla_SCAN_EQ3_COUNT_2[[#This Row],[No. Empaques]]="",1,Plantilla_SCAN_EQ3_COUNT_2[[#This Row],[No. Empaques]]*1))</f>
        <v/>
      </c>
      <c r="G1474" s="7" t="str">
        <f>IF(Plantilla_SCAN_EQ3_COUNT_2[[#This Row],[ID MATERIAL]]="","","PZ")</f>
        <v/>
      </c>
      <c r="H1474" s="7" t="str">
        <f>IF(Plantilla_SCAN_EQ3_COUNT_2[[#This Row],[ID MATERIAL]]="","",$B$13)</f>
        <v/>
      </c>
      <c r="I1474" s="7" t="str">
        <f>IF(Plantilla_SCAN_EQ3_COUNT_2[[#This Row],[ID MATERIAL]]="","","Segundo Conteo")</f>
        <v/>
      </c>
    </row>
    <row r="1475" spans="1:9" s="7" customFormat="1" ht="15" x14ac:dyDescent="0.2">
      <c r="A1475" s="7" t="str">
        <f>IF(Plantilla_SCAN_EQ3_COUNT_2[[#This Row],[ID MATERIAL]]="","",SIGN(Plantilla_SCAN_EQ3_COUNT_2[[#This Row],[Cantidad]])+A1474)</f>
        <v/>
      </c>
      <c r="B1475" s="21" t="str">
        <f>IF(Plantilla_SCAN_EQ3_COUNT_2[[#This Row],[ID MATERIAL]]="","",B1474)</f>
        <v/>
      </c>
      <c r="C1475" s="21"/>
      <c r="D1475" s="21"/>
      <c r="E1475" s="7" t="str">
        <f>IF(Plantilla_SCAN_EQ3_COUNT_2[[#This Row],[ID MATERIAL]]="","",VLOOKUP(Plantilla_SCAN_EQ3_COUNT_2[[#This Row],[ID MATERIAL]],INVENTARIO!$A:$D,2,FALSE))</f>
        <v/>
      </c>
      <c r="F1475" s="7" t="str">
        <f>IF(Plantilla_SCAN_EQ3_COUNT_2[[#This Row],[ID MATERIAL]]="","",IF(Plantilla_SCAN_EQ3_COUNT_2[[#This Row],[No. Empaques]]="",1,Plantilla_SCAN_EQ3_COUNT_2[[#This Row],[No. Empaques]]*1))</f>
        <v/>
      </c>
      <c r="G1475" s="7" t="str">
        <f>IF(Plantilla_SCAN_EQ3_COUNT_2[[#This Row],[ID MATERIAL]]="","","PZ")</f>
        <v/>
      </c>
      <c r="H1475" s="7" t="str">
        <f>IF(Plantilla_SCAN_EQ3_COUNT_2[[#This Row],[ID MATERIAL]]="","",$B$13)</f>
        <v/>
      </c>
      <c r="I1475" s="7" t="str">
        <f>IF(Plantilla_SCAN_EQ3_COUNT_2[[#This Row],[ID MATERIAL]]="","","Segundo Conteo")</f>
        <v/>
      </c>
    </row>
    <row r="1476" spans="1:9" s="7" customFormat="1" ht="15" x14ac:dyDescent="0.2">
      <c r="A1476" s="7" t="str">
        <f>IF(Plantilla_SCAN_EQ3_COUNT_2[[#This Row],[ID MATERIAL]]="","",SIGN(Plantilla_SCAN_EQ3_COUNT_2[[#This Row],[Cantidad]])+A1475)</f>
        <v/>
      </c>
      <c r="B1476" s="21" t="str">
        <f>IF(Plantilla_SCAN_EQ3_COUNT_2[[#This Row],[ID MATERIAL]]="","",B1475)</f>
        <v/>
      </c>
      <c r="C1476" s="21"/>
      <c r="D1476" s="21"/>
      <c r="E1476" s="7" t="str">
        <f>IF(Plantilla_SCAN_EQ3_COUNT_2[[#This Row],[ID MATERIAL]]="","",VLOOKUP(Plantilla_SCAN_EQ3_COUNT_2[[#This Row],[ID MATERIAL]],INVENTARIO!$A:$D,2,FALSE))</f>
        <v/>
      </c>
      <c r="F1476" s="7" t="str">
        <f>IF(Plantilla_SCAN_EQ3_COUNT_2[[#This Row],[ID MATERIAL]]="","",IF(Plantilla_SCAN_EQ3_COUNT_2[[#This Row],[No. Empaques]]="",1,Plantilla_SCAN_EQ3_COUNT_2[[#This Row],[No. Empaques]]*1))</f>
        <v/>
      </c>
      <c r="G1476" s="7" t="str">
        <f>IF(Plantilla_SCAN_EQ3_COUNT_2[[#This Row],[ID MATERIAL]]="","","PZ")</f>
        <v/>
      </c>
      <c r="H1476" s="7" t="str">
        <f>IF(Plantilla_SCAN_EQ3_COUNT_2[[#This Row],[ID MATERIAL]]="","",$B$13)</f>
        <v/>
      </c>
      <c r="I1476" s="7" t="str">
        <f>IF(Plantilla_SCAN_EQ3_COUNT_2[[#This Row],[ID MATERIAL]]="","","Segundo Conteo")</f>
        <v/>
      </c>
    </row>
    <row r="1477" spans="1:9" s="7" customFormat="1" ht="15" x14ac:dyDescent="0.2">
      <c r="A1477" s="7" t="str">
        <f>IF(Plantilla_SCAN_EQ3_COUNT_2[[#This Row],[ID MATERIAL]]="","",SIGN(Plantilla_SCAN_EQ3_COUNT_2[[#This Row],[Cantidad]])+A1476)</f>
        <v/>
      </c>
      <c r="B1477" s="21" t="str">
        <f>IF(Plantilla_SCAN_EQ3_COUNT_2[[#This Row],[ID MATERIAL]]="","",B1476)</f>
        <v/>
      </c>
      <c r="C1477" s="21"/>
      <c r="D1477" s="21"/>
      <c r="E1477" s="7" t="str">
        <f>IF(Plantilla_SCAN_EQ3_COUNT_2[[#This Row],[ID MATERIAL]]="","",VLOOKUP(Plantilla_SCAN_EQ3_COUNT_2[[#This Row],[ID MATERIAL]],INVENTARIO!$A:$D,2,FALSE))</f>
        <v/>
      </c>
      <c r="F1477" s="7" t="str">
        <f>IF(Plantilla_SCAN_EQ3_COUNT_2[[#This Row],[ID MATERIAL]]="","",IF(Plantilla_SCAN_EQ3_COUNT_2[[#This Row],[No. Empaques]]="",1,Plantilla_SCAN_EQ3_COUNT_2[[#This Row],[No. Empaques]]*1))</f>
        <v/>
      </c>
      <c r="G1477" s="7" t="str">
        <f>IF(Plantilla_SCAN_EQ3_COUNT_2[[#This Row],[ID MATERIAL]]="","","PZ")</f>
        <v/>
      </c>
      <c r="H1477" s="7" t="str">
        <f>IF(Plantilla_SCAN_EQ3_COUNT_2[[#This Row],[ID MATERIAL]]="","",$B$13)</f>
        <v/>
      </c>
      <c r="I1477" s="7" t="str">
        <f>IF(Plantilla_SCAN_EQ3_COUNT_2[[#This Row],[ID MATERIAL]]="","","Segundo Conteo")</f>
        <v/>
      </c>
    </row>
    <row r="1478" spans="1:9" s="7" customFormat="1" ht="15" x14ac:dyDescent="0.2">
      <c r="A1478" s="7" t="str">
        <f>IF(Plantilla_SCAN_EQ3_COUNT_2[[#This Row],[ID MATERIAL]]="","",SIGN(Plantilla_SCAN_EQ3_COUNT_2[[#This Row],[Cantidad]])+A1477)</f>
        <v/>
      </c>
      <c r="B1478" s="21" t="str">
        <f>IF(Plantilla_SCAN_EQ3_COUNT_2[[#This Row],[ID MATERIAL]]="","",B1477)</f>
        <v/>
      </c>
      <c r="C1478" s="21"/>
      <c r="D1478" s="21"/>
      <c r="E1478" s="7" t="str">
        <f>IF(Plantilla_SCAN_EQ3_COUNT_2[[#This Row],[ID MATERIAL]]="","",VLOOKUP(Plantilla_SCAN_EQ3_COUNT_2[[#This Row],[ID MATERIAL]],INVENTARIO!$A:$D,2,FALSE))</f>
        <v/>
      </c>
      <c r="F1478" s="7" t="str">
        <f>IF(Plantilla_SCAN_EQ3_COUNT_2[[#This Row],[ID MATERIAL]]="","",IF(Plantilla_SCAN_EQ3_COUNT_2[[#This Row],[No. Empaques]]="",1,Plantilla_SCAN_EQ3_COUNT_2[[#This Row],[No. Empaques]]*1))</f>
        <v/>
      </c>
      <c r="G1478" s="7" t="str">
        <f>IF(Plantilla_SCAN_EQ3_COUNT_2[[#This Row],[ID MATERIAL]]="","","PZ")</f>
        <v/>
      </c>
      <c r="H1478" s="7" t="str">
        <f>IF(Plantilla_SCAN_EQ3_COUNT_2[[#This Row],[ID MATERIAL]]="","",$B$13)</f>
        <v/>
      </c>
      <c r="I1478" s="7" t="str">
        <f>IF(Plantilla_SCAN_EQ3_COUNT_2[[#This Row],[ID MATERIAL]]="","","Segundo Conteo")</f>
        <v/>
      </c>
    </row>
    <row r="1479" spans="1:9" s="7" customFormat="1" ht="15" x14ac:dyDescent="0.2">
      <c r="A1479" s="7" t="str">
        <f>IF(Plantilla_SCAN_EQ3_COUNT_2[[#This Row],[ID MATERIAL]]="","",SIGN(Plantilla_SCAN_EQ3_COUNT_2[[#This Row],[Cantidad]])+A1478)</f>
        <v/>
      </c>
      <c r="B1479" s="21" t="str">
        <f>IF(Plantilla_SCAN_EQ3_COUNT_2[[#This Row],[ID MATERIAL]]="","",B1478)</f>
        <v/>
      </c>
      <c r="C1479" s="21"/>
      <c r="D1479" s="21"/>
      <c r="E1479" s="7" t="str">
        <f>IF(Plantilla_SCAN_EQ3_COUNT_2[[#This Row],[ID MATERIAL]]="","",VLOOKUP(Plantilla_SCAN_EQ3_COUNT_2[[#This Row],[ID MATERIAL]],INVENTARIO!$A:$D,2,FALSE))</f>
        <v/>
      </c>
      <c r="F1479" s="7" t="str">
        <f>IF(Plantilla_SCAN_EQ3_COUNT_2[[#This Row],[ID MATERIAL]]="","",IF(Plantilla_SCAN_EQ3_COUNT_2[[#This Row],[No. Empaques]]="",1,Plantilla_SCAN_EQ3_COUNT_2[[#This Row],[No. Empaques]]*1))</f>
        <v/>
      </c>
      <c r="G1479" s="7" t="str">
        <f>IF(Plantilla_SCAN_EQ3_COUNT_2[[#This Row],[ID MATERIAL]]="","","PZ")</f>
        <v/>
      </c>
      <c r="H1479" s="7" t="str">
        <f>IF(Plantilla_SCAN_EQ3_COUNT_2[[#This Row],[ID MATERIAL]]="","",$B$13)</f>
        <v/>
      </c>
      <c r="I1479" s="7" t="str">
        <f>IF(Plantilla_SCAN_EQ3_COUNT_2[[#This Row],[ID MATERIAL]]="","","Segundo Conteo")</f>
        <v/>
      </c>
    </row>
    <row r="1480" spans="1:9" s="7" customFormat="1" ht="15" x14ac:dyDescent="0.2">
      <c r="A1480" s="7" t="str">
        <f>IF(Plantilla_SCAN_EQ3_COUNT_2[[#This Row],[ID MATERIAL]]="","",SIGN(Plantilla_SCAN_EQ3_COUNT_2[[#This Row],[Cantidad]])+A1479)</f>
        <v/>
      </c>
      <c r="B1480" s="21" t="str">
        <f>IF(Plantilla_SCAN_EQ3_COUNT_2[[#This Row],[ID MATERIAL]]="","",B1479)</f>
        <v/>
      </c>
      <c r="C1480" s="21"/>
      <c r="D1480" s="21"/>
      <c r="E1480" s="7" t="str">
        <f>IF(Plantilla_SCAN_EQ3_COUNT_2[[#This Row],[ID MATERIAL]]="","",VLOOKUP(Plantilla_SCAN_EQ3_COUNT_2[[#This Row],[ID MATERIAL]],INVENTARIO!$A:$D,2,FALSE))</f>
        <v/>
      </c>
      <c r="F1480" s="7" t="str">
        <f>IF(Plantilla_SCAN_EQ3_COUNT_2[[#This Row],[ID MATERIAL]]="","",IF(Plantilla_SCAN_EQ3_COUNT_2[[#This Row],[No. Empaques]]="",1,Plantilla_SCAN_EQ3_COUNT_2[[#This Row],[No. Empaques]]*1))</f>
        <v/>
      </c>
      <c r="G1480" s="7" t="str">
        <f>IF(Plantilla_SCAN_EQ3_COUNT_2[[#This Row],[ID MATERIAL]]="","","PZ")</f>
        <v/>
      </c>
      <c r="H1480" s="7" t="str">
        <f>IF(Plantilla_SCAN_EQ3_COUNT_2[[#This Row],[ID MATERIAL]]="","",$B$13)</f>
        <v/>
      </c>
      <c r="I1480" s="7" t="str">
        <f>IF(Plantilla_SCAN_EQ3_COUNT_2[[#This Row],[ID MATERIAL]]="","","Segundo Conteo")</f>
        <v/>
      </c>
    </row>
    <row r="1481" spans="1:9" s="7" customFormat="1" ht="15" x14ac:dyDescent="0.2">
      <c r="A1481" s="7" t="str">
        <f>IF(Plantilla_SCAN_EQ3_COUNT_2[[#This Row],[ID MATERIAL]]="","",SIGN(Plantilla_SCAN_EQ3_COUNT_2[[#This Row],[Cantidad]])+A1480)</f>
        <v/>
      </c>
      <c r="B1481" s="21" t="str">
        <f>IF(Plantilla_SCAN_EQ3_COUNT_2[[#This Row],[ID MATERIAL]]="","",B1480)</f>
        <v/>
      </c>
      <c r="C1481" s="21"/>
      <c r="D1481" s="21"/>
      <c r="E1481" s="7" t="str">
        <f>IF(Plantilla_SCAN_EQ3_COUNT_2[[#This Row],[ID MATERIAL]]="","",VLOOKUP(Plantilla_SCAN_EQ3_COUNT_2[[#This Row],[ID MATERIAL]],INVENTARIO!$A:$D,2,FALSE))</f>
        <v/>
      </c>
      <c r="F1481" s="7" t="str">
        <f>IF(Plantilla_SCAN_EQ3_COUNT_2[[#This Row],[ID MATERIAL]]="","",IF(Plantilla_SCAN_EQ3_COUNT_2[[#This Row],[No. Empaques]]="",1,Plantilla_SCAN_EQ3_COUNT_2[[#This Row],[No. Empaques]]*1))</f>
        <v/>
      </c>
      <c r="G1481" s="7" t="str">
        <f>IF(Plantilla_SCAN_EQ3_COUNT_2[[#This Row],[ID MATERIAL]]="","","PZ")</f>
        <v/>
      </c>
      <c r="H1481" s="7" t="str">
        <f>IF(Plantilla_SCAN_EQ3_COUNT_2[[#This Row],[ID MATERIAL]]="","",$B$13)</f>
        <v/>
      </c>
      <c r="I1481" s="7" t="str">
        <f>IF(Plantilla_SCAN_EQ3_COUNT_2[[#This Row],[ID MATERIAL]]="","","Segundo Conteo")</f>
        <v/>
      </c>
    </row>
    <row r="1482" spans="1:9" s="7" customFormat="1" ht="15" x14ac:dyDescent="0.2">
      <c r="A1482" s="7" t="str">
        <f>IF(Plantilla_SCAN_EQ3_COUNT_2[[#This Row],[ID MATERIAL]]="","",SIGN(Plantilla_SCAN_EQ3_COUNT_2[[#This Row],[Cantidad]])+A1481)</f>
        <v/>
      </c>
      <c r="B1482" s="21" t="str">
        <f>IF(Plantilla_SCAN_EQ3_COUNT_2[[#This Row],[ID MATERIAL]]="","",B1481)</f>
        <v/>
      </c>
      <c r="C1482" s="21"/>
      <c r="D1482" s="21"/>
      <c r="E1482" s="7" t="str">
        <f>IF(Plantilla_SCAN_EQ3_COUNT_2[[#This Row],[ID MATERIAL]]="","",VLOOKUP(Plantilla_SCAN_EQ3_COUNT_2[[#This Row],[ID MATERIAL]],INVENTARIO!$A:$D,2,FALSE))</f>
        <v/>
      </c>
      <c r="F1482" s="7" t="str">
        <f>IF(Plantilla_SCAN_EQ3_COUNT_2[[#This Row],[ID MATERIAL]]="","",IF(Plantilla_SCAN_EQ3_COUNT_2[[#This Row],[No. Empaques]]="",1,Plantilla_SCAN_EQ3_COUNT_2[[#This Row],[No. Empaques]]*1))</f>
        <v/>
      </c>
      <c r="G1482" s="7" t="str">
        <f>IF(Plantilla_SCAN_EQ3_COUNT_2[[#This Row],[ID MATERIAL]]="","","PZ")</f>
        <v/>
      </c>
      <c r="H1482" s="7" t="str">
        <f>IF(Plantilla_SCAN_EQ3_COUNT_2[[#This Row],[ID MATERIAL]]="","",$B$13)</f>
        <v/>
      </c>
      <c r="I1482" s="7" t="str">
        <f>IF(Plantilla_SCAN_EQ3_COUNT_2[[#This Row],[ID MATERIAL]]="","","Segundo Conteo")</f>
        <v/>
      </c>
    </row>
    <row r="1483" spans="1:9" s="7" customFormat="1" ht="15" x14ac:dyDescent="0.2">
      <c r="A1483" s="7" t="str">
        <f>IF(Plantilla_SCAN_EQ3_COUNT_2[[#This Row],[ID MATERIAL]]="","",SIGN(Plantilla_SCAN_EQ3_COUNT_2[[#This Row],[Cantidad]])+A1482)</f>
        <v/>
      </c>
      <c r="B1483" s="21" t="str">
        <f>IF(Plantilla_SCAN_EQ3_COUNT_2[[#This Row],[ID MATERIAL]]="","",B1482)</f>
        <v/>
      </c>
      <c r="C1483" s="21"/>
      <c r="D1483" s="21"/>
      <c r="E1483" s="7" t="str">
        <f>IF(Plantilla_SCAN_EQ3_COUNT_2[[#This Row],[ID MATERIAL]]="","",VLOOKUP(Plantilla_SCAN_EQ3_COUNT_2[[#This Row],[ID MATERIAL]],INVENTARIO!$A:$D,2,FALSE))</f>
        <v/>
      </c>
      <c r="F1483" s="7" t="str">
        <f>IF(Plantilla_SCAN_EQ3_COUNT_2[[#This Row],[ID MATERIAL]]="","",IF(Plantilla_SCAN_EQ3_COUNT_2[[#This Row],[No. Empaques]]="",1,Plantilla_SCAN_EQ3_COUNT_2[[#This Row],[No. Empaques]]*1))</f>
        <v/>
      </c>
      <c r="G1483" s="7" t="str">
        <f>IF(Plantilla_SCAN_EQ3_COUNT_2[[#This Row],[ID MATERIAL]]="","","PZ")</f>
        <v/>
      </c>
      <c r="H1483" s="7" t="str">
        <f>IF(Plantilla_SCAN_EQ3_COUNT_2[[#This Row],[ID MATERIAL]]="","",$B$13)</f>
        <v/>
      </c>
      <c r="I1483" s="7" t="str">
        <f>IF(Plantilla_SCAN_EQ3_COUNT_2[[#This Row],[ID MATERIAL]]="","","Segundo Conteo")</f>
        <v/>
      </c>
    </row>
    <row r="1484" spans="1:9" s="7" customFormat="1" ht="15" x14ac:dyDescent="0.2">
      <c r="A1484" s="7" t="str">
        <f>IF(Plantilla_SCAN_EQ3_COUNT_2[[#This Row],[ID MATERIAL]]="","",SIGN(Plantilla_SCAN_EQ3_COUNT_2[[#This Row],[Cantidad]])+A1483)</f>
        <v/>
      </c>
      <c r="B1484" s="21" t="str">
        <f>IF(Plantilla_SCAN_EQ3_COUNT_2[[#This Row],[ID MATERIAL]]="","",B1483)</f>
        <v/>
      </c>
      <c r="C1484" s="21"/>
      <c r="D1484" s="21"/>
      <c r="E1484" s="7" t="str">
        <f>IF(Plantilla_SCAN_EQ3_COUNT_2[[#This Row],[ID MATERIAL]]="","",VLOOKUP(Plantilla_SCAN_EQ3_COUNT_2[[#This Row],[ID MATERIAL]],INVENTARIO!$A:$D,2,FALSE))</f>
        <v/>
      </c>
      <c r="F1484" s="7" t="str">
        <f>IF(Plantilla_SCAN_EQ3_COUNT_2[[#This Row],[ID MATERIAL]]="","",IF(Plantilla_SCAN_EQ3_COUNT_2[[#This Row],[No. Empaques]]="",1,Plantilla_SCAN_EQ3_COUNT_2[[#This Row],[No. Empaques]]*1))</f>
        <v/>
      </c>
      <c r="G1484" s="7" t="str">
        <f>IF(Plantilla_SCAN_EQ3_COUNT_2[[#This Row],[ID MATERIAL]]="","","PZ")</f>
        <v/>
      </c>
      <c r="H1484" s="7" t="str">
        <f>IF(Plantilla_SCAN_EQ3_COUNT_2[[#This Row],[ID MATERIAL]]="","",$B$13)</f>
        <v/>
      </c>
      <c r="I1484" s="7" t="str">
        <f>IF(Plantilla_SCAN_EQ3_COUNT_2[[#This Row],[ID MATERIAL]]="","","Segundo Conteo")</f>
        <v/>
      </c>
    </row>
    <row r="1485" spans="1:9" s="7" customFormat="1" ht="15" x14ac:dyDescent="0.2">
      <c r="A1485" s="7" t="str">
        <f>IF(Plantilla_SCAN_EQ3_COUNT_2[[#This Row],[ID MATERIAL]]="","",SIGN(Plantilla_SCAN_EQ3_COUNT_2[[#This Row],[Cantidad]])+A1484)</f>
        <v/>
      </c>
      <c r="B1485" s="21" t="str">
        <f>IF(Plantilla_SCAN_EQ3_COUNT_2[[#This Row],[ID MATERIAL]]="","",B1484)</f>
        <v/>
      </c>
      <c r="C1485" s="21"/>
      <c r="D1485" s="21"/>
      <c r="E1485" s="7" t="str">
        <f>IF(Plantilla_SCAN_EQ3_COUNT_2[[#This Row],[ID MATERIAL]]="","",VLOOKUP(Plantilla_SCAN_EQ3_COUNT_2[[#This Row],[ID MATERIAL]],INVENTARIO!$A:$D,2,FALSE))</f>
        <v/>
      </c>
      <c r="F1485" s="7" t="str">
        <f>IF(Plantilla_SCAN_EQ3_COUNT_2[[#This Row],[ID MATERIAL]]="","",IF(Plantilla_SCAN_EQ3_COUNT_2[[#This Row],[No. Empaques]]="",1,Plantilla_SCAN_EQ3_COUNT_2[[#This Row],[No. Empaques]]*1))</f>
        <v/>
      </c>
      <c r="G1485" s="7" t="str">
        <f>IF(Plantilla_SCAN_EQ3_COUNT_2[[#This Row],[ID MATERIAL]]="","","PZ")</f>
        <v/>
      </c>
      <c r="H1485" s="7" t="str">
        <f>IF(Plantilla_SCAN_EQ3_COUNT_2[[#This Row],[ID MATERIAL]]="","",$B$13)</f>
        <v/>
      </c>
      <c r="I1485" s="7" t="str">
        <f>IF(Plantilla_SCAN_EQ3_COUNT_2[[#This Row],[ID MATERIAL]]="","","Segundo Conteo")</f>
        <v/>
      </c>
    </row>
    <row r="1486" spans="1:9" s="7" customFormat="1" ht="15" x14ac:dyDescent="0.2">
      <c r="A1486" s="7" t="str">
        <f>IF(Plantilla_SCAN_EQ3_COUNT_2[[#This Row],[ID MATERIAL]]="","",SIGN(Plantilla_SCAN_EQ3_COUNT_2[[#This Row],[Cantidad]])+A1485)</f>
        <v/>
      </c>
      <c r="B1486" s="21" t="str">
        <f>IF(Plantilla_SCAN_EQ3_COUNT_2[[#This Row],[ID MATERIAL]]="","",B1485)</f>
        <v/>
      </c>
      <c r="C1486" s="21"/>
      <c r="D1486" s="21"/>
      <c r="E1486" s="7" t="str">
        <f>IF(Plantilla_SCAN_EQ3_COUNT_2[[#This Row],[ID MATERIAL]]="","",VLOOKUP(Plantilla_SCAN_EQ3_COUNT_2[[#This Row],[ID MATERIAL]],INVENTARIO!$A:$D,2,FALSE))</f>
        <v/>
      </c>
      <c r="F1486" s="7" t="str">
        <f>IF(Plantilla_SCAN_EQ3_COUNT_2[[#This Row],[ID MATERIAL]]="","",IF(Plantilla_SCAN_EQ3_COUNT_2[[#This Row],[No. Empaques]]="",1,Plantilla_SCAN_EQ3_COUNT_2[[#This Row],[No. Empaques]]*1))</f>
        <v/>
      </c>
      <c r="G1486" s="7" t="str">
        <f>IF(Plantilla_SCAN_EQ3_COUNT_2[[#This Row],[ID MATERIAL]]="","","PZ")</f>
        <v/>
      </c>
      <c r="H1486" s="7" t="str">
        <f>IF(Plantilla_SCAN_EQ3_COUNT_2[[#This Row],[ID MATERIAL]]="","",$B$13)</f>
        <v/>
      </c>
      <c r="I1486" s="7" t="str">
        <f>IF(Plantilla_SCAN_EQ3_COUNT_2[[#This Row],[ID MATERIAL]]="","","Segundo Conteo")</f>
        <v/>
      </c>
    </row>
    <row r="1487" spans="1:9" s="7" customFormat="1" ht="15" x14ac:dyDescent="0.2">
      <c r="A1487" s="7" t="str">
        <f>IF(Plantilla_SCAN_EQ3_COUNT_2[[#This Row],[ID MATERIAL]]="","",SIGN(Plantilla_SCAN_EQ3_COUNT_2[[#This Row],[Cantidad]])+A1486)</f>
        <v/>
      </c>
      <c r="B1487" s="21" t="str">
        <f>IF(Plantilla_SCAN_EQ3_COUNT_2[[#This Row],[ID MATERIAL]]="","",B1486)</f>
        <v/>
      </c>
      <c r="C1487" s="21"/>
      <c r="D1487" s="21"/>
      <c r="E1487" s="7" t="str">
        <f>IF(Plantilla_SCAN_EQ3_COUNT_2[[#This Row],[ID MATERIAL]]="","",VLOOKUP(Plantilla_SCAN_EQ3_COUNT_2[[#This Row],[ID MATERIAL]],INVENTARIO!$A:$D,2,FALSE))</f>
        <v/>
      </c>
      <c r="F1487" s="7" t="str">
        <f>IF(Plantilla_SCAN_EQ3_COUNT_2[[#This Row],[ID MATERIAL]]="","",IF(Plantilla_SCAN_EQ3_COUNT_2[[#This Row],[No. Empaques]]="",1,Plantilla_SCAN_EQ3_COUNT_2[[#This Row],[No. Empaques]]*1))</f>
        <v/>
      </c>
      <c r="G1487" s="7" t="str">
        <f>IF(Plantilla_SCAN_EQ3_COUNT_2[[#This Row],[ID MATERIAL]]="","","PZ")</f>
        <v/>
      </c>
      <c r="H1487" s="7" t="str">
        <f>IF(Plantilla_SCAN_EQ3_COUNT_2[[#This Row],[ID MATERIAL]]="","",$B$13)</f>
        <v/>
      </c>
      <c r="I1487" s="7" t="str">
        <f>IF(Plantilla_SCAN_EQ3_COUNT_2[[#This Row],[ID MATERIAL]]="","","Segundo Conteo")</f>
        <v/>
      </c>
    </row>
    <row r="1488" spans="1:9" s="7" customFormat="1" ht="15" x14ac:dyDescent="0.2">
      <c r="A1488" s="7" t="str">
        <f>IF(Plantilla_SCAN_EQ3_COUNT_2[[#This Row],[ID MATERIAL]]="","",SIGN(Plantilla_SCAN_EQ3_COUNT_2[[#This Row],[Cantidad]])+A1487)</f>
        <v/>
      </c>
      <c r="B1488" s="21" t="str">
        <f>IF(Plantilla_SCAN_EQ3_COUNT_2[[#This Row],[ID MATERIAL]]="","",B1487)</f>
        <v/>
      </c>
      <c r="C1488" s="21"/>
      <c r="D1488" s="21"/>
      <c r="E1488" s="7" t="str">
        <f>IF(Plantilla_SCAN_EQ3_COUNT_2[[#This Row],[ID MATERIAL]]="","",VLOOKUP(Plantilla_SCAN_EQ3_COUNT_2[[#This Row],[ID MATERIAL]],INVENTARIO!$A:$D,2,FALSE))</f>
        <v/>
      </c>
      <c r="F1488" s="7" t="str">
        <f>IF(Plantilla_SCAN_EQ3_COUNT_2[[#This Row],[ID MATERIAL]]="","",IF(Plantilla_SCAN_EQ3_COUNT_2[[#This Row],[No. Empaques]]="",1,Plantilla_SCAN_EQ3_COUNT_2[[#This Row],[No. Empaques]]*1))</f>
        <v/>
      </c>
      <c r="G1488" s="7" t="str">
        <f>IF(Plantilla_SCAN_EQ3_COUNT_2[[#This Row],[ID MATERIAL]]="","","PZ")</f>
        <v/>
      </c>
      <c r="H1488" s="7" t="str">
        <f>IF(Plantilla_SCAN_EQ3_COUNT_2[[#This Row],[ID MATERIAL]]="","",$B$13)</f>
        <v/>
      </c>
      <c r="I1488" s="7" t="str">
        <f>IF(Plantilla_SCAN_EQ3_COUNT_2[[#This Row],[ID MATERIAL]]="","","Segundo Conteo")</f>
        <v/>
      </c>
    </row>
    <row r="1489" spans="1:9" s="7" customFormat="1" ht="15" x14ac:dyDescent="0.2">
      <c r="A1489" s="7" t="str">
        <f>IF(Plantilla_SCAN_EQ3_COUNT_2[[#This Row],[ID MATERIAL]]="","",SIGN(Plantilla_SCAN_EQ3_COUNT_2[[#This Row],[Cantidad]])+A1488)</f>
        <v/>
      </c>
      <c r="B1489" s="21" t="str">
        <f>IF(Plantilla_SCAN_EQ3_COUNT_2[[#This Row],[ID MATERIAL]]="","",B1488)</f>
        <v/>
      </c>
      <c r="C1489" s="21"/>
      <c r="D1489" s="21"/>
      <c r="E1489" s="7" t="str">
        <f>IF(Plantilla_SCAN_EQ3_COUNT_2[[#This Row],[ID MATERIAL]]="","",VLOOKUP(Plantilla_SCAN_EQ3_COUNT_2[[#This Row],[ID MATERIAL]],INVENTARIO!$A:$D,2,FALSE))</f>
        <v/>
      </c>
      <c r="F1489" s="7" t="str">
        <f>IF(Plantilla_SCAN_EQ3_COUNT_2[[#This Row],[ID MATERIAL]]="","",IF(Plantilla_SCAN_EQ3_COUNT_2[[#This Row],[No. Empaques]]="",1,Plantilla_SCAN_EQ3_COUNT_2[[#This Row],[No. Empaques]]*1))</f>
        <v/>
      </c>
      <c r="G1489" s="7" t="str">
        <f>IF(Plantilla_SCAN_EQ3_COUNT_2[[#This Row],[ID MATERIAL]]="","","PZ")</f>
        <v/>
      </c>
      <c r="H1489" s="7" t="str">
        <f>IF(Plantilla_SCAN_EQ3_COUNT_2[[#This Row],[ID MATERIAL]]="","",$B$13)</f>
        <v/>
      </c>
      <c r="I1489" s="7" t="str">
        <f>IF(Plantilla_SCAN_EQ3_COUNT_2[[#This Row],[ID MATERIAL]]="","","Segundo Conteo")</f>
        <v/>
      </c>
    </row>
    <row r="1490" spans="1:9" s="7" customFormat="1" ht="15" x14ac:dyDescent="0.2">
      <c r="A1490" s="7" t="str">
        <f>IF(Plantilla_SCAN_EQ3_COUNT_2[[#This Row],[ID MATERIAL]]="","",SIGN(Plantilla_SCAN_EQ3_COUNT_2[[#This Row],[Cantidad]])+A1489)</f>
        <v/>
      </c>
      <c r="B1490" s="21" t="str">
        <f>IF(Plantilla_SCAN_EQ3_COUNT_2[[#This Row],[ID MATERIAL]]="","",B1489)</f>
        <v/>
      </c>
      <c r="C1490" s="21"/>
      <c r="D1490" s="21"/>
      <c r="E1490" s="7" t="str">
        <f>IF(Plantilla_SCAN_EQ3_COUNT_2[[#This Row],[ID MATERIAL]]="","",VLOOKUP(Plantilla_SCAN_EQ3_COUNT_2[[#This Row],[ID MATERIAL]],INVENTARIO!$A:$D,2,FALSE))</f>
        <v/>
      </c>
      <c r="F1490" s="7" t="str">
        <f>IF(Plantilla_SCAN_EQ3_COUNT_2[[#This Row],[ID MATERIAL]]="","",IF(Plantilla_SCAN_EQ3_COUNT_2[[#This Row],[No. Empaques]]="",1,Plantilla_SCAN_EQ3_COUNT_2[[#This Row],[No. Empaques]]*1))</f>
        <v/>
      </c>
      <c r="G1490" s="7" t="str">
        <f>IF(Plantilla_SCAN_EQ3_COUNT_2[[#This Row],[ID MATERIAL]]="","","PZ")</f>
        <v/>
      </c>
      <c r="H1490" s="7" t="str">
        <f>IF(Plantilla_SCAN_EQ3_COUNT_2[[#This Row],[ID MATERIAL]]="","",$B$13)</f>
        <v/>
      </c>
      <c r="I1490" s="7" t="str">
        <f>IF(Plantilla_SCAN_EQ3_COUNT_2[[#This Row],[ID MATERIAL]]="","","Segundo Conteo")</f>
        <v/>
      </c>
    </row>
    <row r="1491" spans="1:9" s="7" customFormat="1" ht="15" x14ac:dyDescent="0.2">
      <c r="A1491" s="7" t="str">
        <f>IF(Plantilla_SCAN_EQ3_COUNT_2[[#This Row],[ID MATERIAL]]="","",SIGN(Plantilla_SCAN_EQ3_COUNT_2[[#This Row],[Cantidad]])+A1490)</f>
        <v/>
      </c>
      <c r="B1491" s="21" t="str">
        <f>IF(Plantilla_SCAN_EQ3_COUNT_2[[#This Row],[ID MATERIAL]]="","",B1490)</f>
        <v/>
      </c>
      <c r="C1491" s="21"/>
      <c r="D1491" s="21"/>
      <c r="E1491" s="7" t="str">
        <f>IF(Plantilla_SCAN_EQ3_COUNT_2[[#This Row],[ID MATERIAL]]="","",VLOOKUP(Plantilla_SCAN_EQ3_COUNT_2[[#This Row],[ID MATERIAL]],INVENTARIO!$A:$D,2,FALSE))</f>
        <v/>
      </c>
      <c r="F1491" s="7" t="str">
        <f>IF(Plantilla_SCAN_EQ3_COUNT_2[[#This Row],[ID MATERIAL]]="","",IF(Plantilla_SCAN_EQ3_COUNT_2[[#This Row],[No. Empaques]]="",1,Plantilla_SCAN_EQ3_COUNT_2[[#This Row],[No. Empaques]]*1))</f>
        <v/>
      </c>
      <c r="G1491" s="7" t="str">
        <f>IF(Plantilla_SCAN_EQ3_COUNT_2[[#This Row],[ID MATERIAL]]="","","PZ")</f>
        <v/>
      </c>
      <c r="H1491" s="7" t="str">
        <f>IF(Plantilla_SCAN_EQ3_COUNT_2[[#This Row],[ID MATERIAL]]="","",$B$13)</f>
        <v/>
      </c>
      <c r="I1491" s="7" t="str">
        <f>IF(Plantilla_SCAN_EQ3_COUNT_2[[#This Row],[ID MATERIAL]]="","","Segundo Conteo")</f>
        <v/>
      </c>
    </row>
    <row r="1492" spans="1:9" s="7" customFormat="1" ht="15" x14ac:dyDescent="0.2">
      <c r="A1492" s="7" t="str">
        <f>IF(Plantilla_SCAN_EQ3_COUNT_2[[#This Row],[ID MATERIAL]]="","",SIGN(Plantilla_SCAN_EQ3_COUNT_2[[#This Row],[Cantidad]])+A1491)</f>
        <v/>
      </c>
      <c r="B1492" s="21" t="str">
        <f>IF(Plantilla_SCAN_EQ3_COUNT_2[[#This Row],[ID MATERIAL]]="","",B1491)</f>
        <v/>
      </c>
      <c r="C1492" s="21"/>
      <c r="D1492" s="21"/>
      <c r="E1492" s="7" t="str">
        <f>IF(Plantilla_SCAN_EQ3_COUNT_2[[#This Row],[ID MATERIAL]]="","",VLOOKUP(Plantilla_SCAN_EQ3_COUNT_2[[#This Row],[ID MATERIAL]],INVENTARIO!$A:$D,2,FALSE))</f>
        <v/>
      </c>
      <c r="F1492" s="7" t="str">
        <f>IF(Plantilla_SCAN_EQ3_COUNT_2[[#This Row],[ID MATERIAL]]="","",IF(Plantilla_SCAN_EQ3_COUNT_2[[#This Row],[No. Empaques]]="",1,Plantilla_SCAN_EQ3_COUNT_2[[#This Row],[No. Empaques]]*1))</f>
        <v/>
      </c>
      <c r="G1492" s="7" t="str">
        <f>IF(Plantilla_SCAN_EQ3_COUNT_2[[#This Row],[ID MATERIAL]]="","","PZ")</f>
        <v/>
      </c>
      <c r="H1492" s="7" t="str">
        <f>IF(Plantilla_SCAN_EQ3_COUNT_2[[#This Row],[ID MATERIAL]]="","",$B$13)</f>
        <v/>
      </c>
      <c r="I1492" s="7" t="str">
        <f>IF(Plantilla_SCAN_EQ3_COUNT_2[[#This Row],[ID MATERIAL]]="","","Segundo Conteo")</f>
        <v/>
      </c>
    </row>
    <row r="1493" spans="1:9" s="7" customFormat="1" ht="15" x14ac:dyDescent="0.2">
      <c r="A1493" s="7" t="str">
        <f>IF(Plantilla_SCAN_EQ3_COUNT_2[[#This Row],[ID MATERIAL]]="","",SIGN(Plantilla_SCAN_EQ3_COUNT_2[[#This Row],[Cantidad]])+A1492)</f>
        <v/>
      </c>
      <c r="B1493" s="21" t="str">
        <f>IF(Plantilla_SCAN_EQ3_COUNT_2[[#This Row],[ID MATERIAL]]="","",B1492)</f>
        <v/>
      </c>
      <c r="C1493" s="21"/>
      <c r="D1493" s="21"/>
      <c r="E1493" s="7" t="str">
        <f>IF(Plantilla_SCAN_EQ3_COUNT_2[[#This Row],[ID MATERIAL]]="","",VLOOKUP(Plantilla_SCAN_EQ3_COUNT_2[[#This Row],[ID MATERIAL]],INVENTARIO!$A:$D,2,FALSE))</f>
        <v/>
      </c>
      <c r="F1493" s="7" t="str">
        <f>IF(Plantilla_SCAN_EQ3_COUNT_2[[#This Row],[ID MATERIAL]]="","",IF(Plantilla_SCAN_EQ3_COUNT_2[[#This Row],[No. Empaques]]="",1,Plantilla_SCAN_EQ3_COUNT_2[[#This Row],[No. Empaques]]*1))</f>
        <v/>
      </c>
      <c r="G1493" s="7" t="str">
        <f>IF(Plantilla_SCAN_EQ3_COUNT_2[[#This Row],[ID MATERIAL]]="","","PZ")</f>
        <v/>
      </c>
      <c r="H1493" s="7" t="str">
        <f>IF(Plantilla_SCAN_EQ3_COUNT_2[[#This Row],[ID MATERIAL]]="","",$B$13)</f>
        <v/>
      </c>
      <c r="I1493" s="7" t="str">
        <f>IF(Plantilla_SCAN_EQ3_COUNT_2[[#This Row],[ID MATERIAL]]="","","Segundo Conteo")</f>
        <v/>
      </c>
    </row>
    <row r="1494" spans="1:9" s="7" customFormat="1" ht="15" x14ac:dyDescent="0.2">
      <c r="A1494" s="7" t="str">
        <f>IF(Plantilla_SCAN_EQ3_COUNT_2[[#This Row],[ID MATERIAL]]="","",SIGN(Plantilla_SCAN_EQ3_COUNT_2[[#This Row],[Cantidad]])+A1493)</f>
        <v/>
      </c>
      <c r="B1494" s="21" t="str">
        <f>IF(Plantilla_SCAN_EQ3_COUNT_2[[#This Row],[ID MATERIAL]]="","",B1493)</f>
        <v/>
      </c>
      <c r="C1494" s="21"/>
      <c r="D1494" s="21"/>
      <c r="E1494" s="7" t="str">
        <f>IF(Plantilla_SCAN_EQ3_COUNT_2[[#This Row],[ID MATERIAL]]="","",VLOOKUP(Plantilla_SCAN_EQ3_COUNT_2[[#This Row],[ID MATERIAL]],INVENTARIO!$A:$D,2,FALSE))</f>
        <v/>
      </c>
      <c r="F1494" s="7" t="str">
        <f>IF(Plantilla_SCAN_EQ3_COUNT_2[[#This Row],[ID MATERIAL]]="","",IF(Plantilla_SCAN_EQ3_COUNT_2[[#This Row],[No. Empaques]]="",1,Plantilla_SCAN_EQ3_COUNT_2[[#This Row],[No. Empaques]]*1))</f>
        <v/>
      </c>
      <c r="G1494" s="7" t="str">
        <f>IF(Plantilla_SCAN_EQ3_COUNT_2[[#This Row],[ID MATERIAL]]="","","PZ")</f>
        <v/>
      </c>
      <c r="H1494" s="7" t="str">
        <f>IF(Plantilla_SCAN_EQ3_COUNT_2[[#This Row],[ID MATERIAL]]="","",$B$13)</f>
        <v/>
      </c>
      <c r="I1494" s="7" t="str">
        <f>IF(Plantilla_SCAN_EQ3_COUNT_2[[#This Row],[ID MATERIAL]]="","","Segundo Conteo")</f>
        <v/>
      </c>
    </row>
    <row r="1495" spans="1:9" s="7" customFormat="1" ht="15" x14ac:dyDescent="0.2">
      <c r="A1495" s="7" t="str">
        <f>IF(Plantilla_SCAN_EQ3_COUNT_2[[#This Row],[ID MATERIAL]]="","",SIGN(Plantilla_SCAN_EQ3_COUNT_2[[#This Row],[Cantidad]])+A1494)</f>
        <v/>
      </c>
      <c r="B1495" s="21" t="str">
        <f>IF(Plantilla_SCAN_EQ3_COUNT_2[[#This Row],[ID MATERIAL]]="","",B1494)</f>
        <v/>
      </c>
      <c r="C1495" s="21"/>
      <c r="D1495" s="21"/>
      <c r="E1495" s="7" t="str">
        <f>IF(Plantilla_SCAN_EQ3_COUNT_2[[#This Row],[ID MATERIAL]]="","",VLOOKUP(Plantilla_SCAN_EQ3_COUNT_2[[#This Row],[ID MATERIAL]],INVENTARIO!$A:$D,2,FALSE))</f>
        <v/>
      </c>
      <c r="F1495" s="7" t="str">
        <f>IF(Plantilla_SCAN_EQ3_COUNT_2[[#This Row],[ID MATERIAL]]="","",IF(Plantilla_SCAN_EQ3_COUNT_2[[#This Row],[No. Empaques]]="",1,Plantilla_SCAN_EQ3_COUNT_2[[#This Row],[No. Empaques]]*1))</f>
        <v/>
      </c>
      <c r="G1495" s="7" t="str">
        <f>IF(Plantilla_SCAN_EQ3_COUNT_2[[#This Row],[ID MATERIAL]]="","","PZ")</f>
        <v/>
      </c>
      <c r="H1495" s="7" t="str">
        <f>IF(Plantilla_SCAN_EQ3_COUNT_2[[#This Row],[ID MATERIAL]]="","",$B$13)</f>
        <v/>
      </c>
      <c r="I1495" s="7" t="str">
        <f>IF(Plantilla_SCAN_EQ3_COUNT_2[[#This Row],[ID MATERIAL]]="","","Segundo Conteo")</f>
        <v/>
      </c>
    </row>
    <row r="1496" spans="1:9" s="7" customFormat="1" ht="15" x14ac:dyDescent="0.2">
      <c r="A1496" s="7" t="str">
        <f>IF(Plantilla_SCAN_EQ3_COUNT_2[[#This Row],[ID MATERIAL]]="","",SIGN(Plantilla_SCAN_EQ3_COUNT_2[[#This Row],[Cantidad]])+A1495)</f>
        <v/>
      </c>
      <c r="B1496" s="21" t="str">
        <f>IF(Plantilla_SCAN_EQ3_COUNT_2[[#This Row],[ID MATERIAL]]="","",B1495)</f>
        <v/>
      </c>
      <c r="C1496" s="21"/>
      <c r="D1496" s="21"/>
      <c r="E1496" s="7" t="str">
        <f>IF(Plantilla_SCAN_EQ3_COUNT_2[[#This Row],[ID MATERIAL]]="","",VLOOKUP(Plantilla_SCAN_EQ3_COUNT_2[[#This Row],[ID MATERIAL]],INVENTARIO!$A:$D,2,FALSE))</f>
        <v/>
      </c>
      <c r="F1496" s="7" t="str">
        <f>IF(Plantilla_SCAN_EQ3_COUNT_2[[#This Row],[ID MATERIAL]]="","",IF(Plantilla_SCAN_EQ3_COUNT_2[[#This Row],[No. Empaques]]="",1,Plantilla_SCAN_EQ3_COUNT_2[[#This Row],[No. Empaques]]*1))</f>
        <v/>
      </c>
      <c r="G1496" s="7" t="str">
        <f>IF(Plantilla_SCAN_EQ3_COUNT_2[[#This Row],[ID MATERIAL]]="","","PZ")</f>
        <v/>
      </c>
      <c r="H1496" s="7" t="str">
        <f>IF(Plantilla_SCAN_EQ3_COUNT_2[[#This Row],[ID MATERIAL]]="","",$B$13)</f>
        <v/>
      </c>
      <c r="I1496" s="7" t="str">
        <f>IF(Plantilla_SCAN_EQ3_COUNT_2[[#This Row],[ID MATERIAL]]="","","Segundo Conteo")</f>
        <v/>
      </c>
    </row>
    <row r="1497" spans="1:9" s="7" customFormat="1" ht="15" x14ac:dyDescent="0.2">
      <c r="A1497" s="7" t="str">
        <f>IF(Plantilla_SCAN_EQ3_COUNT_2[[#This Row],[ID MATERIAL]]="","",SIGN(Plantilla_SCAN_EQ3_COUNT_2[[#This Row],[Cantidad]])+A1496)</f>
        <v/>
      </c>
      <c r="B1497" s="21" t="str">
        <f>IF(Plantilla_SCAN_EQ3_COUNT_2[[#This Row],[ID MATERIAL]]="","",B1496)</f>
        <v/>
      </c>
      <c r="C1497" s="21"/>
      <c r="D1497" s="21"/>
      <c r="E1497" s="7" t="str">
        <f>IF(Plantilla_SCAN_EQ3_COUNT_2[[#This Row],[ID MATERIAL]]="","",VLOOKUP(Plantilla_SCAN_EQ3_COUNT_2[[#This Row],[ID MATERIAL]],INVENTARIO!$A:$D,2,FALSE))</f>
        <v/>
      </c>
      <c r="F1497" s="7" t="str">
        <f>IF(Plantilla_SCAN_EQ3_COUNT_2[[#This Row],[ID MATERIAL]]="","",IF(Plantilla_SCAN_EQ3_COUNT_2[[#This Row],[No. Empaques]]="",1,Plantilla_SCAN_EQ3_COUNT_2[[#This Row],[No. Empaques]]*1))</f>
        <v/>
      </c>
      <c r="G1497" s="7" t="str">
        <f>IF(Plantilla_SCAN_EQ3_COUNT_2[[#This Row],[ID MATERIAL]]="","","PZ")</f>
        <v/>
      </c>
      <c r="H1497" s="7" t="str">
        <f>IF(Plantilla_SCAN_EQ3_COUNT_2[[#This Row],[ID MATERIAL]]="","",$B$13)</f>
        <v/>
      </c>
      <c r="I1497" s="7" t="str">
        <f>IF(Plantilla_SCAN_EQ3_COUNT_2[[#This Row],[ID MATERIAL]]="","","Segundo Conteo")</f>
        <v/>
      </c>
    </row>
    <row r="1498" spans="1:9" s="7" customFormat="1" ht="15" x14ac:dyDescent="0.2">
      <c r="A1498" s="7" t="str">
        <f>IF(Plantilla_SCAN_EQ3_COUNT_2[[#This Row],[ID MATERIAL]]="","",SIGN(Plantilla_SCAN_EQ3_COUNT_2[[#This Row],[Cantidad]])+A1497)</f>
        <v/>
      </c>
      <c r="B1498" s="21" t="str">
        <f>IF(Plantilla_SCAN_EQ3_COUNT_2[[#This Row],[ID MATERIAL]]="","",B1497)</f>
        <v/>
      </c>
      <c r="C1498" s="21"/>
      <c r="D1498" s="21"/>
      <c r="E1498" s="7" t="str">
        <f>IF(Plantilla_SCAN_EQ3_COUNT_2[[#This Row],[ID MATERIAL]]="","",VLOOKUP(Plantilla_SCAN_EQ3_COUNT_2[[#This Row],[ID MATERIAL]],INVENTARIO!$A:$D,2,FALSE))</f>
        <v/>
      </c>
      <c r="F1498" s="7" t="str">
        <f>IF(Plantilla_SCAN_EQ3_COUNT_2[[#This Row],[ID MATERIAL]]="","",IF(Plantilla_SCAN_EQ3_COUNT_2[[#This Row],[No. Empaques]]="",1,Plantilla_SCAN_EQ3_COUNT_2[[#This Row],[No. Empaques]]*1))</f>
        <v/>
      </c>
      <c r="G1498" s="7" t="str">
        <f>IF(Plantilla_SCAN_EQ3_COUNT_2[[#This Row],[ID MATERIAL]]="","","PZ")</f>
        <v/>
      </c>
      <c r="H1498" s="7" t="str">
        <f>IF(Plantilla_SCAN_EQ3_COUNT_2[[#This Row],[ID MATERIAL]]="","",$B$13)</f>
        <v/>
      </c>
      <c r="I1498" s="7" t="str">
        <f>IF(Plantilla_SCAN_EQ3_COUNT_2[[#This Row],[ID MATERIAL]]="","","Segundo Conteo")</f>
        <v/>
      </c>
    </row>
    <row r="1499" spans="1:9" s="7" customFormat="1" ht="15" x14ac:dyDescent="0.2">
      <c r="A1499" s="7" t="str">
        <f>IF(Plantilla_SCAN_EQ3_COUNT_2[[#This Row],[ID MATERIAL]]="","",SIGN(Plantilla_SCAN_EQ3_COUNT_2[[#This Row],[Cantidad]])+A1498)</f>
        <v/>
      </c>
      <c r="B1499" s="21" t="str">
        <f>IF(Plantilla_SCAN_EQ3_COUNT_2[[#This Row],[ID MATERIAL]]="","",B1498)</f>
        <v/>
      </c>
      <c r="C1499" s="21"/>
      <c r="D1499" s="21"/>
      <c r="E1499" s="7" t="str">
        <f>IF(Plantilla_SCAN_EQ3_COUNT_2[[#This Row],[ID MATERIAL]]="","",VLOOKUP(Plantilla_SCAN_EQ3_COUNT_2[[#This Row],[ID MATERIAL]],INVENTARIO!$A:$D,2,FALSE))</f>
        <v/>
      </c>
      <c r="F1499" s="7" t="str">
        <f>IF(Plantilla_SCAN_EQ3_COUNT_2[[#This Row],[ID MATERIAL]]="","",IF(Plantilla_SCAN_EQ3_COUNT_2[[#This Row],[No. Empaques]]="",1,Plantilla_SCAN_EQ3_COUNT_2[[#This Row],[No. Empaques]]*1))</f>
        <v/>
      </c>
      <c r="G1499" s="7" t="str">
        <f>IF(Plantilla_SCAN_EQ3_COUNT_2[[#This Row],[ID MATERIAL]]="","","PZ")</f>
        <v/>
      </c>
      <c r="H1499" s="7" t="str">
        <f>IF(Plantilla_SCAN_EQ3_COUNT_2[[#This Row],[ID MATERIAL]]="","",$B$13)</f>
        <v/>
      </c>
      <c r="I1499" s="7" t="str">
        <f>IF(Plantilla_SCAN_EQ3_COUNT_2[[#This Row],[ID MATERIAL]]="","","Segundo Conteo")</f>
        <v/>
      </c>
    </row>
    <row r="1500" spans="1:9" s="7" customFormat="1" ht="15" x14ac:dyDescent="0.2">
      <c r="A1500" s="7" t="str">
        <f>IF(Plantilla_SCAN_EQ3_COUNT_2[[#This Row],[ID MATERIAL]]="","",SIGN(Plantilla_SCAN_EQ3_COUNT_2[[#This Row],[Cantidad]])+A1499)</f>
        <v/>
      </c>
      <c r="B1500" s="21" t="str">
        <f>IF(Plantilla_SCAN_EQ3_COUNT_2[[#This Row],[ID MATERIAL]]="","",B1499)</f>
        <v/>
      </c>
      <c r="C1500" s="21"/>
      <c r="D1500" s="21"/>
      <c r="E1500" s="7" t="str">
        <f>IF(Plantilla_SCAN_EQ3_COUNT_2[[#This Row],[ID MATERIAL]]="","",VLOOKUP(Plantilla_SCAN_EQ3_COUNT_2[[#This Row],[ID MATERIAL]],INVENTARIO!$A:$D,2,FALSE))</f>
        <v/>
      </c>
      <c r="F1500" s="7" t="str">
        <f>IF(Plantilla_SCAN_EQ3_COUNT_2[[#This Row],[ID MATERIAL]]="","",IF(Plantilla_SCAN_EQ3_COUNT_2[[#This Row],[No. Empaques]]="",1,Plantilla_SCAN_EQ3_COUNT_2[[#This Row],[No. Empaques]]*1))</f>
        <v/>
      </c>
      <c r="G1500" s="7" t="str">
        <f>IF(Plantilla_SCAN_EQ3_COUNT_2[[#This Row],[ID MATERIAL]]="","","PZ")</f>
        <v/>
      </c>
      <c r="H1500" s="7" t="str">
        <f>IF(Plantilla_SCAN_EQ3_COUNT_2[[#This Row],[ID MATERIAL]]="","",$B$13)</f>
        <v/>
      </c>
      <c r="I1500" s="7" t="str">
        <f>IF(Plantilla_SCAN_EQ3_COUNT_2[[#This Row],[ID MATERIAL]]="","","Segundo Conteo")</f>
        <v/>
      </c>
    </row>
    <row r="1501" spans="1:9" s="7" customFormat="1" ht="15" x14ac:dyDescent="0.2">
      <c r="A1501" s="7" t="str">
        <f>IF(Plantilla_SCAN_EQ3_COUNT_2[[#This Row],[ID MATERIAL]]="","",SIGN(Plantilla_SCAN_EQ3_COUNT_2[[#This Row],[Cantidad]])+A1500)</f>
        <v/>
      </c>
      <c r="B1501" s="21" t="str">
        <f>IF(Plantilla_SCAN_EQ3_COUNT_2[[#This Row],[ID MATERIAL]]="","",B1500)</f>
        <v/>
      </c>
      <c r="C1501" s="21"/>
      <c r="D1501" s="21"/>
      <c r="E1501" s="7" t="str">
        <f>IF(Plantilla_SCAN_EQ3_COUNT_2[[#This Row],[ID MATERIAL]]="","",VLOOKUP(Plantilla_SCAN_EQ3_COUNT_2[[#This Row],[ID MATERIAL]],INVENTARIO!$A:$D,2,FALSE))</f>
        <v/>
      </c>
      <c r="F1501" s="7" t="str">
        <f>IF(Plantilla_SCAN_EQ3_COUNT_2[[#This Row],[ID MATERIAL]]="","",IF(Plantilla_SCAN_EQ3_COUNT_2[[#This Row],[No. Empaques]]="",1,Plantilla_SCAN_EQ3_COUNT_2[[#This Row],[No. Empaques]]*1))</f>
        <v/>
      </c>
      <c r="G1501" s="7" t="str">
        <f>IF(Plantilla_SCAN_EQ3_COUNT_2[[#This Row],[ID MATERIAL]]="","","PZ")</f>
        <v/>
      </c>
      <c r="H1501" s="7" t="str">
        <f>IF(Plantilla_SCAN_EQ3_COUNT_2[[#This Row],[ID MATERIAL]]="","",$B$13)</f>
        <v/>
      </c>
      <c r="I1501" s="7" t="str">
        <f>IF(Plantilla_SCAN_EQ3_COUNT_2[[#This Row],[ID MATERIAL]]="","","Segundo Conteo")</f>
        <v/>
      </c>
    </row>
    <row r="1502" spans="1:9" s="7" customFormat="1" ht="15" x14ac:dyDescent="0.2">
      <c r="A1502" s="7" t="str">
        <f>IF(Plantilla_SCAN_EQ3_COUNT_2[[#This Row],[ID MATERIAL]]="","",SIGN(Plantilla_SCAN_EQ3_COUNT_2[[#This Row],[Cantidad]])+A1501)</f>
        <v/>
      </c>
      <c r="B1502" s="21" t="str">
        <f>IF(Plantilla_SCAN_EQ3_COUNT_2[[#This Row],[ID MATERIAL]]="","",B1501)</f>
        <v/>
      </c>
      <c r="C1502" s="21"/>
      <c r="D1502" s="21"/>
      <c r="E1502" s="7" t="str">
        <f>IF(Plantilla_SCAN_EQ3_COUNT_2[[#This Row],[ID MATERIAL]]="","",VLOOKUP(Plantilla_SCAN_EQ3_COUNT_2[[#This Row],[ID MATERIAL]],INVENTARIO!$A:$D,2,FALSE))</f>
        <v/>
      </c>
      <c r="F1502" s="7" t="str">
        <f>IF(Plantilla_SCAN_EQ3_COUNT_2[[#This Row],[ID MATERIAL]]="","",IF(Plantilla_SCAN_EQ3_COUNT_2[[#This Row],[No. Empaques]]="",1,Plantilla_SCAN_EQ3_COUNT_2[[#This Row],[No. Empaques]]*1))</f>
        <v/>
      </c>
      <c r="G1502" s="7" t="str">
        <f>IF(Plantilla_SCAN_EQ3_COUNT_2[[#This Row],[ID MATERIAL]]="","","PZ")</f>
        <v/>
      </c>
      <c r="H1502" s="7" t="str">
        <f>IF(Plantilla_SCAN_EQ3_COUNT_2[[#This Row],[ID MATERIAL]]="","",$B$13)</f>
        <v/>
      </c>
      <c r="I1502" s="7" t="str">
        <f>IF(Plantilla_SCAN_EQ3_COUNT_2[[#This Row],[ID MATERIAL]]="","","Segundo Conteo")</f>
        <v/>
      </c>
    </row>
    <row r="1503" spans="1:9" s="7" customFormat="1" ht="15" x14ac:dyDescent="0.2">
      <c r="A1503" s="7" t="str">
        <f>IF(Plantilla_SCAN_EQ3_COUNT_2[[#This Row],[ID MATERIAL]]="","",SIGN(Plantilla_SCAN_EQ3_COUNT_2[[#This Row],[Cantidad]])+A1502)</f>
        <v/>
      </c>
      <c r="B1503" s="21" t="str">
        <f>IF(Plantilla_SCAN_EQ3_COUNT_2[[#This Row],[ID MATERIAL]]="","",B1502)</f>
        <v/>
      </c>
      <c r="C1503" s="21"/>
      <c r="D1503" s="21"/>
      <c r="E1503" s="7" t="str">
        <f>IF(Plantilla_SCAN_EQ3_COUNT_2[[#This Row],[ID MATERIAL]]="","",VLOOKUP(Plantilla_SCAN_EQ3_COUNT_2[[#This Row],[ID MATERIAL]],INVENTARIO!$A:$D,2,FALSE))</f>
        <v/>
      </c>
      <c r="F1503" s="7" t="str">
        <f>IF(Plantilla_SCAN_EQ3_COUNT_2[[#This Row],[ID MATERIAL]]="","",IF(Plantilla_SCAN_EQ3_COUNT_2[[#This Row],[No. Empaques]]="",1,Plantilla_SCAN_EQ3_COUNT_2[[#This Row],[No. Empaques]]*1))</f>
        <v/>
      </c>
      <c r="G1503" s="7" t="str">
        <f>IF(Plantilla_SCAN_EQ3_COUNT_2[[#This Row],[ID MATERIAL]]="","","PZ")</f>
        <v/>
      </c>
      <c r="H1503" s="7" t="str">
        <f>IF(Plantilla_SCAN_EQ3_COUNT_2[[#This Row],[ID MATERIAL]]="","",$B$13)</f>
        <v/>
      </c>
      <c r="I1503" s="7" t="str">
        <f>IF(Plantilla_SCAN_EQ3_COUNT_2[[#This Row],[ID MATERIAL]]="","","Segundo Conteo")</f>
        <v/>
      </c>
    </row>
    <row r="1504" spans="1:9" s="7" customFormat="1" ht="15" x14ac:dyDescent="0.2">
      <c r="A1504" s="7" t="str">
        <f>IF(Plantilla_SCAN_EQ3_COUNT_2[[#This Row],[ID MATERIAL]]="","",SIGN(Plantilla_SCAN_EQ3_COUNT_2[[#This Row],[Cantidad]])+A1503)</f>
        <v/>
      </c>
      <c r="B1504" s="21" t="str">
        <f>IF(Plantilla_SCAN_EQ3_COUNT_2[[#This Row],[ID MATERIAL]]="","",B1503)</f>
        <v/>
      </c>
      <c r="C1504" s="21"/>
      <c r="D1504" s="21"/>
      <c r="E1504" s="7" t="str">
        <f>IF(Plantilla_SCAN_EQ3_COUNT_2[[#This Row],[ID MATERIAL]]="","",VLOOKUP(Plantilla_SCAN_EQ3_COUNT_2[[#This Row],[ID MATERIAL]],INVENTARIO!$A:$D,2,FALSE))</f>
        <v/>
      </c>
      <c r="F1504" s="7" t="str">
        <f>IF(Plantilla_SCAN_EQ3_COUNT_2[[#This Row],[ID MATERIAL]]="","",IF(Plantilla_SCAN_EQ3_COUNT_2[[#This Row],[No. Empaques]]="",1,Plantilla_SCAN_EQ3_COUNT_2[[#This Row],[No. Empaques]]*1))</f>
        <v/>
      </c>
      <c r="G1504" s="7" t="str">
        <f>IF(Plantilla_SCAN_EQ3_COUNT_2[[#This Row],[ID MATERIAL]]="","","PZ")</f>
        <v/>
      </c>
      <c r="H1504" s="7" t="str">
        <f>IF(Plantilla_SCAN_EQ3_COUNT_2[[#This Row],[ID MATERIAL]]="","",$B$13)</f>
        <v/>
      </c>
      <c r="I1504" s="7" t="str">
        <f>IF(Plantilla_SCAN_EQ3_COUNT_2[[#This Row],[ID MATERIAL]]="","","Segundo Conteo")</f>
        <v/>
      </c>
    </row>
    <row r="1505" spans="1:9" s="7" customFormat="1" ht="15" x14ac:dyDescent="0.2">
      <c r="A1505" s="7" t="str">
        <f>IF(Plantilla_SCAN_EQ3_COUNT_2[[#This Row],[ID MATERIAL]]="","",SIGN(Plantilla_SCAN_EQ3_COUNT_2[[#This Row],[Cantidad]])+A1504)</f>
        <v/>
      </c>
      <c r="B1505" s="21" t="str">
        <f>IF(Plantilla_SCAN_EQ3_COUNT_2[[#This Row],[ID MATERIAL]]="","",B1504)</f>
        <v/>
      </c>
      <c r="C1505" s="21"/>
      <c r="D1505" s="21"/>
      <c r="E1505" s="7" t="str">
        <f>IF(Plantilla_SCAN_EQ3_COUNT_2[[#This Row],[ID MATERIAL]]="","",VLOOKUP(Plantilla_SCAN_EQ3_COUNT_2[[#This Row],[ID MATERIAL]],INVENTARIO!$A:$D,2,FALSE))</f>
        <v/>
      </c>
      <c r="F1505" s="7" t="str">
        <f>IF(Plantilla_SCAN_EQ3_COUNT_2[[#This Row],[ID MATERIAL]]="","",IF(Plantilla_SCAN_EQ3_COUNT_2[[#This Row],[No. Empaques]]="",1,Plantilla_SCAN_EQ3_COUNT_2[[#This Row],[No. Empaques]]*1))</f>
        <v/>
      </c>
      <c r="G1505" s="7" t="str">
        <f>IF(Plantilla_SCAN_EQ3_COUNT_2[[#This Row],[ID MATERIAL]]="","","PZ")</f>
        <v/>
      </c>
      <c r="H1505" s="7" t="str">
        <f>IF(Plantilla_SCAN_EQ3_COUNT_2[[#This Row],[ID MATERIAL]]="","",$B$13)</f>
        <v/>
      </c>
      <c r="I1505" s="7" t="str">
        <f>IF(Plantilla_SCAN_EQ3_COUNT_2[[#This Row],[ID MATERIAL]]="","","Segundo Conteo")</f>
        <v/>
      </c>
    </row>
    <row r="1506" spans="1:9" s="7" customFormat="1" ht="15" x14ac:dyDescent="0.2">
      <c r="A1506" s="7" t="str">
        <f>IF(Plantilla_SCAN_EQ3_COUNT_2[[#This Row],[ID MATERIAL]]="","",SIGN(Plantilla_SCAN_EQ3_COUNT_2[[#This Row],[Cantidad]])+A1505)</f>
        <v/>
      </c>
      <c r="B1506" s="21" t="str">
        <f>IF(Plantilla_SCAN_EQ3_COUNT_2[[#This Row],[ID MATERIAL]]="","",B1505)</f>
        <v/>
      </c>
      <c r="C1506" s="21"/>
      <c r="D1506" s="21"/>
      <c r="E1506" s="7" t="str">
        <f>IF(Plantilla_SCAN_EQ3_COUNT_2[[#This Row],[ID MATERIAL]]="","",VLOOKUP(Plantilla_SCAN_EQ3_COUNT_2[[#This Row],[ID MATERIAL]],INVENTARIO!$A:$D,2,FALSE))</f>
        <v/>
      </c>
      <c r="F1506" s="7" t="str">
        <f>IF(Plantilla_SCAN_EQ3_COUNT_2[[#This Row],[ID MATERIAL]]="","",IF(Plantilla_SCAN_EQ3_COUNT_2[[#This Row],[No. Empaques]]="",1,Plantilla_SCAN_EQ3_COUNT_2[[#This Row],[No. Empaques]]*1))</f>
        <v/>
      </c>
      <c r="G1506" s="7" t="str">
        <f>IF(Plantilla_SCAN_EQ3_COUNT_2[[#This Row],[ID MATERIAL]]="","","PZ")</f>
        <v/>
      </c>
      <c r="H1506" s="7" t="str">
        <f>IF(Plantilla_SCAN_EQ3_COUNT_2[[#This Row],[ID MATERIAL]]="","",$B$13)</f>
        <v/>
      </c>
      <c r="I1506" s="7" t="str">
        <f>IF(Plantilla_SCAN_EQ3_COUNT_2[[#This Row],[ID MATERIAL]]="","","Segundo Conteo")</f>
        <v/>
      </c>
    </row>
    <row r="1507" spans="1:9" s="7" customFormat="1" ht="15" x14ac:dyDescent="0.2">
      <c r="A1507" s="7" t="str">
        <f>IF(Plantilla_SCAN_EQ3_COUNT_2[[#This Row],[ID MATERIAL]]="","",SIGN(Plantilla_SCAN_EQ3_COUNT_2[[#This Row],[Cantidad]])+A1506)</f>
        <v/>
      </c>
      <c r="B1507" s="21" t="str">
        <f>IF(Plantilla_SCAN_EQ3_COUNT_2[[#This Row],[ID MATERIAL]]="","",B1506)</f>
        <v/>
      </c>
      <c r="C1507" s="21"/>
      <c r="D1507" s="21"/>
      <c r="E1507" s="7" t="str">
        <f>IF(Plantilla_SCAN_EQ3_COUNT_2[[#This Row],[ID MATERIAL]]="","",VLOOKUP(Plantilla_SCAN_EQ3_COUNT_2[[#This Row],[ID MATERIAL]],INVENTARIO!$A:$D,2,FALSE))</f>
        <v/>
      </c>
      <c r="F1507" s="7" t="str">
        <f>IF(Plantilla_SCAN_EQ3_COUNT_2[[#This Row],[ID MATERIAL]]="","",IF(Plantilla_SCAN_EQ3_COUNT_2[[#This Row],[No. Empaques]]="",1,Plantilla_SCAN_EQ3_COUNT_2[[#This Row],[No. Empaques]]*1))</f>
        <v/>
      </c>
      <c r="G1507" s="7" t="str">
        <f>IF(Plantilla_SCAN_EQ3_COUNT_2[[#This Row],[ID MATERIAL]]="","","PZ")</f>
        <v/>
      </c>
      <c r="H1507" s="7" t="str">
        <f>IF(Plantilla_SCAN_EQ3_COUNT_2[[#This Row],[ID MATERIAL]]="","",$B$13)</f>
        <v/>
      </c>
      <c r="I1507" s="7" t="str">
        <f>IF(Plantilla_SCAN_EQ3_COUNT_2[[#This Row],[ID MATERIAL]]="","","Segundo Conteo")</f>
        <v/>
      </c>
    </row>
    <row r="1508" spans="1:9" s="7" customFormat="1" ht="15" x14ac:dyDescent="0.2">
      <c r="A1508" s="7" t="str">
        <f>IF(Plantilla_SCAN_EQ3_COUNT_2[[#This Row],[ID MATERIAL]]="","",SIGN(Plantilla_SCAN_EQ3_COUNT_2[[#This Row],[Cantidad]])+A1507)</f>
        <v/>
      </c>
      <c r="B1508" s="21" t="str">
        <f>IF(Plantilla_SCAN_EQ3_COUNT_2[[#This Row],[ID MATERIAL]]="","",B1507)</f>
        <v/>
      </c>
      <c r="C1508" s="21"/>
      <c r="D1508" s="21"/>
      <c r="E1508" s="7" t="str">
        <f>IF(Plantilla_SCAN_EQ3_COUNT_2[[#This Row],[ID MATERIAL]]="","",VLOOKUP(Plantilla_SCAN_EQ3_COUNT_2[[#This Row],[ID MATERIAL]],INVENTARIO!$A:$D,2,FALSE))</f>
        <v/>
      </c>
      <c r="F1508" s="7" t="str">
        <f>IF(Plantilla_SCAN_EQ3_COUNT_2[[#This Row],[ID MATERIAL]]="","",IF(Plantilla_SCAN_EQ3_COUNT_2[[#This Row],[No. Empaques]]="",1,Plantilla_SCAN_EQ3_COUNT_2[[#This Row],[No. Empaques]]*1))</f>
        <v/>
      </c>
      <c r="G1508" s="7" t="str">
        <f>IF(Plantilla_SCAN_EQ3_COUNT_2[[#This Row],[ID MATERIAL]]="","","PZ")</f>
        <v/>
      </c>
      <c r="H1508" s="7" t="str">
        <f>IF(Plantilla_SCAN_EQ3_COUNT_2[[#This Row],[ID MATERIAL]]="","",$B$13)</f>
        <v/>
      </c>
      <c r="I1508" s="7" t="str">
        <f>IF(Plantilla_SCAN_EQ3_COUNT_2[[#This Row],[ID MATERIAL]]="","","Segundo Conteo")</f>
        <v/>
      </c>
    </row>
    <row r="1509" spans="1:9" s="7" customFormat="1" ht="15" x14ac:dyDescent="0.2">
      <c r="A1509" s="7" t="str">
        <f>IF(Plantilla_SCAN_EQ3_COUNT_2[[#This Row],[ID MATERIAL]]="","",SIGN(Plantilla_SCAN_EQ3_COUNT_2[[#This Row],[Cantidad]])+A1508)</f>
        <v/>
      </c>
      <c r="B1509" s="21" t="str">
        <f>IF(Plantilla_SCAN_EQ3_COUNT_2[[#This Row],[ID MATERIAL]]="","",B1508)</f>
        <v/>
      </c>
      <c r="C1509" s="21"/>
      <c r="D1509" s="21"/>
      <c r="E1509" s="7" t="str">
        <f>IF(Plantilla_SCAN_EQ3_COUNT_2[[#This Row],[ID MATERIAL]]="","",VLOOKUP(Plantilla_SCAN_EQ3_COUNT_2[[#This Row],[ID MATERIAL]],INVENTARIO!$A:$D,2,FALSE))</f>
        <v/>
      </c>
      <c r="F1509" s="7" t="str">
        <f>IF(Plantilla_SCAN_EQ3_COUNT_2[[#This Row],[ID MATERIAL]]="","",IF(Plantilla_SCAN_EQ3_COUNT_2[[#This Row],[No. Empaques]]="",1,Plantilla_SCAN_EQ3_COUNT_2[[#This Row],[No. Empaques]]*1))</f>
        <v/>
      </c>
      <c r="G1509" s="7" t="str">
        <f>IF(Plantilla_SCAN_EQ3_COUNT_2[[#This Row],[ID MATERIAL]]="","","PZ")</f>
        <v/>
      </c>
      <c r="H1509" s="7" t="str">
        <f>IF(Plantilla_SCAN_EQ3_COUNT_2[[#This Row],[ID MATERIAL]]="","",$B$13)</f>
        <v/>
      </c>
      <c r="I1509" s="7" t="str">
        <f>IF(Plantilla_SCAN_EQ3_COUNT_2[[#This Row],[ID MATERIAL]]="","","Segundo Conteo")</f>
        <v/>
      </c>
    </row>
    <row r="1510" spans="1:9" s="7" customFormat="1" ht="15" x14ac:dyDescent="0.2">
      <c r="A1510" s="7" t="str">
        <f>IF(Plantilla_SCAN_EQ3_COUNT_2[[#This Row],[ID MATERIAL]]="","",SIGN(Plantilla_SCAN_EQ3_COUNT_2[[#This Row],[Cantidad]])+A1509)</f>
        <v/>
      </c>
      <c r="B1510" s="21" t="str">
        <f>IF(Plantilla_SCAN_EQ3_COUNT_2[[#This Row],[ID MATERIAL]]="","",B1509)</f>
        <v/>
      </c>
      <c r="C1510" s="21"/>
      <c r="D1510" s="21"/>
      <c r="E1510" s="7" t="str">
        <f>IF(Plantilla_SCAN_EQ3_COUNT_2[[#This Row],[ID MATERIAL]]="","",VLOOKUP(Plantilla_SCAN_EQ3_COUNT_2[[#This Row],[ID MATERIAL]],INVENTARIO!$A:$D,2,FALSE))</f>
        <v/>
      </c>
      <c r="F1510" s="7" t="str">
        <f>IF(Plantilla_SCAN_EQ3_COUNT_2[[#This Row],[ID MATERIAL]]="","",IF(Plantilla_SCAN_EQ3_COUNT_2[[#This Row],[No. Empaques]]="",1,Plantilla_SCAN_EQ3_COUNT_2[[#This Row],[No. Empaques]]*1))</f>
        <v/>
      </c>
      <c r="G1510" s="7" t="str">
        <f>IF(Plantilla_SCAN_EQ3_COUNT_2[[#This Row],[ID MATERIAL]]="","","PZ")</f>
        <v/>
      </c>
      <c r="H1510" s="7" t="str">
        <f>IF(Plantilla_SCAN_EQ3_COUNT_2[[#This Row],[ID MATERIAL]]="","",$B$13)</f>
        <v/>
      </c>
      <c r="I1510" s="7" t="str">
        <f>IF(Plantilla_SCAN_EQ3_COUNT_2[[#This Row],[ID MATERIAL]]="","","Segundo Conteo")</f>
        <v/>
      </c>
    </row>
    <row r="1511" spans="1:9" s="7" customFormat="1" ht="15" x14ac:dyDescent="0.2">
      <c r="A1511" s="7" t="str">
        <f>IF(Plantilla_SCAN_EQ3_COUNT_2[[#This Row],[ID MATERIAL]]="","",SIGN(Plantilla_SCAN_EQ3_COUNT_2[[#This Row],[Cantidad]])+A1510)</f>
        <v/>
      </c>
      <c r="B1511" s="21" t="str">
        <f>IF(Plantilla_SCAN_EQ3_COUNT_2[[#This Row],[ID MATERIAL]]="","",B1510)</f>
        <v/>
      </c>
      <c r="C1511" s="21"/>
      <c r="D1511" s="21"/>
      <c r="E1511" s="7" t="str">
        <f>IF(Plantilla_SCAN_EQ3_COUNT_2[[#This Row],[ID MATERIAL]]="","",VLOOKUP(Plantilla_SCAN_EQ3_COUNT_2[[#This Row],[ID MATERIAL]],INVENTARIO!$A:$D,2,FALSE))</f>
        <v/>
      </c>
      <c r="F1511" s="7" t="str">
        <f>IF(Plantilla_SCAN_EQ3_COUNT_2[[#This Row],[ID MATERIAL]]="","",IF(Plantilla_SCAN_EQ3_COUNT_2[[#This Row],[No. Empaques]]="",1,Plantilla_SCAN_EQ3_COUNT_2[[#This Row],[No. Empaques]]*1))</f>
        <v/>
      </c>
      <c r="G1511" s="7" t="str">
        <f>IF(Plantilla_SCAN_EQ3_COUNT_2[[#This Row],[ID MATERIAL]]="","","PZ")</f>
        <v/>
      </c>
      <c r="H1511" s="7" t="str">
        <f>IF(Plantilla_SCAN_EQ3_COUNT_2[[#This Row],[ID MATERIAL]]="","",$B$13)</f>
        <v/>
      </c>
      <c r="I1511" s="7" t="str">
        <f>IF(Plantilla_SCAN_EQ3_COUNT_2[[#This Row],[ID MATERIAL]]="","","Segundo Conteo")</f>
        <v/>
      </c>
    </row>
    <row r="1512" spans="1:9" s="7" customFormat="1" ht="15" x14ac:dyDescent="0.2">
      <c r="A1512" s="7" t="str">
        <f>IF(Plantilla_SCAN_EQ3_COUNT_2[[#This Row],[ID MATERIAL]]="","",SIGN(Plantilla_SCAN_EQ3_COUNT_2[[#This Row],[Cantidad]])+A1511)</f>
        <v/>
      </c>
      <c r="B1512" s="21" t="str">
        <f>IF(Plantilla_SCAN_EQ3_COUNT_2[[#This Row],[ID MATERIAL]]="","",B1511)</f>
        <v/>
      </c>
      <c r="C1512" s="21"/>
      <c r="D1512" s="21"/>
      <c r="E1512" s="7" t="str">
        <f>IF(Plantilla_SCAN_EQ3_COUNT_2[[#This Row],[ID MATERIAL]]="","",VLOOKUP(Plantilla_SCAN_EQ3_COUNT_2[[#This Row],[ID MATERIAL]],INVENTARIO!$A:$D,2,FALSE))</f>
        <v/>
      </c>
      <c r="F1512" s="7" t="str">
        <f>IF(Plantilla_SCAN_EQ3_COUNT_2[[#This Row],[ID MATERIAL]]="","",IF(Plantilla_SCAN_EQ3_COUNT_2[[#This Row],[No. Empaques]]="",1,Plantilla_SCAN_EQ3_COUNT_2[[#This Row],[No. Empaques]]*1))</f>
        <v/>
      </c>
      <c r="G1512" s="7" t="str">
        <f>IF(Plantilla_SCAN_EQ3_COUNT_2[[#This Row],[ID MATERIAL]]="","","PZ")</f>
        <v/>
      </c>
      <c r="H1512" s="7" t="str">
        <f>IF(Plantilla_SCAN_EQ3_COUNT_2[[#This Row],[ID MATERIAL]]="","",$B$13)</f>
        <v/>
      </c>
      <c r="I1512" s="7" t="str">
        <f>IF(Plantilla_SCAN_EQ3_COUNT_2[[#This Row],[ID MATERIAL]]="","","Segundo Conteo")</f>
        <v/>
      </c>
    </row>
    <row r="1513" spans="1:9" s="7" customFormat="1" ht="15" x14ac:dyDescent="0.2">
      <c r="A1513" s="7" t="str">
        <f>IF(Plantilla_SCAN_EQ3_COUNT_2[[#This Row],[ID MATERIAL]]="","",SIGN(Plantilla_SCAN_EQ3_COUNT_2[[#This Row],[Cantidad]])+A1512)</f>
        <v/>
      </c>
      <c r="B1513" s="21" t="str">
        <f>IF(Plantilla_SCAN_EQ3_COUNT_2[[#This Row],[ID MATERIAL]]="","",B1512)</f>
        <v/>
      </c>
      <c r="C1513" s="21"/>
      <c r="D1513" s="21"/>
      <c r="E1513" s="7" t="str">
        <f>IF(Plantilla_SCAN_EQ3_COUNT_2[[#This Row],[ID MATERIAL]]="","",VLOOKUP(Plantilla_SCAN_EQ3_COUNT_2[[#This Row],[ID MATERIAL]],INVENTARIO!$A:$D,2,FALSE))</f>
        <v/>
      </c>
      <c r="F1513" s="7" t="str">
        <f>IF(Plantilla_SCAN_EQ3_COUNT_2[[#This Row],[ID MATERIAL]]="","",IF(Plantilla_SCAN_EQ3_COUNT_2[[#This Row],[No. Empaques]]="",1,Plantilla_SCAN_EQ3_COUNT_2[[#This Row],[No. Empaques]]*1))</f>
        <v/>
      </c>
      <c r="G1513" s="7" t="str">
        <f>IF(Plantilla_SCAN_EQ3_COUNT_2[[#This Row],[ID MATERIAL]]="","","PZ")</f>
        <v/>
      </c>
      <c r="H1513" s="7" t="str">
        <f>IF(Plantilla_SCAN_EQ3_COUNT_2[[#This Row],[ID MATERIAL]]="","",$B$13)</f>
        <v/>
      </c>
      <c r="I1513" s="7" t="str">
        <f>IF(Plantilla_SCAN_EQ3_COUNT_2[[#This Row],[ID MATERIAL]]="","","Segundo Conteo")</f>
        <v/>
      </c>
    </row>
    <row r="1514" spans="1:9" s="7" customFormat="1" ht="15" x14ac:dyDescent="0.2">
      <c r="A1514" s="7" t="str">
        <f>IF(Plantilla_SCAN_EQ3_COUNT_2[[#This Row],[ID MATERIAL]]="","",SIGN(Plantilla_SCAN_EQ3_COUNT_2[[#This Row],[Cantidad]])+A1513)</f>
        <v/>
      </c>
      <c r="B1514" s="21" t="str">
        <f>IF(Plantilla_SCAN_EQ3_COUNT_2[[#This Row],[ID MATERIAL]]="","",B1513)</f>
        <v/>
      </c>
      <c r="C1514" s="21"/>
      <c r="D1514" s="21"/>
      <c r="E1514" s="7" t="str">
        <f>IF(Plantilla_SCAN_EQ3_COUNT_2[[#This Row],[ID MATERIAL]]="","",VLOOKUP(Plantilla_SCAN_EQ3_COUNT_2[[#This Row],[ID MATERIAL]],INVENTARIO!$A:$D,2,FALSE))</f>
        <v/>
      </c>
      <c r="F1514" s="7" t="str">
        <f>IF(Plantilla_SCAN_EQ3_COUNT_2[[#This Row],[ID MATERIAL]]="","",IF(Plantilla_SCAN_EQ3_COUNT_2[[#This Row],[No. Empaques]]="",1,Plantilla_SCAN_EQ3_COUNT_2[[#This Row],[No. Empaques]]*1))</f>
        <v/>
      </c>
      <c r="G1514" s="7" t="str">
        <f>IF(Plantilla_SCAN_EQ3_COUNT_2[[#This Row],[ID MATERIAL]]="","","PZ")</f>
        <v/>
      </c>
      <c r="H1514" s="7" t="str">
        <f>IF(Plantilla_SCAN_EQ3_COUNT_2[[#This Row],[ID MATERIAL]]="","",$B$13)</f>
        <v/>
      </c>
      <c r="I1514" s="7" t="str">
        <f>IF(Plantilla_SCAN_EQ3_COUNT_2[[#This Row],[ID MATERIAL]]="","","Segundo Conteo")</f>
        <v/>
      </c>
    </row>
    <row r="1515" spans="1:9" s="7" customFormat="1" ht="15" x14ac:dyDescent="0.2">
      <c r="A1515" s="7" t="str">
        <f>IF(Plantilla_SCAN_EQ3_COUNT_2[[#This Row],[ID MATERIAL]]="","",SIGN(Plantilla_SCAN_EQ3_COUNT_2[[#This Row],[Cantidad]])+A1514)</f>
        <v/>
      </c>
      <c r="B1515" s="21" t="str">
        <f>IF(Plantilla_SCAN_EQ3_COUNT_2[[#This Row],[ID MATERIAL]]="","",B1514)</f>
        <v/>
      </c>
      <c r="C1515" s="21"/>
      <c r="D1515" s="21"/>
      <c r="E1515" s="7" t="str">
        <f>IF(Plantilla_SCAN_EQ3_COUNT_2[[#This Row],[ID MATERIAL]]="","",VLOOKUP(Plantilla_SCAN_EQ3_COUNT_2[[#This Row],[ID MATERIAL]],INVENTARIO!$A:$D,2,FALSE))</f>
        <v/>
      </c>
      <c r="F1515" s="7" t="str">
        <f>IF(Plantilla_SCAN_EQ3_COUNT_2[[#This Row],[ID MATERIAL]]="","",IF(Plantilla_SCAN_EQ3_COUNT_2[[#This Row],[No. Empaques]]="",1,Plantilla_SCAN_EQ3_COUNT_2[[#This Row],[No. Empaques]]*1))</f>
        <v/>
      </c>
      <c r="G1515" s="7" t="str">
        <f>IF(Plantilla_SCAN_EQ3_COUNT_2[[#This Row],[ID MATERIAL]]="","","PZ")</f>
        <v/>
      </c>
      <c r="H1515" s="7" t="str">
        <f>IF(Plantilla_SCAN_EQ3_COUNT_2[[#This Row],[ID MATERIAL]]="","",$B$13)</f>
        <v/>
      </c>
      <c r="I1515" s="7" t="str">
        <f>IF(Plantilla_SCAN_EQ3_COUNT_2[[#This Row],[ID MATERIAL]]="","","Segundo Conteo")</f>
        <v/>
      </c>
    </row>
    <row r="1516" spans="1:9" s="7" customFormat="1" ht="15" x14ac:dyDescent="0.2">
      <c r="A1516" s="7" t="str">
        <f>IF(Plantilla_SCAN_EQ3_COUNT_2[[#This Row],[ID MATERIAL]]="","",SIGN(Plantilla_SCAN_EQ3_COUNT_2[[#This Row],[Cantidad]])+A1515)</f>
        <v/>
      </c>
      <c r="B1516" s="21" t="str">
        <f>IF(Plantilla_SCAN_EQ3_COUNT_2[[#This Row],[ID MATERIAL]]="","",B1515)</f>
        <v/>
      </c>
      <c r="C1516" s="21"/>
      <c r="D1516" s="21"/>
      <c r="E1516" s="7" t="str">
        <f>IF(Plantilla_SCAN_EQ3_COUNT_2[[#This Row],[ID MATERIAL]]="","",VLOOKUP(Plantilla_SCAN_EQ3_COUNT_2[[#This Row],[ID MATERIAL]],INVENTARIO!$A:$D,2,FALSE))</f>
        <v/>
      </c>
      <c r="F1516" s="7" t="str">
        <f>IF(Plantilla_SCAN_EQ3_COUNT_2[[#This Row],[ID MATERIAL]]="","",IF(Plantilla_SCAN_EQ3_COUNT_2[[#This Row],[No. Empaques]]="",1,Plantilla_SCAN_EQ3_COUNT_2[[#This Row],[No. Empaques]]*1))</f>
        <v/>
      </c>
      <c r="G1516" s="7" t="str">
        <f>IF(Plantilla_SCAN_EQ3_COUNT_2[[#This Row],[ID MATERIAL]]="","","PZ")</f>
        <v/>
      </c>
      <c r="H1516" s="7" t="str">
        <f>IF(Plantilla_SCAN_EQ3_COUNT_2[[#This Row],[ID MATERIAL]]="","",$B$13)</f>
        <v/>
      </c>
      <c r="I1516" s="7" t="str">
        <f>IF(Plantilla_SCAN_EQ3_COUNT_2[[#This Row],[ID MATERIAL]]="","","Segundo Conteo")</f>
        <v/>
      </c>
    </row>
    <row r="1517" spans="1:9" s="7" customFormat="1" ht="15" x14ac:dyDescent="0.2">
      <c r="A1517" s="7" t="str">
        <f>IF(Plantilla_SCAN_EQ3_COUNT_2[[#This Row],[ID MATERIAL]]="","",SIGN(Plantilla_SCAN_EQ3_COUNT_2[[#This Row],[Cantidad]])+A1516)</f>
        <v/>
      </c>
      <c r="B1517" s="21" t="str">
        <f>IF(Plantilla_SCAN_EQ3_COUNT_2[[#This Row],[ID MATERIAL]]="","",B1516)</f>
        <v/>
      </c>
      <c r="C1517" s="21"/>
      <c r="D1517" s="21"/>
      <c r="E1517" s="7" t="str">
        <f>IF(Plantilla_SCAN_EQ3_COUNT_2[[#This Row],[ID MATERIAL]]="","",VLOOKUP(Plantilla_SCAN_EQ3_COUNT_2[[#This Row],[ID MATERIAL]],INVENTARIO!$A:$D,2,FALSE))</f>
        <v/>
      </c>
      <c r="F1517" s="7" t="str">
        <f>IF(Plantilla_SCAN_EQ3_COUNT_2[[#This Row],[ID MATERIAL]]="","",IF(Plantilla_SCAN_EQ3_COUNT_2[[#This Row],[No. Empaques]]="",1,Plantilla_SCAN_EQ3_COUNT_2[[#This Row],[No. Empaques]]*1))</f>
        <v/>
      </c>
      <c r="G1517" s="7" t="str">
        <f>IF(Plantilla_SCAN_EQ3_COUNT_2[[#This Row],[ID MATERIAL]]="","","PZ")</f>
        <v/>
      </c>
      <c r="H1517" s="7" t="str">
        <f>IF(Plantilla_SCAN_EQ3_COUNT_2[[#This Row],[ID MATERIAL]]="","",$B$13)</f>
        <v/>
      </c>
      <c r="I1517" s="7" t="str">
        <f>IF(Plantilla_SCAN_EQ3_COUNT_2[[#This Row],[ID MATERIAL]]="","","Segundo Conteo")</f>
        <v/>
      </c>
    </row>
    <row r="1518" spans="1:9" s="7" customFormat="1" ht="15" x14ac:dyDescent="0.2">
      <c r="A1518" s="7" t="str">
        <f>IF(Plantilla_SCAN_EQ3_COUNT_2[[#This Row],[ID MATERIAL]]="","",SIGN(Plantilla_SCAN_EQ3_COUNT_2[[#This Row],[Cantidad]])+A1517)</f>
        <v/>
      </c>
      <c r="B1518" s="21" t="str">
        <f>IF(Plantilla_SCAN_EQ3_COUNT_2[[#This Row],[ID MATERIAL]]="","",B1517)</f>
        <v/>
      </c>
      <c r="C1518" s="21"/>
      <c r="D1518" s="21"/>
      <c r="E1518" s="7" t="str">
        <f>IF(Plantilla_SCAN_EQ3_COUNT_2[[#This Row],[ID MATERIAL]]="","",VLOOKUP(Plantilla_SCAN_EQ3_COUNT_2[[#This Row],[ID MATERIAL]],INVENTARIO!$A:$D,2,FALSE))</f>
        <v/>
      </c>
      <c r="F1518" s="7" t="str">
        <f>IF(Plantilla_SCAN_EQ3_COUNT_2[[#This Row],[ID MATERIAL]]="","",IF(Plantilla_SCAN_EQ3_COUNT_2[[#This Row],[No. Empaques]]="",1,Plantilla_SCAN_EQ3_COUNT_2[[#This Row],[No. Empaques]]*1))</f>
        <v/>
      </c>
      <c r="G1518" s="7" t="str">
        <f>IF(Plantilla_SCAN_EQ3_COUNT_2[[#This Row],[ID MATERIAL]]="","","PZ")</f>
        <v/>
      </c>
      <c r="H1518" s="7" t="str">
        <f>IF(Plantilla_SCAN_EQ3_COUNT_2[[#This Row],[ID MATERIAL]]="","",$B$13)</f>
        <v/>
      </c>
      <c r="I1518" s="7" t="str">
        <f>IF(Plantilla_SCAN_EQ3_COUNT_2[[#This Row],[ID MATERIAL]]="","","Segundo Conteo")</f>
        <v/>
      </c>
    </row>
    <row r="1519" spans="1:9" s="7" customFormat="1" ht="15" x14ac:dyDescent="0.2">
      <c r="A1519" s="7" t="str">
        <f>IF(Plantilla_SCAN_EQ3_COUNT_2[[#This Row],[ID MATERIAL]]="","",SIGN(Plantilla_SCAN_EQ3_COUNT_2[[#This Row],[Cantidad]])+A1518)</f>
        <v/>
      </c>
      <c r="B1519" s="21" t="str">
        <f>IF(Plantilla_SCAN_EQ3_COUNT_2[[#This Row],[ID MATERIAL]]="","",B1518)</f>
        <v/>
      </c>
      <c r="C1519" s="21"/>
      <c r="D1519" s="21"/>
      <c r="E1519" s="7" t="str">
        <f>IF(Plantilla_SCAN_EQ3_COUNT_2[[#This Row],[ID MATERIAL]]="","",VLOOKUP(Plantilla_SCAN_EQ3_COUNT_2[[#This Row],[ID MATERIAL]],INVENTARIO!$A:$D,2,FALSE))</f>
        <v/>
      </c>
      <c r="F1519" s="7" t="str">
        <f>IF(Plantilla_SCAN_EQ3_COUNT_2[[#This Row],[ID MATERIAL]]="","",IF(Plantilla_SCAN_EQ3_COUNT_2[[#This Row],[No. Empaques]]="",1,Plantilla_SCAN_EQ3_COUNT_2[[#This Row],[No. Empaques]]*1))</f>
        <v/>
      </c>
      <c r="G1519" s="7" t="str">
        <f>IF(Plantilla_SCAN_EQ3_COUNT_2[[#This Row],[ID MATERIAL]]="","","PZ")</f>
        <v/>
      </c>
      <c r="H1519" s="7" t="str">
        <f>IF(Plantilla_SCAN_EQ3_COUNT_2[[#This Row],[ID MATERIAL]]="","",$B$13)</f>
        <v/>
      </c>
      <c r="I1519" s="7" t="str">
        <f>IF(Plantilla_SCAN_EQ3_COUNT_2[[#This Row],[ID MATERIAL]]="","","Segundo Conteo")</f>
        <v/>
      </c>
    </row>
    <row r="1520" spans="1:9" s="7" customFormat="1" ht="15" x14ac:dyDescent="0.2">
      <c r="A1520" s="7" t="str">
        <f>IF(Plantilla_SCAN_EQ3_COUNT_2[[#This Row],[ID MATERIAL]]="","",SIGN(Plantilla_SCAN_EQ3_COUNT_2[[#This Row],[Cantidad]])+A1519)</f>
        <v/>
      </c>
      <c r="B1520" s="21" t="str">
        <f>IF(Plantilla_SCAN_EQ3_COUNT_2[[#This Row],[ID MATERIAL]]="","",B1519)</f>
        <v/>
      </c>
      <c r="C1520" s="21"/>
      <c r="D1520" s="21"/>
      <c r="E1520" s="7" t="str">
        <f>IF(Plantilla_SCAN_EQ3_COUNT_2[[#This Row],[ID MATERIAL]]="","",VLOOKUP(Plantilla_SCAN_EQ3_COUNT_2[[#This Row],[ID MATERIAL]],INVENTARIO!$A:$D,2,FALSE))</f>
        <v/>
      </c>
      <c r="F1520" s="7" t="str">
        <f>IF(Plantilla_SCAN_EQ3_COUNT_2[[#This Row],[ID MATERIAL]]="","",IF(Plantilla_SCAN_EQ3_COUNT_2[[#This Row],[No. Empaques]]="",1,Plantilla_SCAN_EQ3_COUNT_2[[#This Row],[No. Empaques]]*1))</f>
        <v/>
      </c>
      <c r="G1520" s="7" t="str">
        <f>IF(Plantilla_SCAN_EQ3_COUNT_2[[#This Row],[ID MATERIAL]]="","","PZ")</f>
        <v/>
      </c>
      <c r="H1520" s="7" t="str">
        <f>IF(Plantilla_SCAN_EQ3_COUNT_2[[#This Row],[ID MATERIAL]]="","",$B$13)</f>
        <v/>
      </c>
      <c r="I1520" s="7" t="str">
        <f>IF(Plantilla_SCAN_EQ3_COUNT_2[[#This Row],[ID MATERIAL]]="","","Segundo Conteo")</f>
        <v/>
      </c>
    </row>
    <row r="1521" spans="1:9" s="7" customFormat="1" ht="15" x14ac:dyDescent="0.2">
      <c r="A1521" s="7" t="str">
        <f>IF(Plantilla_SCAN_EQ3_COUNT_2[[#This Row],[ID MATERIAL]]="","",SIGN(Plantilla_SCAN_EQ3_COUNT_2[[#This Row],[Cantidad]])+A1520)</f>
        <v/>
      </c>
      <c r="B1521" s="21" t="str">
        <f>IF(Plantilla_SCAN_EQ3_COUNT_2[[#This Row],[ID MATERIAL]]="","",B1520)</f>
        <v/>
      </c>
      <c r="C1521" s="21"/>
      <c r="D1521" s="21"/>
      <c r="E1521" s="7" t="str">
        <f>IF(Plantilla_SCAN_EQ3_COUNT_2[[#This Row],[ID MATERIAL]]="","",VLOOKUP(Plantilla_SCAN_EQ3_COUNT_2[[#This Row],[ID MATERIAL]],INVENTARIO!$A:$D,2,FALSE))</f>
        <v/>
      </c>
      <c r="F1521" s="7" t="str">
        <f>IF(Plantilla_SCAN_EQ3_COUNT_2[[#This Row],[ID MATERIAL]]="","",IF(Plantilla_SCAN_EQ3_COUNT_2[[#This Row],[No. Empaques]]="",1,Plantilla_SCAN_EQ3_COUNT_2[[#This Row],[No. Empaques]]*1))</f>
        <v/>
      </c>
      <c r="G1521" s="7" t="str">
        <f>IF(Plantilla_SCAN_EQ3_COUNT_2[[#This Row],[ID MATERIAL]]="","","PZ")</f>
        <v/>
      </c>
      <c r="H1521" s="7" t="str">
        <f>IF(Plantilla_SCAN_EQ3_COUNT_2[[#This Row],[ID MATERIAL]]="","",$B$13)</f>
        <v/>
      </c>
      <c r="I1521" s="7" t="str">
        <f>IF(Plantilla_SCAN_EQ3_COUNT_2[[#This Row],[ID MATERIAL]]="","","Segundo Conteo")</f>
        <v/>
      </c>
    </row>
    <row r="1522" spans="1:9" s="7" customFormat="1" ht="15" x14ac:dyDescent="0.2">
      <c r="A1522" s="7" t="str">
        <f>IF(Plantilla_SCAN_EQ3_COUNT_2[[#This Row],[ID MATERIAL]]="","",SIGN(Plantilla_SCAN_EQ3_COUNT_2[[#This Row],[Cantidad]])+A1521)</f>
        <v/>
      </c>
      <c r="B1522" s="21" t="str">
        <f>IF(Plantilla_SCAN_EQ3_COUNT_2[[#This Row],[ID MATERIAL]]="","",B1521)</f>
        <v/>
      </c>
      <c r="C1522" s="21"/>
      <c r="D1522" s="21"/>
      <c r="E1522" s="7" t="str">
        <f>IF(Plantilla_SCAN_EQ3_COUNT_2[[#This Row],[ID MATERIAL]]="","",VLOOKUP(Plantilla_SCAN_EQ3_COUNT_2[[#This Row],[ID MATERIAL]],INVENTARIO!$A:$D,2,FALSE))</f>
        <v/>
      </c>
      <c r="F1522" s="7" t="str">
        <f>IF(Plantilla_SCAN_EQ3_COUNT_2[[#This Row],[ID MATERIAL]]="","",IF(Plantilla_SCAN_EQ3_COUNT_2[[#This Row],[No. Empaques]]="",1,Plantilla_SCAN_EQ3_COUNT_2[[#This Row],[No. Empaques]]*1))</f>
        <v/>
      </c>
      <c r="G1522" s="7" t="str">
        <f>IF(Plantilla_SCAN_EQ3_COUNT_2[[#This Row],[ID MATERIAL]]="","","PZ")</f>
        <v/>
      </c>
      <c r="H1522" s="7" t="str">
        <f>IF(Plantilla_SCAN_EQ3_COUNT_2[[#This Row],[ID MATERIAL]]="","",$B$13)</f>
        <v/>
      </c>
      <c r="I1522" s="7" t="str">
        <f>IF(Plantilla_SCAN_EQ3_COUNT_2[[#This Row],[ID MATERIAL]]="","","Segundo Conteo")</f>
        <v/>
      </c>
    </row>
    <row r="1523" spans="1:9" s="7" customFormat="1" ht="15" x14ac:dyDescent="0.2">
      <c r="A1523" s="7" t="str">
        <f>IF(Plantilla_SCAN_EQ3_COUNT_2[[#This Row],[ID MATERIAL]]="","",SIGN(Plantilla_SCAN_EQ3_COUNT_2[[#This Row],[Cantidad]])+A1522)</f>
        <v/>
      </c>
      <c r="B1523" s="21" t="str">
        <f>IF(Plantilla_SCAN_EQ3_COUNT_2[[#This Row],[ID MATERIAL]]="","",B1522)</f>
        <v/>
      </c>
      <c r="C1523" s="21"/>
      <c r="D1523" s="21"/>
      <c r="E1523" s="7" t="str">
        <f>IF(Plantilla_SCAN_EQ3_COUNT_2[[#This Row],[ID MATERIAL]]="","",VLOOKUP(Plantilla_SCAN_EQ3_COUNT_2[[#This Row],[ID MATERIAL]],INVENTARIO!$A:$D,2,FALSE))</f>
        <v/>
      </c>
      <c r="F1523" s="7" t="str">
        <f>IF(Plantilla_SCAN_EQ3_COUNT_2[[#This Row],[ID MATERIAL]]="","",IF(Plantilla_SCAN_EQ3_COUNT_2[[#This Row],[No. Empaques]]="",1,Plantilla_SCAN_EQ3_COUNT_2[[#This Row],[No. Empaques]]*1))</f>
        <v/>
      </c>
      <c r="G1523" s="7" t="str">
        <f>IF(Plantilla_SCAN_EQ3_COUNT_2[[#This Row],[ID MATERIAL]]="","","PZ")</f>
        <v/>
      </c>
      <c r="H1523" s="7" t="str">
        <f>IF(Plantilla_SCAN_EQ3_COUNT_2[[#This Row],[ID MATERIAL]]="","",$B$13)</f>
        <v/>
      </c>
      <c r="I1523" s="7" t="str">
        <f>IF(Plantilla_SCAN_EQ3_COUNT_2[[#This Row],[ID MATERIAL]]="","","Segundo Conteo")</f>
        <v/>
      </c>
    </row>
    <row r="1524" spans="1:9" s="7" customFormat="1" ht="15" x14ac:dyDescent="0.2">
      <c r="A1524" s="7" t="str">
        <f>IF(Plantilla_SCAN_EQ3_COUNT_2[[#This Row],[ID MATERIAL]]="","",SIGN(Plantilla_SCAN_EQ3_COUNT_2[[#This Row],[Cantidad]])+A1523)</f>
        <v/>
      </c>
      <c r="B1524" s="21" t="str">
        <f>IF(Plantilla_SCAN_EQ3_COUNT_2[[#This Row],[ID MATERIAL]]="","",B1523)</f>
        <v/>
      </c>
      <c r="C1524" s="21"/>
      <c r="D1524" s="21"/>
      <c r="E1524" s="7" t="str">
        <f>IF(Plantilla_SCAN_EQ3_COUNT_2[[#This Row],[ID MATERIAL]]="","",VLOOKUP(Plantilla_SCAN_EQ3_COUNT_2[[#This Row],[ID MATERIAL]],INVENTARIO!$A:$D,2,FALSE))</f>
        <v/>
      </c>
      <c r="F1524" s="7" t="str">
        <f>IF(Plantilla_SCAN_EQ3_COUNT_2[[#This Row],[ID MATERIAL]]="","",IF(Plantilla_SCAN_EQ3_COUNT_2[[#This Row],[No. Empaques]]="",1,Plantilla_SCAN_EQ3_COUNT_2[[#This Row],[No. Empaques]]*1))</f>
        <v/>
      </c>
      <c r="G1524" s="7" t="str">
        <f>IF(Plantilla_SCAN_EQ3_COUNT_2[[#This Row],[ID MATERIAL]]="","","PZ")</f>
        <v/>
      </c>
      <c r="H1524" s="7" t="str">
        <f>IF(Plantilla_SCAN_EQ3_COUNT_2[[#This Row],[ID MATERIAL]]="","",$B$13)</f>
        <v/>
      </c>
      <c r="I1524" s="7" t="str">
        <f>IF(Plantilla_SCAN_EQ3_COUNT_2[[#This Row],[ID MATERIAL]]="","","Segundo Conteo")</f>
        <v/>
      </c>
    </row>
    <row r="1525" spans="1:9" s="7" customFormat="1" ht="15" x14ac:dyDescent="0.2">
      <c r="A1525" s="7" t="str">
        <f>IF(Plantilla_SCAN_EQ3_COUNT_2[[#This Row],[ID MATERIAL]]="","",SIGN(Plantilla_SCAN_EQ3_COUNT_2[[#This Row],[Cantidad]])+A1524)</f>
        <v/>
      </c>
      <c r="B1525" s="21" t="str">
        <f>IF(Plantilla_SCAN_EQ3_COUNT_2[[#This Row],[ID MATERIAL]]="","",B1524)</f>
        <v/>
      </c>
      <c r="C1525" s="21"/>
      <c r="D1525" s="21"/>
      <c r="E1525" s="7" t="str">
        <f>IF(Plantilla_SCAN_EQ3_COUNT_2[[#This Row],[ID MATERIAL]]="","",VLOOKUP(Plantilla_SCAN_EQ3_COUNT_2[[#This Row],[ID MATERIAL]],INVENTARIO!$A:$D,2,FALSE))</f>
        <v/>
      </c>
      <c r="F1525" s="7" t="str">
        <f>IF(Plantilla_SCAN_EQ3_COUNT_2[[#This Row],[ID MATERIAL]]="","",IF(Plantilla_SCAN_EQ3_COUNT_2[[#This Row],[No. Empaques]]="",1,Plantilla_SCAN_EQ3_COUNT_2[[#This Row],[No. Empaques]]*1))</f>
        <v/>
      </c>
      <c r="G1525" s="7" t="str">
        <f>IF(Plantilla_SCAN_EQ3_COUNT_2[[#This Row],[ID MATERIAL]]="","","PZ")</f>
        <v/>
      </c>
      <c r="H1525" s="7" t="str">
        <f>IF(Plantilla_SCAN_EQ3_COUNT_2[[#This Row],[ID MATERIAL]]="","",$B$13)</f>
        <v/>
      </c>
      <c r="I1525" s="7" t="str">
        <f>IF(Plantilla_SCAN_EQ3_COUNT_2[[#This Row],[ID MATERIAL]]="","","Segundo Conteo")</f>
        <v/>
      </c>
    </row>
    <row r="1526" spans="1:9" s="7" customFormat="1" ht="15" x14ac:dyDescent="0.2">
      <c r="A1526" s="7" t="str">
        <f>IF(Plantilla_SCAN_EQ3_COUNT_2[[#This Row],[ID MATERIAL]]="","",SIGN(Plantilla_SCAN_EQ3_COUNT_2[[#This Row],[Cantidad]])+A1525)</f>
        <v/>
      </c>
      <c r="B1526" s="21" t="str">
        <f>IF(Plantilla_SCAN_EQ3_COUNT_2[[#This Row],[ID MATERIAL]]="","",B1525)</f>
        <v/>
      </c>
      <c r="C1526" s="21"/>
      <c r="D1526" s="21"/>
      <c r="E1526" s="7" t="str">
        <f>IF(Plantilla_SCAN_EQ3_COUNT_2[[#This Row],[ID MATERIAL]]="","",VLOOKUP(Plantilla_SCAN_EQ3_COUNT_2[[#This Row],[ID MATERIAL]],INVENTARIO!$A:$D,2,FALSE))</f>
        <v/>
      </c>
      <c r="F1526" s="7" t="str">
        <f>IF(Plantilla_SCAN_EQ3_COUNT_2[[#This Row],[ID MATERIAL]]="","",IF(Plantilla_SCAN_EQ3_COUNT_2[[#This Row],[No. Empaques]]="",1,Plantilla_SCAN_EQ3_COUNT_2[[#This Row],[No. Empaques]]*1))</f>
        <v/>
      </c>
      <c r="G1526" s="7" t="str">
        <f>IF(Plantilla_SCAN_EQ3_COUNT_2[[#This Row],[ID MATERIAL]]="","","PZ")</f>
        <v/>
      </c>
      <c r="H1526" s="7" t="str">
        <f>IF(Plantilla_SCAN_EQ3_COUNT_2[[#This Row],[ID MATERIAL]]="","",$B$13)</f>
        <v/>
      </c>
      <c r="I1526" s="7" t="str">
        <f>IF(Plantilla_SCAN_EQ3_COUNT_2[[#This Row],[ID MATERIAL]]="","","Segundo Conteo")</f>
        <v/>
      </c>
    </row>
    <row r="1527" spans="1:9" s="7" customFormat="1" ht="15" x14ac:dyDescent="0.2">
      <c r="A1527" s="7" t="str">
        <f>IF(Plantilla_SCAN_EQ3_COUNT_2[[#This Row],[ID MATERIAL]]="","",SIGN(Plantilla_SCAN_EQ3_COUNT_2[[#This Row],[Cantidad]])+A1526)</f>
        <v/>
      </c>
      <c r="B1527" s="21" t="str">
        <f>IF(Plantilla_SCAN_EQ3_COUNT_2[[#This Row],[ID MATERIAL]]="","",B1526)</f>
        <v/>
      </c>
      <c r="C1527" s="21"/>
      <c r="D1527" s="21"/>
      <c r="E1527" s="7" t="str">
        <f>IF(Plantilla_SCAN_EQ3_COUNT_2[[#This Row],[ID MATERIAL]]="","",VLOOKUP(Plantilla_SCAN_EQ3_COUNT_2[[#This Row],[ID MATERIAL]],INVENTARIO!$A:$D,2,FALSE))</f>
        <v/>
      </c>
      <c r="F1527" s="7" t="str">
        <f>IF(Plantilla_SCAN_EQ3_COUNT_2[[#This Row],[ID MATERIAL]]="","",IF(Plantilla_SCAN_EQ3_COUNT_2[[#This Row],[No. Empaques]]="",1,Plantilla_SCAN_EQ3_COUNT_2[[#This Row],[No. Empaques]]*1))</f>
        <v/>
      </c>
      <c r="G1527" s="7" t="str">
        <f>IF(Plantilla_SCAN_EQ3_COUNT_2[[#This Row],[ID MATERIAL]]="","","PZ")</f>
        <v/>
      </c>
      <c r="H1527" s="7" t="str">
        <f>IF(Plantilla_SCAN_EQ3_COUNT_2[[#This Row],[ID MATERIAL]]="","",$B$13)</f>
        <v/>
      </c>
      <c r="I1527" s="7" t="str">
        <f>IF(Plantilla_SCAN_EQ3_COUNT_2[[#This Row],[ID MATERIAL]]="","","Segundo Conteo")</f>
        <v/>
      </c>
    </row>
    <row r="1528" spans="1:9" s="7" customFormat="1" ht="15" x14ac:dyDescent="0.2">
      <c r="A1528" s="7" t="str">
        <f>IF(Plantilla_SCAN_EQ3_COUNT_2[[#This Row],[ID MATERIAL]]="","",SIGN(Plantilla_SCAN_EQ3_COUNT_2[[#This Row],[Cantidad]])+A1527)</f>
        <v/>
      </c>
      <c r="B1528" s="21" t="str">
        <f>IF(Plantilla_SCAN_EQ3_COUNT_2[[#This Row],[ID MATERIAL]]="","",B1527)</f>
        <v/>
      </c>
      <c r="C1528" s="21"/>
      <c r="D1528" s="21"/>
      <c r="E1528" s="7" t="str">
        <f>IF(Plantilla_SCAN_EQ3_COUNT_2[[#This Row],[ID MATERIAL]]="","",VLOOKUP(Plantilla_SCAN_EQ3_COUNT_2[[#This Row],[ID MATERIAL]],INVENTARIO!$A:$D,2,FALSE))</f>
        <v/>
      </c>
      <c r="F1528" s="7" t="str">
        <f>IF(Plantilla_SCAN_EQ3_COUNT_2[[#This Row],[ID MATERIAL]]="","",IF(Plantilla_SCAN_EQ3_COUNT_2[[#This Row],[No. Empaques]]="",1,Plantilla_SCAN_EQ3_COUNT_2[[#This Row],[No. Empaques]]*1))</f>
        <v/>
      </c>
      <c r="G1528" s="7" t="str">
        <f>IF(Plantilla_SCAN_EQ3_COUNT_2[[#This Row],[ID MATERIAL]]="","","PZ")</f>
        <v/>
      </c>
      <c r="H1528" s="7" t="str">
        <f>IF(Plantilla_SCAN_EQ3_COUNT_2[[#This Row],[ID MATERIAL]]="","",$B$13)</f>
        <v/>
      </c>
      <c r="I1528" s="7" t="str">
        <f>IF(Plantilla_SCAN_EQ3_COUNT_2[[#This Row],[ID MATERIAL]]="","","Segundo Conteo")</f>
        <v/>
      </c>
    </row>
    <row r="1529" spans="1:9" s="7" customFormat="1" ht="15" x14ac:dyDescent="0.2">
      <c r="A1529" s="7" t="str">
        <f>IF(Plantilla_SCAN_EQ3_COUNT_2[[#This Row],[ID MATERIAL]]="","",SIGN(Plantilla_SCAN_EQ3_COUNT_2[[#This Row],[Cantidad]])+A1528)</f>
        <v/>
      </c>
      <c r="B1529" s="21" t="str">
        <f>IF(Plantilla_SCAN_EQ3_COUNT_2[[#This Row],[ID MATERIAL]]="","",B1528)</f>
        <v/>
      </c>
      <c r="C1529" s="21"/>
      <c r="D1529" s="21"/>
      <c r="E1529" s="7" t="str">
        <f>IF(Plantilla_SCAN_EQ3_COUNT_2[[#This Row],[ID MATERIAL]]="","",VLOOKUP(Plantilla_SCAN_EQ3_COUNT_2[[#This Row],[ID MATERIAL]],INVENTARIO!$A:$D,2,FALSE))</f>
        <v/>
      </c>
      <c r="F1529" s="7" t="str">
        <f>IF(Plantilla_SCAN_EQ3_COUNT_2[[#This Row],[ID MATERIAL]]="","",IF(Plantilla_SCAN_EQ3_COUNT_2[[#This Row],[No. Empaques]]="",1,Plantilla_SCAN_EQ3_COUNT_2[[#This Row],[No. Empaques]]*1))</f>
        <v/>
      </c>
      <c r="G1529" s="7" t="str">
        <f>IF(Plantilla_SCAN_EQ3_COUNT_2[[#This Row],[ID MATERIAL]]="","","PZ")</f>
        <v/>
      </c>
      <c r="H1529" s="7" t="str">
        <f>IF(Plantilla_SCAN_EQ3_COUNT_2[[#This Row],[ID MATERIAL]]="","",$B$13)</f>
        <v/>
      </c>
      <c r="I1529" s="7" t="str">
        <f>IF(Plantilla_SCAN_EQ3_COUNT_2[[#This Row],[ID MATERIAL]]="","","Segundo Conteo")</f>
        <v/>
      </c>
    </row>
    <row r="1530" spans="1:9" s="7" customFormat="1" ht="15" x14ac:dyDescent="0.2">
      <c r="A1530" s="7" t="str">
        <f>IF(Plantilla_SCAN_EQ3_COUNT_2[[#This Row],[ID MATERIAL]]="","",SIGN(Plantilla_SCAN_EQ3_COUNT_2[[#This Row],[Cantidad]])+A1529)</f>
        <v/>
      </c>
      <c r="B1530" s="21" t="str">
        <f>IF(Plantilla_SCAN_EQ3_COUNT_2[[#This Row],[ID MATERIAL]]="","",B1529)</f>
        <v/>
      </c>
      <c r="C1530" s="21"/>
      <c r="D1530" s="21"/>
      <c r="E1530" s="7" t="str">
        <f>IF(Plantilla_SCAN_EQ3_COUNT_2[[#This Row],[ID MATERIAL]]="","",VLOOKUP(Plantilla_SCAN_EQ3_COUNT_2[[#This Row],[ID MATERIAL]],INVENTARIO!$A:$D,2,FALSE))</f>
        <v/>
      </c>
      <c r="F1530" s="7" t="str">
        <f>IF(Plantilla_SCAN_EQ3_COUNT_2[[#This Row],[ID MATERIAL]]="","",IF(Plantilla_SCAN_EQ3_COUNT_2[[#This Row],[No. Empaques]]="",1,Plantilla_SCAN_EQ3_COUNT_2[[#This Row],[No. Empaques]]*1))</f>
        <v/>
      </c>
      <c r="G1530" s="7" t="str">
        <f>IF(Plantilla_SCAN_EQ3_COUNT_2[[#This Row],[ID MATERIAL]]="","","PZ")</f>
        <v/>
      </c>
      <c r="H1530" s="7" t="str">
        <f>IF(Plantilla_SCAN_EQ3_COUNT_2[[#This Row],[ID MATERIAL]]="","",$B$13)</f>
        <v/>
      </c>
      <c r="I1530" s="7" t="str">
        <f>IF(Plantilla_SCAN_EQ3_COUNT_2[[#This Row],[ID MATERIAL]]="","","Segundo Conteo")</f>
        <v/>
      </c>
    </row>
    <row r="1531" spans="1:9" s="7" customFormat="1" ht="15" x14ac:dyDescent="0.2">
      <c r="A1531" s="7" t="str">
        <f>IF(Plantilla_SCAN_EQ3_COUNT_2[[#This Row],[ID MATERIAL]]="","",SIGN(Plantilla_SCAN_EQ3_COUNT_2[[#This Row],[Cantidad]])+A1530)</f>
        <v/>
      </c>
      <c r="B1531" s="21" t="str">
        <f>IF(Plantilla_SCAN_EQ3_COUNT_2[[#This Row],[ID MATERIAL]]="","",B1530)</f>
        <v/>
      </c>
      <c r="C1531" s="21"/>
      <c r="D1531" s="21"/>
      <c r="E1531" s="7" t="str">
        <f>IF(Plantilla_SCAN_EQ3_COUNT_2[[#This Row],[ID MATERIAL]]="","",VLOOKUP(Plantilla_SCAN_EQ3_COUNT_2[[#This Row],[ID MATERIAL]],INVENTARIO!$A:$D,2,FALSE))</f>
        <v/>
      </c>
      <c r="F1531" s="7" t="str">
        <f>IF(Plantilla_SCAN_EQ3_COUNT_2[[#This Row],[ID MATERIAL]]="","",IF(Plantilla_SCAN_EQ3_COUNT_2[[#This Row],[No. Empaques]]="",1,Plantilla_SCAN_EQ3_COUNT_2[[#This Row],[No. Empaques]]*1))</f>
        <v/>
      </c>
      <c r="G1531" s="7" t="str">
        <f>IF(Plantilla_SCAN_EQ3_COUNT_2[[#This Row],[ID MATERIAL]]="","","PZ")</f>
        <v/>
      </c>
      <c r="H1531" s="7" t="str">
        <f>IF(Plantilla_SCAN_EQ3_COUNT_2[[#This Row],[ID MATERIAL]]="","",$B$13)</f>
        <v/>
      </c>
      <c r="I1531" s="7" t="str">
        <f>IF(Plantilla_SCAN_EQ3_COUNT_2[[#This Row],[ID MATERIAL]]="","","Segundo Conteo")</f>
        <v/>
      </c>
    </row>
    <row r="1532" spans="1:9" s="7" customFormat="1" ht="15" x14ac:dyDescent="0.2">
      <c r="A1532" s="7" t="str">
        <f>IF(Plantilla_SCAN_EQ3_COUNT_2[[#This Row],[ID MATERIAL]]="","",SIGN(Plantilla_SCAN_EQ3_COUNT_2[[#This Row],[Cantidad]])+A1531)</f>
        <v/>
      </c>
      <c r="B1532" s="21" t="str">
        <f>IF(Plantilla_SCAN_EQ3_COUNT_2[[#This Row],[ID MATERIAL]]="","",B1531)</f>
        <v/>
      </c>
      <c r="C1532" s="21"/>
      <c r="D1532" s="21"/>
      <c r="E1532" s="7" t="str">
        <f>IF(Plantilla_SCAN_EQ3_COUNT_2[[#This Row],[ID MATERIAL]]="","",VLOOKUP(Plantilla_SCAN_EQ3_COUNT_2[[#This Row],[ID MATERIAL]],INVENTARIO!$A:$D,2,FALSE))</f>
        <v/>
      </c>
      <c r="F1532" s="7" t="str">
        <f>IF(Plantilla_SCAN_EQ3_COUNT_2[[#This Row],[ID MATERIAL]]="","",IF(Plantilla_SCAN_EQ3_COUNT_2[[#This Row],[No. Empaques]]="",1,Plantilla_SCAN_EQ3_COUNT_2[[#This Row],[No. Empaques]]*1))</f>
        <v/>
      </c>
      <c r="G1532" s="7" t="str">
        <f>IF(Plantilla_SCAN_EQ3_COUNT_2[[#This Row],[ID MATERIAL]]="","","PZ")</f>
        <v/>
      </c>
      <c r="H1532" s="7" t="str">
        <f>IF(Plantilla_SCAN_EQ3_COUNT_2[[#This Row],[ID MATERIAL]]="","",$B$13)</f>
        <v/>
      </c>
      <c r="I1532" s="7" t="str">
        <f>IF(Plantilla_SCAN_EQ3_COUNT_2[[#This Row],[ID MATERIAL]]="","","Segundo Conteo")</f>
        <v/>
      </c>
    </row>
    <row r="1533" spans="1:9" s="7" customFormat="1" ht="15" x14ac:dyDescent="0.2">
      <c r="A1533" s="7" t="str">
        <f>IF(Plantilla_SCAN_EQ3_COUNT_2[[#This Row],[ID MATERIAL]]="","",SIGN(Plantilla_SCAN_EQ3_COUNT_2[[#This Row],[Cantidad]])+A1532)</f>
        <v/>
      </c>
      <c r="B1533" s="21" t="str">
        <f>IF(Plantilla_SCAN_EQ3_COUNT_2[[#This Row],[ID MATERIAL]]="","",B1532)</f>
        <v/>
      </c>
      <c r="C1533" s="21"/>
      <c r="D1533" s="21"/>
      <c r="E1533" s="7" t="str">
        <f>IF(Plantilla_SCAN_EQ3_COUNT_2[[#This Row],[ID MATERIAL]]="","",VLOOKUP(Plantilla_SCAN_EQ3_COUNT_2[[#This Row],[ID MATERIAL]],INVENTARIO!$A:$D,2,FALSE))</f>
        <v/>
      </c>
      <c r="F1533" s="7" t="str">
        <f>IF(Plantilla_SCAN_EQ3_COUNT_2[[#This Row],[ID MATERIAL]]="","",IF(Plantilla_SCAN_EQ3_COUNT_2[[#This Row],[No. Empaques]]="",1,Plantilla_SCAN_EQ3_COUNT_2[[#This Row],[No. Empaques]]*1))</f>
        <v/>
      </c>
      <c r="G1533" s="7" t="str">
        <f>IF(Plantilla_SCAN_EQ3_COUNT_2[[#This Row],[ID MATERIAL]]="","","PZ")</f>
        <v/>
      </c>
      <c r="H1533" s="7" t="str">
        <f>IF(Plantilla_SCAN_EQ3_COUNT_2[[#This Row],[ID MATERIAL]]="","",$B$13)</f>
        <v/>
      </c>
      <c r="I1533" s="7" t="str">
        <f>IF(Plantilla_SCAN_EQ3_COUNT_2[[#This Row],[ID MATERIAL]]="","","Segundo Conteo")</f>
        <v/>
      </c>
    </row>
    <row r="1534" spans="1:9" s="7" customFormat="1" ht="15" x14ac:dyDescent="0.2">
      <c r="A1534" s="7" t="str">
        <f>IF(Plantilla_SCAN_EQ3_COUNT_2[[#This Row],[ID MATERIAL]]="","",SIGN(Plantilla_SCAN_EQ3_COUNT_2[[#This Row],[Cantidad]])+A1533)</f>
        <v/>
      </c>
      <c r="B1534" s="21" t="str">
        <f>IF(Plantilla_SCAN_EQ3_COUNT_2[[#This Row],[ID MATERIAL]]="","",B1533)</f>
        <v/>
      </c>
      <c r="C1534" s="21"/>
      <c r="D1534" s="21"/>
      <c r="E1534" s="7" t="str">
        <f>IF(Plantilla_SCAN_EQ3_COUNT_2[[#This Row],[ID MATERIAL]]="","",VLOOKUP(Plantilla_SCAN_EQ3_COUNT_2[[#This Row],[ID MATERIAL]],INVENTARIO!$A:$D,2,FALSE))</f>
        <v/>
      </c>
      <c r="F1534" s="7" t="str">
        <f>IF(Plantilla_SCAN_EQ3_COUNT_2[[#This Row],[ID MATERIAL]]="","",IF(Plantilla_SCAN_EQ3_COUNT_2[[#This Row],[No. Empaques]]="",1,Plantilla_SCAN_EQ3_COUNT_2[[#This Row],[No. Empaques]]*1))</f>
        <v/>
      </c>
      <c r="G1534" s="7" t="str">
        <f>IF(Plantilla_SCAN_EQ3_COUNT_2[[#This Row],[ID MATERIAL]]="","","PZ")</f>
        <v/>
      </c>
      <c r="H1534" s="7" t="str">
        <f>IF(Plantilla_SCAN_EQ3_COUNT_2[[#This Row],[ID MATERIAL]]="","",$B$13)</f>
        <v/>
      </c>
      <c r="I1534" s="7" t="str">
        <f>IF(Plantilla_SCAN_EQ3_COUNT_2[[#This Row],[ID MATERIAL]]="","","Segundo Conteo")</f>
        <v/>
      </c>
    </row>
    <row r="1535" spans="1:9" s="7" customFormat="1" ht="15" x14ac:dyDescent="0.2">
      <c r="A1535" s="7" t="str">
        <f>IF(Plantilla_SCAN_EQ3_COUNT_2[[#This Row],[ID MATERIAL]]="","",SIGN(Plantilla_SCAN_EQ3_COUNT_2[[#This Row],[Cantidad]])+A1534)</f>
        <v/>
      </c>
      <c r="B1535" s="21" t="str">
        <f>IF(Plantilla_SCAN_EQ3_COUNT_2[[#This Row],[ID MATERIAL]]="","",B1534)</f>
        <v/>
      </c>
      <c r="C1535" s="21"/>
      <c r="D1535" s="21"/>
      <c r="E1535" s="7" t="str">
        <f>IF(Plantilla_SCAN_EQ3_COUNT_2[[#This Row],[ID MATERIAL]]="","",VLOOKUP(Plantilla_SCAN_EQ3_COUNT_2[[#This Row],[ID MATERIAL]],INVENTARIO!$A:$D,2,FALSE))</f>
        <v/>
      </c>
      <c r="F1535" s="7" t="str">
        <f>IF(Plantilla_SCAN_EQ3_COUNT_2[[#This Row],[ID MATERIAL]]="","",IF(Plantilla_SCAN_EQ3_COUNT_2[[#This Row],[No. Empaques]]="",1,Plantilla_SCAN_EQ3_COUNT_2[[#This Row],[No. Empaques]]*1))</f>
        <v/>
      </c>
      <c r="G1535" s="7" t="str">
        <f>IF(Plantilla_SCAN_EQ3_COUNT_2[[#This Row],[ID MATERIAL]]="","","PZ")</f>
        <v/>
      </c>
      <c r="H1535" s="7" t="str">
        <f>IF(Plantilla_SCAN_EQ3_COUNT_2[[#This Row],[ID MATERIAL]]="","",$B$13)</f>
        <v/>
      </c>
      <c r="I1535" s="7" t="str">
        <f>IF(Plantilla_SCAN_EQ3_COUNT_2[[#This Row],[ID MATERIAL]]="","","Segundo Conteo")</f>
        <v/>
      </c>
    </row>
    <row r="1536" spans="1:9" s="7" customFormat="1" ht="15" x14ac:dyDescent="0.2">
      <c r="A1536" s="7" t="str">
        <f>IF(Plantilla_SCAN_EQ3_COUNT_2[[#This Row],[ID MATERIAL]]="","",SIGN(Plantilla_SCAN_EQ3_COUNT_2[[#This Row],[Cantidad]])+A1535)</f>
        <v/>
      </c>
      <c r="B1536" s="21" t="str">
        <f>IF(Plantilla_SCAN_EQ3_COUNT_2[[#This Row],[ID MATERIAL]]="","",B1535)</f>
        <v/>
      </c>
      <c r="C1536" s="21"/>
      <c r="D1536" s="21"/>
      <c r="E1536" s="7" t="str">
        <f>IF(Plantilla_SCAN_EQ3_COUNT_2[[#This Row],[ID MATERIAL]]="","",VLOOKUP(Plantilla_SCAN_EQ3_COUNT_2[[#This Row],[ID MATERIAL]],INVENTARIO!$A:$D,2,FALSE))</f>
        <v/>
      </c>
      <c r="F1536" s="7" t="str">
        <f>IF(Plantilla_SCAN_EQ3_COUNT_2[[#This Row],[ID MATERIAL]]="","",IF(Plantilla_SCAN_EQ3_COUNT_2[[#This Row],[No. Empaques]]="",1,Plantilla_SCAN_EQ3_COUNT_2[[#This Row],[No. Empaques]]*1))</f>
        <v/>
      </c>
      <c r="G1536" s="7" t="str">
        <f>IF(Plantilla_SCAN_EQ3_COUNT_2[[#This Row],[ID MATERIAL]]="","","PZ")</f>
        <v/>
      </c>
      <c r="H1536" s="7" t="str">
        <f>IF(Plantilla_SCAN_EQ3_COUNT_2[[#This Row],[ID MATERIAL]]="","",$B$13)</f>
        <v/>
      </c>
      <c r="I1536" s="7" t="str">
        <f>IF(Plantilla_SCAN_EQ3_COUNT_2[[#This Row],[ID MATERIAL]]="","","Segundo Conteo")</f>
        <v/>
      </c>
    </row>
    <row r="1537" spans="1:9" s="7" customFormat="1" ht="15" x14ac:dyDescent="0.2">
      <c r="A1537" s="7" t="str">
        <f>IF(Plantilla_SCAN_EQ3_COUNT_2[[#This Row],[ID MATERIAL]]="","",SIGN(Plantilla_SCAN_EQ3_COUNT_2[[#This Row],[Cantidad]])+A1536)</f>
        <v/>
      </c>
      <c r="B1537" s="21" t="str">
        <f>IF(Plantilla_SCAN_EQ3_COUNT_2[[#This Row],[ID MATERIAL]]="","",B1536)</f>
        <v/>
      </c>
      <c r="C1537" s="21"/>
      <c r="D1537" s="21"/>
      <c r="E1537" s="7" t="str">
        <f>IF(Plantilla_SCAN_EQ3_COUNT_2[[#This Row],[ID MATERIAL]]="","",VLOOKUP(Plantilla_SCAN_EQ3_COUNT_2[[#This Row],[ID MATERIAL]],INVENTARIO!$A:$D,2,FALSE))</f>
        <v/>
      </c>
      <c r="F1537" s="7" t="str">
        <f>IF(Plantilla_SCAN_EQ3_COUNT_2[[#This Row],[ID MATERIAL]]="","",IF(Plantilla_SCAN_EQ3_COUNT_2[[#This Row],[No. Empaques]]="",1,Plantilla_SCAN_EQ3_COUNT_2[[#This Row],[No. Empaques]]*1))</f>
        <v/>
      </c>
      <c r="G1537" s="7" t="str">
        <f>IF(Plantilla_SCAN_EQ3_COUNT_2[[#This Row],[ID MATERIAL]]="","","PZ")</f>
        <v/>
      </c>
      <c r="H1537" s="7" t="str">
        <f>IF(Plantilla_SCAN_EQ3_COUNT_2[[#This Row],[ID MATERIAL]]="","",$B$13)</f>
        <v/>
      </c>
      <c r="I1537" s="7" t="str">
        <f>IF(Plantilla_SCAN_EQ3_COUNT_2[[#This Row],[ID MATERIAL]]="","","Segundo Conteo")</f>
        <v/>
      </c>
    </row>
    <row r="1538" spans="1:9" s="7" customFormat="1" ht="15" x14ac:dyDescent="0.2">
      <c r="A1538" s="7" t="str">
        <f>IF(Plantilla_SCAN_EQ3_COUNT_2[[#This Row],[ID MATERIAL]]="","",SIGN(Plantilla_SCAN_EQ3_COUNT_2[[#This Row],[Cantidad]])+A1537)</f>
        <v/>
      </c>
      <c r="B1538" s="21" t="str">
        <f>IF(Plantilla_SCAN_EQ3_COUNT_2[[#This Row],[ID MATERIAL]]="","",B1537)</f>
        <v/>
      </c>
      <c r="C1538" s="21"/>
      <c r="D1538" s="21"/>
      <c r="E1538" s="7" t="str">
        <f>IF(Plantilla_SCAN_EQ3_COUNT_2[[#This Row],[ID MATERIAL]]="","",VLOOKUP(Plantilla_SCAN_EQ3_COUNT_2[[#This Row],[ID MATERIAL]],INVENTARIO!$A:$D,2,FALSE))</f>
        <v/>
      </c>
      <c r="F1538" s="7" t="str">
        <f>IF(Plantilla_SCAN_EQ3_COUNT_2[[#This Row],[ID MATERIAL]]="","",IF(Plantilla_SCAN_EQ3_COUNT_2[[#This Row],[No. Empaques]]="",1,Plantilla_SCAN_EQ3_COUNT_2[[#This Row],[No. Empaques]]*1))</f>
        <v/>
      </c>
      <c r="G1538" s="7" t="str">
        <f>IF(Plantilla_SCAN_EQ3_COUNT_2[[#This Row],[ID MATERIAL]]="","","PZ")</f>
        <v/>
      </c>
      <c r="H1538" s="7" t="str">
        <f>IF(Plantilla_SCAN_EQ3_COUNT_2[[#This Row],[ID MATERIAL]]="","",$B$13)</f>
        <v/>
      </c>
      <c r="I1538" s="7" t="str">
        <f>IF(Plantilla_SCAN_EQ3_COUNT_2[[#This Row],[ID MATERIAL]]="","","Segundo Conteo")</f>
        <v/>
      </c>
    </row>
    <row r="1539" spans="1:9" s="7" customFormat="1" ht="15" x14ac:dyDescent="0.2">
      <c r="A1539" s="7" t="str">
        <f>IF(Plantilla_SCAN_EQ3_COUNT_2[[#This Row],[ID MATERIAL]]="","",SIGN(Plantilla_SCAN_EQ3_COUNT_2[[#This Row],[Cantidad]])+A1538)</f>
        <v/>
      </c>
      <c r="B1539" s="21" t="str">
        <f>IF(Plantilla_SCAN_EQ3_COUNT_2[[#This Row],[ID MATERIAL]]="","",B1538)</f>
        <v/>
      </c>
      <c r="C1539" s="21"/>
      <c r="D1539" s="21"/>
      <c r="E1539" s="7" t="str">
        <f>IF(Plantilla_SCAN_EQ3_COUNT_2[[#This Row],[ID MATERIAL]]="","",VLOOKUP(Plantilla_SCAN_EQ3_COUNT_2[[#This Row],[ID MATERIAL]],INVENTARIO!$A:$D,2,FALSE))</f>
        <v/>
      </c>
      <c r="F1539" s="7" t="str">
        <f>IF(Plantilla_SCAN_EQ3_COUNT_2[[#This Row],[ID MATERIAL]]="","",IF(Plantilla_SCAN_EQ3_COUNT_2[[#This Row],[No. Empaques]]="",1,Plantilla_SCAN_EQ3_COUNT_2[[#This Row],[No. Empaques]]*1))</f>
        <v/>
      </c>
      <c r="G1539" s="7" t="str">
        <f>IF(Plantilla_SCAN_EQ3_COUNT_2[[#This Row],[ID MATERIAL]]="","","PZ")</f>
        <v/>
      </c>
      <c r="H1539" s="7" t="str">
        <f>IF(Plantilla_SCAN_EQ3_COUNT_2[[#This Row],[ID MATERIAL]]="","",$B$13)</f>
        <v/>
      </c>
      <c r="I1539" s="7" t="str">
        <f>IF(Plantilla_SCAN_EQ3_COUNT_2[[#This Row],[ID MATERIAL]]="","","Segundo Conteo")</f>
        <v/>
      </c>
    </row>
    <row r="1540" spans="1:9" s="7" customFormat="1" ht="15" x14ac:dyDescent="0.2">
      <c r="A1540" s="7" t="str">
        <f>IF(Plantilla_SCAN_EQ3_COUNT_2[[#This Row],[ID MATERIAL]]="","",SIGN(Plantilla_SCAN_EQ3_COUNT_2[[#This Row],[Cantidad]])+A1539)</f>
        <v/>
      </c>
      <c r="B1540" s="21" t="str">
        <f>IF(Plantilla_SCAN_EQ3_COUNT_2[[#This Row],[ID MATERIAL]]="","",B1539)</f>
        <v/>
      </c>
      <c r="C1540" s="21"/>
      <c r="D1540" s="21"/>
      <c r="E1540" s="7" t="str">
        <f>IF(Plantilla_SCAN_EQ3_COUNT_2[[#This Row],[ID MATERIAL]]="","",VLOOKUP(Plantilla_SCAN_EQ3_COUNT_2[[#This Row],[ID MATERIAL]],INVENTARIO!$A:$D,2,FALSE))</f>
        <v/>
      </c>
      <c r="F1540" s="7" t="str">
        <f>IF(Plantilla_SCAN_EQ3_COUNT_2[[#This Row],[ID MATERIAL]]="","",IF(Plantilla_SCAN_EQ3_COUNT_2[[#This Row],[No. Empaques]]="",1,Plantilla_SCAN_EQ3_COUNT_2[[#This Row],[No. Empaques]]*1))</f>
        <v/>
      </c>
      <c r="G1540" s="7" t="str">
        <f>IF(Plantilla_SCAN_EQ3_COUNT_2[[#This Row],[ID MATERIAL]]="","","PZ")</f>
        <v/>
      </c>
      <c r="H1540" s="7" t="str">
        <f>IF(Plantilla_SCAN_EQ3_COUNT_2[[#This Row],[ID MATERIAL]]="","",$B$13)</f>
        <v/>
      </c>
      <c r="I1540" s="7" t="str">
        <f>IF(Plantilla_SCAN_EQ3_COUNT_2[[#This Row],[ID MATERIAL]]="","","Segundo Conteo")</f>
        <v/>
      </c>
    </row>
    <row r="1541" spans="1:9" s="7" customFormat="1" ht="15" x14ac:dyDescent="0.2">
      <c r="A1541" s="7" t="str">
        <f>IF(Plantilla_SCAN_EQ3_COUNT_2[[#This Row],[ID MATERIAL]]="","",SIGN(Plantilla_SCAN_EQ3_COUNT_2[[#This Row],[Cantidad]])+A1540)</f>
        <v/>
      </c>
      <c r="B1541" s="21" t="str">
        <f>IF(Plantilla_SCAN_EQ3_COUNT_2[[#This Row],[ID MATERIAL]]="","",B1540)</f>
        <v/>
      </c>
      <c r="C1541" s="21"/>
      <c r="D1541" s="21"/>
      <c r="E1541" s="7" t="str">
        <f>IF(Plantilla_SCAN_EQ3_COUNT_2[[#This Row],[ID MATERIAL]]="","",VLOOKUP(Plantilla_SCAN_EQ3_COUNT_2[[#This Row],[ID MATERIAL]],INVENTARIO!$A:$D,2,FALSE))</f>
        <v/>
      </c>
      <c r="F1541" s="7" t="str">
        <f>IF(Plantilla_SCAN_EQ3_COUNT_2[[#This Row],[ID MATERIAL]]="","",IF(Plantilla_SCAN_EQ3_COUNT_2[[#This Row],[No. Empaques]]="",1,Plantilla_SCAN_EQ3_COUNT_2[[#This Row],[No. Empaques]]*1))</f>
        <v/>
      </c>
      <c r="G1541" s="7" t="str">
        <f>IF(Plantilla_SCAN_EQ3_COUNT_2[[#This Row],[ID MATERIAL]]="","","PZ")</f>
        <v/>
      </c>
      <c r="H1541" s="7" t="str">
        <f>IF(Plantilla_SCAN_EQ3_COUNT_2[[#This Row],[ID MATERIAL]]="","",$B$13)</f>
        <v/>
      </c>
      <c r="I1541" s="7" t="str">
        <f>IF(Plantilla_SCAN_EQ3_COUNT_2[[#This Row],[ID MATERIAL]]="","","Segundo Conteo")</f>
        <v/>
      </c>
    </row>
    <row r="1542" spans="1:9" s="7" customFormat="1" ht="15" x14ac:dyDescent="0.2">
      <c r="A1542" s="7" t="str">
        <f>IF(Plantilla_SCAN_EQ3_COUNT_2[[#This Row],[ID MATERIAL]]="","",SIGN(Plantilla_SCAN_EQ3_COUNT_2[[#This Row],[Cantidad]])+A1541)</f>
        <v/>
      </c>
      <c r="B1542" s="21" t="str">
        <f>IF(Plantilla_SCAN_EQ3_COUNT_2[[#This Row],[ID MATERIAL]]="","",B1541)</f>
        <v/>
      </c>
      <c r="C1542" s="21"/>
      <c r="D1542" s="21"/>
      <c r="E1542" s="7" t="str">
        <f>IF(Plantilla_SCAN_EQ3_COUNT_2[[#This Row],[ID MATERIAL]]="","",VLOOKUP(Plantilla_SCAN_EQ3_COUNT_2[[#This Row],[ID MATERIAL]],INVENTARIO!$A:$D,2,FALSE))</f>
        <v/>
      </c>
      <c r="F1542" s="7" t="str">
        <f>IF(Plantilla_SCAN_EQ3_COUNT_2[[#This Row],[ID MATERIAL]]="","",IF(Plantilla_SCAN_EQ3_COUNT_2[[#This Row],[No. Empaques]]="",1,Plantilla_SCAN_EQ3_COUNT_2[[#This Row],[No. Empaques]]*1))</f>
        <v/>
      </c>
      <c r="G1542" s="7" t="str">
        <f>IF(Plantilla_SCAN_EQ3_COUNT_2[[#This Row],[ID MATERIAL]]="","","PZ")</f>
        <v/>
      </c>
      <c r="H1542" s="7" t="str">
        <f>IF(Plantilla_SCAN_EQ3_COUNT_2[[#This Row],[ID MATERIAL]]="","",$B$13)</f>
        <v/>
      </c>
      <c r="I1542" s="7" t="str">
        <f>IF(Plantilla_SCAN_EQ3_COUNT_2[[#This Row],[ID MATERIAL]]="","","Segundo Conteo")</f>
        <v/>
      </c>
    </row>
    <row r="1543" spans="1:9" s="7" customFormat="1" ht="15" x14ac:dyDescent="0.2">
      <c r="A1543" s="7" t="str">
        <f>IF(Plantilla_SCAN_EQ3_COUNT_2[[#This Row],[ID MATERIAL]]="","",SIGN(Plantilla_SCAN_EQ3_COUNT_2[[#This Row],[Cantidad]])+A1542)</f>
        <v/>
      </c>
      <c r="B1543" s="21" t="str">
        <f>IF(Plantilla_SCAN_EQ3_COUNT_2[[#This Row],[ID MATERIAL]]="","",B1542)</f>
        <v/>
      </c>
      <c r="C1543" s="21"/>
      <c r="D1543" s="21"/>
      <c r="E1543" s="7" t="str">
        <f>IF(Plantilla_SCAN_EQ3_COUNT_2[[#This Row],[ID MATERIAL]]="","",VLOOKUP(Plantilla_SCAN_EQ3_COUNT_2[[#This Row],[ID MATERIAL]],INVENTARIO!$A:$D,2,FALSE))</f>
        <v/>
      </c>
      <c r="F1543" s="7" t="str">
        <f>IF(Plantilla_SCAN_EQ3_COUNT_2[[#This Row],[ID MATERIAL]]="","",IF(Plantilla_SCAN_EQ3_COUNT_2[[#This Row],[No. Empaques]]="",1,Plantilla_SCAN_EQ3_COUNT_2[[#This Row],[No. Empaques]]*1))</f>
        <v/>
      </c>
      <c r="G1543" s="7" t="str">
        <f>IF(Plantilla_SCAN_EQ3_COUNT_2[[#This Row],[ID MATERIAL]]="","","PZ")</f>
        <v/>
      </c>
      <c r="H1543" s="7" t="str">
        <f>IF(Plantilla_SCAN_EQ3_COUNT_2[[#This Row],[ID MATERIAL]]="","",$B$13)</f>
        <v/>
      </c>
      <c r="I1543" s="7" t="str">
        <f>IF(Plantilla_SCAN_EQ3_COUNT_2[[#This Row],[ID MATERIAL]]="","","Segundo Conteo")</f>
        <v/>
      </c>
    </row>
    <row r="1544" spans="1:9" s="7" customFormat="1" ht="15" x14ac:dyDescent="0.2">
      <c r="A1544" s="7" t="str">
        <f>IF(Plantilla_SCAN_EQ3_COUNT_2[[#This Row],[ID MATERIAL]]="","",SIGN(Plantilla_SCAN_EQ3_COUNT_2[[#This Row],[Cantidad]])+A1543)</f>
        <v/>
      </c>
      <c r="B1544" s="21" t="str">
        <f>IF(Plantilla_SCAN_EQ3_COUNT_2[[#This Row],[ID MATERIAL]]="","",B1543)</f>
        <v/>
      </c>
      <c r="C1544" s="21"/>
      <c r="D1544" s="21"/>
      <c r="E1544" s="7" t="str">
        <f>IF(Plantilla_SCAN_EQ3_COUNT_2[[#This Row],[ID MATERIAL]]="","",VLOOKUP(Plantilla_SCAN_EQ3_COUNT_2[[#This Row],[ID MATERIAL]],INVENTARIO!$A:$D,2,FALSE))</f>
        <v/>
      </c>
      <c r="F1544" s="7" t="str">
        <f>IF(Plantilla_SCAN_EQ3_COUNT_2[[#This Row],[ID MATERIAL]]="","",IF(Plantilla_SCAN_EQ3_COUNT_2[[#This Row],[No. Empaques]]="",1,Plantilla_SCAN_EQ3_COUNT_2[[#This Row],[No. Empaques]]*1))</f>
        <v/>
      </c>
      <c r="G1544" s="7" t="str">
        <f>IF(Plantilla_SCAN_EQ3_COUNT_2[[#This Row],[ID MATERIAL]]="","","PZ")</f>
        <v/>
      </c>
      <c r="H1544" s="7" t="str">
        <f>IF(Plantilla_SCAN_EQ3_COUNT_2[[#This Row],[ID MATERIAL]]="","",$B$13)</f>
        <v/>
      </c>
      <c r="I1544" s="7" t="str">
        <f>IF(Plantilla_SCAN_EQ3_COUNT_2[[#This Row],[ID MATERIAL]]="","","Segundo Conteo")</f>
        <v/>
      </c>
    </row>
    <row r="1545" spans="1:9" s="7" customFormat="1" ht="15" x14ac:dyDescent="0.2">
      <c r="A1545" s="7" t="str">
        <f>IF(Plantilla_SCAN_EQ3_COUNT_2[[#This Row],[ID MATERIAL]]="","",SIGN(Plantilla_SCAN_EQ3_COUNT_2[[#This Row],[Cantidad]])+A1544)</f>
        <v/>
      </c>
      <c r="B1545" s="21" t="str">
        <f>IF(Plantilla_SCAN_EQ3_COUNT_2[[#This Row],[ID MATERIAL]]="","",B1544)</f>
        <v/>
      </c>
      <c r="C1545" s="21"/>
      <c r="D1545" s="21"/>
      <c r="E1545" s="7" t="str">
        <f>IF(Plantilla_SCAN_EQ3_COUNT_2[[#This Row],[ID MATERIAL]]="","",VLOOKUP(Plantilla_SCAN_EQ3_COUNT_2[[#This Row],[ID MATERIAL]],INVENTARIO!$A:$D,2,FALSE))</f>
        <v/>
      </c>
      <c r="F1545" s="7" t="str">
        <f>IF(Plantilla_SCAN_EQ3_COUNT_2[[#This Row],[ID MATERIAL]]="","",IF(Plantilla_SCAN_EQ3_COUNT_2[[#This Row],[No. Empaques]]="",1,Plantilla_SCAN_EQ3_COUNT_2[[#This Row],[No. Empaques]]*1))</f>
        <v/>
      </c>
      <c r="G1545" s="7" t="str">
        <f>IF(Plantilla_SCAN_EQ3_COUNT_2[[#This Row],[ID MATERIAL]]="","","PZ")</f>
        <v/>
      </c>
      <c r="H1545" s="7" t="str">
        <f>IF(Plantilla_SCAN_EQ3_COUNT_2[[#This Row],[ID MATERIAL]]="","",$B$13)</f>
        <v/>
      </c>
      <c r="I1545" s="7" t="str">
        <f>IF(Plantilla_SCAN_EQ3_COUNT_2[[#This Row],[ID MATERIAL]]="","","Segundo Conteo")</f>
        <v/>
      </c>
    </row>
    <row r="1546" spans="1:9" s="7" customFormat="1" ht="15" x14ac:dyDescent="0.2">
      <c r="A1546" s="7" t="str">
        <f>IF(Plantilla_SCAN_EQ3_COUNT_2[[#This Row],[ID MATERIAL]]="","",SIGN(Plantilla_SCAN_EQ3_COUNT_2[[#This Row],[Cantidad]])+A1545)</f>
        <v/>
      </c>
      <c r="B1546" s="21" t="str">
        <f>IF(Plantilla_SCAN_EQ3_COUNT_2[[#This Row],[ID MATERIAL]]="","",B1545)</f>
        <v/>
      </c>
      <c r="C1546" s="21"/>
      <c r="D1546" s="21"/>
      <c r="E1546" s="7" t="str">
        <f>IF(Plantilla_SCAN_EQ3_COUNT_2[[#This Row],[ID MATERIAL]]="","",VLOOKUP(Plantilla_SCAN_EQ3_COUNT_2[[#This Row],[ID MATERIAL]],INVENTARIO!$A:$D,2,FALSE))</f>
        <v/>
      </c>
      <c r="F1546" s="7" t="str">
        <f>IF(Plantilla_SCAN_EQ3_COUNT_2[[#This Row],[ID MATERIAL]]="","",IF(Plantilla_SCAN_EQ3_COUNT_2[[#This Row],[No. Empaques]]="",1,Plantilla_SCAN_EQ3_COUNT_2[[#This Row],[No. Empaques]]*1))</f>
        <v/>
      </c>
      <c r="G1546" s="7" t="str">
        <f>IF(Plantilla_SCAN_EQ3_COUNT_2[[#This Row],[ID MATERIAL]]="","","PZ")</f>
        <v/>
      </c>
      <c r="H1546" s="7" t="str">
        <f>IF(Plantilla_SCAN_EQ3_COUNT_2[[#This Row],[ID MATERIAL]]="","",$B$13)</f>
        <v/>
      </c>
      <c r="I1546" s="7" t="str">
        <f>IF(Plantilla_SCAN_EQ3_COUNT_2[[#This Row],[ID MATERIAL]]="","","Segundo Conteo")</f>
        <v/>
      </c>
    </row>
    <row r="1547" spans="1:9" s="7" customFormat="1" ht="15" x14ac:dyDescent="0.2">
      <c r="A1547" s="7" t="str">
        <f>IF(Plantilla_SCAN_EQ3_COUNT_2[[#This Row],[ID MATERIAL]]="","",SIGN(Plantilla_SCAN_EQ3_COUNT_2[[#This Row],[Cantidad]])+A1546)</f>
        <v/>
      </c>
      <c r="B1547" s="21" t="str">
        <f>IF(Plantilla_SCAN_EQ3_COUNT_2[[#This Row],[ID MATERIAL]]="","",B1546)</f>
        <v/>
      </c>
      <c r="C1547" s="21"/>
      <c r="D1547" s="21"/>
      <c r="E1547" s="7" t="str">
        <f>IF(Plantilla_SCAN_EQ3_COUNT_2[[#This Row],[ID MATERIAL]]="","",VLOOKUP(Plantilla_SCAN_EQ3_COUNT_2[[#This Row],[ID MATERIAL]],INVENTARIO!$A:$D,2,FALSE))</f>
        <v/>
      </c>
      <c r="F1547" s="7" t="str">
        <f>IF(Plantilla_SCAN_EQ3_COUNT_2[[#This Row],[ID MATERIAL]]="","",IF(Plantilla_SCAN_EQ3_COUNT_2[[#This Row],[No. Empaques]]="",1,Plantilla_SCAN_EQ3_COUNT_2[[#This Row],[No. Empaques]]*1))</f>
        <v/>
      </c>
      <c r="G1547" s="7" t="str">
        <f>IF(Plantilla_SCAN_EQ3_COUNT_2[[#This Row],[ID MATERIAL]]="","","PZ")</f>
        <v/>
      </c>
      <c r="H1547" s="7" t="str">
        <f>IF(Plantilla_SCAN_EQ3_COUNT_2[[#This Row],[ID MATERIAL]]="","",$B$13)</f>
        <v/>
      </c>
      <c r="I1547" s="7" t="str">
        <f>IF(Plantilla_SCAN_EQ3_COUNT_2[[#This Row],[ID MATERIAL]]="","","Segundo Conteo")</f>
        <v/>
      </c>
    </row>
    <row r="1548" spans="1:9" s="7" customFormat="1" ht="15" x14ac:dyDescent="0.2">
      <c r="A1548" s="7" t="str">
        <f>IF(Plantilla_SCAN_EQ3_COUNT_2[[#This Row],[ID MATERIAL]]="","",SIGN(Plantilla_SCAN_EQ3_COUNT_2[[#This Row],[Cantidad]])+A1547)</f>
        <v/>
      </c>
      <c r="B1548" s="21" t="str">
        <f>IF(Plantilla_SCAN_EQ3_COUNT_2[[#This Row],[ID MATERIAL]]="","",B1547)</f>
        <v/>
      </c>
      <c r="C1548" s="21"/>
      <c r="D1548" s="21"/>
      <c r="E1548" s="7" t="str">
        <f>IF(Plantilla_SCAN_EQ3_COUNT_2[[#This Row],[ID MATERIAL]]="","",VLOOKUP(Plantilla_SCAN_EQ3_COUNT_2[[#This Row],[ID MATERIAL]],INVENTARIO!$A:$D,2,FALSE))</f>
        <v/>
      </c>
      <c r="F1548" s="7" t="str">
        <f>IF(Plantilla_SCAN_EQ3_COUNT_2[[#This Row],[ID MATERIAL]]="","",IF(Plantilla_SCAN_EQ3_COUNT_2[[#This Row],[No. Empaques]]="",1,Plantilla_SCAN_EQ3_COUNT_2[[#This Row],[No. Empaques]]*1))</f>
        <v/>
      </c>
      <c r="G1548" s="7" t="str">
        <f>IF(Plantilla_SCAN_EQ3_COUNT_2[[#This Row],[ID MATERIAL]]="","","PZ")</f>
        <v/>
      </c>
      <c r="H1548" s="7" t="str">
        <f>IF(Plantilla_SCAN_EQ3_COUNT_2[[#This Row],[ID MATERIAL]]="","",$B$13)</f>
        <v/>
      </c>
      <c r="I1548" s="7" t="str">
        <f>IF(Plantilla_SCAN_EQ3_COUNT_2[[#This Row],[ID MATERIAL]]="","","Segundo Conteo")</f>
        <v/>
      </c>
    </row>
    <row r="1549" spans="1:9" s="7" customFormat="1" ht="15" x14ac:dyDescent="0.2">
      <c r="A1549" s="7" t="str">
        <f>IF(Plantilla_SCAN_EQ3_COUNT_2[[#This Row],[ID MATERIAL]]="","",SIGN(Plantilla_SCAN_EQ3_COUNT_2[[#This Row],[Cantidad]])+A1548)</f>
        <v/>
      </c>
      <c r="B1549" s="21" t="str">
        <f>IF(Plantilla_SCAN_EQ3_COUNT_2[[#This Row],[ID MATERIAL]]="","",B1548)</f>
        <v/>
      </c>
      <c r="C1549" s="21"/>
      <c r="D1549" s="21"/>
      <c r="E1549" s="7" t="str">
        <f>IF(Plantilla_SCAN_EQ3_COUNT_2[[#This Row],[ID MATERIAL]]="","",VLOOKUP(Plantilla_SCAN_EQ3_COUNT_2[[#This Row],[ID MATERIAL]],INVENTARIO!$A:$D,2,FALSE))</f>
        <v/>
      </c>
      <c r="F1549" s="7" t="str">
        <f>IF(Plantilla_SCAN_EQ3_COUNT_2[[#This Row],[ID MATERIAL]]="","",IF(Plantilla_SCAN_EQ3_COUNT_2[[#This Row],[No. Empaques]]="",1,Plantilla_SCAN_EQ3_COUNT_2[[#This Row],[No. Empaques]]*1))</f>
        <v/>
      </c>
      <c r="G1549" s="7" t="str">
        <f>IF(Plantilla_SCAN_EQ3_COUNT_2[[#This Row],[ID MATERIAL]]="","","PZ")</f>
        <v/>
      </c>
      <c r="H1549" s="7" t="str">
        <f>IF(Plantilla_SCAN_EQ3_COUNT_2[[#This Row],[ID MATERIAL]]="","",$B$13)</f>
        <v/>
      </c>
      <c r="I1549" s="7" t="str">
        <f>IF(Plantilla_SCAN_EQ3_COUNT_2[[#This Row],[ID MATERIAL]]="","","Segundo Conteo")</f>
        <v/>
      </c>
    </row>
    <row r="1550" spans="1:9" s="7" customFormat="1" ht="15" x14ac:dyDescent="0.2">
      <c r="A1550" s="7" t="str">
        <f>IF(Plantilla_SCAN_EQ3_COUNT_2[[#This Row],[ID MATERIAL]]="","",SIGN(Plantilla_SCAN_EQ3_COUNT_2[[#This Row],[Cantidad]])+A1549)</f>
        <v/>
      </c>
      <c r="B1550" s="21" t="str">
        <f>IF(Plantilla_SCAN_EQ3_COUNT_2[[#This Row],[ID MATERIAL]]="","",B1549)</f>
        <v/>
      </c>
      <c r="C1550" s="21"/>
      <c r="D1550" s="21"/>
      <c r="E1550" s="7" t="str">
        <f>IF(Plantilla_SCAN_EQ3_COUNT_2[[#This Row],[ID MATERIAL]]="","",VLOOKUP(Plantilla_SCAN_EQ3_COUNT_2[[#This Row],[ID MATERIAL]],INVENTARIO!$A:$D,2,FALSE))</f>
        <v/>
      </c>
      <c r="F1550" s="7" t="str">
        <f>IF(Plantilla_SCAN_EQ3_COUNT_2[[#This Row],[ID MATERIAL]]="","",IF(Plantilla_SCAN_EQ3_COUNT_2[[#This Row],[No. Empaques]]="",1,Plantilla_SCAN_EQ3_COUNT_2[[#This Row],[No. Empaques]]*1))</f>
        <v/>
      </c>
      <c r="G1550" s="7" t="str">
        <f>IF(Plantilla_SCAN_EQ3_COUNT_2[[#This Row],[ID MATERIAL]]="","","PZ")</f>
        <v/>
      </c>
      <c r="H1550" s="7" t="str">
        <f>IF(Plantilla_SCAN_EQ3_COUNT_2[[#This Row],[ID MATERIAL]]="","",$B$13)</f>
        <v/>
      </c>
      <c r="I1550" s="7" t="str">
        <f>IF(Plantilla_SCAN_EQ3_COUNT_2[[#This Row],[ID MATERIAL]]="","","Segundo Conteo")</f>
        <v/>
      </c>
    </row>
    <row r="1551" spans="1:9" s="7" customFormat="1" ht="15" x14ac:dyDescent="0.2">
      <c r="A1551" s="7" t="str">
        <f>IF(Plantilla_SCAN_EQ3_COUNT_2[[#This Row],[ID MATERIAL]]="","",SIGN(Plantilla_SCAN_EQ3_COUNT_2[[#This Row],[Cantidad]])+A1550)</f>
        <v/>
      </c>
      <c r="B1551" s="21" t="str">
        <f>IF(Plantilla_SCAN_EQ3_COUNT_2[[#This Row],[ID MATERIAL]]="","",B1550)</f>
        <v/>
      </c>
      <c r="C1551" s="21"/>
      <c r="D1551" s="21"/>
      <c r="E1551" s="7" t="str">
        <f>IF(Plantilla_SCAN_EQ3_COUNT_2[[#This Row],[ID MATERIAL]]="","",VLOOKUP(Plantilla_SCAN_EQ3_COUNT_2[[#This Row],[ID MATERIAL]],INVENTARIO!$A:$D,2,FALSE))</f>
        <v/>
      </c>
      <c r="F1551" s="7" t="str">
        <f>IF(Plantilla_SCAN_EQ3_COUNT_2[[#This Row],[ID MATERIAL]]="","",IF(Plantilla_SCAN_EQ3_COUNT_2[[#This Row],[No. Empaques]]="",1,Plantilla_SCAN_EQ3_COUNT_2[[#This Row],[No. Empaques]]*1))</f>
        <v/>
      </c>
      <c r="G1551" s="7" t="str">
        <f>IF(Plantilla_SCAN_EQ3_COUNT_2[[#This Row],[ID MATERIAL]]="","","PZ")</f>
        <v/>
      </c>
      <c r="H1551" s="7" t="str">
        <f>IF(Plantilla_SCAN_EQ3_COUNT_2[[#This Row],[ID MATERIAL]]="","",$B$13)</f>
        <v/>
      </c>
      <c r="I1551" s="7" t="str">
        <f>IF(Plantilla_SCAN_EQ3_COUNT_2[[#This Row],[ID MATERIAL]]="","","Segundo Conteo")</f>
        <v/>
      </c>
    </row>
    <row r="1552" spans="1:9" s="7" customFormat="1" ht="15" x14ac:dyDescent="0.2">
      <c r="A1552" s="7" t="str">
        <f>IF(Plantilla_SCAN_EQ3_COUNT_2[[#This Row],[ID MATERIAL]]="","",SIGN(Plantilla_SCAN_EQ3_COUNT_2[[#This Row],[Cantidad]])+A1551)</f>
        <v/>
      </c>
      <c r="B1552" s="21" t="str">
        <f>IF(Plantilla_SCAN_EQ3_COUNT_2[[#This Row],[ID MATERIAL]]="","",B1551)</f>
        <v/>
      </c>
      <c r="C1552" s="21"/>
      <c r="D1552" s="21"/>
      <c r="E1552" s="7" t="str">
        <f>IF(Plantilla_SCAN_EQ3_COUNT_2[[#This Row],[ID MATERIAL]]="","",VLOOKUP(Plantilla_SCAN_EQ3_COUNT_2[[#This Row],[ID MATERIAL]],INVENTARIO!$A:$D,2,FALSE))</f>
        <v/>
      </c>
      <c r="F1552" s="7" t="str">
        <f>IF(Plantilla_SCAN_EQ3_COUNT_2[[#This Row],[ID MATERIAL]]="","",IF(Plantilla_SCAN_EQ3_COUNT_2[[#This Row],[No. Empaques]]="",1,Plantilla_SCAN_EQ3_COUNT_2[[#This Row],[No. Empaques]]*1))</f>
        <v/>
      </c>
      <c r="G1552" s="7" t="str">
        <f>IF(Plantilla_SCAN_EQ3_COUNT_2[[#This Row],[ID MATERIAL]]="","","PZ")</f>
        <v/>
      </c>
      <c r="H1552" s="7" t="str">
        <f>IF(Plantilla_SCAN_EQ3_COUNT_2[[#This Row],[ID MATERIAL]]="","",$B$13)</f>
        <v/>
      </c>
      <c r="I1552" s="7" t="str">
        <f>IF(Plantilla_SCAN_EQ3_COUNT_2[[#This Row],[ID MATERIAL]]="","","Segundo Conteo")</f>
        <v/>
      </c>
    </row>
    <row r="1553" spans="1:9" s="7" customFormat="1" ht="15" x14ac:dyDescent="0.2">
      <c r="A1553" s="7" t="str">
        <f>IF(Plantilla_SCAN_EQ3_COUNT_2[[#This Row],[ID MATERIAL]]="","",SIGN(Plantilla_SCAN_EQ3_COUNT_2[[#This Row],[Cantidad]])+A1552)</f>
        <v/>
      </c>
      <c r="B1553" s="21" t="str">
        <f>IF(Plantilla_SCAN_EQ3_COUNT_2[[#This Row],[ID MATERIAL]]="","",B1552)</f>
        <v/>
      </c>
      <c r="C1553" s="21"/>
      <c r="D1553" s="21"/>
      <c r="E1553" s="7" t="str">
        <f>IF(Plantilla_SCAN_EQ3_COUNT_2[[#This Row],[ID MATERIAL]]="","",VLOOKUP(Plantilla_SCAN_EQ3_COUNT_2[[#This Row],[ID MATERIAL]],INVENTARIO!$A:$D,2,FALSE))</f>
        <v/>
      </c>
      <c r="F1553" s="7" t="str">
        <f>IF(Plantilla_SCAN_EQ3_COUNT_2[[#This Row],[ID MATERIAL]]="","",IF(Plantilla_SCAN_EQ3_COUNT_2[[#This Row],[No. Empaques]]="",1,Plantilla_SCAN_EQ3_COUNT_2[[#This Row],[No. Empaques]]*1))</f>
        <v/>
      </c>
      <c r="G1553" s="7" t="str">
        <f>IF(Plantilla_SCAN_EQ3_COUNT_2[[#This Row],[ID MATERIAL]]="","","PZ")</f>
        <v/>
      </c>
      <c r="H1553" s="7" t="str">
        <f>IF(Plantilla_SCAN_EQ3_COUNT_2[[#This Row],[ID MATERIAL]]="","",$B$13)</f>
        <v/>
      </c>
      <c r="I1553" s="7" t="str">
        <f>IF(Plantilla_SCAN_EQ3_COUNT_2[[#This Row],[ID MATERIAL]]="","","Segundo Conteo")</f>
        <v/>
      </c>
    </row>
    <row r="1554" spans="1:9" s="7" customFormat="1" ht="15" x14ac:dyDescent="0.2">
      <c r="A1554" s="7" t="str">
        <f>IF(Plantilla_SCAN_EQ3_COUNT_2[[#This Row],[ID MATERIAL]]="","",SIGN(Plantilla_SCAN_EQ3_COUNT_2[[#This Row],[Cantidad]])+A1553)</f>
        <v/>
      </c>
      <c r="B1554" s="21" t="str">
        <f>IF(Plantilla_SCAN_EQ3_COUNT_2[[#This Row],[ID MATERIAL]]="","",B1553)</f>
        <v/>
      </c>
      <c r="C1554" s="21"/>
      <c r="D1554" s="21"/>
      <c r="E1554" s="7" t="str">
        <f>IF(Plantilla_SCAN_EQ3_COUNT_2[[#This Row],[ID MATERIAL]]="","",VLOOKUP(Plantilla_SCAN_EQ3_COUNT_2[[#This Row],[ID MATERIAL]],INVENTARIO!$A:$D,2,FALSE))</f>
        <v/>
      </c>
      <c r="F1554" s="7" t="str">
        <f>IF(Plantilla_SCAN_EQ3_COUNT_2[[#This Row],[ID MATERIAL]]="","",IF(Plantilla_SCAN_EQ3_COUNT_2[[#This Row],[No. Empaques]]="",1,Plantilla_SCAN_EQ3_COUNT_2[[#This Row],[No. Empaques]]*1))</f>
        <v/>
      </c>
      <c r="G1554" s="7" t="str">
        <f>IF(Plantilla_SCAN_EQ3_COUNT_2[[#This Row],[ID MATERIAL]]="","","PZ")</f>
        <v/>
      </c>
      <c r="H1554" s="7" t="str">
        <f>IF(Plantilla_SCAN_EQ3_COUNT_2[[#This Row],[ID MATERIAL]]="","",$B$13)</f>
        <v/>
      </c>
      <c r="I1554" s="7" t="str">
        <f>IF(Plantilla_SCAN_EQ3_COUNT_2[[#This Row],[ID MATERIAL]]="","","Segundo Conteo")</f>
        <v/>
      </c>
    </row>
    <row r="1555" spans="1:9" s="7" customFormat="1" ht="15" x14ac:dyDescent="0.2">
      <c r="A1555" s="7" t="str">
        <f>IF(Plantilla_SCAN_EQ3_COUNT_2[[#This Row],[ID MATERIAL]]="","",SIGN(Plantilla_SCAN_EQ3_COUNT_2[[#This Row],[Cantidad]])+A1554)</f>
        <v/>
      </c>
      <c r="B1555" s="21" t="str">
        <f>IF(Plantilla_SCAN_EQ3_COUNT_2[[#This Row],[ID MATERIAL]]="","",B1554)</f>
        <v/>
      </c>
      <c r="C1555" s="21"/>
      <c r="D1555" s="21"/>
      <c r="E1555" s="7" t="str">
        <f>IF(Plantilla_SCAN_EQ3_COUNT_2[[#This Row],[ID MATERIAL]]="","",VLOOKUP(Plantilla_SCAN_EQ3_COUNT_2[[#This Row],[ID MATERIAL]],INVENTARIO!$A:$D,2,FALSE))</f>
        <v/>
      </c>
      <c r="F1555" s="7" t="str">
        <f>IF(Plantilla_SCAN_EQ3_COUNT_2[[#This Row],[ID MATERIAL]]="","",IF(Plantilla_SCAN_EQ3_COUNT_2[[#This Row],[No. Empaques]]="",1,Plantilla_SCAN_EQ3_COUNT_2[[#This Row],[No. Empaques]]*1))</f>
        <v/>
      </c>
      <c r="G1555" s="7" t="str">
        <f>IF(Plantilla_SCAN_EQ3_COUNT_2[[#This Row],[ID MATERIAL]]="","","PZ")</f>
        <v/>
      </c>
      <c r="H1555" s="7" t="str">
        <f>IF(Plantilla_SCAN_EQ3_COUNT_2[[#This Row],[ID MATERIAL]]="","",$B$13)</f>
        <v/>
      </c>
      <c r="I1555" s="7" t="str">
        <f>IF(Plantilla_SCAN_EQ3_COUNT_2[[#This Row],[ID MATERIAL]]="","","Segundo Conteo")</f>
        <v/>
      </c>
    </row>
    <row r="1556" spans="1:9" s="7" customFormat="1" ht="15" x14ac:dyDescent="0.2">
      <c r="A1556" s="7" t="str">
        <f>IF(Plantilla_SCAN_EQ3_COUNT_2[[#This Row],[ID MATERIAL]]="","",SIGN(Plantilla_SCAN_EQ3_COUNT_2[[#This Row],[Cantidad]])+A1555)</f>
        <v/>
      </c>
      <c r="B1556" s="21" t="str">
        <f>IF(Plantilla_SCAN_EQ3_COUNT_2[[#This Row],[ID MATERIAL]]="","",B1555)</f>
        <v/>
      </c>
      <c r="C1556" s="21"/>
      <c r="D1556" s="21"/>
      <c r="E1556" s="7" t="str">
        <f>IF(Plantilla_SCAN_EQ3_COUNT_2[[#This Row],[ID MATERIAL]]="","",VLOOKUP(Plantilla_SCAN_EQ3_COUNT_2[[#This Row],[ID MATERIAL]],INVENTARIO!$A:$D,2,FALSE))</f>
        <v/>
      </c>
      <c r="F1556" s="7" t="str">
        <f>IF(Plantilla_SCAN_EQ3_COUNT_2[[#This Row],[ID MATERIAL]]="","",IF(Plantilla_SCAN_EQ3_COUNT_2[[#This Row],[No. Empaques]]="",1,Plantilla_SCAN_EQ3_COUNT_2[[#This Row],[No. Empaques]]*1))</f>
        <v/>
      </c>
      <c r="G1556" s="7" t="str">
        <f>IF(Plantilla_SCAN_EQ3_COUNT_2[[#This Row],[ID MATERIAL]]="","","PZ")</f>
        <v/>
      </c>
      <c r="H1556" s="7" t="str">
        <f>IF(Plantilla_SCAN_EQ3_COUNT_2[[#This Row],[ID MATERIAL]]="","",$B$13)</f>
        <v/>
      </c>
      <c r="I1556" s="7" t="str">
        <f>IF(Plantilla_SCAN_EQ3_COUNT_2[[#This Row],[ID MATERIAL]]="","","Segundo Conteo")</f>
        <v/>
      </c>
    </row>
    <row r="1557" spans="1:9" s="7" customFormat="1" ht="15" x14ac:dyDescent="0.2">
      <c r="A1557" s="7" t="str">
        <f>IF(Plantilla_SCAN_EQ3_COUNT_2[[#This Row],[ID MATERIAL]]="","",SIGN(Plantilla_SCAN_EQ3_COUNT_2[[#This Row],[Cantidad]])+A1556)</f>
        <v/>
      </c>
      <c r="B1557" s="21" t="str">
        <f>IF(Plantilla_SCAN_EQ3_COUNT_2[[#This Row],[ID MATERIAL]]="","",B1556)</f>
        <v/>
      </c>
      <c r="C1557" s="21"/>
      <c r="D1557" s="21"/>
      <c r="E1557" s="7" t="str">
        <f>IF(Plantilla_SCAN_EQ3_COUNT_2[[#This Row],[ID MATERIAL]]="","",VLOOKUP(Plantilla_SCAN_EQ3_COUNT_2[[#This Row],[ID MATERIAL]],INVENTARIO!$A:$D,2,FALSE))</f>
        <v/>
      </c>
      <c r="F1557" s="7" t="str">
        <f>IF(Plantilla_SCAN_EQ3_COUNT_2[[#This Row],[ID MATERIAL]]="","",IF(Plantilla_SCAN_EQ3_COUNT_2[[#This Row],[No. Empaques]]="",1,Plantilla_SCAN_EQ3_COUNT_2[[#This Row],[No. Empaques]]*1))</f>
        <v/>
      </c>
      <c r="G1557" s="7" t="str">
        <f>IF(Plantilla_SCAN_EQ3_COUNT_2[[#This Row],[ID MATERIAL]]="","","PZ")</f>
        <v/>
      </c>
      <c r="H1557" s="7" t="str">
        <f>IF(Plantilla_SCAN_EQ3_COUNT_2[[#This Row],[ID MATERIAL]]="","",$B$13)</f>
        <v/>
      </c>
      <c r="I1557" s="7" t="str">
        <f>IF(Plantilla_SCAN_EQ3_COUNT_2[[#This Row],[ID MATERIAL]]="","","Segundo Conteo")</f>
        <v/>
      </c>
    </row>
    <row r="1558" spans="1:9" s="7" customFormat="1" ht="15" x14ac:dyDescent="0.2">
      <c r="A1558" s="7" t="str">
        <f>IF(Plantilla_SCAN_EQ3_COUNT_2[[#This Row],[ID MATERIAL]]="","",SIGN(Plantilla_SCAN_EQ3_COUNT_2[[#This Row],[Cantidad]])+A1557)</f>
        <v/>
      </c>
      <c r="B1558" s="21" t="str">
        <f>IF(Plantilla_SCAN_EQ3_COUNT_2[[#This Row],[ID MATERIAL]]="","",B1557)</f>
        <v/>
      </c>
      <c r="C1558" s="21"/>
      <c r="D1558" s="21"/>
      <c r="E1558" s="7" t="str">
        <f>IF(Plantilla_SCAN_EQ3_COUNT_2[[#This Row],[ID MATERIAL]]="","",VLOOKUP(Plantilla_SCAN_EQ3_COUNT_2[[#This Row],[ID MATERIAL]],INVENTARIO!$A:$D,2,FALSE))</f>
        <v/>
      </c>
      <c r="F1558" s="7" t="str">
        <f>IF(Plantilla_SCAN_EQ3_COUNT_2[[#This Row],[ID MATERIAL]]="","",IF(Plantilla_SCAN_EQ3_COUNT_2[[#This Row],[No. Empaques]]="",1,Plantilla_SCAN_EQ3_COUNT_2[[#This Row],[No. Empaques]]*1))</f>
        <v/>
      </c>
      <c r="G1558" s="7" t="str">
        <f>IF(Plantilla_SCAN_EQ3_COUNT_2[[#This Row],[ID MATERIAL]]="","","PZ")</f>
        <v/>
      </c>
      <c r="H1558" s="7" t="str">
        <f>IF(Plantilla_SCAN_EQ3_COUNT_2[[#This Row],[ID MATERIAL]]="","",$B$13)</f>
        <v/>
      </c>
      <c r="I1558" s="7" t="str">
        <f>IF(Plantilla_SCAN_EQ3_COUNT_2[[#This Row],[ID MATERIAL]]="","","Segundo Conteo")</f>
        <v/>
      </c>
    </row>
    <row r="1559" spans="1:9" s="7" customFormat="1" ht="15" x14ac:dyDescent="0.2">
      <c r="A1559" s="7" t="str">
        <f>IF(Plantilla_SCAN_EQ3_COUNT_2[[#This Row],[ID MATERIAL]]="","",SIGN(Plantilla_SCAN_EQ3_COUNT_2[[#This Row],[Cantidad]])+A1558)</f>
        <v/>
      </c>
      <c r="B1559" s="21" t="str">
        <f>IF(Plantilla_SCAN_EQ3_COUNT_2[[#This Row],[ID MATERIAL]]="","",B1558)</f>
        <v/>
      </c>
      <c r="C1559" s="21"/>
      <c r="D1559" s="21"/>
      <c r="E1559" s="7" t="str">
        <f>IF(Plantilla_SCAN_EQ3_COUNT_2[[#This Row],[ID MATERIAL]]="","",VLOOKUP(Plantilla_SCAN_EQ3_COUNT_2[[#This Row],[ID MATERIAL]],INVENTARIO!$A:$D,2,FALSE))</f>
        <v/>
      </c>
      <c r="F1559" s="7" t="str">
        <f>IF(Plantilla_SCAN_EQ3_COUNT_2[[#This Row],[ID MATERIAL]]="","",IF(Plantilla_SCAN_EQ3_COUNT_2[[#This Row],[No. Empaques]]="",1,Plantilla_SCAN_EQ3_COUNT_2[[#This Row],[No. Empaques]]*1))</f>
        <v/>
      </c>
      <c r="G1559" s="7" t="str">
        <f>IF(Plantilla_SCAN_EQ3_COUNT_2[[#This Row],[ID MATERIAL]]="","","PZ")</f>
        <v/>
      </c>
      <c r="H1559" s="7" t="str">
        <f>IF(Plantilla_SCAN_EQ3_COUNT_2[[#This Row],[ID MATERIAL]]="","",$B$13)</f>
        <v/>
      </c>
      <c r="I1559" s="7" t="str">
        <f>IF(Plantilla_SCAN_EQ3_COUNT_2[[#This Row],[ID MATERIAL]]="","","Segundo Conteo")</f>
        <v/>
      </c>
    </row>
    <row r="1560" spans="1:9" s="7" customFormat="1" ht="15" x14ac:dyDescent="0.2">
      <c r="A1560" s="7" t="str">
        <f>IF(Plantilla_SCAN_EQ3_COUNT_2[[#This Row],[ID MATERIAL]]="","",SIGN(Plantilla_SCAN_EQ3_COUNT_2[[#This Row],[Cantidad]])+A1559)</f>
        <v/>
      </c>
      <c r="B1560" s="21" t="str">
        <f>IF(Plantilla_SCAN_EQ3_COUNT_2[[#This Row],[ID MATERIAL]]="","",B1559)</f>
        <v/>
      </c>
      <c r="C1560" s="21"/>
      <c r="D1560" s="21"/>
      <c r="E1560" s="7" t="str">
        <f>IF(Plantilla_SCAN_EQ3_COUNT_2[[#This Row],[ID MATERIAL]]="","",VLOOKUP(Plantilla_SCAN_EQ3_COUNT_2[[#This Row],[ID MATERIAL]],INVENTARIO!$A:$D,2,FALSE))</f>
        <v/>
      </c>
      <c r="F1560" s="7" t="str">
        <f>IF(Plantilla_SCAN_EQ3_COUNT_2[[#This Row],[ID MATERIAL]]="","",IF(Plantilla_SCAN_EQ3_COUNT_2[[#This Row],[No. Empaques]]="",1,Plantilla_SCAN_EQ3_COUNT_2[[#This Row],[No. Empaques]]*1))</f>
        <v/>
      </c>
      <c r="G1560" s="7" t="str">
        <f>IF(Plantilla_SCAN_EQ3_COUNT_2[[#This Row],[ID MATERIAL]]="","","PZ")</f>
        <v/>
      </c>
      <c r="H1560" s="7" t="str">
        <f>IF(Plantilla_SCAN_EQ3_COUNT_2[[#This Row],[ID MATERIAL]]="","",$B$13)</f>
        <v/>
      </c>
      <c r="I1560" s="7" t="str">
        <f>IF(Plantilla_SCAN_EQ3_COUNT_2[[#This Row],[ID MATERIAL]]="","","Segundo Conteo")</f>
        <v/>
      </c>
    </row>
    <row r="1561" spans="1:9" s="7" customFormat="1" ht="15" x14ac:dyDescent="0.2">
      <c r="A1561" s="7" t="str">
        <f>IF(Plantilla_SCAN_EQ3_COUNT_2[[#This Row],[ID MATERIAL]]="","",SIGN(Plantilla_SCAN_EQ3_COUNT_2[[#This Row],[Cantidad]])+A1560)</f>
        <v/>
      </c>
      <c r="B1561" s="21" t="str">
        <f>IF(Plantilla_SCAN_EQ3_COUNT_2[[#This Row],[ID MATERIAL]]="","",B1560)</f>
        <v/>
      </c>
      <c r="C1561" s="21"/>
      <c r="D1561" s="21"/>
      <c r="E1561" s="7" t="str">
        <f>IF(Plantilla_SCAN_EQ3_COUNT_2[[#This Row],[ID MATERIAL]]="","",VLOOKUP(Plantilla_SCAN_EQ3_COUNT_2[[#This Row],[ID MATERIAL]],INVENTARIO!$A:$D,2,FALSE))</f>
        <v/>
      </c>
      <c r="F1561" s="7" t="str">
        <f>IF(Plantilla_SCAN_EQ3_COUNT_2[[#This Row],[ID MATERIAL]]="","",IF(Plantilla_SCAN_EQ3_COUNT_2[[#This Row],[No. Empaques]]="",1,Plantilla_SCAN_EQ3_COUNT_2[[#This Row],[No. Empaques]]*1))</f>
        <v/>
      </c>
      <c r="G1561" s="7" t="str">
        <f>IF(Plantilla_SCAN_EQ3_COUNT_2[[#This Row],[ID MATERIAL]]="","","PZ")</f>
        <v/>
      </c>
      <c r="H1561" s="7" t="str">
        <f>IF(Plantilla_SCAN_EQ3_COUNT_2[[#This Row],[ID MATERIAL]]="","",$B$13)</f>
        <v/>
      </c>
      <c r="I1561" s="7" t="str">
        <f>IF(Plantilla_SCAN_EQ3_COUNT_2[[#This Row],[ID MATERIAL]]="","","Segundo Conteo")</f>
        <v/>
      </c>
    </row>
    <row r="1562" spans="1:9" s="7" customFormat="1" ht="15" x14ac:dyDescent="0.2">
      <c r="A1562" s="7" t="str">
        <f>IF(Plantilla_SCAN_EQ3_COUNT_2[[#This Row],[ID MATERIAL]]="","",SIGN(Plantilla_SCAN_EQ3_COUNT_2[[#This Row],[Cantidad]])+A1561)</f>
        <v/>
      </c>
      <c r="B1562" s="21" t="str">
        <f>IF(Plantilla_SCAN_EQ3_COUNT_2[[#This Row],[ID MATERIAL]]="","",B1561)</f>
        <v/>
      </c>
      <c r="C1562" s="21"/>
      <c r="D1562" s="21"/>
      <c r="E1562" s="7" t="str">
        <f>IF(Plantilla_SCAN_EQ3_COUNT_2[[#This Row],[ID MATERIAL]]="","",VLOOKUP(Plantilla_SCAN_EQ3_COUNT_2[[#This Row],[ID MATERIAL]],INVENTARIO!$A:$D,2,FALSE))</f>
        <v/>
      </c>
      <c r="F1562" s="7" t="str">
        <f>IF(Plantilla_SCAN_EQ3_COUNT_2[[#This Row],[ID MATERIAL]]="","",IF(Plantilla_SCAN_EQ3_COUNT_2[[#This Row],[No. Empaques]]="",1,Plantilla_SCAN_EQ3_COUNT_2[[#This Row],[No. Empaques]]*1))</f>
        <v/>
      </c>
      <c r="G1562" s="7" t="str">
        <f>IF(Plantilla_SCAN_EQ3_COUNT_2[[#This Row],[ID MATERIAL]]="","","PZ")</f>
        <v/>
      </c>
      <c r="H1562" s="7" t="str">
        <f>IF(Plantilla_SCAN_EQ3_COUNT_2[[#This Row],[ID MATERIAL]]="","",$B$13)</f>
        <v/>
      </c>
      <c r="I1562" s="7" t="str">
        <f>IF(Plantilla_SCAN_EQ3_COUNT_2[[#This Row],[ID MATERIAL]]="","","Segundo Conteo")</f>
        <v/>
      </c>
    </row>
    <row r="1563" spans="1:9" s="7" customFormat="1" ht="15" x14ac:dyDescent="0.2">
      <c r="A1563" s="7" t="str">
        <f>IF(Plantilla_SCAN_EQ3_COUNT_2[[#This Row],[ID MATERIAL]]="","",SIGN(Plantilla_SCAN_EQ3_COUNT_2[[#This Row],[Cantidad]])+A1562)</f>
        <v/>
      </c>
      <c r="B1563" s="21" t="str">
        <f>IF(Plantilla_SCAN_EQ3_COUNT_2[[#This Row],[ID MATERIAL]]="","",B1562)</f>
        <v/>
      </c>
      <c r="C1563" s="21"/>
      <c r="D1563" s="21"/>
      <c r="E1563" s="7" t="str">
        <f>IF(Plantilla_SCAN_EQ3_COUNT_2[[#This Row],[ID MATERIAL]]="","",VLOOKUP(Plantilla_SCAN_EQ3_COUNT_2[[#This Row],[ID MATERIAL]],INVENTARIO!$A:$D,2,FALSE))</f>
        <v/>
      </c>
      <c r="F1563" s="7" t="str">
        <f>IF(Plantilla_SCAN_EQ3_COUNT_2[[#This Row],[ID MATERIAL]]="","",IF(Plantilla_SCAN_EQ3_COUNT_2[[#This Row],[No. Empaques]]="",1,Plantilla_SCAN_EQ3_COUNT_2[[#This Row],[No. Empaques]]*1))</f>
        <v/>
      </c>
      <c r="G1563" s="7" t="str">
        <f>IF(Plantilla_SCAN_EQ3_COUNT_2[[#This Row],[ID MATERIAL]]="","","PZ")</f>
        <v/>
      </c>
      <c r="H1563" s="7" t="str">
        <f>IF(Plantilla_SCAN_EQ3_COUNT_2[[#This Row],[ID MATERIAL]]="","",$B$13)</f>
        <v/>
      </c>
      <c r="I1563" s="7" t="str">
        <f>IF(Plantilla_SCAN_EQ3_COUNT_2[[#This Row],[ID MATERIAL]]="","","Segundo Conteo")</f>
        <v/>
      </c>
    </row>
    <row r="1564" spans="1:9" s="7" customFormat="1" ht="15" x14ac:dyDescent="0.2">
      <c r="A1564" s="7" t="str">
        <f>IF(Plantilla_SCAN_EQ3_COUNT_2[[#This Row],[ID MATERIAL]]="","",SIGN(Plantilla_SCAN_EQ3_COUNT_2[[#This Row],[Cantidad]])+A1563)</f>
        <v/>
      </c>
      <c r="B1564" s="21" t="str">
        <f>IF(Plantilla_SCAN_EQ3_COUNT_2[[#This Row],[ID MATERIAL]]="","",B1563)</f>
        <v/>
      </c>
      <c r="C1564" s="21"/>
      <c r="D1564" s="21"/>
      <c r="E1564" s="7" t="str">
        <f>IF(Plantilla_SCAN_EQ3_COUNT_2[[#This Row],[ID MATERIAL]]="","",VLOOKUP(Plantilla_SCAN_EQ3_COUNT_2[[#This Row],[ID MATERIAL]],INVENTARIO!$A:$D,2,FALSE))</f>
        <v/>
      </c>
      <c r="F1564" s="7" t="str">
        <f>IF(Plantilla_SCAN_EQ3_COUNT_2[[#This Row],[ID MATERIAL]]="","",IF(Plantilla_SCAN_EQ3_COUNT_2[[#This Row],[No. Empaques]]="",1,Plantilla_SCAN_EQ3_COUNT_2[[#This Row],[No. Empaques]]*1))</f>
        <v/>
      </c>
      <c r="G1564" s="7" t="str">
        <f>IF(Plantilla_SCAN_EQ3_COUNT_2[[#This Row],[ID MATERIAL]]="","","PZ")</f>
        <v/>
      </c>
      <c r="H1564" s="7" t="str">
        <f>IF(Plantilla_SCAN_EQ3_COUNT_2[[#This Row],[ID MATERIAL]]="","",$B$13)</f>
        <v/>
      </c>
      <c r="I1564" s="7" t="str">
        <f>IF(Plantilla_SCAN_EQ3_COUNT_2[[#This Row],[ID MATERIAL]]="","","Segundo Conteo")</f>
        <v/>
      </c>
    </row>
    <row r="1565" spans="1:9" s="7" customFormat="1" ht="15" x14ac:dyDescent="0.2">
      <c r="A1565" s="7" t="str">
        <f>IF(Plantilla_SCAN_EQ3_COUNT_2[[#This Row],[ID MATERIAL]]="","",SIGN(Plantilla_SCAN_EQ3_COUNT_2[[#This Row],[Cantidad]])+A1564)</f>
        <v/>
      </c>
      <c r="B1565" s="21" t="str">
        <f>IF(Plantilla_SCAN_EQ3_COUNT_2[[#This Row],[ID MATERIAL]]="","",B1564)</f>
        <v/>
      </c>
      <c r="C1565" s="21"/>
      <c r="D1565" s="21"/>
      <c r="E1565" s="7" t="str">
        <f>IF(Plantilla_SCAN_EQ3_COUNT_2[[#This Row],[ID MATERIAL]]="","",VLOOKUP(Plantilla_SCAN_EQ3_COUNT_2[[#This Row],[ID MATERIAL]],INVENTARIO!$A:$D,2,FALSE))</f>
        <v/>
      </c>
      <c r="F1565" s="7" t="str">
        <f>IF(Plantilla_SCAN_EQ3_COUNT_2[[#This Row],[ID MATERIAL]]="","",IF(Plantilla_SCAN_EQ3_COUNT_2[[#This Row],[No. Empaques]]="",1,Plantilla_SCAN_EQ3_COUNT_2[[#This Row],[No. Empaques]]*1))</f>
        <v/>
      </c>
      <c r="G1565" s="7" t="str">
        <f>IF(Plantilla_SCAN_EQ3_COUNT_2[[#This Row],[ID MATERIAL]]="","","PZ")</f>
        <v/>
      </c>
      <c r="H1565" s="7" t="str">
        <f>IF(Plantilla_SCAN_EQ3_COUNT_2[[#This Row],[ID MATERIAL]]="","",$B$13)</f>
        <v/>
      </c>
      <c r="I1565" s="7" t="str">
        <f>IF(Plantilla_SCAN_EQ3_COUNT_2[[#This Row],[ID MATERIAL]]="","","Segundo Conteo")</f>
        <v/>
      </c>
    </row>
    <row r="1566" spans="1:9" s="7" customFormat="1" ht="15" x14ac:dyDescent="0.2">
      <c r="A1566" s="7" t="str">
        <f>IF(Plantilla_SCAN_EQ3_COUNT_2[[#This Row],[ID MATERIAL]]="","",SIGN(Plantilla_SCAN_EQ3_COUNT_2[[#This Row],[Cantidad]])+A1565)</f>
        <v/>
      </c>
      <c r="B1566" s="21" t="str">
        <f>IF(Plantilla_SCAN_EQ3_COUNT_2[[#This Row],[ID MATERIAL]]="","",B1565)</f>
        <v/>
      </c>
      <c r="C1566" s="21"/>
      <c r="D1566" s="21"/>
      <c r="E1566" s="7" t="str">
        <f>IF(Plantilla_SCAN_EQ3_COUNT_2[[#This Row],[ID MATERIAL]]="","",VLOOKUP(Plantilla_SCAN_EQ3_COUNT_2[[#This Row],[ID MATERIAL]],INVENTARIO!$A:$D,2,FALSE))</f>
        <v/>
      </c>
      <c r="F1566" s="7" t="str">
        <f>IF(Plantilla_SCAN_EQ3_COUNT_2[[#This Row],[ID MATERIAL]]="","",IF(Plantilla_SCAN_EQ3_COUNT_2[[#This Row],[No. Empaques]]="",1,Plantilla_SCAN_EQ3_COUNT_2[[#This Row],[No. Empaques]]*1))</f>
        <v/>
      </c>
      <c r="G1566" s="7" t="str">
        <f>IF(Plantilla_SCAN_EQ3_COUNT_2[[#This Row],[ID MATERIAL]]="","","PZ")</f>
        <v/>
      </c>
      <c r="H1566" s="7" t="str">
        <f>IF(Plantilla_SCAN_EQ3_COUNT_2[[#This Row],[ID MATERIAL]]="","",$B$13)</f>
        <v/>
      </c>
      <c r="I1566" s="7" t="str">
        <f>IF(Plantilla_SCAN_EQ3_COUNT_2[[#This Row],[ID MATERIAL]]="","","Segundo Conteo")</f>
        <v/>
      </c>
    </row>
    <row r="1567" spans="1:9" s="7" customFormat="1" ht="15" x14ac:dyDescent="0.2">
      <c r="A1567" s="7" t="str">
        <f>IF(Plantilla_SCAN_EQ3_COUNT_2[[#This Row],[ID MATERIAL]]="","",SIGN(Plantilla_SCAN_EQ3_COUNT_2[[#This Row],[Cantidad]])+A1566)</f>
        <v/>
      </c>
      <c r="B1567" s="21" t="str">
        <f>IF(Plantilla_SCAN_EQ3_COUNT_2[[#This Row],[ID MATERIAL]]="","",B1566)</f>
        <v/>
      </c>
      <c r="C1567" s="21"/>
      <c r="D1567" s="21"/>
      <c r="E1567" s="7" t="str">
        <f>IF(Plantilla_SCAN_EQ3_COUNT_2[[#This Row],[ID MATERIAL]]="","",VLOOKUP(Plantilla_SCAN_EQ3_COUNT_2[[#This Row],[ID MATERIAL]],INVENTARIO!$A:$D,2,FALSE))</f>
        <v/>
      </c>
      <c r="F1567" s="7" t="str">
        <f>IF(Plantilla_SCAN_EQ3_COUNT_2[[#This Row],[ID MATERIAL]]="","",IF(Plantilla_SCAN_EQ3_COUNT_2[[#This Row],[No. Empaques]]="",1,Plantilla_SCAN_EQ3_COUNT_2[[#This Row],[No. Empaques]]*1))</f>
        <v/>
      </c>
      <c r="G1567" s="7" t="str">
        <f>IF(Plantilla_SCAN_EQ3_COUNT_2[[#This Row],[ID MATERIAL]]="","","PZ")</f>
        <v/>
      </c>
      <c r="H1567" s="7" t="str">
        <f>IF(Plantilla_SCAN_EQ3_COUNT_2[[#This Row],[ID MATERIAL]]="","",$B$13)</f>
        <v/>
      </c>
      <c r="I1567" s="7" t="str">
        <f>IF(Plantilla_SCAN_EQ3_COUNT_2[[#This Row],[ID MATERIAL]]="","","Segundo Conteo")</f>
        <v/>
      </c>
    </row>
    <row r="1568" spans="1:9" s="7" customFormat="1" ht="15" x14ac:dyDescent="0.2">
      <c r="A1568" s="7" t="str">
        <f>IF(Plantilla_SCAN_EQ3_COUNT_2[[#This Row],[ID MATERIAL]]="","",SIGN(Plantilla_SCAN_EQ3_COUNT_2[[#This Row],[Cantidad]])+A1567)</f>
        <v/>
      </c>
      <c r="B1568" s="21" t="str">
        <f>IF(Plantilla_SCAN_EQ3_COUNT_2[[#This Row],[ID MATERIAL]]="","",B1567)</f>
        <v/>
      </c>
      <c r="C1568" s="21"/>
      <c r="D1568" s="21"/>
      <c r="E1568" s="7" t="str">
        <f>IF(Plantilla_SCAN_EQ3_COUNT_2[[#This Row],[ID MATERIAL]]="","",VLOOKUP(Plantilla_SCAN_EQ3_COUNT_2[[#This Row],[ID MATERIAL]],INVENTARIO!$A:$D,2,FALSE))</f>
        <v/>
      </c>
      <c r="F1568" s="7" t="str">
        <f>IF(Plantilla_SCAN_EQ3_COUNT_2[[#This Row],[ID MATERIAL]]="","",IF(Plantilla_SCAN_EQ3_COUNT_2[[#This Row],[No. Empaques]]="",1,Plantilla_SCAN_EQ3_COUNT_2[[#This Row],[No. Empaques]]*1))</f>
        <v/>
      </c>
      <c r="G1568" s="7" t="str">
        <f>IF(Plantilla_SCAN_EQ3_COUNT_2[[#This Row],[ID MATERIAL]]="","","PZ")</f>
        <v/>
      </c>
      <c r="H1568" s="7" t="str">
        <f>IF(Plantilla_SCAN_EQ3_COUNT_2[[#This Row],[ID MATERIAL]]="","",$B$13)</f>
        <v/>
      </c>
      <c r="I1568" s="7" t="str">
        <f>IF(Plantilla_SCAN_EQ3_COUNT_2[[#This Row],[ID MATERIAL]]="","","Segundo Conteo")</f>
        <v/>
      </c>
    </row>
    <row r="1569" spans="1:9" s="7" customFormat="1" ht="15" x14ac:dyDescent="0.2">
      <c r="A1569" s="7" t="str">
        <f>IF(Plantilla_SCAN_EQ3_COUNT_2[[#This Row],[ID MATERIAL]]="","",SIGN(Plantilla_SCAN_EQ3_COUNT_2[[#This Row],[Cantidad]])+A1568)</f>
        <v/>
      </c>
      <c r="B1569" s="21" t="str">
        <f>IF(Plantilla_SCAN_EQ3_COUNT_2[[#This Row],[ID MATERIAL]]="","",B1568)</f>
        <v/>
      </c>
      <c r="C1569" s="21"/>
      <c r="D1569" s="21"/>
      <c r="E1569" s="7" t="str">
        <f>IF(Plantilla_SCAN_EQ3_COUNT_2[[#This Row],[ID MATERIAL]]="","",VLOOKUP(Plantilla_SCAN_EQ3_COUNT_2[[#This Row],[ID MATERIAL]],INVENTARIO!$A:$D,2,FALSE))</f>
        <v/>
      </c>
      <c r="F1569" s="7" t="str">
        <f>IF(Plantilla_SCAN_EQ3_COUNT_2[[#This Row],[ID MATERIAL]]="","",IF(Plantilla_SCAN_EQ3_COUNT_2[[#This Row],[No. Empaques]]="",1,Plantilla_SCAN_EQ3_COUNT_2[[#This Row],[No. Empaques]]*1))</f>
        <v/>
      </c>
      <c r="G1569" s="7" t="str">
        <f>IF(Plantilla_SCAN_EQ3_COUNT_2[[#This Row],[ID MATERIAL]]="","","PZ")</f>
        <v/>
      </c>
      <c r="H1569" s="7" t="str">
        <f>IF(Plantilla_SCAN_EQ3_COUNT_2[[#This Row],[ID MATERIAL]]="","",$B$13)</f>
        <v/>
      </c>
      <c r="I1569" s="7" t="str">
        <f>IF(Plantilla_SCAN_EQ3_COUNT_2[[#This Row],[ID MATERIAL]]="","","Segundo Conteo")</f>
        <v/>
      </c>
    </row>
    <row r="1570" spans="1:9" s="7" customFormat="1" ht="15" x14ac:dyDescent="0.2">
      <c r="A1570" s="7" t="str">
        <f>IF(Plantilla_SCAN_EQ3_COUNT_2[[#This Row],[ID MATERIAL]]="","",SIGN(Plantilla_SCAN_EQ3_COUNT_2[[#This Row],[Cantidad]])+A1569)</f>
        <v/>
      </c>
      <c r="B1570" s="21" t="str">
        <f>IF(Plantilla_SCAN_EQ3_COUNT_2[[#This Row],[ID MATERIAL]]="","",B1569)</f>
        <v/>
      </c>
      <c r="C1570" s="21"/>
      <c r="D1570" s="21"/>
      <c r="E1570" s="7" t="str">
        <f>IF(Plantilla_SCAN_EQ3_COUNT_2[[#This Row],[ID MATERIAL]]="","",VLOOKUP(Plantilla_SCAN_EQ3_COUNT_2[[#This Row],[ID MATERIAL]],INVENTARIO!$A:$D,2,FALSE))</f>
        <v/>
      </c>
      <c r="F1570" s="7" t="str">
        <f>IF(Plantilla_SCAN_EQ3_COUNT_2[[#This Row],[ID MATERIAL]]="","",IF(Plantilla_SCAN_EQ3_COUNT_2[[#This Row],[No. Empaques]]="",1,Plantilla_SCAN_EQ3_COUNT_2[[#This Row],[No. Empaques]]*1))</f>
        <v/>
      </c>
      <c r="G1570" s="7" t="str">
        <f>IF(Plantilla_SCAN_EQ3_COUNT_2[[#This Row],[ID MATERIAL]]="","","PZ")</f>
        <v/>
      </c>
      <c r="H1570" s="7" t="str">
        <f>IF(Plantilla_SCAN_EQ3_COUNT_2[[#This Row],[ID MATERIAL]]="","",$B$13)</f>
        <v/>
      </c>
      <c r="I1570" s="7" t="str">
        <f>IF(Plantilla_SCAN_EQ3_COUNT_2[[#This Row],[ID MATERIAL]]="","","Segundo Conteo")</f>
        <v/>
      </c>
    </row>
    <row r="1571" spans="1:9" s="7" customFormat="1" ht="15" x14ac:dyDescent="0.2">
      <c r="A1571" s="7" t="str">
        <f>IF(Plantilla_SCAN_EQ3_COUNT_2[[#This Row],[ID MATERIAL]]="","",SIGN(Plantilla_SCAN_EQ3_COUNT_2[[#This Row],[Cantidad]])+A1570)</f>
        <v/>
      </c>
      <c r="B1571" s="21" t="str">
        <f>IF(Plantilla_SCAN_EQ3_COUNT_2[[#This Row],[ID MATERIAL]]="","",B1570)</f>
        <v/>
      </c>
      <c r="C1571" s="21"/>
      <c r="D1571" s="21"/>
      <c r="E1571" s="7" t="str">
        <f>IF(Plantilla_SCAN_EQ3_COUNT_2[[#This Row],[ID MATERIAL]]="","",VLOOKUP(Plantilla_SCAN_EQ3_COUNT_2[[#This Row],[ID MATERIAL]],INVENTARIO!$A:$D,2,FALSE))</f>
        <v/>
      </c>
      <c r="F1571" s="7" t="str">
        <f>IF(Plantilla_SCAN_EQ3_COUNT_2[[#This Row],[ID MATERIAL]]="","",IF(Plantilla_SCAN_EQ3_COUNT_2[[#This Row],[No. Empaques]]="",1,Plantilla_SCAN_EQ3_COUNT_2[[#This Row],[No. Empaques]]*1))</f>
        <v/>
      </c>
      <c r="G1571" s="7" t="str">
        <f>IF(Plantilla_SCAN_EQ3_COUNT_2[[#This Row],[ID MATERIAL]]="","","PZ")</f>
        <v/>
      </c>
      <c r="H1571" s="7" t="str">
        <f>IF(Plantilla_SCAN_EQ3_COUNT_2[[#This Row],[ID MATERIAL]]="","",$B$13)</f>
        <v/>
      </c>
      <c r="I1571" s="7" t="str">
        <f>IF(Plantilla_SCAN_EQ3_COUNT_2[[#This Row],[ID MATERIAL]]="","","Segundo Conteo")</f>
        <v/>
      </c>
    </row>
    <row r="1572" spans="1:9" s="7" customFormat="1" ht="15" x14ac:dyDescent="0.2">
      <c r="A1572" s="7" t="str">
        <f>IF(Plantilla_SCAN_EQ3_COUNT_2[[#This Row],[ID MATERIAL]]="","",SIGN(Plantilla_SCAN_EQ3_COUNT_2[[#This Row],[Cantidad]])+A1571)</f>
        <v/>
      </c>
      <c r="B1572" s="21" t="str">
        <f>IF(Plantilla_SCAN_EQ3_COUNT_2[[#This Row],[ID MATERIAL]]="","",B1571)</f>
        <v/>
      </c>
      <c r="C1572" s="21"/>
      <c r="D1572" s="21"/>
      <c r="E1572" s="7" t="str">
        <f>IF(Plantilla_SCAN_EQ3_COUNT_2[[#This Row],[ID MATERIAL]]="","",VLOOKUP(Plantilla_SCAN_EQ3_COUNT_2[[#This Row],[ID MATERIAL]],INVENTARIO!$A:$D,2,FALSE))</f>
        <v/>
      </c>
      <c r="F1572" s="7" t="str">
        <f>IF(Plantilla_SCAN_EQ3_COUNT_2[[#This Row],[ID MATERIAL]]="","",IF(Plantilla_SCAN_EQ3_COUNT_2[[#This Row],[No. Empaques]]="",1,Plantilla_SCAN_EQ3_COUNT_2[[#This Row],[No. Empaques]]*1))</f>
        <v/>
      </c>
      <c r="G1572" s="7" t="str">
        <f>IF(Plantilla_SCAN_EQ3_COUNT_2[[#This Row],[ID MATERIAL]]="","","PZ")</f>
        <v/>
      </c>
      <c r="H1572" s="7" t="str">
        <f>IF(Plantilla_SCAN_EQ3_COUNT_2[[#This Row],[ID MATERIAL]]="","",$B$13)</f>
        <v/>
      </c>
      <c r="I1572" s="7" t="str">
        <f>IF(Plantilla_SCAN_EQ3_COUNT_2[[#This Row],[ID MATERIAL]]="","","Segundo Conteo")</f>
        <v/>
      </c>
    </row>
    <row r="1573" spans="1:9" s="7" customFormat="1" ht="15" x14ac:dyDescent="0.2">
      <c r="A1573" s="7" t="str">
        <f>IF(Plantilla_SCAN_EQ3_COUNT_2[[#This Row],[ID MATERIAL]]="","",SIGN(Plantilla_SCAN_EQ3_COUNT_2[[#This Row],[Cantidad]])+A1572)</f>
        <v/>
      </c>
      <c r="B1573" s="21" t="str">
        <f>IF(Plantilla_SCAN_EQ3_COUNT_2[[#This Row],[ID MATERIAL]]="","",B1572)</f>
        <v/>
      </c>
      <c r="C1573" s="21"/>
      <c r="D1573" s="21"/>
      <c r="E1573" s="7" t="str">
        <f>IF(Plantilla_SCAN_EQ3_COUNT_2[[#This Row],[ID MATERIAL]]="","",VLOOKUP(Plantilla_SCAN_EQ3_COUNT_2[[#This Row],[ID MATERIAL]],INVENTARIO!$A:$D,2,FALSE))</f>
        <v/>
      </c>
      <c r="F1573" s="7" t="str">
        <f>IF(Plantilla_SCAN_EQ3_COUNT_2[[#This Row],[ID MATERIAL]]="","",IF(Plantilla_SCAN_EQ3_COUNT_2[[#This Row],[No. Empaques]]="",1,Plantilla_SCAN_EQ3_COUNT_2[[#This Row],[No. Empaques]]*1))</f>
        <v/>
      </c>
      <c r="G1573" s="7" t="str">
        <f>IF(Plantilla_SCAN_EQ3_COUNT_2[[#This Row],[ID MATERIAL]]="","","PZ")</f>
        <v/>
      </c>
      <c r="H1573" s="7" t="str">
        <f>IF(Plantilla_SCAN_EQ3_COUNT_2[[#This Row],[ID MATERIAL]]="","",$B$13)</f>
        <v/>
      </c>
      <c r="I1573" s="7" t="str">
        <f>IF(Plantilla_SCAN_EQ3_COUNT_2[[#This Row],[ID MATERIAL]]="","","Segundo Conteo")</f>
        <v/>
      </c>
    </row>
    <row r="1574" spans="1:9" s="7" customFormat="1" ht="15" x14ac:dyDescent="0.2">
      <c r="A1574" s="7" t="str">
        <f>IF(Plantilla_SCAN_EQ3_COUNT_2[[#This Row],[ID MATERIAL]]="","",SIGN(Plantilla_SCAN_EQ3_COUNT_2[[#This Row],[Cantidad]])+A1573)</f>
        <v/>
      </c>
      <c r="B1574" s="21" t="str">
        <f>IF(Plantilla_SCAN_EQ3_COUNT_2[[#This Row],[ID MATERIAL]]="","",B1573)</f>
        <v/>
      </c>
      <c r="C1574" s="21"/>
      <c r="D1574" s="21"/>
      <c r="E1574" s="7" t="str">
        <f>IF(Plantilla_SCAN_EQ3_COUNT_2[[#This Row],[ID MATERIAL]]="","",VLOOKUP(Plantilla_SCAN_EQ3_COUNT_2[[#This Row],[ID MATERIAL]],INVENTARIO!$A:$D,2,FALSE))</f>
        <v/>
      </c>
      <c r="F1574" s="7" t="str">
        <f>IF(Plantilla_SCAN_EQ3_COUNT_2[[#This Row],[ID MATERIAL]]="","",IF(Plantilla_SCAN_EQ3_COUNT_2[[#This Row],[No. Empaques]]="",1,Plantilla_SCAN_EQ3_COUNT_2[[#This Row],[No. Empaques]]*1))</f>
        <v/>
      </c>
      <c r="G1574" s="7" t="str">
        <f>IF(Plantilla_SCAN_EQ3_COUNT_2[[#This Row],[ID MATERIAL]]="","","PZ")</f>
        <v/>
      </c>
      <c r="H1574" s="7" t="str">
        <f>IF(Plantilla_SCAN_EQ3_COUNT_2[[#This Row],[ID MATERIAL]]="","",$B$13)</f>
        <v/>
      </c>
      <c r="I1574" s="7" t="str">
        <f>IF(Plantilla_SCAN_EQ3_COUNT_2[[#This Row],[ID MATERIAL]]="","","Segundo Conteo")</f>
        <v/>
      </c>
    </row>
    <row r="1575" spans="1:9" s="7" customFormat="1" ht="15" x14ac:dyDescent="0.2">
      <c r="A1575" s="7" t="str">
        <f>IF(Plantilla_SCAN_EQ3_COUNT_2[[#This Row],[ID MATERIAL]]="","",SIGN(Plantilla_SCAN_EQ3_COUNT_2[[#This Row],[Cantidad]])+A1574)</f>
        <v/>
      </c>
      <c r="B1575" s="21" t="str">
        <f>IF(Plantilla_SCAN_EQ3_COUNT_2[[#This Row],[ID MATERIAL]]="","",B1574)</f>
        <v/>
      </c>
      <c r="C1575" s="21"/>
      <c r="D1575" s="21"/>
      <c r="E1575" s="7" t="str">
        <f>IF(Plantilla_SCAN_EQ3_COUNT_2[[#This Row],[ID MATERIAL]]="","",VLOOKUP(Plantilla_SCAN_EQ3_COUNT_2[[#This Row],[ID MATERIAL]],INVENTARIO!$A:$D,2,FALSE))</f>
        <v/>
      </c>
      <c r="F1575" s="7" t="str">
        <f>IF(Plantilla_SCAN_EQ3_COUNT_2[[#This Row],[ID MATERIAL]]="","",IF(Plantilla_SCAN_EQ3_COUNT_2[[#This Row],[No. Empaques]]="",1,Plantilla_SCAN_EQ3_COUNT_2[[#This Row],[No. Empaques]]*1))</f>
        <v/>
      </c>
      <c r="G1575" s="7" t="str">
        <f>IF(Plantilla_SCAN_EQ3_COUNT_2[[#This Row],[ID MATERIAL]]="","","PZ")</f>
        <v/>
      </c>
      <c r="H1575" s="7" t="str">
        <f>IF(Plantilla_SCAN_EQ3_COUNT_2[[#This Row],[ID MATERIAL]]="","",$B$13)</f>
        <v/>
      </c>
      <c r="I1575" s="7" t="str">
        <f>IF(Plantilla_SCAN_EQ3_COUNT_2[[#This Row],[ID MATERIAL]]="","","Segundo Conteo")</f>
        <v/>
      </c>
    </row>
    <row r="1576" spans="1:9" s="7" customFormat="1" ht="15" x14ac:dyDescent="0.2">
      <c r="A1576" s="7" t="str">
        <f>IF(Plantilla_SCAN_EQ3_COUNT_2[[#This Row],[ID MATERIAL]]="","",SIGN(Plantilla_SCAN_EQ3_COUNT_2[[#This Row],[Cantidad]])+A1575)</f>
        <v/>
      </c>
      <c r="B1576" s="21" t="str">
        <f>IF(Plantilla_SCAN_EQ3_COUNT_2[[#This Row],[ID MATERIAL]]="","",B1575)</f>
        <v/>
      </c>
      <c r="C1576" s="21"/>
      <c r="D1576" s="21"/>
      <c r="E1576" s="7" t="str">
        <f>IF(Plantilla_SCAN_EQ3_COUNT_2[[#This Row],[ID MATERIAL]]="","",VLOOKUP(Plantilla_SCAN_EQ3_COUNT_2[[#This Row],[ID MATERIAL]],INVENTARIO!$A:$D,2,FALSE))</f>
        <v/>
      </c>
      <c r="F1576" s="7" t="str">
        <f>IF(Plantilla_SCAN_EQ3_COUNT_2[[#This Row],[ID MATERIAL]]="","",IF(Plantilla_SCAN_EQ3_COUNT_2[[#This Row],[No. Empaques]]="",1,Plantilla_SCAN_EQ3_COUNT_2[[#This Row],[No. Empaques]]*1))</f>
        <v/>
      </c>
      <c r="G1576" s="7" t="str">
        <f>IF(Plantilla_SCAN_EQ3_COUNT_2[[#This Row],[ID MATERIAL]]="","","PZ")</f>
        <v/>
      </c>
      <c r="H1576" s="7" t="str">
        <f>IF(Plantilla_SCAN_EQ3_COUNT_2[[#This Row],[ID MATERIAL]]="","",$B$13)</f>
        <v/>
      </c>
      <c r="I1576" s="7" t="str">
        <f>IF(Plantilla_SCAN_EQ3_COUNT_2[[#This Row],[ID MATERIAL]]="","","Segundo Conteo")</f>
        <v/>
      </c>
    </row>
    <row r="1577" spans="1:9" s="7" customFormat="1" ht="15" x14ac:dyDescent="0.2">
      <c r="A1577" s="7" t="str">
        <f>IF(Plantilla_SCAN_EQ3_COUNT_2[[#This Row],[ID MATERIAL]]="","",SIGN(Plantilla_SCAN_EQ3_COUNT_2[[#This Row],[Cantidad]])+A1576)</f>
        <v/>
      </c>
      <c r="B1577" s="21" t="str">
        <f>IF(Plantilla_SCAN_EQ3_COUNT_2[[#This Row],[ID MATERIAL]]="","",B1576)</f>
        <v/>
      </c>
      <c r="C1577" s="21"/>
      <c r="D1577" s="21"/>
      <c r="E1577" s="7" t="str">
        <f>IF(Plantilla_SCAN_EQ3_COUNT_2[[#This Row],[ID MATERIAL]]="","",VLOOKUP(Plantilla_SCAN_EQ3_COUNT_2[[#This Row],[ID MATERIAL]],INVENTARIO!$A:$D,2,FALSE))</f>
        <v/>
      </c>
      <c r="F1577" s="7" t="str">
        <f>IF(Plantilla_SCAN_EQ3_COUNT_2[[#This Row],[ID MATERIAL]]="","",IF(Plantilla_SCAN_EQ3_COUNT_2[[#This Row],[No. Empaques]]="",1,Plantilla_SCAN_EQ3_COUNT_2[[#This Row],[No. Empaques]]*1))</f>
        <v/>
      </c>
      <c r="G1577" s="7" t="str">
        <f>IF(Plantilla_SCAN_EQ3_COUNT_2[[#This Row],[ID MATERIAL]]="","","PZ")</f>
        <v/>
      </c>
      <c r="H1577" s="7" t="str">
        <f>IF(Plantilla_SCAN_EQ3_COUNT_2[[#This Row],[ID MATERIAL]]="","",$B$13)</f>
        <v/>
      </c>
      <c r="I1577" s="7" t="str">
        <f>IF(Plantilla_SCAN_EQ3_COUNT_2[[#This Row],[ID MATERIAL]]="","","Segundo Conteo")</f>
        <v/>
      </c>
    </row>
    <row r="1578" spans="1:9" s="7" customFormat="1" ht="15" x14ac:dyDescent="0.2">
      <c r="A1578" s="7" t="str">
        <f>IF(Plantilla_SCAN_EQ3_COUNT_2[[#This Row],[ID MATERIAL]]="","",SIGN(Plantilla_SCAN_EQ3_COUNT_2[[#This Row],[Cantidad]])+A1577)</f>
        <v/>
      </c>
      <c r="B1578" s="21" t="str">
        <f>IF(Plantilla_SCAN_EQ3_COUNT_2[[#This Row],[ID MATERIAL]]="","",B1577)</f>
        <v/>
      </c>
      <c r="C1578" s="21"/>
      <c r="D1578" s="21"/>
      <c r="E1578" s="7" t="str">
        <f>IF(Plantilla_SCAN_EQ3_COUNT_2[[#This Row],[ID MATERIAL]]="","",VLOOKUP(Plantilla_SCAN_EQ3_COUNT_2[[#This Row],[ID MATERIAL]],INVENTARIO!$A:$D,2,FALSE))</f>
        <v/>
      </c>
      <c r="F1578" s="7" t="str">
        <f>IF(Plantilla_SCAN_EQ3_COUNT_2[[#This Row],[ID MATERIAL]]="","",IF(Plantilla_SCAN_EQ3_COUNT_2[[#This Row],[No. Empaques]]="",1,Plantilla_SCAN_EQ3_COUNT_2[[#This Row],[No. Empaques]]*1))</f>
        <v/>
      </c>
      <c r="G1578" s="7" t="str">
        <f>IF(Plantilla_SCAN_EQ3_COUNT_2[[#This Row],[ID MATERIAL]]="","","PZ")</f>
        <v/>
      </c>
      <c r="H1578" s="7" t="str">
        <f>IF(Plantilla_SCAN_EQ3_COUNT_2[[#This Row],[ID MATERIAL]]="","",$B$13)</f>
        <v/>
      </c>
      <c r="I1578" s="7" t="str">
        <f>IF(Plantilla_SCAN_EQ3_COUNT_2[[#This Row],[ID MATERIAL]]="","","Segundo Conteo")</f>
        <v/>
      </c>
    </row>
    <row r="1579" spans="1:9" s="7" customFormat="1" ht="15" x14ac:dyDescent="0.2">
      <c r="A1579" s="7" t="str">
        <f>IF(Plantilla_SCAN_EQ3_COUNT_2[[#This Row],[ID MATERIAL]]="","",SIGN(Plantilla_SCAN_EQ3_COUNT_2[[#This Row],[Cantidad]])+A1578)</f>
        <v/>
      </c>
      <c r="B1579" s="21" t="str">
        <f>IF(Plantilla_SCAN_EQ3_COUNT_2[[#This Row],[ID MATERIAL]]="","",B1578)</f>
        <v/>
      </c>
      <c r="C1579" s="21"/>
      <c r="D1579" s="21"/>
      <c r="E1579" s="7" t="str">
        <f>IF(Plantilla_SCAN_EQ3_COUNT_2[[#This Row],[ID MATERIAL]]="","",VLOOKUP(Plantilla_SCAN_EQ3_COUNT_2[[#This Row],[ID MATERIAL]],INVENTARIO!$A:$D,2,FALSE))</f>
        <v/>
      </c>
      <c r="F1579" s="7" t="str">
        <f>IF(Plantilla_SCAN_EQ3_COUNT_2[[#This Row],[ID MATERIAL]]="","",IF(Plantilla_SCAN_EQ3_COUNT_2[[#This Row],[No. Empaques]]="",1,Plantilla_SCAN_EQ3_COUNT_2[[#This Row],[No. Empaques]]*1))</f>
        <v/>
      </c>
      <c r="G1579" s="7" t="str">
        <f>IF(Plantilla_SCAN_EQ3_COUNT_2[[#This Row],[ID MATERIAL]]="","","PZ")</f>
        <v/>
      </c>
      <c r="H1579" s="7" t="str">
        <f>IF(Plantilla_SCAN_EQ3_COUNT_2[[#This Row],[ID MATERIAL]]="","",$B$13)</f>
        <v/>
      </c>
      <c r="I1579" s="7" t="str">
        <f>IF(Plantilla_SCAN_EQ3_COUNT_2[[#This Row],[ID MATERIAL]]="","","Segundo Conteo")</f>
        <v/>
      </c>
    </row>
    <row r="1580" spans="1:9" s="7" customFormat="1" ht="15" x14ac:dyDescent="0.2">
      <c r="A1580" s="7" t="str">
        <f>IF(Plantilla_SCAN_EQ3_COUNT_2[[#This Row],[ID MATERIAL]]="","",SIGN(Plantilla_SCAN_EQ3_COUNT_2[[#This Row],[Cantidad]])+A1579)</f>
        <v/>
      </c>
      <c r="B1580" s="21" t="str">
        <f>IF(Plantilla_SCAN_EQ3_COUNT_2[[#This Row],[ID MATERIAL]]="","",B1579)</f>
        <v/>
      </c>
      <c r="C1580" s="21"/>
      <c r="D1580" s="21"/>
      <c r="E1580" s="7" t="str">
        <f>IF(Plantilla_SCAN_EQ3_COUNT_2[[#This Row],[ID MATERIAL]]="","",VLOOKUP(Plantilla_SCAN_EQ3_COUNT_2[[#This Row],[ID MATERIAL]],INVENTARIO!$A:$D,2,FALSE))</f>
        <v/>
      </c>
      <c r="F1580" s="7" t="str">
        <f>IF(Plantilla_SCAN_EQ3_COUNT_2[[#This Row],[ID MATERIAL]]="","",IF(Plantilla_SCAN_EQ3_COUNT_2[[#This Row],[No. Empaques]]="",1,Plantilla_SCAN_EQ3_COUNT_2[[#This Row],[No. Empaques]]*1))</f>
        <v/>
      </c>
      <c r="G1580" s="7" t="str">
        <f>IF(Plantilla_SCAN_EQ3_COUNT_2[[#This Row],[ID MATERIAL]]="","","PZ")</f>
        <v/>
      </c>
      <c r="H1580" s="7" t="str">
        <f>IF(Plantilla_SCAN_EQ3_COUNT_2[[#This Row],[ID MATERIAL]]="","",$B$13)</f>
        <v/>
      </c>
      <c r="I1580" s="7" t="str">
        <f>IF(Plantilla_SCAN_EQ3_COUNT_2[[#This Row],[ID MATERIAL]]="","","Segundo Conteo")</f>
        <v/>
      </c>
    </row>
    <row r="1581" spans="1:9" s="7" customFormat="1" ht="15" x14ac:dyDescent="0.2">
      <c r="A1581" s="7" t="str">
        <f>IF(Plantilla_SCAN_EQ3_COUNT_2[[#This Row],[ID MATERIAL]]="","",SIGN(Plantilla_SCAN_EQ3_COUNT_2[[#This Row],[Cantidad]])+A1580)</f>
        <v/>
      </c>
      <c r="B1581" s="21" t="str">
        <f>IF(Plantilla_SCAN_EQ3_COUNT_2[[#This Row],[ID MATERIAL]]="","",B1580)</f>
        <v/>
      </c>
      <c r="C1581" s="21"/>
      <c r="D1581" s="21"/>
      <c r="E1581" s="7" t="str">
        <f>IF(Plantilla_SCAN_EQ3_COUNT_2[[#This Row],[ID MATERIAL]]="","",VLOOKUP(Plantilla_SCAN_EQ3_COUNT_2[[#This Row],[ID MATERIAL]],INVENTARIO!$A:$D,2,FALSE))</f>
        <v/>
      </c>
      <c r="F1581" s="7" t="str">
        <f>IF(Plantilla_SCAN_EQ3_COUNT_2[[#This Row],[ID MATERIAL]]="","",IF(Plantilla_SCAN_EQ3_COUNT_2[[#This Row],[No. Empaques]]="",1,Plantilla_SCAN_EQ3_COUNT_2[[#This Row],[No. Empaques]]*1))</f>
        <v/>
      </c>
      <c r="G1581" s="7" t="str">
        <f>IF(Plantilla_SCAN_EQ3_COUNT_2[[#This Row],[ID MATERIAL]]="","","PZ")</f>
        <v/>
      </c>
      <c r="H1581" s="7" t="str">
        <f>IF(Plantilla_SCAN_EQ3_COUNT_2[[#This Row],[ID MATERIAL]]="","",$B$13)</f>
        <v/>
      </c>
      <c r="I1581" s="7" t="str">
        <f>IF(Plantilla_SCAN_EQ3_COUNT_2[[#This Row],[ID MATERIAL]]="","","Segundo Conteo")</f>
        <v/>
      </c>
    </row>
    <row r="1582" spans="1:9" s="7" customFormat="1" ht="15" x14ac:dyDescent="0.2">
      <c r="A1582" s="7" t="str">
        <f>IF(Plantilla_SCAN_EQ3_COUNT_2[[#This Row],[ID MATERIAL]]="","",SIGN(Plantilla_SCAN_EQ3_COUNT_2[[#This Row],[Cantidad]])+A1581)</f>
        <v/>
      </c>
      <c r="B1582" s="21" t="str">
        <f>IF(Plantilla_SCAN_EQ3_COUNT_2[[#This Row],[ID MATERIAL]]="","",B1581)</f>
        <v/>
      </c>
      <c r="C1582" s="21"/>
      <c r="D1582" s="21"/>
      <c r="E1582" s="7" t="str">
        <f>IF(Plantilla_SCAN_EQ3_COUNT_2[[#This Row],[ID MATERIAL]]="","",VLOOKUP(Plantilla_SCAN_EQ3_COUNT_2[[#This Row],[ID MATERIAL]],INVENTARIO!$A:$D,2,FALSE))</f>
        <v/>
      </c>
      <c r="F1582" s="7" t="str">
        <f>IF(Plantilla_SCAN_EQ3_COUNT_2[[#This Row],[ID MATERIAL]]="","",IF(Plantilla_SCAN_EQ3_COUNT_2[[#This Row],[No. Empaques]]="",1,Plantilla_SCAN_EQ3_COUNT_2[[#This Row],[No. Empaques]]*1))</f>
        <v/>
      </c>
      <c r="G1582" s="7" t="str">
        <f>IF(Plantilla_SCAN_EQ3_COUNT_2[[#This Row],[ID MATERIAL]]="","","PZ")</f>
        <v/>
      </c>
      <c r="H1582" s="7" t="str">
        <f>IF(Plantilla_SCAN_EQ3_COUNT_2[[#This Row],[ID MATERIAL]]="","",$B$13)</f>
        <v/>
      </c>
      <c r="I1582" s="7" t="str">
        <f>IF(Plantilla_SCAN_EQ3_COUNT_2[[#This Row],[ID MATERIAL]]="","","Segundo Conteo")</f>
        <v/>
      </c>
    </row>
    <row r="1583" spans="1:9" s="7" customFormat="1" ht="15" x14ac:dyDescent="0.2">
      <c r="A1583" s="7" t="str">
        <f>IF(Plantilla_SCAN_EQ3_COUNT_2[[#This Row],[ID MATERIAL]]="","",SIGN(Plantilla_SCAN_EQ3_COUNT_2[[#This Row],[Cantidad]])+A1582)</f>
        <v/>
      </c>
      <c r="B1583" s="21" t="str">
        <f>IF(Plantilla_SCAN_EQ3_COUNT_2[[#This Row],[ID MATERIAL]]="","",B1582)</f>
        <v/>
      </c>
      <c r="C1583" s="21"/>
      <c r="D1583" s="21"/>
      <c r="E1583" s="7" t="str">
        <f>IF(Plantilla_SCAN_EQ3_COUNT_2[[#This Row],[ID MATERIAL]]="","",VLOOKUP(Plantilla_SCAN_EQ3_COUNT_2[[#This Row],[ID MATERIAL]],INVENTARIO!$A:$D,2,FALSE))</f>
        <v/>
      </c>
      <c r="F1583" s="7" t="str">
        <f>IF(Plantilla_SCAN_EQ3_COUNT_2[[#This Row],[ID MATERIAL]]="","",IF(Plantilla_SCAN_EQ3_COUNT_2[[#This Row],[No. Empaques]]="",1,Plantilla_SCAN_EQ3_COUNT_2[[#This Row],[No. Empaques]]*1))</f>
        <v/>
      </c>
      <c r="G1583" s="7" t="str">
        <f>IF(Plantilla_SCAN_EQ3_COUNT_2[[#This Row],[ID MATERIAL]]="","","PZ")</f>
        <v/>
      </c>
      <c r="H1583" s="7" t="str">
        <f>IF(Plantilla_SCAN_EQ3_COUNT_2[[#This Row],[ID MATERIAL]]="","",$B$13)</f>
        <v/>
      </c>
      <c r="I1583" s="7" t="str">
        <f>IF(Plantilla_SCAN_EQ3_COUNT_2[[#This Row],[ID MATERIAL]]="","","Segundo Conteo")</f>
        <v/>
      </c>
    </row>
    <row r="1584" spans="1:9" s="7" customFormat="1" ht="15" x14ac:dyDescent="0.2">
      <c r="A1584" s="7" t="str">
        <f>IF(Plantilla_SCAN_EQ3_COUNT_2[[#This Row],[ID MATERIAL]]="","",SIGN(Plantilla_SCAN_EQ3_COUNT_2[[#This Row],[Cantidad]])+A1583)</f>
        <v/>
      </c>
      <c r="B1584" s="21" t="str">
        <f>IF(Plantilla_SCAN_EQ3_COUNT_2[[#This Row],[ID MATERIAL]]="","",B1583)</f>
        <v/>
      </c>
      <c r="C1584" s="21"/>
      <c r="D1584" s="21"/>
      <c r="E1584" s="7" t="str">
        <f>IF(Plantilla_SCAN_EQ3_COUNT_2[[#This Row],[ID MATERIAL]]="","",VLOOKUP(Plantilla_SCAN_EQ3_COUNT_2[[#This Row],[ID MATERIAL]],INVENTARIO!$A:$D,2,FALSE))</f>
        <v/>
      </c>
      <c r="F1584" s="7" t="str">
        <f>IF(Plantilla_SCAN_EQ3_COUNT_2[[#This Row],[ID MATERIAL]]="","",IF(Plantilla_SCAN_EQ3_COUNT_2[[#This Row],[No. Empaques]]="",1,Plantilla_SCAN_EQ3_COUNT_2[[#This Row],[No. Empaques]]*1))</f>
        <v/>
      </c>
      <c r="G1584" s="7" t="str">
        <f>IF(Plantilla_SCAN_EQ3_COUNT_2[[#This Row],[ID MATERIAL]]="","","PZ")</f>
        <v/>
      </c>
      <c r="H1584" s="7" t="str">
        <f>IF(Plantilla_SCAN_EQ3_COUNT_2[[#This Row],[ID MATERIAL]]="","",$B$13)</f>
        <v/>
      </c>
      <c r="I1584" s="7" t="str">
        <f>IF(Plantilla_SCAN_EQ3_COUNT_2[[#This Row],[ID MATERIAL]]="","","Segundo Conteo")</f>
        <v/>
      </c>
    </row>
    <row r="1585" spans="1:9" s="7" customFormat="1" ht="15" x14ac:dyDescent="0.2">
      <c r="A1585" s="7" t="str">
        <f>IF(Plantilla_SCAN_EQ3_COUNT_2[[#This Row],[ID MATERIAL]]="","",SIGN(Plantilla_SCAN_EQ3_COUNT_2[[#This Row],[Cantidad]])+A1584)</f>
        <v/>
      </c>
      <c r="B1585" s="21" t="str">
        <f>IF(Plantilla_SCAN_EQ3_COUNT_2[[#This Row],[ID MATERIAL]]="","",B1584)</f>
        <v/>
      </c>
      <c r="C1585" s="21"/>
      <c r="D1585" s="21"/>
      <c r="E1585" s="7" t="str">
        <f>IF(Plantilla_SCAN_EQ3_COUNT_2[[#This Row],[ID MATERIAL]]="","",VLOOKUP(Plantilla_SCAN_EQ3_COUNT_2[[#This Row],[ID MATERIAL]],INVENTARIO!$A:$D,2,FALSE))</f>
        <v/>
      </c>
      <c r="F1585" s="7" t="str">
        <f>IF(Plantilla_SCAN_EQ3_COUNT_2[[#This Row],[ID MATERIAL]]="","",IF(Plantilla_SCAN_EQ3_COUNT_2[[#This Row],[No. Empaques]]="",1,Plantilla_SCAN_EQ3_COUNT_2[[#This Row],[No. Empaques]]*1))</f>
        <v/>
      </c>
      <c r="G1585" s="7" t="str">
        <f>IF(Plantilla_SCAN_EQ3_COUNT_2[[#This Row],[ID MATERIAL]]="","","PZ")</f>
        <v/>
      </c>
      <c r="H1585" s="7" t="str">
        <f>IF(Plantilla_SCAN_EQ3_COUNT_2[[#This Row],[ID MATERIAL]]="","",$B$13)</f>
        <v/>
      </c>
      <c r="I1585" s="7" t="str">
        <f>IF(Plantilla_SCAN_EQ3_COUNT_2[[#This Row],[ID MATERIAL]]="","","Segundo Conteo")</f>
        <v/>
      </c>
    </row>
    <row r="1586" spans="1:9" s="7" customFormat="1" ht="15" x14ac:dyDescent="0.2">
      <c r="A1586" s="7" t="str">
        <f>IF(Plantilla_SCAN_EQ3_COUNT_2[[#This Row],[ID MATERIAL]]="","",SIGN(Plantilla_SCAN_EQ3_COUNT_2[[#This Row],[Cantidad]])+A1585)</f>
        <v/>
      </c>
      <c r="B1586" s="21" t="str">
        <f>IF(Plantilla_SCAN_EQ3_COUNT_2[[#This Row],[ID MATERIAL]]="","",B1585)</f>
        <v/>
      </c>
      <c r="C1586" s="21"/>
      <c r="D1586" s="21"/>
      <c r="E1586" s="7" t="str">
        <f>IF(Plantilla_SCAN_EQ3_COUNT_2[[#This Row],[ID MATERIAL]]="","",VLOOKUP(Plantilla_SCAN_EQ3_COUNT_2[[#This Row],[ID MATERIAL]],INVENTARIO!$A:$D,2,FALSE))</f>
        <v/>
      </c>
      <c r="F1586" s="7" t="str">
        <f>IF(Plantilla_SCAN_EQ3_COUNT_2[[#This Row],[ID MATERIAL]]="","",IF(Plantilla_SCAN_EQ3_COUNT_2[[#This Row],[No. Empaques]]="",1,Plantilla_SCAN_EQ3_COUNT_2[[#This Row],[No. Empaques]]*1))</f>
        <v/>
      </c>
      <c r="G1586" s="7" t="str">
        <f>IF(Plantilla_SCAN_EQ3_COUNT_2[[#This Row],[ID MATERIAL]]="","","PZ")</f>
        <v/>
      </c>
      <c r="H1586" s="7" t="str">
        <f>IF(Plantilla_SCAN_EQ3_COUNT_2[[#This Row],[ID MATERIAL]]="","",$B$13)</f>
        <v/>
      </c>
      <c r="I1586" s="7" t="str">
        <f>IF(Plantilla_SCAN_EQ3_COUNT_2[[#This Row],[ID MATERIAL]]="","","Segundo Conteo")</f>
        <v/>
      </c>
    </row>
    <row r="1587" spans="1:9" s="7" customFormat="1" ht="15" x14ac:dyDescent="0.2">
      <c r="A1587" s="7" t="str">
        <f>IF(Plantilla_SCAN_EQ3_COUNT_2[[#This Row],[ID MATERIAL]]="","",SIGN(Plantilla_SCAN_EQ3_COUNT_2[[#This Row],[Cantidad]])+A1586)</f>
        <v/>
      </c>
      <c r="B1587" s="21" t="str">
        <f>IF(Plantilla_SCAN_EQ3_COUNT_2[[#This Row],[ID MATERIAL]]="","",B1586)</f>
        <v/>
      </c>
      <c r="C1587" s="21"/>
      <c r="D1587" s="21"/>
      <c r="E1587" s="7" t="str">
        <f>IF(Plantilla_SCAN_EQ3_COUNT_2[[#This Row],[ID MATERIAL]]="","",VLOOKUP(Plantilla_SCAN_EQ3_COUNT_2[[#This Row],[ID MATERIAL]],INVENTARIO!$A:$D,2,FALSE))</f>
        <v/>
      </c>
      <c r="F1587" s="7" t="str">
        <f>IF(Plantilla_SCAN_EQ3_COUNT_2[[#This Row],[ID MATERIAL]]="","",IF(Plantilla_SCAN_EQ3_COUNT_2[[#This Row],[No. Empaques]]="",1,Plantilla_SCAN_EQ3_COUNT_2[[#This Row],[No. Empaques]]*1))</f>
        <v/>
      </c>
      <c r="G1587" s="7" t="str">
        <f>IF(Plantilla_SCAN_EQ3_COUNT_2[[#This Row],[ID MATERIAL]]="","","PZ")</f>
        <v/>
      </c>
      <c r="H1587" s="7" t="str">
        <f>IF(Plantilla_SCAN_EQ3_COUNT_2[[#This Row],[ID MATERIAL]]="","",$B$13)</f>
        <v/>
      </c>
      <c r="I1587" s="7" t="str">
        <f>IF(Plantilla_SCAN_EQ3_COUNT_2[[#This Row],[ID MATERIAL]]="","","Segundo Conteo")</f>
        <v/>
      </c>
    </row>
    <row r="1588" spans="1:9" s="7" customFormat="1" ht="15" x14ac:dyDescent="0.2">
      <c r="A1588" s="7" t="str">
        <f>IF(Plantilla_SCAN_EQ3_COUNT_2[[#This Row],[ID MATERIAL]]="","",SIGN(Plantilla_SCAN_EQ3_COUNT_2[[#This Row],[Cantidad]])+A1587)</f>
        <v/>
      </c>
      <c r="B1588" s="21" t="str">
        <f>IF(Plantilla_SCAN_EQ3_COUNT_2[[#This Row],[ID MATERIAL]]="","",B1587)</f>
        <v/>
      </c>
      <c r="C1588" s="21"/>
      <c r="D1588" s="21"/>
      <c r="E1588" s="7" t="str">
        <f>IF(Plantilla_SCAN_EQ3_COUNT_2[[#This Row],[ID MATERIAL]]="","",VLOOKUP(Plantilla_SCAN_EQ3_COUNT_2[[#This Row],[ID MATERIAL]],INVENTARIO!$A:$D,2,FALSE))</f>
        <v/>
      </c>
      <c r="F1588" s="7" t="str">
        <f>IF(Plantilla_SCAN_EQ3_COUNT_2[[#This Row],[ID MATERIAL]]="","",IF(Plantilla_SCAN_EQ3_COUNT_2[[#This Row],[No. Empaques]]="",1,Plantilla_SCAN_EQ3_COUNT_2[[#This Row],[No. Empaques]]*1))</f>
        <v/>
      </c>
      <c r="G1588" s="7" t="str">
        <f>IF(Plantilla_SCAN_EQ3_COUNT_2[[#This Row],[ID MATERIAL]]="","","PZ")</f>
        <v/>
      </c>
      <c r="H1588" s="7" t="str">
        <f>IF(Plantilla_SCAN_EQ3_COUNT_2[[#This Row],[ID MATERIAL]]="","",$B$13)</f>
        <v/>
      </c>
      <c r="I1588" s="7" t="str">
        <f>IF(Plantilla_SCAN_EQ3_COUNT_2[[#This Row],[ID MATERIAL]]="","","Segundo Conteo")</f>
        <v/>
      </c>
    </row>
    <row r="1589" spans="1:9" s="7" customFormat="1" ht="15" x14ac:dyDescent="0.2">
      <c r="A1589" s="7" t="str">
        <f>IF(Plantilla_SCAN_EQ3_COUNT_2[[#This Row],[ID MATERIAL]]="","",SIGN(Plantilla_SCAN_EQ3_COUNT_2[[#This Row],[Cantidad]])+A1588)</f>
        <v/>
      </c>
      <c r="B1589" s="21" t="str">
        <f>IF(Plantilla_SCAN_EQ3_COUNT_2[[#This Row],[ID MATERIAL]]="","",B1588)</f>
        <v/>
      </c>
      <c r="C1589" s="21"/>
      <c r="D1589" s="21"/>
      <c r="E1589" s="7" t="str">
        <f>IF(Plantilla_SCAN_EQ3_COUNT_2[[#This Row],[ID MATERIAL]]="","",VLOOKUP(Plantilla_SCAN_EQ3_COUNT_2[[#This Row],[ID MATERIAL]],INVENTARIO!$A:$D,2,FALSE))</f>
        <v/>
      </c>
      <c r="F1589" s="7" t="str">
        <f>IF(Plantilla_SCAN_EQ3_COUNT_2[[#This Row],[ID MATERIAL]]="","",IF(Plantilla_SCAN_EQ3_COUNT_2[[#This Row],[No. Empaques]]="",1,Plantilla_SCAN_EQ3_COUNT_2[[#This Row],[No. Empaques]]*1))</f>
        <v/>
      </c>
      <c r="G1589" s="7" t="str">
        <f>IF(Plantilla_SCAN_EQ3_COUNT_2[[#This Row],[ID MATERIAL]]="","","PZ")</f>
        <v/>
      </c>
      <c r="H1589" s="7" t="str">
        <f>IF(Plantilla_SCAN_EQ3_COUNT_2[[#This Row],[ID MATERIAL]]="","",$B$13)</f>
        <v/>
      </c>
      <c r="I1589" s="7" t="str">
        <f>IF(Plantilla_SCAN_EQ3_COUNT_2[[#This Row],[ID MATERIAL]]="","","Segundo Conteo")</f>
        <v/>
      </c>
    </row>
    <row r="1590" spans="1:9" s="7" customFormat="1" ht="15" x14ac:dyDescent="0.2">
      <c r="A1590" s="7" t="str">
        <f>IF(Plantilla_SCAN_EQ3_COUNT_2[[#This Row],[ID MATERIAL]]="","",SIGN(Plantilla_SCAN_EQ3_COUNT_2[[#This Row],[Cantidad]])+A1589)</f>
        <v/>
      </c>
      <c r="B1590" s="21" t="str">
        <f>IF(Plantilla_SCAN_EQ3_COUNT_2[[#This Row],[ID MATERIAL]]="","",B1589)</f>
        <v/>
      </c>
      <c r="C1590" s="21"/>
      <c r="D1590" s="21"/>
      <c r="E1590" s="7" t="str">
        <f>IF(Plantilla_SCAN_EQ3_COUNT_2[[#This Row],[ID MATERIAL]]="","",VLOOKUP(Plantilla_SCAN_EQ3_COUNT_2[[#This Row],[ID MATERIAL]],INVENTARIO!$A:$D,2,FALSE))</f>
        <v/>
      </c>
      <c r="F1590" s="7" t="str">
        <f>IF(Plantilla_SCAN_EQ3_COUNT_2[[#This Row],[ID MATERIAL]]="","",IF(Plantilla_SCAN_EQ3_COUNT_2[[#This Row],[No. Empaques]]="",1,Plantilla_SCAN_EQ3_COUNT_2[[#This Row],[No. Empaques]]*1))</f>
        <v/>
      </c>
      <c r="G1590" s="7" t="str">
        <f>IF(Plantilla_SCAN_EQ3_COUNT_2[[#This Row],[ID MATERIAL]]="","","PZ")</f>
        <v/>
      </c>
      <c r="H1590" s="7" t="str">
        <f>IF(Plantilla_SCAN_EQ3_COUNT_2[[#This Row],[ID MATERIAL]]="","",$B$13)</f>
        <v/>
      </c>
      <c r="I1590" s="7" t="str">
        <f>IF(Plantilla_SCAN_EQ3_COUNT_2[[#This Row],[ID MATERIAL]]="","","Segundo Conteo")</f>
        <v/>
      </c>
    </row>
    <row r="1591" spans="1:9" s="7" customFormat="1" ht="15" x14ac:dyDescent="0.2">
      <c r="A1591" s="7" t="str">
        <f>IF(Plantilla_SCAN_EQ3_COUNT_2[[#This Row],[ID MATERIAL]]="","",SIGN(Plantilla_SCAN_EQ3_COUNT_2[[#This Row],[Cantidad]])+A1590)</f>
        <v/>
      </c>
      <c r="B1591" s="21" t="str">
        <f>IF(Plantilla_SCAN_EQ3_COUNT_2[[#This Row],[ID MATERIAL]]="","",B1590)</f>
        <v/>
      </c>
      <c r="C1591" s="21"/>
      <c r="D1591" s="21"/>
      <c r="E1591" s="7" t="str">
        <f>IF(Plantilla_SCAN_EQ3_COUNT_2[[#This Row],[ID MATERIAL]]="","",VLOOKUP(Plantilla_SCAN_EQ3_COUNT_2[[#This Row],[ID MATERIAL]],INVENTARIO!$A:$D,2,FALSE))</f>
        <v/>
      </c>
      <c r="F1591" s="7" t="str">
        <f>IF(Plantilla_SCAN_EQ3_COUNT_2[[#This Row],[ID MATERIAL]]="","",IF(Plantilla_SCAN_EQ3_COUNT_2[[#This Row],[No. Empaques]]="",1,Plantilla_SCAN_EQ3_COUNT_2[[#This Row],[No. Empaques]]*1))</f>
        <v/>
      </c>
      <c r="G1591" s="7" t="str">
        <f>IF(Plantilla_SCAN_EQ3_COUNT_2[[#This Row],[ID MATERIAL]]="","","PZ")</f>
        <v/>
      </c>
      <c r="H1591" s="7" t="str">
        <f>IF(Plantilla_SCAN_EQ3_COUNT_2[[#This Row],[ID MATERIAL]]="","",$B$13)</f>
        <v/>
      </c>
      <c r="I1591" s="7" t="str">
        <f>IF(Plantilla_SCAN_EQ3_COUNT_2[[#This Row],[ID MATERIAL]]="","","Segundo Conteo")</f>
        <v/>
      </c>
    </row>
    <row r="1592" spans="1:9" s="7" customFormat="1" ht="15" x14ac:dyDescent="0.2">
      <c r="A1592" s="7" t="str">
        <f>IF(Plantilla_SCAN_EQ3_COUNT_2[[#This Row],[ID MATERIAL]]="","",SIGN(Plantilla_SCAN_EQ3_COUNT_2[[#This Row],[Cantidad]])+A1591)</f>
        <v/>
      </c>
      <c r="B1592" s="21" t="str">
        <f>IF(Plantilla_SCAN_EQ3_COUNT_2[[#This Row],[ID MATERIAL]]="","",B1591)</f>
        <v/>
      </c>
      <c r="C1592" s="21"/>
      <c r="D1592" s="21"/>
      <c r="E1592" s="7" t="str">
        <f>IF(Plantilla_SCAN_EQ3_COUNT_2[[#This Row],[ID MATERIAL]]="","",VLOOKUP(Plantilla_SCAN_EQ3_COUNT_2[[#This Row],[ID MATERIAL]],INVENTARIO!$A:$D,2,FALSE))</f>
        <v/>
      </c>
      <c r="F1592" s="7" t="str">
        <f>IF(Plantilla_SCAN_EQ3_COUNT_2[[#This Row],[ID MATERIAL]]="","",IF(Plantilla_SCAN_EQ3_COUNT_2[[#This Row],[No. Empaques]]="",1,Plantilla_SCAN_EQ3_COUNT_2[[#This Row],[No. Empaques]]*1))</f>
        <v/>
      </c>
      <c r="G1592" s="7" t="str">
        <f>IF(Plantilla_SCAN_EQ3_COUNT_2[[#This Row],[ID MATERIAL]]="","","PZ")</f>
        <v/>
      </c>
      <c r="H1592" s="7" t="str">
        <f>IF(Plantilla_SCAN_EQ3_COUNT_2[[#This Row],[ID MATERIAL]]="","",$B$13)</f>
        <v/>
      </c>
      <c r="I1592" s="7" t="str">
        <f>IF(Plantilla_SCAN_EQ3_COUNT_2[[#This Row],[ID MATERIAL]]="","","Segundo Conteo")</f>
        <v/>
      </c>
    </row>
    <row r="1593" spans="1:9" s="7" customFormat="1" ht="15" x14ac:dyDescent="0.2">
      <c r="A1593" s="7" t="str">
        <f>IF(Plantilla_SCAN_EQ3_COUNT_2[[#This Row],[ID MATERIAL]]="","",SIGN(Plantilla_SCAN_EQ3_COUNT_2[[#This Row],[Cantidad]])+A1592)</f>
        <v/>
      </c>
      <c r="B1593" s="21" t="str">
        <f>IF(Plantilla_SCAN_EQ3_COUNT_2[[#This Row],[ID MATERIAL]]="","",B1592)</f>
        <v/>
      </c>
      <c r="C1593" s="21"/>
      <c r="D1593" s="21"/>
      <c r="E1593" s="7" t="str">
        <f>IF(Plantilla_SCAN_EQ3_COUNT_2[[#This Row],[ID MATERIAL]]="","",VLOOKUP(Plantilla_SCAN_EQ3_COUNT_2[[#This Row],[ID MATERIAL]],INVENTARIO!$A:$D,2,FALSE))</f>
        <v/>
      </c>
      <c r="F1593" s="7" t="str">
        <f>IF(Plantilla_SCAN_EQ3_COUNT_2[[#This Row],[ID MATERIAL]]="","",IF(Plantilla_SCAN_EQ3_COUNT_2[[#This Row],[No. Empaques]]="",1,Plantilla_SCAN_EQ3_COUNT_2[[#This Row],[No. Empaques]]*1))</f>
        <v/>
      </c>
      <c r="G1593" s="7" t="str">
        <f>IF(Plantilla_SCAN_EQ3_COUNT_2[[#This Row],[ID MATERIAL]]="","","PZ")</f>
        <v/>
      </c>
      <c r="H1593" s="7" t="str">
        <f>IF(Plantilla_SCAN_EQ3_COUNT_2[[#This Row],[ID MATERIAL]]="","",$B$13)</f>
        <v/>
      </c>
      <c r="I1593" s="7" t="str">
        <f>IF(Plantilla_SCAN_EQ3_COUNT_2[[#This Row],[ID MATERIAL]]="","","Segundo Conteo")</f>
        <v/>
      </c>
    </row>
    <row r="1594" spans="1:9" s="7" customFormat="1" ht="15" x14ac:dyDescent="0.2">
      <c r="A1594" s="7" t="str">
        <f>IF(Plantilla_SCAN_EQ3_COUNT_2[[#This Row],[ID MATERIAL]]="","",SIGN(Plantilla_SCAN_EQ3_COUNT_2[[#This Row],[Cantidad]])+A1593)</f>
        <v/>
      </c>
      <c r="B1594" s="21" t="str">
        <f>IF(Plantilla_SCAN_EQ3_COUNT_2[[#This Row],[ID MATERIAL]]="","",B1593)</f>
        <v/>
      </c>
      <c r="C1594" s="21"/>
      <c r="D1594" s="21"/>
      <c r="E1594" s="7" t="str">
        <f>IF(Plantilla_SCAN_EQ3_COUNT_2[[#This Row],[ID MATERIAL]]="","",VLOOKUP(Plantilla_SCAN_EQ3_COUNT_2[[#This Row],[ID MATERIAL]],INVENTARIO!$A:$D,2,FALSE))</f>
        <v/>
      </c>
      <c r="F1594" s="7" t="str">
        <f>IF(Plantilla_SCAN_EQ3_COUNT_2[[#This Row],[ID MATERIAL]]="","",IF(Plantilla_SCAN_EQ3_COUNT_2[[#This Row],[No. Empaques]]="",1,Plantilla_SCAN_EQ3_COUNT_2[[#This Row],[No. Empaques]]*1))</f>
        <v/>
      </c>
      <c r="G1594" s="7" t="str">
        <f>IF(Plantilla_SCAN_EQ3_COUNT_2[[#This Row],[ID MATERIAL]]="","","PZ")</f>
        <v/>
      </c>
      <c r="H1594" s="7" t="str">
        <f>IF(Plantilla_SCAN_EQ3_COUNT_2[[#This Row],[ID MATERIAL]]="","",$B$13)</f>
        <v/>
      </c>
      <c r="I1594" s="7" t="str">
        <f>IF(Plantilla_SCAN_EQ3_COUNT_2[[#This Row],[ID MATERIAL]]="","","Segundo Conteo")</f>
        <v/>
      </c>
    </row>
    <row r="1595" spans="1:9" s="7" customFormat="1" ht="15" x14ac:dyDescent="0.2">
      <c r="A1595" s="7" t="str">
        <f>IF(Plantilla_SCAN_EQ3_COUNT_2[[#This Row],[ID MATERIAL]]="","",SIGN(Plantilla_SCAN_EQ3_COUNT_2[[#This Row],[Cantidad]])+A1594)</f>
        <v/>
      </c>
      <c r="B1595" s="21" t="str">
        <f>IF(Plantilla_SCAN_EQ3_COUNT_2[[#This Row],[ID MATERIAL]]="","",B1594)</f>
        <v/>
      </c>
      <c r="C1595" s="21"/>
      <c r="D1595" s="21"/>
      <c r="E1595" s="7" t="str">
        <f>IF(Plantilla_SCAN_EQ3_COUNT_2[[#This Row],[ID MATERIAL]]="","",VLOOKUP(Plantilla_SCAN_EQ3_COUNT_2[[#This Row],[ID MATERIAL]],INVENTARIO!$A:$D,2,FALSE))</f>
        <v/>
      </c>
      <c r="F1595" s="7" t="str">
        <f>IF(Plantilla_SCAN_EQ3_COUNT_2[[#This Row],[ID MATERIAL]]="","",IF(Plantilla_SCAN_EQ3_COUNT_2[[#This Row],[No. Empaques]]="",1,Plantilla_SCAN_EQ3_COUNT_2[[#This Row],[No. Empaques]]*1))</f>
        <v/>
      </c>
      <c r="G1595" s="7" t="str">
        <f>IF(Plantilla_SCAN_EQ3_COUNT_2[[#This Row],[ID MATERIAL]]="","","PZ")</f>
        <v/>
      </c>
      <c r="H1595" s="7" t="str">
        <f>IF(Plantilla_SCAN_EQ3_COUNT_2[[#This Row],[ID MATERIAL]]="","",$B$13)</f>
        <v/>
      </c>
      <c r="I1595" s="7" t="str">
        <f>IF(Plantilla_SCAN_EQ3_COUNT_2[[#This Row],[ID MATERIAL]]="","","Segundo Conteo")</f>
        <v/>
      </c>
    </row>
    <row r="1596" spans="1:9" s="7" customFormat="1" ht="15" x14ac:dyDescent="0.2">
      <c r="A1596" s="7" t="str">
        <f>IF(Plantilla_SCAN_EQ3_COUNT_2[[#This Row],[ID MATERIAL]]="","",SIGN(Plantilla_SCAN_EQ3_COUNT_2[[#This Row],[Cantidad]])+A1595)</f>
        <v/>
      </c>
      <c r="B1596" s="21" t="str">
        <f>IF(Plantilla_SCAN_EQ3_COUNT_2[[#This Row],[ID MATERIAL]]="","",B1595)</f>
        <v/>
      </c>
      <c r="C1596" s="21"/>
      <c r="D1596" s="21"/>
      <c r="E1596" s="7" t="str">
        <f>IF(Plantilla_SCAN_EQ3_COUNT_2[[#This Row],[ID MATERIAL]]="","",VLOOKUP(Plantilla_SCAN_EQ3_COUNT_2[[#This Row],[ID MATERIAL]],INVENTARIO!$A:$D,2,FALSE))</f>
        <v/>
      </c>
      <c r="F1596" s="7" t="str">
        <f>IF(Plantilla_SCAN_EQ3_COUNT_2[[#This Row],[ID MATERIAL]]="","",IF(Plantilla_SCAN_EQ3_COUNT_2[[#This Row],[No. Empaques]]="",1,Plantilla_SCAN_EQ3_COUNT_2[[#This Row],[No. Empaques]]*1))</f>
        <v/>
      </c>
      <c r="G1596" s="7" t="str">
        <f>IF(Plantilla_SCAN_EQ3_COUNT_2[[#This Row],[ID MATERIAL]]="","","PZ")</f>
        <v/>
      </c>
      <c r="H1596" s="7" t="str">
        <f>IF(Plantilla_SCAN_EQ3_COUNT_2[[#This Row],[ID MATERIAL]]="","",$B$13)</f>
        <v/>
      </c>
      <c r="I1596" s="7" t="str">
        <f>IF(Plantilla_SCAN_EQ3_COUNT_2[[#This Row],[ID MATERIAL]]="","","Segundo Conteo")</f>
        <v/>
      </c>
    </row>
    <row r="1597" spans="1:9" s="7" customFormat="1" ht="15" x14ac:dyDescent="0.2">
      <c r="A1597" s="7" t="str">
        <f>IF(Plantilla_SCAN_EQ3_COUNT_2[[#This Row],[ID MATERIAL]]="","",SIGN(Plantilla_SCAN_EQ3_COUNT_2[[#This Row],[Cantidad]])+A1596)</f>
        <v/>
      </c>
      <c r="B1597" s="21" t="str">
        <f>IF(Plantilla_SCAN_EQ3_COUNT_2[[#This Row],[ID MATERIAL]]="","",B1596)</f>
        <v/>
      </c>
      <c r="C1597" s="21"/>
      <c r="D1597" s="21"/>
      <c r="E1597" s="7" t="str">
        <f>IF(Plantilla_SCAN_EQ3_COUNT_2[[#This Row],[ID MATERIAL]]="","",VLOOKUP(Plantilla_SCAN_EQ3_COUNT_2[[#This Row],[ID MATERIAL]],INVENTARIO!$A:$D,2,FALSE))</f>
        <v/>
      </c>
      <c r="F1597" s="7" t="str">
        <f>IF(Plantilla_SCAN_EQ3_COUNT_2[[#This Row],[ID MATERIAL]]="","",IF(Plantilla_SCAN_EQ3_COUNT_2[[#This Row],[No. Empaques]]="",1,Plantilla_SCAN_EQ3_COUNT_2[[#This Row],[No. Empaques]]*1))</f>
        <v/>
      </c>
      <c r="G1597" s="7" t="str">
        <f>IF(Plantilla_SCAN_EQ3_COUNT_2[[#This Row],[ID MATERIAL]]="","","PZ")</f>
        <v/>
      </c>
      <c r="H1597" s="7" t="str">
        <f>IF(Plantilla_SCAN_EQ3_COUNT_2[[#This Row],[ID MATERIAL]]="","",$B$13)</f>
        <v/>
      </c>
      <c r="I1597" s="7" t="str">
        <f>IF(Plantilla_SCAN_EQ3_COUNT_2[[#This Row],[ID MATERIAL]]="","","Segundo Conteo")</f>
        <v/>
      </c>
    </row>
    <row r="1598" spans="1:9" s="7" customFormat="1" ht="15" x14ac:dyDescent="0.2">
      <c r="A1598" s="7" t="str">
        <f>IF(Plantilla_SCAN_EQ3_COUNT_2[[#This Row],[ID MATERIAL]]="","",SIGN(Plantilla_SCAN_EQ3_COUNT_2[[#This Row],[Cantidad]])+A1597)</f>
        <v/>
      </c>
      <c r="B1598" s="21" t="str">
        <f>IF(Plantilla_SCAN_EQ3_COUNT_2[[#This Row],[ID MATERIAL]]="","",B1597)</f>
        <v/>
      </c>
      <c r="C1598" s="21"/>
      <c r="D1598" s="21"/>
      <c r="E1598" s="7" t="str">
        <f>IF(Plantilla_SCAN_EQ3_COUNT_2[[#This Row],[ID MATERIAL]]="","",VLOOKUP(Plantilla_SCAN_EQ3_COUNT_2[[#This Row],[ID MATERIAL]],INVENTARIO!$A:$D,2,FALSE))</f>
        <v/>
      </c>
      <c r="F1598" s="7" t="str">
        <f>IF(Plantilla_SCAN_EQ3_COUNT_2[[#This Row],[ID MATERIAL]]="","",IF(Plantilla_SCAN_EQ3_COUNT_2[[#This Row],[No. Empaques]]="",1,Plantilla_SCAN_EQ3_COUNT_2[[#This Row],[No. Empaques]]*1))</f>
        <v/>
      </c>
      <c r="G1598" s="7" t="str">
        <f>IF(Plantilla_SCAN_EQ3_COUNT_2[[#This Row],[ID MATERIAL]]="","","PZ")</f>
        <v/>
      </c>
      <c r="H1598" s="7" t="str">
        <f>IF(Plantilla_SCAN_EQ3_COUNT_2[[#This Row],[ID MATERIAL]]="","",$B$13)</f>
        <v/>
      </c>
      <c r="I1598" s="7" t="str">
        <f>IF(Plantilla_SCAN_EQ3_COUNT_2[[#This Row],[ID MATERIAL]]="","","Segundo Conteo")</f>
        <v/>
      </c>
    </row>
    <row r="1599" spans="1:9" s="7" customFormat="1" ht="15" x14ac:dyDescent="0.2">
      <c r="A1599" s="7" t="str">
        <f>IF(Plantilla_SCAN_EQ3_COUNT_2[[#This Row],[ID MATERIAL]]="","",SIGN(Plantilla_SCAN_EQ3_COUNT_2[[#This Row],[Cantidad]])+A1598)</f>
        <v/>
      </c>
      <c r="B1599" s="21" t="str">
        <f>IF(Plantilla_SCAN_EQ3_COUNT_2[[#This Row],[ID MATERIAL]]="","",B1598)</f>
        <v/>
      </c>
      <c r="C1599" s="21"/>
      <c r="D1599" s="21"/>
      <c r="E1599" s="7" t="str">
        <f>IF(Plantilla_SCAN_EQ3_COUNT_2[[#This Row],[ID MATERIAL]]="","",VLOOKUP(Plantilla_SCAN_EQ3_COUNT_2[[#This Row],[ID MATERIAL]],INVENTARIO!$A:$D,2,FALSE))</f>
        <v/>
      </c>
      <c r="F1599" s="7" t="str">
        <f>IF(Plantilla_SCAN_EQ3_COUNT_2[[#This Row],[ID MATERIAL]]="","",IF(Plantilla_SCAN_EQ3_COUNT_2[[#This Row],[No. Empaques]]="",1,Plantilla_SCAN_EQ3_COUNT_2[[#This Row],[No. Empaques]]*1))</f>
        <v/>
      </c>
      <c r="G1599" s="7" t="str">
        <f>IF(Plantilla_SCAN_EQ3_COUNT_2[[#This Row],[ID MATERIAL]]="","","PZ")</f>
        <v/>
      </c>
      <c r="H1599" s="7" t="str">
        <f>IF(Plantilla_SCAN_EQ3_COUNT_2[[#This Row],[ID MATERIAL]]="","",$B$13)</f>
        <v/>
      </c>
      <c r="I1599" s="7" t="str">
        <f>IF(Plantilla_SCAN_EQ3_COUNT_2[[#This Row],[ID MATERIAL]]="","","Segundo Conteo")</f>
        <v/>
      </c>
    </row>
    <row r="1600" spans="1:9" s="7" customFormat="1" ht="15" x14ac:dyDescent="0.2">
      <c r="A1600" s="7" t="str">
        <f>IF(Plantilla_SCAN_EQ3_COUNT_2[[#This Row],[ID MATERIAL]]="","",SIGN(Plantilla_SCAN_EQ3_COUNT_2[[#This Row],[Cantidad]])+A1599)</f>
        <v/>
      </c>
      <c r="B1600" s="21" t="str">
        <f>IF(Plantilla_SCAN_EQ3_COUNT_2[[#This Row],[ID MATERIAL]]="","",B1599)</f>
        <v/>
      </c>
      <c r="C1600" s="21"/>
      <c r="D1600" s="21"/>
      <c r="E1600" s="7" t="str">
        <f>IF(Plantilla_SCAN_EQ3_COUNT_2[[#This Row],[ID MATERIAL]]="","",VLOOKUP(Plantilla_SCAN_EQ3_COUNT_2[[#This Row],[ID MATERIAL]],INVENTARIO!$A:$D,2,FALSE))</f>
        <v/>
      </c>
      <c r="F1600" s="7" t="str">
        <f>IF(Plantilla_SCAN_EQ3_COUNT_2[[#This Row],[ID MATERIAL]]="","",IF(Plantilla_SCAN_EQ3_COUNT_2[[#This Row],[No. Empaques]]="",1,Plantilla_SCAN_EQ3_COUNT_2[[#This Row],[No. Empaques]]*1))</f>
        <v/>
      </c>
      <c r="G1600" s="7" t="str">
        <f>IF(Plantilla_SCAN_EQ3_COUNT_2[[#This Row],[ID MATERIAL]]="","","PZ")</f>
        <v/>
      </c>
      <c r="H1600" s="7" t="str">
        <f>IF(Plantilla_SCAN_EQ3_COUNT_2[[#This Row],[ID MATERIAL]]="","",$B$13)</f>
        <v/>
      </c>
      <c r="I1600" s="7" t="str">
        <f>IF(Plantilla_SCAN_EQ3_COUNT_2[[#This Row],[ID MATERIAL]]="","","Segundo Conteo")</f>
        <v/>
      </c>
    </row>
    <row r="1601" spans="1:9" s="7" customFormat="1" ht="15" x14ac:dyDescent="0.2">
      <c r="A1601" s="7" t="str">
        <f>IF(Plantilla_SCAN_EQ3_COUNT_2[[#This Row],[ID MATERIAL]]="","",SIGN(Plantilla_SCAN_EQ3_COUNT_2[[#This Row],[Cantidad]])+A1600)</f>
        <v/>
      </c>
      <c r="B1601" s="21" t="str">
        <f>IF(Plantilla_SCAN_EQ3_COUNT_2[[#This Row],[ID MATERIAL]]="","",B1600)</f>
        <v/>
      </c>
      <c r="C1601" s="21"/>
      <c r="D1601" s="21"/>
      <c r="E1601" s="7" t="str">
        <f>IF(Plantilla_SCAN_EQ3_COUNT_2[[#This Row],[ID MATERIAL]]="","",VLOOKUP(Plantilla_SCAN_EQ3_COUNT_2[[#This Row],[ID MATERIAL]],INVENTARIO!$A:$D,2,FALSE))</f>
        <v/>
      </c>
      <c r="F1601" s="7" t="str">
        <f>IF(Plantilla_SCAN_EQ3_COUNT_2[[#This Row],[ID MATERIAL]]="","",IF(Plantilla_SCAN_EQ3_COUNT_2[[#This Row],[No. Empaques]]="",1,Plantilla_SCAN_EQ3_COUNT_2[[#This Row],[No. Empaques]]*1))</f>
        <v/>
      </c>
      <c r="G1601" s="7" t="str">
        <f>IF(Plantilla_SCAN_EQ3_COUNT_2[[#This Row],[ID MATERIAL]]="","","PZ")</f>
        <v/>
      </c>
      <c r="H1601" s="7" t="str">
        <f>IF(Plantilla_SCAN_EQ3_COUNT_2[[#This Row],[ID MATERIAL]]="","",$B$13)</f>
        <v/>
      </c>
      <c r="I1601" s="7" t="str">
        <f>IF(Plantilla_SCAN_EQ3_COUNT_2[[#This Row],[ID MATERIAL]]="","","Segundo Conteo")</f>
        <v/>
      </c>
    </row>
    <row r="1602" spans="1:9" s="7" customFormat="1" ht="15" x14ac:dyDescent="0.2">
      <c r="A1602" s="7" t="str">
        <f>IF(Plantilla_SCAN_EQ3_COUNT_2[[#This Row],[ID MATERIAL]]="","",SIGN(Plantilla_SCAN_EQ3_COUNT_2[[#This Row],[Cantidad]])+A1601)</f>
        <v/>
      </c>
      <c r="B1602" s="21" t="str">
        <f>IF(Plantilla_SCAN_EQ3_COUNT_2[[#This Row],[ID MATERIAL]]="","",B1601)</f>
        <v/>
      </c>
      <c r="C1602" s="21"/>
      <c r="D1602" s="21"/>
      <c r="E1602" s="7" t="str">
        <f>IF(Plantilla_SCAN_EQ3_COUNT_2[[#This Row],[ID MATERIAL]]="","",VLOOKUP(Plantilla_SCAN_EQ3_COUNT_2[[#This Row],[ID MATERIAL]],INVENTARIO!$A:$D,2,FALSE))</f>
        <v/>
      </c>
      <c r="F1602" s="7" t="str">
        <f>IF(Plantilla_SCAN_EQ3_COUNT_2[[#This Row],[ID MATERIAL]]="","",IF(Plantilla_SCAN_EQ3_COUNT_2[[#This Row],[No. Empaques]]="",1,Plantilla_SCAN_EQ3_COUNT_2[[#This Row],[No. Empaques]]*1))</f>
        <v/>
      </c>
      <c r="G1602" s="7" t="str">
        <f>IF(Plantilla_SCAN_EQ3_COUNT_2[[#This Row],[ID MATERIAL]]="","","PZ")</f>
        <v/>
      </c>
      <c r="H1602" s="7" t="str">
        <f>IF(Plantilla_SCAN_EQ3_COUNT_2[[#This Row],[ID MATERIAL]]="","",$B$13)</f>
        <v/>
      </c>
      <c r="I1602" s="7" t="str">
        <f>IF(Plantilla_SCAN_EQ3_COUNT_2[[#This Row],[ID MATERIAL]]="","","Segundo Conteo")</f>
        <v/>
      </c>
    </row>
    <row r="1603" spans="1:9" s="7" customFormat="1" ht="15" x14ac:dyDescent="0.2">
      <c r="A1603" s="7" t="str">
        <f>IF(Plantilla_SCAN_EQ3_COUNT_2[[#This Row],[ID MATERIAL]]="","",SIGN(Plantilla_SCAN_EQ3_COUNT_2[[#This Row],[Cantidad]])+A1602)</f>
        <v/>
      </c>
      <c r="B1603" s="21" t="str">
        <f>IF(Plantilla_SCAN_EQ3_COUNT_2[[#This Row],[ID MATERIAL]]="","",B1602)</f>
        <v/>
      </c>
      <c r="C1603" s="21"/>
      <c r="D1603" s="21"/>
      <c r="E1603" s="7" t="str">
        <f>IF(Plantilla_SCAN_EQ3_COUNT_2[[#This Row],[ID MATERIAL]]="","",VLOOKUP(Plantilla_SCAN_EQ3_COUNT_2[[#This Row],[ID MATERIAL]],INVENTARIO!$A:$D,2,FALSE))</f>
        <v/>
      </c>
      <c r="F1603" s="7" t="str">
        <f>IF(Plantilla_SCAN_EQ3_COUNT_2[[#This Row],[ID MATERIAL]]="","",IF(Plantilla_SCAN_EQ3_COUNT_2[[#This Row],[No. Empaques]]="",1,Plantilla_SCAN_EQ3_COUNT_2[[#This Row],[No. Empaques]]*1))</f>
        <v/>
      </c>
      <c r="G1603" s="7" t="str">
        <f>IF(Plantilla_SCAN_EQ3_COUNT_2[[#This Row],[ID MATERIAL]]="","","PZ")</f>
        <v/>
      </c>
      <c r="H1603" s="7" t="str">
        <f>IF(Plantilla_SCAN_EQ3_COUNT_2[[#This Row],[ID MATERIAL]]="","",$B$13)</f>
        <v/>
      </c>
      <c r="I1603" s="7" t="str">
        <f>IF(Plantilla_SCAN_EQ3_COUNT_2[[#This Row],[ID MATERIAL]]="","","Segundo Conteo")</f>
        <v/>
      </c>
    </row>
    <row r="1604" spans="1:9" s="7" customFormat="1" ht="15" x14ac:dyDescent="0.2">
      <c r="A1604" s="7" t="str">
        <f>IF(Plantilla_SCAN_EQ3_COUNT_2[[#This Row],[ID MATERIAL]]="","",SIGN(Plantilla_SCAN_EQ3_COUNT_2[[#This Row],[Cantidad]])+A1603)</f>
        <v/>
      </c>
      <c r="B1604" s="21" t="str">
        <f>IF(Plantilla_SCAN_EQ3_COUNT_2[[#This Row],[ID MATERIAL]]="","",B1603)</f>
        <v/>
      </c>
      <c r="C1604" s="21"/>
      <c r="D1604" s="21"/>
      <c r="E1604" s="7" t="str">
        <f>IF(Plantilla_SCAN_EQ3_COUNT_2[[#This Row],[ID MATERIAL]]="","",VLOOKUP(Plantilla_SCAN_EQ3_COUNT_2[[#This Row],[ID MATERIAL]],INVENTARIO!$A:$D,2,FALSE))</f>
        <v/>
      </c>
      <c r="F1604" s="7" t="str">
        <f>IF(Plantilla_SCAN_EQ3_COUNT_2[[#This Row],[ID MATERIAL]]="","",IF(Plantilla_SCAN_EQ3_COUNT_2[[#This Row],[No. Empaques]]="",1,Plantilla_SCAN_EQ3_COUNT_2[[#This Row],[No. Empaques]]*1))</f>
        <v/>
      </c>
      <c r="G1604" s="7" t="str">
        <f>IF(Plantilla_SCAN_EQ3_COUNT_2[[#This Row],[ID MATERIAL]]="","","PZ")</f>
        <v/>
      </c>
      <c r="H1604" s="7" t="str">
        <f>IF(Plantilla_SCAN_EQ3_COUNT_2[[#This Row],[ID MATERIAL]]="","",$B$13)</f>
        <v/>
      </c>
      <c r="I1604" s="7" t="str">
        <f>IF(Plantilla_SCAN_EQ3_COUNT_2[[#This Row],[ID MATERIAL]]="","","Segundo Conteo")</f>
        <v/>
      </c>
    </row>
    <row r="1605" spans="1:9" s="7" customFormat="1" ht="15" x14ac:dyDescent="0.2">
      <c r="A1605" s="7" t="str">
        <f>IF(Plantilla_SCAN_EQ3_COUNT_2[[#This Row],[ID MATERIAL]]="","",SIGN(Plantilla_SCAN_EQ3_COUNT_2[[#This Row],[Cantidad]])+A1604)</f>
        <v/>
      </c>
      <c r="B1605" s="21" t="str">
        <f>IF(Plantilla_SCAN_EQ3_COUNT_2[[#This Row],[ID MATERIAL]]="","",B1604)</f>
        <v/>
      </c>
      <c r="C1605" s="21"/>
      <c r="D1605" s="21"/>
      <c r="E1605" s="7" t="str">
        <f>IF(Plantilla_SCAN_EQ3_COUNT_2[[#This Row],[ID MATERIAL]]="","",VLOOKUP(Plantilla_SCAN_EQ3_COUNT_2[[#This Row],[ID MATERIAL]],INVENTARIO!$A:$D,2,FALSE))</f>
        <v/>
      </c>
      <c r="F1605" s="7" t="str">
        <f>IF(Plantilla_SCAN_EQ3_COUNT_2[[#This Row],[ID MATERIAL]]="","",IF(Plantilla_SCAN_EQ3_COUNT_2[[#This Row],[No. Empaques]]="",1,Plantilla_SCAN_EQ3_COUNT_2[[#This Row],[No. Empaques]]*1))</f>
        <v/>
      </c>
      <c r="G1605" s="7" t="str">
        <f>IF(Plantilla_SCAN_EQ3_COUNT_2[[#This Row],[ID MATERIAL]]="","","PZ")</f>
        <v/>
      </c>
      <c r="H1605" s="7" t="str">
        <f>IF(Plantilla_SCAN_EQ3_COUNT_2[[#This Row],[ID MATERIAL]]="","",$B$13)</f>
        <v/>
      </c>
      <c r="I1605" s="7" t="str">
        <f>IF(Plantilla_SCAN_EQ3_COUNT_2[[#This Row],[ID MATERIAL]]="","","Segundo Conteo")</f>
        <v/>
      </c>
    </row>
    <row r="1606" spans="1:9" s="7" customFormat="1" ht="15" x14ac:dyDescent="0.2">
      <c r="A1606" s="7" t="str">
        <f>IF(Plantilla_SCAN_EQ3_COUNT_2[[#This Row],[ID MATERIAL]]="","",SIGN(Plantilla_SCAN_EQ3_COUNT_2[[#This Row],[Cantidad]])+A1605)</f>
        <v/>
      </c>
      <c r="B1606" s="21" t="str">
        <f>IF(Plantilla_SCAN_EQ3_COUNT_2[[#This Row],[ID MATERIAL]]="","",B1605)</f>
        <v/>
      </c>
      <c r="C1606" s="21"/>
      <c r="D1606" s="21"/>
      <c r="E1606" s="7" t="str">
        <f>IF(Plantilla_SCAN_EQ3_COUNT_2[[#This Row],[ID MATERIAL]]="","",VLOOKUP(Plantilla_SCAN_EQ3_COUNT_2[[#This Row],[ID MATERIAL]],INVENTARIO!$A:$D,2,FALSE))</f>
        <v/>
      </c>
      <c r="F1606" s="7" t="str">
        <f>IF(Plantilla_SCAN_EQ3_COUNT_2[[#This Row],[ID MATERIAL]]="","",IF(Plantilla_SCAN_EQ3_COUNT_2[[#This Row],[No. Empaques]]="",1,Plantilla_SCAN_EQ3_COUNT_2[[#This Row],[No. Empaques]]*1))</f>
        <v/>
      </c>
      <c r="G1606" s="7" t="str">
        <f>IF(Plantilla_SCAN_EQ3_COUNT_2[[#This Row],[ID MATERIAL]]="","","PZ")</f>
        <v/>
      </c>
      <c r="H1606" s="7" t="str">
        <f>IF(Plantilla_SCAN_EQ3_COUNT_2[[#This Row],[ID MATERIAL]]="","",$B$13)</f>
        <v/>
      </c>
      <c r="I1606" s="7" t="str">
        <f>IF(Plantilla_SCAN_EQ3_COUNT_2[[#This Row],[ID MATERIAL]]="","","Segundo Conteo")</f>
        <v/>
      </c>
    </row>
    <row r="1607" spans="1:9" s="7" customFormat="1" ht="15" x14ac:dyDescent="0.2">
      <c r="A1607" s="7" t="str">
        <f>IF(Plantilla_SCAN_EQ3_COUNT_2[[#This Row],[ID MATERIAL]]="","",SIGN(Plantilla_SCAN_EQ3_COUNT_2[[#This Row],[Cantidad]])+A1606)</f>
        <v/>
      </c>
      <c r="B1607" s="21" t="str">
        <f>IF(Plantilla_SCAN_EQ3_COUNT_2[[#This Row],[ID MATERIAL]]="","",B1606)</f>
        <v/>
      </c>
      <c r="C1607" s="21"/>
      <c r="D1607" s="21"/>
      <c r="E1607" s="7" t="str">
        <f>IF(Plantilla_SCAN_EQ3_COUNT_2[[#This Row],[ID MATERIAL]]="","",VLOOKUP(Plantilla_SCAN_EQ3_COUNT_2[[#This Row],[ID MATERIAL]],INVENTARIO!$A:$D,2,FALSE))</f>
        <v/>
      </c>
      <c r="F1607" s="7" t="str">
        <f>IF(Plantilla_SCAN_EQ3_COUNT_2[[#This Row],[ID MATERIAL]]="","",IF(Plantilla_SCAN_EQ3_COUNT_2[[#This Row],[No. Empaques]]="",1,Plantilla_SCAN_EQ3_COUNT_2[[#This Row],[No. Empaques]]*1))</f>
        <v/>
      </c>
      <c r="G1607" s="7" t="str">
        <f>IF(Plantilla_SCAN_EQ3_COUNT_2[[#This Row],[ID MATERIAL]]="","","PZ")</f>
        <v/>
      </c>
      <c r="H1607" s="7" t="str">
        <f>IF(Plantilla_SCAN_EQ3_COUNT_2[[#This Row],[ID MATERIAL]]="","",$B$13)</f>
        <v/>
      </c>
      <c r="I1607" s="7" t="str">
        <f>IF(Plantilla_SCAN_EQ3_COUNT_2[[#This Row],[ID MATERIAL]]="","","Segundo Conteo")</f>
        <v/>
      </c>
    </row>
    <row r="1608" spans="1:9" s="7" customFormat="1" ht="15" x14ac:dyDescent="0.2">
      <c r="A1608" s="7" t="str">
        <f>IF(Plantilla_SCAN_EQ3_COUNT_2[[#This Row],[ID MATERIAL]]="","",SIGN(Plantilla_SCAN_EQ3_COUNT_2[[#This Row],[Cantidad]])+A1607)</f>
        <v/>
      </c>
      <c r="B1608" s="21" t="str">
        <f>IF(Plantilla_SCAN_EQ3_COUNT_2[[#This Row],[ID MATERIAL]]="","",B1607)</f>
        <v/>
      </c>
      <c r="C1608" s="21"/>
      <c r="D1608" s="21"/>
      <c r="E1608" s="7" t="str">
        <f>IF(Plantilla_SCAN_EQ3_COUNT_2[[#This Row],[ID MATERIAL]]="","",VLOOKUP(Plantilla_SCAN_EQ3_COUNT_2[[#This Row],[ID MATERIAL]],INVENTARIO!$A:$D,2,FALSE))</f>
        <v/>
      </c>
      <c r="F1608" s="7" t="str">
        <f>IF(Plantilla_SCAN_EQ3_COUNT_2[[#This Row],[ID MATERIAL]]="","",IF(Plantilla_SCAN_EQ3_COUNT_2[[#This Row],[No. Empaques]]="",1,Plantilla_SCAN_EQ3_COUNT_2[[#This Row],[No. Empaques]]*1))</f>
        <v/>
      </c>
      <c r="G1608" s="7" t="str">
        <f>IF(Plantilla_SCAN_EQ3_COUNT_2[[#This Row],[ID MATERIAL]]="","","PZ")</f>
        <v/>
      </c>
      <c r="H1608" s="7" t="str">
        <f>IF(Plantilla_SCAN_EQ3_COUNT_2[[#This Row],[ID MATERIAL]]="","",$B$13)</f>
        <v/>
      </c>
      <c r="I1608" s="7" t="str">
        <f>IF(Plantilla_SCAN_EQ3_COUNT_2[[#This Row],[ID MATERIAL]]="","","Segundo Conteo")</f>
        <v/>
      </c>
    </row>
    <row r="1609" spans="1:9" s="7" customFormat="1" ht="15" x14ac:dyDescent="0.2">
      <c r="A1609" s="7" t="str">
        <f>IF(Plantilla_SCAN_EQ3_COUNT_2[[#This Row],[ID MATERIAL]]="","",SIGN(Plantilla_SCAN_EQ3_COUNT_2[[#This Row],[Cantidad]])+A1608)</f>
        <v/>
      </c>
      <c r="B1609" s="21" t="str">
        <f>IF(Plantilla_SCAN_EQ3_COUNT_2[[#This Row],[ID MATERIAL]]="","",B1608)</f>
        <v/>
      </c>
      <c r="C1609" s="21"/>
      <c r="D1609" s="21"/>
      <c r="E1609" s="7" t="str">
        <f>IF(Plantilla_SCAN_EQ3_COUNT_2[[#This Row],[ID MATERIAL]]="","",VLOOKUP(Plantilla_SCAN_EQ3_COUNT_2[[#This Row],[ID MATERIAL]],INVENTARIO!$A:$D,2,FALSE))</f>
        <v/>
      </c>
      <c r="F1609" s="7" t="str">
        <f>IF(Plantilla_SCAN_EQ3_COUNT_2[[#This Row],[ID MATERIAL]]="","",IF(Plantilla_SCAN_EQ3_COUNT_2[[#This Row],[No. Empaques]]="",1,Plantilla_SCAN_EQ3_COUNT_2[[#This Row],[No. Empaques]]*1))</f>
        <v/>
      </c>
      <c r="G1609" s="7" t="str">
        <f>IF(Plantilla_SCAN_EQ3_COUNT_2[[#This Row],[ID MATERIAL]]="","","PZ")</f>
        <v/>
      </c>
      <c r="H1609" s="7" t="str">
        <f>IF(Plantilla_SCAN_EQ3_COUNT_2[[#This Row],[ID MATERIAL]]="","",$B$13)</f>
        <v/>
      </c>
      <c r="I1609" s="7" t="str">
        <f>IF(Plantilla_SCAN_EQ3_COUNT_2[[#This Row],[ID MATERIAL]]="","","Segundo Conteo")</f>
        <v/>
      </c>
    </row>
    <row r="1610" spans="1:9" s="7" customFormat="1" ht="15" x14ac:dyDescent="0.2">
      <c r="A1610" s="7" t="str">
        <f>IF(Plantilla_SCAN_EQ3_COUNT_2[[#This Row],[ID MATERIAL]]="","",SIGN(Plantilla_SCAN_EQ3_COUNT_2[[#This Row],[Cantidad]])+A1609)</f>
        <v/>
      </c>
      <c r="B1610" s="21" t="str">
        <f>IF(Plantilla_SCAN_EQ3_COUNT_2[[#This Row],[ID MATERIAL]]="","",B1609)</f>
        <v/>
      </c>
      <c r="C1610" s="21"/>
      <c r="D1610" s="21"/>
      <c r="E1610" s="7" t="str">
        <f>IF(Plantilla_SCAN_EQ3_COUNT_2[[#This Row],[ID MATERIAL]]="","",VLOOKUP(Plantilla_SCAN_EQ3_COUNT_2[[#This Row],[ID MATERIAL]],INVENTARIO!$A:$D,2,FALSE))</f>
        <v/>
      </c>
      <c r="F1610" s="7" t="str">
        <f>IF(Plantilla_SCAN_EQ3_COUNT_2[[#This Row],[ID MATERIAL]]="","",IF(Plantilla_SCAN_EQ3_COUNT_2[[#This Row],[No. Empaques]]="",1,Plantilla_SCAN_EQ3_COUNT_2[[#This Row],[No. Empaques]]*1))</f>
        <v/>
      </c>
      <c r="G1610" s="7" t="str">
        <f>IF(Plantilla_SCAN_EQ3_COUNT_2[[#This Row],[ID MATERIAL]]="","","PZ")</f>
        <v/>
      </c>
      <c r="H1610" s="7" t="str">
        <f>IF(Plantilla_SCAN_EQ3_COUNT_2[[#This Row],[ID MATERIAL]]="","",$B$13)</f>
        <v/>
      </c>
      <c r="I1610" s="7" t="str">
        <f>IF(Plantilla_SCAN_EQ3_COUNT_2[[#This Row],[ID MATERIAL]]="","","Segundo Conteo")</f>
        <v/>
      </c>
    </row>
    <row r="1611" spans="1:9" s="7" customFormat="1" ht="15" x14ac:dyDescent="0.2">
      <c r="A1611" s="7" t="str">
        <f>IF(Plantilla_SCAN_EQ3_COUNT_2[[#This Row],[ID MATERIAL]]="","",SIGN(Plantilla_SCAN_EQ3_COUNT_2[[#This Row],[Cantidad]])+A1610)</f>
        <v/>
      </c>
      <c r="B1611" s="21" t="str">
        <f>IF(Plantilla_SCAN_EQ3_COUNT_2[[#This Row],[ID MATERIAL]]="","",B1610)</f>
        <v/>
      </c>
      <c r="C1611" s="21"/>
      <c r="D1611" s="21"/>
      <c r="E1611" s="7" t="str">
        <f>IF(Plantilla_SCAN_EQ3_COUNT_2[[#This Row],[ID MATERIAL]]="","",VLOOKUP(Plantilla_SCAN_EQ3_COUNT_2[[#This Row],[ID MATERIAL]],INVENTARIO!$A:$D,2,FALSE))</f>
        <v/>
      </c>
      <c r="F1611" s="7" t="str">
        <f>IF(Plantilla_SCAN_EQ3_COUNT_2[[#This Row],[ID MATERIAL]]="","",IF(Plantilla_SCAN_EQ3_COUNT_2[[#This Row],[No. Empaques]]="",1,Plantilla_SCAN_EQ3_COUNT_2[[#This Row],[No. Empaques]]*1))</f>
        <v/>
      </c>
      <c r="G1611" s="7" t="str">
        <f>IF(Plantilla_SCAN_EQ3_COUNT_2[[#This Row],[ID MATERIAL]]="","","PZ")</f>
        <v/>
      </c>
      <c r="H1611" s="7" t="str">
        <f>IF(Plantilla_SCAN_EQ3_COUNT_2[[#This Row],[ID MATERIAL]]="","",$B$13)</f>
        <v/>
      </c>
      <c r="I1611" s="7" t="str">
        <f>IF(Plantilla_SCAN_EQ3_COUNT_2[[#This Row],[ID MATERIAL]]="","","Segundo Conteo")</f>
        <v/>
      </c>
    </row>
    <row r="1612" spans="1:9" s="7" customFormat="1" ht="15" x14ac:dyDescent="0.2">
      <c r="A1612" s="7" t="str">
        <f>IF(Plantilla_SCAN_EQ3_COUNT_2[[#This Row],[ID MATERIAL]]="","",SIGN(Plantilla_SCAN_EQ3_COUNT_2[[#This Row],[Cantidad]])+A1611)</f>
        <v/>
      </c>
      <c r="B1612" s="21" t="str">
        <f>IF(Plantilla_SCAN_EQ3_COUNT_2[[#This Row],[ID MATERIAL]]="","",B1611)</f>
        <v/>
      </c>
      <c r="C1612" s="21"/>
      <c r="D1612" s="21"/>
      <c r="E1612" s="7" t="str">
        <f>IF(Plantilla_SCAN_EQ3_COUNT_2[[#This Row],[ID MATERIAL]]="","",VLOOKUP(Plantilla_SCAN_EQ3_COUNT_2[[#This Row],[ID MATERIAL]],INVENTARIO!$A:$D,2,FALSE))</f>
        <v/>
      </c>
      <c r="F1612" s="7" t="str">
        <f>IF(Plantilla_SCAN_EQ3_COUNT_2[[#This Row],[ID MATERIAL]]="","",IF(Plantilla_SCAN_EQ3_COUNT_2[[#This Row],[No. Empaques]]="",1,Plantilla_SCAN_EQ3_COUNT_2[[#This Row],[No. Empaques]]*1))</f>
        <v/>
      </c>
      <c r="G1612" s="7" t="str">
        <f>IF(Plantilla_SCAN_EQ3_COUNT_2[[#This Row],[ID MATERIAL]]="","","PZ")</f>
        <v/>
      </c>
      <c r="H1612" s="7" t="str">
        <f>IF(Plantilla_SCAN_EQ3_COUNT_2[[#This Row],[ID MATERIAL]]="","",$B$13)</f>
        <v/>
      </c>
      <c r="I1612" s="7" t="str">
        <f>IF(Plantilla_SCAN_EQ3_COUNT_2[[#This Row],[ID MATERIAL]]="","","Segundo Conteo")</f>
        <v/>
      </c>
    </row>
    <row r="1613" spans="1:9" s="7" customFormat="1" ht="15" x14ac:dyDescent="0.2">
      <c r="A1613" s="7" t="str">
        <f>IF(Plantilla_SCAN_EQ3_COUNT_2[[#This Row],[ID MATERIAL]]="","",SIGN(Plantilla_SCAN_EQ3_COUNT_2[[#This Row],[Cantidad]])+A1612)</f>
        <v/>
      </c>
      <c r="B1613" s="21" t="str">
        <f>IF(Plantilla_SCAN_EQ3_COUNT_2[[#This Row],[ID MATERIAL]]="","",B1612)</f>
        <v/>
      </c>
      <c r="C1613" s="21"/>
      <c r="D1613" s="21"/>
      <c r="E1613" s="7" t="str">
        <f>IF(Plantilla_SCAN_EQ3_COUNT_2[[#This Row],[ID MATERIAL]]="","",VLOOKUP(Plantilla_SCAN_EQ3_COUNT_2[[#This Row],[ID MATERIAL]],INVENTARIO!$A:$D,2,FALSE))</f>
        <v/>
      </c>
      <c r="F1613" s="7" t="str">
        <f>IF(Plantilla_SCAN_EQ3_COUNT_2[[#This Row],[ID MATERIAL]]="","",IF(Plantilla_SCAN_EQ3_COUNT_2[[#This Row],[No. Empaques]]="",1,Plantilla_SCAN_EQ3_COUNT_2[[#This Row],[No. Empaques]]*1))</f>
        <v/>
      </c>
      <c r="G1613" s="7" t="str">
        <f>IF(Plantilla_SCAN_EQ3_COUNT_2[[#This Row],[ID MATERIAL]]="","","PZ")</f>
        <v/>
      </c>
      <c r="H1613" s="7" t="str">
        <f>IF(Plantilla_SCAN_EQ3_COUNT_2[[#This Row],[ID MATERIAL]]="","",$B$13)</f>
        <v/>
      </c>
      <c r="I1613" s="7" t="str">
        <f>IF(Plantilla_SCAN_EQ3_COUNT_2[[#This Row],[ID MATERIAL]]="","","Segundo Conteo")</f>
        <v/>
      </c>
    </row>
    <row r="1614" spans="1:9" s="7" customFormat="1" ht="15" x14ac:dyDescent="0.2">
      <c r="A1614" s="7" t="str">
        <f>IF(Plantilla_SCAN_EQ3_COUNT_2[[#This Row],[ID MATERIAL]]="","",SIGN(Plantilla_SCAN_EQ3_COUNT_2[[#This Row],[Cantidad]])+A1613)</f>
        <v/>
      </c>
      <c r="B1614" s="21" t="str">
        <f>IF(Plantilla_SCAN_EQ3_COUNT_2[[#This Row],[ID MATERIAL]]="","",B1613)</f>
        <v/>
      </c>
      <c r="C1614" s="21"/>
      <c r="D1614" s="21"/>
      <c r="E1614" s="7" t="str">
        <f>IF(Plantilla_SCAN_EQ3_COUNT_2[[#This Row],[ID MATERIAL]]="","",VLOOKUP(Plantilla_SCAN_EQ3_COUNT_2[[#This Row],[ID MATERIAL]],INVENTARIO!$A:$D,2,FALSE))</f>
        <v/>
      </c>
      <c r="F1614" s="7" t="str">
        <f>IF(Plantilla_SCAN_EQ3_COUNT_2[[#This Row],[ID MATERIAL]]="","",IF(Plantilla_SCAN_EQ3_COUNT_2[[#This Row],[No. Empaques]]="",1,Plantilla_SCAN_EQ3_COUNT_2[[#This Row],[No. Empaques]]*1))</f>
        <v/>
      </c>
      <c r="G1614" s="7" t="str">
        <f>IF(Plantilla_SCAN_EQ3_COUNT_2[[#This Row],[ID MATERIAL]]="","","PZ")</f>
        <v/>
      </c>
      <c r="H1614" s="7" t="str">
        <f>IF(Plantilla_SCAN_EQ3_COUNT_2[[#This Row],[ID MATERIAL]]="","",$B$13)</f>
        <v/>
      </c>
      <c r="I1614" s="7" t="str">
        <f>IF(Plantilla_SCAN_EQ3_COUNT_2[[#This Row],[ID MATERIAL]]="","","Segundo Conteo")</f>
        <v/>
      </c>
    </row>
    <row r="1615" spans="1:9" s="7" customFormat="1" ht="15" x14ac:dyDescent="0.2">
      <c r="A1615" s="7" t="str">
        <f>IF(Plantilla_SCAN_EQ3_COUNT_2[[#This Row],[ID MATERIAL]]="","",SIGN(Plantilla_SCAN_EQ3_COUNT_2[[#This Row],[Cantidad]])+A1614)</f>
        <v/>
      </c>
      <c r="B1615" s="21" t="str">
        <f>IF(Plantilla_SCAN_EQ3_COUNT_2[[#This Row],[ID MATERIAL]]="","",B1614)</f>
        <v/>
      </c>
      <c r="C1615" s="21"/>
      <c r="D1615" s="21"/>
      <c r="E1615" s="7" t="str">
        <f>IF(Plantilla_SCAN_EQ3_COUNT_2[[#This Row],[ID MATERIAL]]="","",VLOOKUP(Plantilla_SCAN_EQ3_COUNT_2[[#This Row],[ID MATERIAL]],INVENTARIO!$A:$D,2,FALSE))</f>
        <v/>
      </c>
      <c r="F1615" s="7" t="str">
        <f>IF(Plantilla_SCAN_EQ3_COUNT_2[[#This Row],[ID MATERIAL]]="","",IF(Plantilla_SCAN_EQ3_COUNT_2[[#This Row],[No. Empaques]]="",1,Plantilla_SCAN_EQ3_COUNT_2[[#This Row],[No. Empaques]]*1))</f>
        <v/>
      </c>
      <c r="G1615" s="7" t="str">
        <f>IF(Plantilla_SCAN_EQ3_COUNT_2[[#This Row],[ID MATERIAL]]="","","PZ")</f>
        <v/>
      </c>
      <c r="H1615" s="7" t="str">
        <f>IF(Plantilla_SCAN_EQ3_COUNT_2[[#This Row],[ID MATERIAL]]="","",$B$13)</f>
        <v/>
      </c>
      <c r="I1615" s="7" t="str">
        <f>IF(Plantilla_SCAN_EQ3_COUNT_2[[#This Row],[ID MATERIAL]]="","","Segundo Conteo")</f>
        <v/>
      </c>
    </row>
    <row r="1616" spans="1:9" s="7" customFormat="1" ht="15" x14ac:dyDescent="0.2">
      <c r="A1616" s="7" t="str">
        <f>IF(Plantilla_SCAN_EQ3_COUNT_2[[#This Row],[ID MATERIAL]]="","",SIGN(Plantilla_SCAN_EQ3_COUNT_2[[#This Row],[Cantidad]])+A1615)</f>
        <v/>
      </c>
      <c r="B1616" s="21" t="str">
        <f>IF(Plantilla_SCAN_EQ3_COUNT_2[[#This Row],[ID MATERIAL]]="","",B1615)</f>
        <v/>
      </c>
      <c r="C1616" s="21"/>
      <c r="D1616" s="21"/>
      <c r="E1616" s="7" t="str">
        <f>IF(Plantilla_SCAN_EQ3_COUNT_2[[#This Row],[ID MATERIAL]]="","",VLOOKUP(Plantilla_SCAN_EQ3_COUNT_2[[#This Row],[ID MATERIAL]],INVENTARIO!$A:$D,2,FALSE))</f>
        <v/>
      </c>
      <c r="F1616" s="7" t="str">
        <f>IF(Plantilla_SCAN_EQ3_COUNT_2[[#This Row],[ID MATERIAL]]="","",IF(Plantilla_SCAN_EQ3_COUNT_2[[#This Row],[No. Empaques]]="",1,Plantilla_SCAN_EQ3_COUNT_2[[#This Row],[No. Empaques]]*1))</f>
        <v/>
      </c>
      <c r="G1616" s="7" t="str">
        <f>IF(Plantilla_SCAN_EQ3_COUNT_2[[#This Row],[ID MATERIAL]]="","","PZ")</f>
        <v/>
      </c>
      <c r="H1616" s="7" t="str">
        <f>IF(Plantilla_SCAN_EQ3_COUNT_2[[#This Row],[ID MATERIAL]]="","",$B$13)</f>
        <v/>
      </c>
      <c r="I1616" s="7" t="str">
        <f>IF(Plantilla_SCAN_EQ3_COUNT_2[[#This Row],[ID MATERIAL]]="","","Segundo Conteo")</f>
        <v/>
      </c>
    </row>
    <row r="1617" spans="1:9" s="7" customFormat="1" ht="15" x14ac:dyDescent="0.2">
      <c r="A1617" s="7" t="str">
        <f>IF(Plantilla_SCAN_EQ3_COUNT_2[[#This Row],[ID MATERIAL]]="","",SIGN(Plantilla_SCAN_EQ3_COUNT_2[[#This Row],[Cantidad]])+A1616)</f>
        <v/>
      </c>
      <c r="B1617" s="21" t="str">
        <f>IF(Plantilla_SCAN_EQ3_COUNT_2[[#This Row],[ID MATERIAL]]="","",B1616)</f>
        <v/>
      </c>
      <c r="C1617" s="21"/>
      <c r="D1617" s="21"/>
      <c r="E1617" s="7" t="str">
        <f>IF(Plantilla_SCAN_EQ3_COUNT_2[[#This Row],[ID MATERIAL]]="","",VLOOKUP(Plantilla_SCAN_EQ3_COUNT_2[[#This Row],[ID MATERIAL]],INVENTARIO!$A:$D,2,FALSE))</f>
        <v/>
      </c>
      <c r="F1617" s="7" t="str">
        <f>IF(Plantilla_SCAN_EQ3_COUNT_2[[#This Row],[ID MATERIAL]]="","",IF(Plantilla_SCAN_EQ3_COUNT_2[[#This Row],[No. Empaques]]="",1,Plantilla_SCAN_EQ3_COUNT_2[[#This Row],[No. Empaques]]*1))</f>
        <v/>
      </c>
      <c r="G1617" s="7" t="str">
        <f>IF(Plantilla_SCAN_EQ3_COUNT_2[[#This Row],[ID MATERIAL]]="","","PZ")</f>
        <v/>
      </c>
      <c r="H1617" s="7" t="str">
        <f>IF(Plantilla_SCAN_EQ3_COUNT_2[[#This Row],[ID MATERIAL]]="","",$B$13)</f>
        <v/>
      </c>
      <c r="I1617" s="7" t="str">
        <f>IF(Plantilla_SCAN_EQ3_COUNT_2[[#This Row],[ID MATERIAL]]="","","Segundo Conteo")</f>
        <v/>
      </c>
    </row>
    <row r="1618" spans="1:9" s="7" customFormat="1" ht="15" x14ac:dyDescent="0.2">
      <c r="A1618" s="7" t="str">
        <f>IF(Plantilla_SCAN_EQ3_COUNT_2[[#This Row],[ID MATERIAL]]="","",SIGN(Plantilla_SCAN_EQ3_COUNT_2[[#This Row],[Cantidad]])+A1617)</f>
        <v/>
      </c>
      <c r="B1618" s="21" t="str">
        <f>IF(Plantilla_SCAN_EQ3_COUNT_2[[#This Row],[ID MATERIAL]]="","",B1617)</f>
        <v/>
      </c>
      <c r="C1618" s="21"/>
      <c r="D1618" s="21"/>
      <c r="E1618" s="7" t="str">
        <f>IF(Plantilla_SCAN_EQ3_COUNT_2[[#This Row],[ID MATERIAL]]="","",VLOOKUP(Plantilla_SCAN_EQ3_COUNT_2[[#This Row],[ID MATERIAL]],INVENTARIO!$A:$D,2,FALSE))</f>
        <v/>
      </c>
      <c r="F1618" s="7" t="str">
        <f>IF(Plantilla_SCAN_EQ3_COUNT_2[[#This Row],[ID MATERIAL]]="","",IF(Plantilla_SCAN_EQ3_COUNT_2[[#This Row],[No. Empaques]]="",1,Plantilla_SCAN_EQ3_COUNT_2[[#This Row],[No. Empaques]]*1))</f>
        <v/>
      </c>
      <c r="G1618" s="7" t="str">
        <f>IF(Plantilla_SCAN_EQ3_COUNT_2[[#This Row],[ID MATERIAL]]="","","PZ")</f>
        <v/>
      </c>
      <c r="H1618" s="7" t="str">
        <f>IF(Plantilla_SCAN_EQ3_COUNT_2[[#This Row],[ID MATERIAL]]="","",$B$13)</f>
        <v/>
      </c>
      <c r="I1618" s="7" t="str">
        <f>IF(Plantilla_SCAN_EQ3_COUNT_2[[#This Row],[ID MATERIAL]]="","","Segundo Conteo")</f>
        <v/>
      </c>
    </row>
    <row r="1619" spans="1:9" s="7" customFormat="1" ht="15" x14ac:dyDescent="0.2">
      <c r="A1619" s="7" t="str">
        <f>IF(Plantilla_SCAN_EQ3_COUNT_2[[#This Row],[ID MATERIAL]]="","",SIGN(Plantilla_SCAN_EQ3_COUNT_2[[#This Row],[Cantidad]])+A1618)</f>
        <v/>
      </c>
      <c r="B1619" s="21" t="str">
        <f>IF(Plantilla_SCAN_EQ3_COUNT_2[[#This Row],[ID MATERIAL]]="","",B1618)</f>
        <v/>
      </c>
      <c r="C1619" s="21"/>
      <c r="D1619" s="21"/>
      <c r="E1619" s="7" t="str">
        <f>IF(Plantilla_SCAN_EQ3_COUNT_2[[#This Row],[ID MATERIAL]]="","",VLOOKUP(Plantilla_SCAN_EQ3_COUNT_2[[#This Row],[ID MATERIAL]],INVENTARIO!$A:$D,2,FALSE))</f>
        <v/>
      </c>
      <c r="F1619" s="7" t="str">
        <f>IF(Plantilla_SCAN_EQ3_COUNT_2[[#This Row],[ID MATERIAL]]="","",IF(Plantilla_SCAN_EQ3_COUNT_2[[#This Row],[No. Empaques]]="",1,Plantilla_SCAN_EQ3_COUNT_2[[#This Row],[No. Empaques]]*1))</f>
        <v/>
      </c>
      <c r="G1619" s="7" t="str">
        <f>IF(Plantilla_SCAN_EQ3_COUNT_2[[#This Row],[ID MATERIAL]]="","","PZ")</f>
        <v/>
      </c>
      <c r="H1619" s="7" t="str">
        <f>IF(Plantilla_SCAN_EQ3_COUNT_2[[#This Row],[ID MATERIAL]]="","",$B$13)</f>
        <v/>
      </c>
      <c r="I1619" s="7" t="str">
        <f>IF(Plantilla_SCAN_EQ3_COUNT_2[[#This Row],[ID MATERIAL]]="","","Segundo Conteo")</f>
        <v/>
      </c>
    </row>
    <row r="1620" spans="1:9" s="7" customFormat="1" ht="15" x14ac:dyDescent="0.2">
      <c r="A1620" s="7" t="str">
        <f>IF(Plantilla_SCAN_EQ3_COUNT_2[[#This Row],[ID MATERIAL]]="","",SIGN(Plantilla_SCAN_EQ3_COUNT_2[[#This Row],[Cantidad]])+A1619)</f>
        <v/>
      </c>
      <c r="B1620" s="21" t="str">
        <f>IF(Plantilla_SCAN_EQ3_COUNT_2[[#This Row],[ID MATERIAL]]="","",B1619)</f>
        <v/>
      </c>
      <c r="C1620" s="21"/>
      <c r="D1620" s="21"/>
      <c r="E1620" s="7" t="str">
        <f>IF(Plantilla_SCAN_EQ3_COUNT_2[[#This Row],[ID MATERIAL]]="","",VLOOKUP(Plantilla_SCAN_EQ3_COUNT_2[[#This Row],[ID MATERIAL]],INVENTARIO!$A:$D,2,FALSE))</f>
        <v/>
      </c>
      <c r="F1620" s="7" t="str">
        <f>IF(Plantilla_SCAN_EQ3_COUNT_2[[#This Row],[ID MATERIAL]]="","",IF(Plantilla_SCAN_EQ3_COUNT_2[[#This Row],[No. Empaques]]="",1,Plantilla_SCAN_EQ3_COUNT_2[[#This Row],[No. Empaques]]*1))</f>
        <v/>
      </c>
      <c r="G1620" s="7" t="str">
        <f>IF(Plantilla_SCAN_EQ3_COUNT_2[[#This Row],[ID MATERIAL]]="","","PZ")</f>
        <v/>
      </c>
      <c r="H1620" s="7" t="str">
        <f>IF(Plantilla_SCAN_EQ3_COUNT_2[[#This Row],[ID MATERIAL]]="","",$B$13)</f>
        <v/>
      </c>
      <c r="I1620" s="7" t="str">
        <f>IF(Plantilla_SCAN_EQ3_COUNT_2[[#This Row],[ID MATERIAL]]="","","Segundo Conteo")</f>
        <v/>
      </c>
    </row>
    <row r="1621" spans="1:9" s="7" customFormat="1" ht="15" x14ac:dyDescent="0.2">
      <c r="A1621" s="7" t="str">
        <f>IF(Plantilla_SCAN_EQ3_COUNT_2[[#This Row],[ID MATERIAL]]="","",SIGN(Plantilla_SCAN_EQ3_COUNT_2[[#This Row],[Cantidad]])+A1620)</f>
        <v/>
      </c>
      <c r="B1621" s="21" t="str">
        <f>IF(Plantilla_SCAN_EQ3_COUNT_2[[#This Row],[ID MATERIAL]]="","",B1620)</f>
        <v/>
      </c>
      <c r="C1621" s="21"/>
      <c r="D1621" s="21"/>
      <c r="E1621" s="7" t="str">
        <f>IF(Plantilla_SCAN_EQ3_COUNT_2[[#This Row],[ID MATERIAL]]="","",VLOOKUP(Plantilla_SCAN_EQ3_COUNT_2[[#This Row],[ID MATERIAL]],INVENTARIO!$A:$D,2,FALSE))</f>
        <v/>
      </c>
      <c r="F1621" s="7" t="str">
        <f>IF(Plantilla_SCAN_EQ3_COUNT_2[[#This Row],[ID MATERIAL]]="","",IF(Plantilla_SCAN_EQ3_COUNT_2[[#This Row],[No. Empaques]]="",1,Plantilla_SCAN_EQ3_COUNT_2[[#This Row],[No. Empaques]]*1))</f>
        <v/>
      </c>
      <c r="G1621" s="7" t="str">
        <f>IF(Plantilla_SCAN_EQ3_COUNT_2[[#This Row],[ID MATERIAL]]="","","PZ")</f>
        <v/>
      </c>
      <c r="H1621" s="7" t="str">
        <f>IF(Plantilla_SCAN_EQ3_COUNT_2[[#This Row],[ID MATERIAL]]="","",$B$13)</f>
        <v/>
      </c>
      <c r="I1621" s="7" t="str">
        <f>IF(Plantilla_SCAN_EQ3_COUNT_2[[#This Row],[ID MATERIAL]]="","","Segundo Conteo")</f>
        <v/>
      </c>
    </row>
    <row r="1622" spans="1:9" s="7" customFormat="1" ht="15" x14ac:dyDescent="0.2">
      <c r="A1622" s="7" t="str">
        <f>IF(Plantilla_SCAN_EQ3_COUNT_2[[#This Row],[ID MATERIAL]]="","",SIGN(Plantilla_SCAN_EQ3_COUNT_2[[#This Row],[Cantidad]])+A1621)</f>
        <v/>
      </c>
      <c r="B1622" s="21" t="str">
        <f>IF(Plantilla_SCAN_EQ3_COUNT_2[[#This Row],[ID MATERIAL]]="","",B1621)</f>
        <v/>
      </c>
      <c r="C1622" s="21"/>
      <c r="D1622" s="21"/>
      <c r="E1622" s="7" t="str">
        <f>IF(Plantilla_SCAN_EQ3_COUNT_2[[#This Row],[ID MATERIAL]]="","",VLOOKUP(Plantilla_SCAN_EQ3_COUNT_2[[#This Row],[ID MATERIAL]],INVENTARIO!$A:$D,2,FALSE))</f>
        <v/>
      </c>
      <c r="F1622" s="7" t="str">
        <f>IF(Plantilla_SCAN_EQ3_COUNT_2[[#This Row],[ID MATERIAL]]="","",IF(Plantilla_SCAN_EQ3_COUNT_2[[#This Row],[No. Empaques]]="",1,Plantilla_SCAN_EQ3_COUNT_2[[#This Row],[No. Empaques]]*1))</f>
        <v/>
      </c>
      <c r="G1622" s="7" t="str">
        <f>IF(Plantilla_SCAN_EQ3_COUNT_2[[#This Row],[ID MATERIAL]]="","","PZ")</f>
        <v/>
      </c>
      <c r="H1622" s="7" t="str">
        <f>IF(Plantilla_SCAN_EQ3_COUNT_2[[#This Row],[ID MATERIAL]]="","",$B$13)</f>
        <v/>
      </c>
      <c r="I1622" s="7" t="str">
        <f>IF(Plantilla_SCAN_EQ3_COUNT_2[[#This Row],[ID MATERIAL]]="","","Segundo Conteo")</f>
        <v/>
      </c>
    </row>
    <row r="1623" spans="1:9" s="7" customFormat="1" ht="15" x14ac:dyDescent="0.2">
      <c r="A1623" s="7" t="str">
        <f>IF(Plantilla_SCAN_EQ3_COUNT_2[[#This Row],[ID MATERIAL]]="","",SIGN(Plantilla_SCAN_EQ3_COUNT_2[[#This Row],[Cantidad]])+A1622)</f>
        <v/>
      </c>
      <c r="B1623" s="21" t="str">
        <f>IF(Plantilla_SCAN_EQ3_COUNT_2[[#This Row],[ID MATERIAL]]="","",B1622)</f>
        <v/>
      </c>
      <c r="C1623" s="21"/>
      <c r="D1623" s="21"/>
      <c r="E1623" s="7" t="str">
        <f>IF(Plantilla_SCAN_EQ3_COUNT_2[[#This Row],[ID MATERIAL]]="","",VLOOKUP(Plantilla_SCAN_EQ3_COUNT_2[[#This Row],[ID MATERIAL]],INVENTARIO!$A:$D,2,FALSE))</f>
        <v/>
      </c>
      <c r="F1623" s="7" t="str">
        <f>IF(Plantilla_SCAN_EQ3_COUNT_2[[#This Row],[ID MATERIAL]]="","",IF(Plantilla_SCAN_EQ3_COUNT_2[[#This Row],[No. Empaques]]="",1,Plantilla_SCAN_EQ3_COUNT_2[[#This Row],[No. Empaques]]*1))</f>
        <v/>
      </c>
      <c r="G1623" s="7" t="str">
        <f>IF(Plantilla_SCAN_EQ3_COUNT_2[[#This Row],[ID MATERIAL]]="","","PZ")</f>
        <v/>
      </c>
      <c r="H1623" s="7" t="str">
        <f>IF(Plantilla_SCAN_EQ3_COUNT_2[[#This Row],[ID MATERIAL]]="","",$B$13)</f>
        <v/>
      </c>
      <c r="I1623" s="7" t="str">
        <f>IF(Plantilla_SCAN_EQ3_COUNT_2[[#This Row],[ID MATERIAL]]="","","Segundo Conteo")</f>
        <v/>
      </c>
    </row>
    <row r="1624" spans="1:9" s="7" customFormat="1" ht="15" x14ac:dyDescent="0.2">
      <c r="A1624" s="7" t="str">
        <f>IF(Plantilla_SCAN_EQ3_COUNT_2[[#This Row],[ID MATERIAL]]="","",SIGN(Plantilla_SCAN_EQ3_COUNT_2[[#This Row],[Cantidad]])+A1623)</f>
        <v/>
      </c>
      <c r="B1624" s="21" t="str">
        <f>IF(Plantilla_SCAN_EQ3_COUNT_2[[#This Row],[ID MATERIAL]]="","",B1623)</f>
        <v/>
      </c>
      <c r="C1624" s="21"/>
      <c r="D1624" s="21"/>
      <c r="E1624" s="7" t="str">
        <f>IF(Plantilla_SCAN_EQ3_COUNT_2[[#This Row],[ID MATERIAL]]="","",VLOOKUP(Plantilla_SCAN_EQ3_COUNT_2[[#This Row],[ID MATERIAL]],INVENTARIO!$A:$D,2,FALSE))</f>
        <v/>
      </c>
      <c r="F1624" s="7" t="str">
        <f>IF(Plantilla_SCAN_EQ3_COUNT_2[[#This Row],[ID MATERIAL]]="","",IF(Plantilla_SCAN_EQ3_COUNT_2[[#This Row],[No. Empaques]]="",1,Plantilla_SCAN_EQ3_COUNT_2[[#This Row],[No. Empaques]]*1))</f>
        <v/>
      </c>
      <c r="G1624" s="7" t="str">
        <f>IF(Plantilla_SCAN_EQ3_COUNT_2[[#This Row],[ID MATERIAL]]="","","PZ")</f>
        <v/>
      </c>
      <c r="H1624" s="7" t="str">
        <f>IF(Plantilla_SCAN_EQ3_COUNT_2[[#This Row],[ID MATERIAL]]="","",$B$13)</f>
        <v/>
      </c>
      <c r="I1624" s="7" t="str">
        <f>IF(Plantilla_SCAN_EQ3_COUNT_2[[#This Row],[ID MATERIAL]]="","","Segundo Conteo")</f>
        <v/>
      </c>
    </row>
    <row r="1625" spans="1:9" s="7" customFormat="1" ht="15" x14ac:dyDescent="0.2">
      <c r="A1625" s="7" t="str">
        <f>IF(Plantilla_SCAN_EQ3_COUNT_2[[#This Row],[ID MATERIAL]]="","",SIGN(Plantilla_SCAN_EQ3_COUNT_2[[#This Row],[Cantidad]])+A1624)</f>
        <v/>
      </c>
      <c r="B1625" s="21" t="str">
        <f>IF(Plantilla_SCAN_EQ3_COUNT_2[[#This Row],[ID MATERIAL]]="","",B1624)</f>
        <v/>
      </c>
      <c r="C1625" s="21"/>
      <c r="D1625" s="21"/>
      <c r="E1625" s="7" t="str">
        <f>IF(Plantilla_SCAN_EQ3_COUNT_2[[#This Row],[ID MATERIAL]]="","",VLOOKUP(Plantilla_SCAN_EQ3_COUNT_2[[#This Row],[ID MATERIAL]],INVENTARIO!$A:$D,2,FALSE))</f>
        <v/>
      </c>
      <c r="F1625" s="7" t="str">
        <f>IF(Plantilla_SCAN_EQ3_COUNT_2[[#This Row],[ID MATERIAL]]="","",IF(Plantilla_SCAN_EQ3_COUNT_2[[#This Row],[No. Empaques]]="",1,Plantilla_SCAN_EQ3_COUNT_2[[#This Row],[No. Empaques]]*1))</f>
        <v/>
      </c>
      <c r="G1625" s="7" t="str">
        <f>IF(Plantilla_SCAN_EQ3_COUNT_2[[#This Row],[ID MATERIAL]]="","","PZ")</f>
        <v/>
      </c>
      <c r="H1625" s="7" t="str">
        <f>IF(Plantilla_SCAN_EQ3_COUNT_2[[#This Row],[ID MATERIAL]]="","",$B$13)</f>
        <v/>
      </c>
      <c r="I1625" s="7" t="str">
        <f>IF(Plantilla_SCAN_EQ3_COUNT_2[[#This Row],[ID MATERIAL]]="","","Segundo Conteo")</f>
        <v/>
      </c>
    </row>
    <row r="1626" spans="1:9" s="7" customFormat="1" ht="15" x14ac:dyDescent="0.2">
      <c r="A1626" s="7" t="str">
        <f>IF(Plantilla_SCAN_EQ3_COUNT_2[[#This Row],[ID MATERIAL]]="","",SIGN(Plantilla_SCAN_EQ3_COUNT_2[[#This Row],[Cantidad]])+A1625)</f>
        <v/>
      </c>
      <c r="B1626" s="21" t="str">
        <f>IF(Plantilla_SCAN_EQ3_COUNT_2[[#This Row],[ID MATERIAL]]="","",B1625)</f>
        <v/>
      </c>
      <c r="C1626" s="21"/>
      <c r="D1626" s="21"/>
      <c r="E1626" s="7" t="str">
        <f>IF(Plantilla_SCAN_EQ3_COUNT_2[[#This Row],[ID MATERIAL]]="","",VLOOKUP(Plantilla_SCAN_EQ3_COUNT_2[[#This Row],[ID MATERIAL]],INVENTARIO!$A:$D,2,FALSE))</f>
        <v/>
      </c>
      <c r="F1626" s="7" t="str">
        <f>IF(Plantilla_SCAN_EQ3_COUNT_2[[#This Row],[ID MATERIAL]]="","",IF(Plantilla_SCAN_EQ3_COUNT_2[[#This Row],[No. Empaques]]="",1,Plantilla_SCAN_EQ3_COUNT_2[[#This Row],[No. Empaques]]*1))</f>
        <v/>
      </c>
      <c r="G1626" s="7" t="str">
        <f>IF(Plantilla_SCAN_EQ3_COUNT_2[[#This Row],[ID MATERIAL]]="","","PZ")</f>
        <v/>
      </c>
      <c r="H1626" s="7" t="str">
        <f>IF(Plantilla_SCAN_EQ3_COUNT_2[[#This Row],[ID MATERIAL]]="","",$B$13)</f>
        <v/>
      </c>
      <c r="I1626" s="7" t="str">
        <f>IF(Plantilla_SCAN_EQ3_COUNT_2[[#This Row],[ID MATERIAL]]="","","Segundo Conteo")</f>
        <v/>
      </c>
    </row>
    <row r="1627" spans="1:9" s="7" customFormat="1" ht="15" x14ac:dyDescent="0.2">
      <c r="A1627" s="7" t="str">
        <f>IF(Plantilla_SCAN_EQ3_COUNT_2[[#This Row],[ID MATERIAL]]="","",SIGN(Plantilla_SCAN_EQ3_COUNT_2[[#This Row],[Cantidad]])+A1626)</f>
        <v/>
      </c>
      <c r="B1627" s="21" t="str">
        <f>IF(Plantilla_SCAN_EQ3_COUNT_2[[#This Row],[ID MATERIAL]]="","",B1626)</f>
        <v/>
      </c>
      <c r="C1627" s="21"/>
      <c r="D1627" s="21"/>
      <c r="E1627" s="7" t="str">
        <f>IF(Plantilla_SCAN_EQ3_COUNT_2[[#This Row],[ID MATERIAL]]="","",VLOOKUP(Plantilla_SCAN_EQ3_COUNT_2[[#This Row],[ID MATERIAL]],INVENTARIO!$A:$D,2,FALSE))</f>
        <v/>
      </c>
      <c r="F1627" s="7" t="str">
        <f>IF(Plantilla_SCAN_EQ3_COUNT_2[[#This Row],[ID MATERIAL]]="","",IF(Plantilla_SCAN_EQ3_COUNT_2[[#This Row],[No. Empaques]]="",1,Plantilla_SCAN_EQ3_COUNT_2[[#This Row],[No. Empaques]]*1))</f>
        <v/>
      </c>
      <c r="G1627" s="7" t="str">
        <f>IF(Plantilla_SCAN_EQ3_COUNT_2[[#This Row],[ID MATERIAL]]="","","PZ")</f>
        <v/>
      </c>
      <c r="H1627" s="7" t="str">
        <f>IF(Plantilla_SCAN_EQ3_COUNT_2[[#This Row],[ID MATERIAL]]="","",$B$13)</f>
        <v/>
      </c>
      <c r="I1627" s="7" t="str">
        <f>IF(Plantilla_SCAN_EQ3_COUNT_2[[#This Row],[ID MATERIAL]]="","","Segundo Conteo")</f>
        <v/>
      </c>
    </row>
    <row r="1628" spans="1:9" s="7" customFormat="1" ht="15" x14ac:dyDescent="0.2">
      <c r="A1628" s="7" t="str">
        <f>IF(Plantilla_SCAN_EQ3_COUNT_2[[#This Row],[ID MATERIAL]]="","",SIGN(Plantilla_SCAN_EQ3_COUNT_2[[#This Row],[Cantidad]])+A1627)</f>
        <v/>
      </c>
      <c r="B1628" s="21" t="str">
        <f>IF(Plantilla_SCAN_EQ3_COUNT_2[[#This Row],[ID MATERIAL]]="","",B1627)</f>
        <v/>
      </c>
      <c r="C1628" s="21"/>
      <c r="D1628" s="21"/>
      <c r="E1628" s="7" t="str">
        <f>IF(Plantilla_SCAN_EQ3_COUNT_2[[#This Row],[ID MATERIAL]]="","",VLOOKUP(Plantilla_SCAN_EQ3_COUNT_2[[#This Row],[ID MATERIAL]],INVENTARIO!$A:$D,2,FALSE))</f>
        <v/>
      </c>
      <c r="F1628" s="7" t="str">
        <f>IF(Plantilla_SCAN_EQ3_COUNT_2[[#This Row],[ID MATERIAL]]="","",IF(Plantilla_SCAN_EQ3_COUNT_2[[#This Row],[No. Empaques]]="",1,Plantilla_SCAN_EQ3_COUNT_2[[#This Row],[No. Empaques]]*1))</f>
        <v/>
      </c>
      <c r="G1628" s="7" t="str">
        <f>IF(Plantilla_SCAN_EQ3_COUNT_2[[#This Row],[ID MATERIAL]]="","","PZ")</f>
        <v/>
      </c>
      <c r="H1628" s="7" t="str">
        <f>IF(Plantilla_SCAN_EQ3_COUNT_2[[#This Row],[ID MATERIAL]]="","",$B$13)</f>
        <v/>
      </c>
      <c r="I1628" s="7" t="str">
        <f>IF(Plantilla_SCAN_EQ3_COUNT_2[[#This Row],[ID MATERIAL]]="","","Segundo Conteo")</f>
        <v/>
      </c>
    </row>
    <row r="1629" spans="1:9" s="7" customFormat="1" ht="15" x14ac:dyDescent="0.2">
      <c r="A1629" s="7" t="str">
        <f>IF(Plantilla_SCAN_EQ3_COUNT_2[[#This Row],[ID MATERIAL]]="","",SIGN(Plantilla_SCAN_EQ3_COUNT_2[[#This Row],[Cantidad]])+A1628)</f>
        <v/>
      </c>
      <c r="B1629" s="21" t="str">
        <f>IF(Plantilla_SCAN_EQ3_COUNT_2[[#This Row],[ID MATERIAL]]="","",B1628)</f>
        <v/>
      </c>
      <c r="C1629" s="21"/>
      <c r="D1629" s="21"/>
      <c r="E1629" s="7" t="str">
        <f>IF(Plantilla_SCAN_EQ3_COUNT_2[[#This Row],[ID MATERIAL]]="","",VLOOKUP(Plantilla_SCAN_EQ3_COUNT_2[[#This Row],[ID MATERIAL]],INVENTARIO!$A:$D,2,FALSE))</f>
        <v/>
      </c>
      <c r="F1629" s="7" t="str">
        <f>IF(Plantilla_SCAN_EQ3_COUNT_2[[#This Row],[ID MATERIAL]]="","",IF(Plantilla_SCAN_EQ3_COUNT_2[[#This Row],[No. Empaques]]="",1,Plantilla_SCAN_EQ3_COUNT_2[[#This Row],[No. Empaques]]*1))</f>
        <v/>
      </c>
      <c r="G1629" s="7" t="str">
        <f>IF(Plantilla_SCAN_EQ3_COUNT_2[[#This Row],[ID MATERIAL]]="","","PZ")</f>
        <v/>
      </c>
      <c r="H1629" s="7" t="str">
        <f>IF(Plantilla_SCAN_EQ3_COUNT_2[[#This Row],[ID MATERIAL]]="","",$B$13)</f>
        <v/>
      </c>
      <c r="I1629" s="7" t="str">
        <f>IF(Plantilla_SCAN_EQ3_COUNT_2[[#This Row],[ID MATERIAL]]="","","Segundo Conteo")</f>
        <v/>
      </c>
    </row>
    <row r="1630" spans="1:9" s="7" customFormat="1" ht="15" x14ac:dyDescent="0.2">
      <c r="A1630" s="7" t="str">
        <f>IF(Plantilla_SCAN_EQ3_COUNT_2[[#This Row],[ID MATERIAL]]="","",SIGN(Plantilla_SCAN_EQ3_COUNT_2[[#This Row],[Cantidad]])+A1629)</f>
        <v/>
      </c>
      <c r="B1630" s="21" t="str">
        <f>IF(Plantilla_SCAN_EQ3_COUNT_2[[#This Row],[ID MATERIAL]]="","",B1629)</f>
        <v/>
      </c>
      <c r="C1630" s="21"/>
      <c r="D1630" s="21"/>
      <c r="E1630" s="7" t="str">
        <f>IF(Plantilla_SCAN_EQ3_COUNT_2[[#This Row],[ID MATERIAL]]="","",VLOOKUP(Plantilla_SCAN_EQ3_COUNT_2[[#This Row],[ID MATERIAL]],INVENTARIO!$A:$D,2,FALSE))</f>
        <v/>
      </c>
      <c r="F1630" s="7" t="str">
        <f>IF(Plantilla_SCAN_EQ3_COUNT_2[[#This Row],[ID MATERIAL]]="","",IF(Plantilla_SCAN_EQ3_COUNT_2[[#This Row],[No. Empaques]]="",1,Plantilla_SCAN_EQ3_COUNT_2[[#This Row],[No. Empaques]]*1))</f>
        <v/>
      </c>
      <c r="G1630" s="7" t="str">
        <f>IF(Plantilla_SCAN_EQ3_COUNT_2[[#This Row],[ID MATERIAL]]="","","PZ")</f>
        <v/>
      </c>
      <c r="H1630" s="7" t="str">
        <f>IF(Plantilla_SCAN_EQ3_COUNT_2[[#This Row],[ID MATERIAL]]="","",$B$13)</f>
        <v/>
      </c>
      <c r="I1630" s="7" t="str">
        <f>IF(Plantilla_SCAN_EQ3_COUNT_2[[#This Row],[ID MATERIAL]]="","","Segundo Conteo")</f>
        <v/>
      </c>
    </row>
    <row r="1631" spans="1:9" s="7" customFormat="1" ht="15" x14ac:dyDescent="0.2">
      <c r="A1631" s="7" t="str">
        <f>IF(Plantilla_SCAN_EQ3_COUNT_2[[#This Row],[ID MATERIAL]]="","",SIGN(Plantilla_SCAN_EQ3_COUNT_2[[#This Row],[Cantidad]])+A1630)</f>
        <v/>
      </c>
      <c r="B1631" s="21" t="str">
        <f>IF(Plantilla_SCAN_EQ3_COUNT_2[[#This Row],[ID MATERIAL]]="","",B1630)</f>
        <v/>
      </c>
      <c r="C1631" s="21"/>
      <c r="D1631" s="21"/>
      <c r="E1631" s="7" t="str">
        <f>IF(Plantilla_SCAN_EQ3_COUNT_2[[#This Row],[ID MATERIAL]]="","",VLOOKUP(Plantilla_SCAN_EQ3_COUNT_2[[#This Row],[ID MATERIAL]],INVENTARIO!$A:$D,2,FALSE))</f>
        <v/>
      </c>
      <c r="F1631" s="7" t="str">
        <f>IF(Plantilla_SCAN_EQ3_COUNT_2[[#This Row],[ID MATERIAL]]="","",IF(Plantilla_SCAN_EQ3_COUNT_2[[#This Row],[No. Empaques]]="",1,Plantilla_SCAN_EQ3_COUNT_2[[#This Row],[No. Empaques]]*1))</f>
        <v/>
      </c>
      <c r="G1631" s="7" t="str">
        <f>IF(Plantilla_SCAN_EQ3_COUNT_2[[#This Row],[ID MATERIAL]]="","","PZ")</f>
        <v/>
      </c>
      <c r="H1631" s="7" t="str">
        <f>IF(Plantilla_SCAN_EQ3_COUNT_2[[#This Row],[ID MATERIAL]]="","",$B$13)</f>
        <v/>
      </c>
      <c r="I1631" s="7" t="str">
        <f>IF(Plantilla_SCAN_EQ3_COUNT_2[[#This Row],[ID MATERIAL]]="","","Segundo Conteo")</f>
        <v/>
      </c>
    </row>
    <row r="1632" spans="1:9" s="7" customFormat="1" ht="15" x14ac:dyDescent="0.2">
      <c r="A1632" s="7" t="str">
        <f>IF(Plantilla_SCAN_EQ3_COUNT_2[[#This Row],[ID MATERIAL]]="","",SIGN(Plantilla_SCAN_EQ3_COUNT_2[[#This Row],[Cantidad]])+A1631)</f>
        <v/>
      </c>
      <c r="B1632" s="21" t="str">
        <f>IF(Plantilla_SCAN_EQ3_COUNT_2[[#This Row],[ID MATERIAL]]="","",B1631)</f>
        <v/>
      </c>
      <c r="C1632" s="21"/>
      <c r="D1632" s="21"/>
      <c r="E1632" s="7" t="str">
        <f>IF(Plantilla_SCAN_EQ3_COUNT_2[[#This Row],[ID MATERIAL]]="","",VLOOKUP(Plantilla_SCAN_EQ3_COUNT_2[[#This Row],[ID MATERIAL]],INVENTARIO!$A:$D,2,FALSE))</f>
        <v/>
      </c>
      <c r="F1632" s="7" t="str">
        <f>IF(Plantilla_SCAN_EQ3_COUNT_2[[#This Row],[ID MATERIAL]]="","",IF(Plantilla_SCAN_EQ3_COUNT_2[[#This Row],[No. Empaques]]="",1,Plantilla_SCAN_EQ3_COUNT_2[[#This Row],[No. Empaques]]*1))</f>
        <v/>
      </c>
      <c r="G1632" s="7" t="str">
        <f>IF(Plantilla_SCAN_EQ3_COUNT_2[[#This Row],[ID MATERIAL]]="","","PZ")</f>
        <v/>
      </c>
      <c r="H1632" s="7" t="str">
        <f>IF(Plantilla_SCAN_EQ3_COUNT_2[[#This Row],[ID MATERIAL]]="","",$B$13)</f>
        <v/>
      </c>
      <c r="I1632" s="7" t="str">
        <f>IF(Plantilla_SCAN_EQ3_COUNT_2[[#This Row],[ID MATERIAL]]="","","Segundo Conteo")</f>
        <v/>
      </c>
    </row>
    <row r="1633" spans="1:9" s="7" customFormat="1" ht="15" x14ac:dyDescent="0.2">
      <c r="A1633" s="7" t="str">
        <f>IF(Plantilla_SCAN_EQ3_COUNT_2[[#This Row],[ID MATERIAL]]="","",SIGN(Plantilla_SCAN_EQ3_COUNT_2[[#This Row],[Cantidad]])+A1632)</f>
        <v/>
      </c>
      <c r="B1633" s="21" t="str">
        <f>IF(Plantilla_SCAN_EQ3_COUNT_2[[#This Row],[ID MATERIAL]]="","",B1632)</f>
        <v/>
      </c>
      <c r="C1633" s="21"/>
      <c r="D1633" s="21"/>
      <c r="E1633" s="7" t="str">
        <f>IF(Plantilla_SCAN_EQ3_COUNT_2[[#This Row],[ID MATERIAL]]="","",VLOOKUP(Plantilla_SCAN_EQ3_COUNT_2[[#This Row],[ID MATERIAL]],INVENTARIO!$A:$D,2,FALSE))</f>
        <v/>
      </c>
      <c r="F1633" s="7" t="str">
        <f>IF(Plantilla_SCAN_EQ3_COUNT_2[[#This Row],[ID MATERIAL]]="","",IF(Plantilla_SCAN_EQ3_COUNT_2[[#This Row],[No. Empaques]]="",1,Plantilla_SCAN_EQ3_COUNT_2[[#This Row],[No. Empaques]]*1))</f>
        <v/>
      </c>
      <c r="G1633" s="7" t="str">
        <f>IF(Plantilla_SCAN_EQ3_COUNT_2[[#This Row],[ID MATERIAL]]="","","PZ")</f>
        <v/>
      </c>
      <c r="H1633" s="7" t="str">
        <f>IF(Plantilla_SCAN_EQ3_COUNT_2[[#This Row],[ID MATERIAL]]="","",$B$13)</f>
        <v/>
      </c>
      <c r="I1633" s="7" t="str">
        <f>IF(Plantilla_SCAN_EQ3_COUNT_2[[#This Row],[ID MATERIAL]]="","","Segundo Conteo")</f>
        <v/>
      </c>
    </row>
    <row r="1634" spans="1:9" s="7" customFormat="1" ht="15" x14ac:dyDescent="0.2">
      <c r="A1634" s="7" t="str">
        <f>IF(Plantilla_SCAN_EQ3_COUNT_2[[#This Row],[ID MATERIAL]]="","",SIGN(Plantilla_SCAN_EQ3_COUNT_2[[#This Row],[Cantidad]])+A1633)</f>
        <v/>
      </c>
      <c r="B1634" s="21" t="str">
        <f>IF(Plantilla_SCAN_EQ3_COUNT_2[[#This Row],[ID MATERIAL]]="","",B1633)</f>
        <v/>
      </c>
      <c r="C1634" s="21"/>
      <c r="D1634" s="21"/>
      <c r="E1634" s="7" t="str">
        <f>IF(Plantilla_SCAN_EQ3_COUNT_2[[#This Row],[ID MATERIAL]]="","",VLOOKUP(Plantilla_SCAN_EQ3_COUNT_2[[#This Row],[ID MATERIAL]],INVENTARIO!$A:$D,2,FALSE))</f>
        <v/>
      </c>
      <c r="F1634" s="7" t="str">
        <f>IF(Plantilla_SCAN_EQ3_COUNT_2[[#This Row],[ID MATERIAL]]="","",IF(Plantilla_SCAN_EQ3_COUNT_2[[#This Row],[No. Empaques]]="",1,Plantilla_SCAN_EQ3_COUNT_2[[#This Row],[No. Empaques]]*1))</f>
        <v/>
      </c>
      <c r="G1634" s="7" t="str">
        <f>IF(Plantilla_SCAN_EQ3_COUNT_2[[#This Row],[ID MATERIAL]]="","","PZ")</f>
        <v/>
      </c>
      <c r="H1634" s="7" t="str">
        <f>IF(Plantilla_SCAN_EQ3_COUNT_2[[#This Row],[ID MATERIAL]]="","",$B$13)</f>
        <v/>
      </c>
      <c r="I1634" s="7" t="str">
        <f>IF(Plantilla_SCAN_EQ3_COUNT_2[[#This Row],[ID MATERIAL]]="","","Segundo Conteo")</f>
        <v/>
      </c>
    </row>
    <row r="1635" spans="1:9" s="7" customFormat="1" ht="15" x14ac:dyDescent="0.2">
      <c r="A1635" s="7" t="str">
        <f>IF(Plantilla_SCAN_EQ3_COUNT_2[[#This Row],[ID MATERIAL]]="","",SIGN(Plantilla_SCAN_EQ3_COUNT_2[[#This Row],[Cantidad]])+A1634)</f>
        <v/>
      </c>
      <c r="B1635" s="21" t="str">
        <f>IF(Plantilla_SCAN_EQ3_COUNT_2[[#This Row],[ID MATERIAL]]="","",B1634)</f>
        <v/>
      </c>
      <c r="C1635" s="21"/>
      <c r="D1635" s="21"/>
      <c r="E1635" s="7" t="str">
        <f>IF(Plantilla_SCAN_EQ3_COUNT_2[[#This Row],[ID MATERIAL]]="","",VLOOKUP(Plantilla_SCAN_EQ3_COUNT_2[[#This Row],[ID MATERIAL]],INVENTARIO!$A:$D,2,FALSE))</f>
        <v/>
      </c>
      <c r="F1635" s="7" t="str">
        <f>IF(Plantilla_SCAN_EQ3_COUNT_2[[#This Row],[ID MATERIAL]]="","",IF(Plantilla_SCAN_EQ3_COUNT_2[[#This Row],[No. Empaques]]="",1,Plantilla_SCAN_EQ3_COUNT_2[[#This Row],[No. Empaques]]*1))</f>
        <v/>
      </c>
      <c r="G1635" s="7" t="str">
        <f>IF(Plantilla_SCAN_EQ3_COUNT_2[[#This Row],[ID MATERIAL]]="","","PZ")</f>
        <v/>
      </c>
      <c r="H1635" s="7" t="str">
        <f>IF(Plantilla_SCAN_EQ3_COUNT_2[[#This Row],[ID MATERIAL]]="","",$B$13)</f>
        <v/>
      </c>
      <c r="I1635" s="7" t="str">
        <f>IF(Plantilla_SCAN_EQ3_COUNT_2[[#This Row],[ID MATERIAL]]="","","Segundo Conteo")</f>
        <v/>
      </c>
    </row>
    <row r="1636" spans="1:9" s="7" customFormat="1" ht="15" x14ac:dyDescent="0.2">
      <c r="A1636" s="7" t="str">
        <f>IF(Plantilla_SCAN_EQ3_COUNT_2[[#This Row],[ID MATERIAL]]="","",SIGN(Plantilla_SCAN_EQ3_COUNT_2[[#This Row],[Cantidad]])+A1635)</f>
        <v/>
      </c>
      <c r="B1636" s="21" t="str">
        <f>IF(Plantilla_SCAN_EQ3_COUNT_2[[#This Row],[ID MATERIAL]]="","",B1635)</f>
        <v/>
      </c>
      <c r="C1636" s="21"/>
      <c r="D1636" s="21"/>
      <c r="E1636" s="7" t="str">
        <f>IF(Plantilla_SCAN_EQ3_COUNT_2[[#This Row],[ID MATERIAL]]="","",VLOOKUP(Plantilla_SCAN_EQ3_COUNT_2[[#This Row],[ID MATERIAL]],INVENTARIO!$A:$D,2,FALSE))</f>
        <v/>
      </c>
      <c r="F1636" s="7" t="str">
        <f>IF(Plantilla_SCAN_EQ3_COUNT_2[[#This Row],[ID MATERIAL]]="","",IF(Plantilla_SCAN_EQ3_COUNT_2[[#This Row],[No. Empaques]]="",1,Plantilla_SCAN_EQ3_COUNT_2[[#This Row],[No. Empaques]]*1))</f>
        <v/>
      </c>
      <c r="G1636" s="7" t="str">
        <f>IF(Plantilla_SCAN_EQ3_COUNT_2[[#This Row],[ID MATERIAL]]="","","PZ")</f>
        <v/>
      </c>
      <c r="H1636" s="7" t="str">
        <f>IF(Plantilla_SCAN_EQ3_COUNT_2[[#This Row],[ID MATERIAL]]="","",$B$13)</f>
        <v/>
      </c>
      <c r="I1636" s="7" t="str">
        <f>IF(Plantilla_SCAN_EQ3_COUNT_2[[#This Row],[ID MATERIAL]]="","","Segundo Conteo")</f>
        <v/>
      </c>
    </row>
    <row r="1637" spans="1:9" s="7" customFormat="1" ht="15" x14ac:dyDescent="0.2">
      <c r="A1637" s="7" t="str">
        <f>IF(Plantilla_SCAN_EQ3_COUNT_2[[#This Row],[ID MATERIAL]]="","",SIGN(Plantilla_SCAN_EQ3_COUNT_2[[#This Row],[Cantidad]])+A1636)</f>
        <v/>
      </c>
      <c r="B1637" s="21" t="str">
        <f>IF(Plantilla_SCAN_EQ3_COUNT_2[[#This Row],[ID MATERIAL]]="","",B1636)</f>
        <v/>
      </c>
      <c r="C1637" s="21"/>
      <c r="D1637" s="21"/>
      <c r="E1637" s="7" t="str">
        <f>IF(Plantilla_SCAN_EQ3_COUNT_2[[#This Row],[ID MATERIAL]]="","",VLOOKUP(Plantilla_SCAN_EQ3_COUNT_2[[#This Row],[ID MATERIAL]],INVENTARIO!$A:$D,2,FALSE))</f>
        <v/>
      </c>
      <c r="F1637" s="7" t="str">
        <f>IF(Plantilla_SCAN_EQ3_COUNT_2[[#This Row],[ID MATERIAL]]="","",IF(Plantilla_SCAN_EQ3_COUNT_2[[#This Row],[No. Empaques]]="",1,Plantilla_SCAN_EQ3_COUNT_2[[#This Row],[No. Empaques]]*1))</f>
        <v/>
      </c>
      <c r="G1637" s="7" t="str">
        <f>IF(Plantilla_SCAN_EQ3_COUNT_2[[#This Row],[ID MATERIAL]]="","","PZ")</f>
        <v/>
      </c>
      <c r="H1637" s="7" t="str">
        <f>IF(Plantilla_SCAN_EQ3_COUNT_2[[#This Row],[ID MATERIAL]]="","",$B$13)</f>
        <v/>
      </c>
      <c r="I1637" s="7" t="str">
        <f>IF(Plantilla_SCAN_EQ3_COUNT_2[[#This Row],[ID MATERIAL]]="","","Segundo Conteo")</f>
        <v/>
      </c>
    </row>
    <row r="1638" spans="1:9" s="7" customFormat="1" ht="15" x14ac:dyDescent="0.2">
      <c r="A1638" s="7" t="str">
        <f>IF(Plantilla_SCAN_EQ3_COUNT_2[[#This Row],[ID MATERIAL]]="","",SIGN(Plantilla_SCAN_EQ3_COUNT_2[[#This Row],[Cantidad]])+A1637)</f>
        <v/>
      </c>
      <c r="B1638" s="21" t="str">
        <f>IF(Plantilla_SCAN_EQ3_COUNT_2[[#This Row],[ID MATERIAL]]="","",B1637)</f>
        <v/>
      </c>
      <c r="C1638" s="21"/>
      <c r="D1638" s="21"/>
      <c r="E1638" s="7" t="str">
        <f>IF(Plantilla_SCAN_EQ3_COUNT_2[[#This Row],[ID MATERIAL]]="","",VLOOKUP(Plantilla_SCAN_EQ3_COUNT_2[[#This Row],[ID MATERIAL]],INVENTARIO!$A:$D,2,FALSE))</f>
        <v/>
      </c>
      <c r="F1638" s="7" t="str">
        <f>IF(Plantilla_SCAN_EQ3_COUNT_2[[#This Row],[ID MATERIAL]]="","",IF(Plantilla_SCAN_EQ3_COUNT_2[[#This Row],[No. Empaques]]="",1,Plantilla_SCAN_EQ3_COUNT_2[[#This Row],[No. Empaques]]*1))</f>
        <v/>
      </c>
      <c r="G1638" s="7" t="str">
        <f>IF(Plantilla_SCAN_EQ3_COUNT_2[[#This Row],[ID MATERIAL]]="","","PZ")</f>
        <v/>
      </c>
      <c r="H1638" s="7" t="str">
        <f>IF(Plantilla_SCAN_EQ3_COUNT_2[[#This Row],[ID MATERIAL]]="","",$B$13)</f>
        <v/>
      </c>
      <c r="I1638" s="7" t="str">
        <f>IF(Plantilla_SCAN_EQ3_COUNT_2[[#This Row],[ID MATERIAL]]="","","Segundo Conteo")</f>
        <v/>
      </c>
    </row>
    <row r="1639" spans="1:9" s="7" customFormat="1" ht="15" x14ac:dyDescent="0.2">
      <c r="A1639" s="7" t="str">
        <f>IF(Plantilla_SCAN_EQ3_COUNT_2[[#This Row],[ID MATERIAL]]="","",SIGN(Plantilla_SCAN_EQ3_COUNT_2[[#This Row],[Cantidad]])+A1638)</f>
        <v/>
      </c>
      <c r="B1639" s="21" t="str">
        <f>IF(Plantilla_SCAN_EQ3_COUNT_2[[#This Row],[ID MATERIAL]]="","",B1638)</f>
        <v/>
      </c>
      <c r="C1639" s="21"/>
      <c r="D1639" s="21"/>
      <c r="E1639" s="7" t="str">
        <f>IF(Plantilla_SCAN_EQ3_COUNT_2[[#This Row],[ID MATERIAL]]="","",VLOOKUP(Plantilla_SCAN_EQ3_COUNT_2[[#This Row],[ID MATERIAL]],INVENTARIO!$A:$D,2,FALSE))</f>
        <v/>
      </c>
      <c r="F1639" s="7" t="str">
        <f>IF(Plantilla_SCAN_EQ3_COUNT_2[[#This Row],[ID MATERIAL]]="","",IF(Plantilla_SCAN_EQ3_COUNT_2[[#This Row],[No. Empaques]]="",1,Plantilla_SCAN_EQ3_COUNT_2[[#This Row],[No. Empaques]]*1))</f>
        <v/>
      </c>
      <c r="G1639" s="7" t="str">
        <f>IF(Plantilla_SCAN_EQ3_COUNT_2[[#This Row],[ID MATERIAL]]="","","PZ")</f>
        <v/>
      </c>
      <c r="H1639" s="7" t="str">
        <f>IF(Plantilla_SCAN_EQ3_COUNT_2[[#This Row],[ID MATERIAL]]="","",$B$13)</f>
        <v/>
      </c>
      <c r="I1639" s="7" t="str">
        <f>IF(Plantilla_SCAN_EQ3_COUNT_2[[#This Row],[ID MATERIAL]]="","","Segundo Conteo")</f>
        <v/>
      </c>
    </row>
    <row r="1640" spans="1:9" s="7" customFormat="1" ht="15" x14ac:dyDescent="0.2">
      <c r="A1640" s="7" t="str">
        <f>IF(Plantilla_SCAN_EQ3_COUNT_2[[#This Row],[ID MATERIAL]]="","",SIGN(Plantilla_SCAN_EQ3_COUNT_2[[#This Row],[Cantidad]])+A1639)</f>
        <v/>
      </c>
      <c r="B1640" s="21" t="str">
        <f>IF(Plantilla_SCAN_EQ3_COUNT_2[[#This Row],[ID MATERIAL]]="","",B1639)</f>
        <v/>
      </c>
      <c r="C1640" s="21"/>
      <c r="D1640" s="21"/>
      <c r="E1640" s="7" t="str">
        <f>IF(Plantilla_SCAN_EQ3_COUNT_2[[#This Row],[ID MATERIAL]]="","",VLOOKUP(Plantilla_SCAN_EQ3_COUNT_2[[#This Row],[ID MATERIAL]],INVENTARIO!$A:$D,2,FALSE))</f>
        <v/>
      </c>
      <c r="F1640" s="7" t="str">
        <f>IF(Plantilla_SCAN_EQ3_COUNT_2[[#This Row],[ID MATERIAL]]="","",IF(Plantilla_SCAN_EQ3_COUNT_2[[#This Row],[No. Empaques]]="",1,Plantilla_SCAN_EQ3_COUNT_2[[#This Row],[No. Empaques]]*1))</f>
        <v/>
      </c>
      <c r="G1640" s="7" t="str">
        <f>IF(Plantilla_SCAN_EQ3_COUNT_2[[#This Row],[ID MATERIAL]]="","","PZ")</f>
        <v/>
      </c>
      <c r="H1640" s="7" t="str">
        <f>IF(Plantilla_SCAN_EQ3_COUNT_2[[#This Row],[ID MATERIAL]]="","",$B$13)</f>
        <v/>
      </c>
      <c r="I1640" s="7" t="str">
        <f>IF(Plantilla_SCAN_EQ3_COUNT_2[[#This Row],[ID MATERIAL]]="","","Segundo Conteo")</f>
        <v/>
      </c>
    </row>
    <row r="1641" spans="1:9" s="7" customFormat="1" ht="15" x14ac:dyDescent="0.2">
      <c r="A1641" s="7" t="str">
        <f>IF(Plantilla_SCAN_EQ3_COUNT_2[[#This Row],[ID MATERIAL]]="","",SIGN(Plantilla_SCAN_EQ3_COUNT_2[[#This Row],[Cantidad]])+A1640)</f>
        <v/>
      </c>
      <c r="B1641" s="21" t="str">
        <f>IF(Plantilla_SCAN_EQ3_COUNT_2[[#This Row],[ID MATERIAL]]="","",B1640)</f>
        <v/>
      </c>
      <c r="C1641" s="21"/>
      <c r="D1641" s="21"/>
      <c r="E1641" s="7" t="str">
        <f>IF(Plantilla_SCAN_EQ3_COUNT_2[[#This Row],[ID MATERIAL]]="","",VLOOKUP(Plantilla_SCAN_EQ3_COUNT_2[[#This Row],[ID MATERIAL]],INVENTARIO!$A:$D,2,FALSE))</f>
        <v/>
      </c>
      <c r="F1641" s="7" t="str">
        <f>IF(Plantilla_SCAN_EQ3_COUNT_2[[#This Row],[ID MATERIAL]]="","",IF(Plantilla_SCAN_EQ3_COUNT_2[[#This Row],[No. Empaques]]="",1,Plantilla_SCAN_EQ3_COUNT_2[[#This Row],[No. Empaques]]*1))</f>
        <v/>
      </c>
      <c r="G1641" s="7" t="str">
        <f>IF(Plantilla_SCAN_EQ3_COUNT_2[[#This Row],[ID MATERIAL]]="","","PZ")</f>
        <v/>
      </c>
      <c r="H1641" s="7" t="str">
        <f>IF(Plantilla_SCAN_EQ3_COUNT_2[[#This Row],[ID MATERIAL]]="","",$B$13)</f>
        <v/>
      </c>
      <c r="I1641" s="7" t="str">
        <f>IF(Plantilla_SCAN_EQ3_COUNT_2[[#This Row],[ID MATERIAL]]="","","Segundo Conteo")</f>
        <v/>
      </c>
    </row>
    <row r="1642" spans="1:9" s="7" customFormat="1" ht="15" x14ac:dyDescent="0.2">
      <c r="A1642" s="7" t="str">
        <f>IF(Plantilla_SCAN_EQ3_COUNT_2[[#This Row],[ID MATERIAL]]="","",SIGN(Plantilla_SCAN_EQ3_COUNT_2[[#This Row],[Cantidad]])+A1641)</f>
        <v/>
      </c>
      <c r="B1642" s="21" t="str">
        <f>IF(Plantilla_SCAN_EQ3_COUNT_2[[#This Row],[ID MATERIAL]]="","",B1641)</f>
        <v/>
      </c>
      <c r="C1642" s="21"/>
      <c r="D1642" s="21"/>
      <c r="E1642" s="7" t="str">
        <f>IF(Plantilla_SCAN_EQ3_COUNT_2[[#This Row],[ID MATERIAL]]="","",VLOOKUP(Plantilla_SCAN_EQ3_COUNT_2[[#This Row],[ID MATERIAL]],INVENTARIO!$A:$D,2,FALSE))</f>
        <v/>
      </c>
      <c r="F1642" s="7" t="str">
        <f>IF(Plantilla_SCAN_EQ3_COUNT_2[[#This Row],[ID MATERIAL]]="","",IF(Plantilla_SCAN_EQ3_COUNT_2[[#This Row],[No. Empaques]]="",1,Plantilla_SCAN_EQ3_COUNT_2[[#This Row],[No. Empaques]]*1))</f>
        <v/>
      </c>
      <c r="G1642" s="7" t="str">
        <f>IF(Plantilla_SCAN_EQ3_COUNT_2[[#This Row],[ID MATERIAL]]="","","PZ")</f>
        <v/>
      </c>
      <c r="H1642" s="7" t="str">
        <f>IF(Plantilla_SCAN_EQ3_COUNT_2[[#This Row],[ID MATERIAL]]="","",$B$13)</f>
        <v/>
      </c>
      <c r="I1642" s="7" t="str">
        <f>IF(Plantilla_SCAN_EQ3_COUNT_2[[#This Row],[ID MATERIAL]]="","","Segundo Conteo")</f>
        <v/>
      </c>
    </row>
    <row r="1643" spans="1:9" s="7" customFormat="1" ht="15" x14ac:dyDescent="0.2">
      <c r="A1643" s="7" t="str">
        <f>IF(Plantilla_SCAN_EQ3_COUNT_2[[#This Row],[ID MATERIAL]]="","",SIGN(Plantilla_SCAN_EQ3_COUNT_2[[#This Row],[Cantidad]])+A1642)</f>
        <v/>
      </c>
      <c r="B1643" s="21" t="str">
        <f>IF(Plantilla_SCAN_EQ3_COUNT_2[[#This Row],[ID MATERIAL]]="","",B1642)</f>
        <v/>
      </c>
      <c r="C1643" s="21"/>
      <c r="D1643" s="21"/>
      <c r="E1643" s="7" t="str">
        <f>IF(Plantilla_SCAN_EQ3_COUNT_2[[#This Row],[ID MATERIAL]]="","",VLOOKUP(Plantilla_SCAN_EQ3_COUNT_2[[#This Row],[ID MATERIAL]],INVENTARIO!$A:$D,2,FALSE))</f>
        <v/>
      </c>
      <c r="F1643" s="7" t="str">
        <f>IF(Plantilla_SCAN_EQ3_COUNT_2[[#This Row],[ID MATERIAL]]="","",IF(Plantilla_SCAN_EQ3_COUNT_2[[#This Row],[No. Empaques]]="",1,Plantilla_SCAN_EQ3_COUNT_2[[#This Row],[No. Empaques]]*1))</f>
        <v/>
      </c>
      <c r="G1643" s="7" t="str">
        <f>IF(Plantilla_SCAN_EQ3_COUNT_2[[#This Row],[ID MATERIAL]]="","","PZ")</f>
        <v/>
      </c>
      <c r="H1643" s="7" t="str">
        <f>IF(Plantilla_SCAN_EQ3_COUNT_2[[#This Row],[ID MATERIAL]]="","",$B$13)</f>
        <v/>
      </c>
      <c r="I1643" s="7" t="str">
        <f>IF(Plantilla_SCAN_EQ3_COUNT_2[[#This Row],[ID MATERIAL]]="","","Segundo Conteo")</f>
        <v/>
      </c>
    </row>
    <row r="1644" spans="1:9" s="7" customFormat="1" ht="15" x14ac:dyDescent="0.2">
      <c r="A1644" s="7" t="str">
        <f>IF(Plantilla_SCAN_EQ3_COUNT_2[[#This Row],[ID MATERIAL]]="","",SIGN(Plantilla_SCAN_EQ3_COUNT_2[[#This Row],[Cantidad]])+A1643)</f>
        <v/>
      </c>
      <c r="B1644" s="21" t="str">
        <f>IF(Plantilla_SCAN_EQ3_COUNT_2[[#This Row],[ID MATERIAL]]="","",B1643)</f>
        <v/>
      </c>
      <c r="C1644" s="21"/>
      <c r="D1644" s="21"/>
      <c r="E1644" s="7" t="str">
        <f>IF(Plantilla_SCAN_EQ3_COUNT_2[[#This Row],[ID MATERIAL]]="","",VLOOKUP(Plantilla_SCAN_EQ3_COUNT_2[[#This Row],[ID MATERIAL]],INVENTARIO!$A:$D,2,FALSE))</f>
        <v/>
      </c>
      <c r="F1644" s="7" t="str">
        <f>IF(Plantilla_SCAN_EQ3_COUNT_2[[#This Row],[ID MATERIAL]]="","",IF(Plantilla_SCAN_EQ3_COUNT_2[[#This Row],[No. Empaques]]="",1,Plantilla_SCAN_EQ3_COUNT_2[[#This Row],[No. Empaques]]*1))</f>
        <v/>
      </c>
      <c r="G1644" s="7" t="str">
        <f>IF(Plantilla_SCAN_EQ3_COUNT_2[[#This Row],[ID MATERIAL]]="","","PZ")</f>
        <v/>
      </c>
      <c r="H1644" s="7" t="str">
        <f>IF(Plantilla_SCAN_EQ3_COUNT_2[[#This Row],[ID MATERIAL]]="","",$B$13)</f>
        <v/>
      </c>
      <c r="I1644" s="7" t="str">
        <f>IF(Plantilla_SCAN_EQ3_COUNT_2[[#This Row],[ID MATERIAL]]="","","Segundo Conteo")</f>
        <v/>
      </c>
    </row>
    <row r="1645" spans="1:9" s="7" customFormat="1" ht="15" x14ac:dyDescent="0.2">
      <c r="A1645" s="7" t="str">
        <f>IF(Plantilla_SCAN_EQ3_COUNT_2[[#This Row],[ID MATERIAL]]="","",SIGN(Plantilla_SCAN_EQ3_COUNT_2[[#This Row],[Cantidad]])+A1644)</f>
        <v/>
      </c>
      <c r="B1645" s="21" t="str">
        <f>IF(Plantilla_SCAN_EQ3_COUNT_2[[#This Row],[ID MATERIAL]]="","",B1644)</f>
        <v/>
      </c>
      <c r="C1645" s="21"/>
      <c r="D1645" s="21"/>
      <c r="E1645" s="7" t="str">
        <f>IF(Plantilla_SCAN_EQ3_COUNT_2[[#This Row],[ID MATERIAL]]="","",VLOOKUP(Plantilla_SCAN_EQ3_COUNT_2[[#This Row],[ID MATERIAL]],INVENTARIO!$A:$D,2,FALSE))</f>
        <v/>
      </c>
      <c r="F1645" s="7" t="str">
        <f>IF(Plantilla_SCAN_EQ3_COUNT_2[[#This Row],[ID MATERIAL]]="","",IF(Plantilla_SCAN_EQ3_COUNT_2[[#This Row],[No. Empaques]]="",1,Plantilla_SCAN_EQ3_COUNT_2[[#This Row],[No. Empaques]]*1))</f>
        <v/>
      </c>
      <c r="G1645" s="7" t="str">
        <f>IF(Plantilla_SCAN_EQ3_COUNT_2[[#This Row],[ID MATERIAL]]="","","PZ")</f>
        <v/>
      </c>
      <c r="H1645" s="7" t="str">
        <f>IF(Plantilla_SCAN_EQ3_COUNT_2[[#This Row],[ID MATERIAL]]="","",$B$13)</f>
        <v/>
      </c>
      <c r="I1645" s="7" t="str">
        <f>IF(Plantilla_SCAN_EQ3_COUNT_2[[#This Row],[ID MATERIAL]]="","","Segundo Conteo")</f>
        <v/>
      </c>
    </row>
    <row r="1646" spans="1:9" s="7" customFormat="1" ht="15" x14ac:dyDescent="0.2">
      <c r="A1646" s="7" t="str">
        <f>IF(Plantilla_SCAN_EQ3_COUNT_2[[#This Row],[ID MATERIAL]]="","",SIGN(Plantilla_SCAN_EQ3_COUNT_2[[#This Row],[Cantidad]])+A1645)</f>
        <v/>
      </c>
      <c r="B1646" s="21" t="str">
        <f>IF(Plantilla_SCAN_EQ3_COUNT_2[[#This Row],[ID MATERIAL]]="","",B1645)</f>
        <v/>
      </c>
      <c r="C1646" s="21"/>
      <c r="D1646" s="21"/>
      <c r="E1646" s="7" t="str">
        <f>IF(Plantilla_SCAN_EQ3_COUNT_2[[#This Row],[ID MATERIAL]]="","",VLOOKUP(Plantilla_SCAN_EQ3_COUNT_2[[#This Row],[ID MATERIAL]],INVENTARIO!$A:$D,2,FALSE))</f>
        <v/>
      </c>
      <c r="F1646" s="7" t="str">
        <f>IF(Plantilla_SCAN_EQ3_COUNT_2[[#This Row],[ID MATERIAL]]="","",IF(Plantilla_SCAN_EQ3_COUNT_2[[#This Row],[No. Empaques]]="",1,Plantilla_SCAN_EQ3_COUNT_2[[#This Row],[No. Empaques]]*1))</f>
        <v/>
      </c>
      <c r="G1646" s="7" t="str">
        <f>IF(Plantilla_SCAN_EQ3_COUNT_2[[#This Row],[ID MATERIAL]]="","","PZ")</f>
        <v/>
      </c>
      <c r="H1646" s="7" t="str">
        <f>IF(Plantilla_SCAN_EQ3_COUNT_2[[#This Row],[ID MATERIAL]]="","",$B$13)</f>
        <v/>
      </c>
      <c r="I1646" s="7" t="str">
        <f>IF(Plantilla_SCAN_EQ3_COUNT_2[[#This Row],[ID MATERIAL]]="","","Segundo Conteo")</f>
        <v/>
      </c>
    </row>
    <row r="1647" spans="1:9" s="7" customFormat="1" ht="15" x14ac:dyDescent="0.2">
      <c r="A1647" s="7" t="str">
        <f>IF(Plantilla_SCAN_EQ3_COUNT_2[[#This Row],[ID MATERIAL]]="","",SIGN(Plantilla_SCAN_EQ3_COUNT_2[[#This Row],[Cantidad]])+A1646)</f>
        <v/>
      </c>
      <c r="B1647" s="21" t="str">
        <f>IF(Plantilla_SCAN_EQ3_COUNT_2[[#This Row],[ID MATERIAL]]="","",B1646)</f>
        <v/>
      </c>
      <c r="C1647" s="21"/>
      <c r="D1647" s="21"/>
      <c r="E1647" s="7" t="str">
        <f>IF(Plantilla_SCAN_EQ3_COUNT_2[[#This Row],[ID MATERIAL]]="","",VLOOKUP(Plantilla_SCAN_EQ3_COUNT_2[[#This Row],[ID MATERIAL]],INVENTARIO!$A:$D,2,FALSE))</f>
        <v/>
      </c>
      <c r="F1647" s="7" t="str">
        <f>IF(Plantilla_SCAN_EQ3_COUNT_2[[#This Row],[ID MATERIAL]]="","",IF(Plantilla_SCAN_EQ3_COUNT_2[[#This Row],[No. Empaques]]="",1,Plantilla_SCAN_EQ3_COUNT_2[[#This Row],[No. Empaques]]*1))</f>
        <v/>
      </c>
      <c r="G1647" s="7" t="str">
        <f>IF(Plantilla_SCAN_EQ3_COUNT_2[[#This Row],[ID MATERIAL]]="","","PZ")</f>
        <v/>
      </c>
      <c r="H1647" s="7" t="str">
        <f>IF(Plantilla_SCAN_EQ3_COUNT_2[[#This Row],[ID MATERIAL]]="","",$B$13)</f>
        <v/>
      </c>
      <c r="I1647" s="7" t="str">
        <f>IF(Plantilla_SCAN_EQ3_COUNT_2[[#This Row],[ID MATERIAL]]="","","Segundo Conteo")</f>
        <v/>
      </c>
    </row>
    <row r="1648" spans="1:9" s="7" customFormat="1" ht="15" x14ac:dyDescent="0.2">
      <c r="A1648" s="7" t="str">
        <f>IF(Plantilla_SCAN_EQ3_COUNT_2[[#This Row],[ID MATERIAL]]="","",SIGN(Plantilla_SCAN_EQ3_COUNT_2[[#This Row],[Cantidad]])+A1647)</f>
        <v/>
      </c>
      <c r="B1648" s="21" t="str">
        <f>IF(Plantilla_SCAN_EQ3_COUNT_2[[#This Row],[ID MATERIAL]]="","",B1647)</f>
        <v/>
      </c>
      <c r="C1648" s="21"/>
      <c r="D1648" s="21"/>
      <c r="E1648" s="7" t="str">
        <f>IF(Plantilla_SCAN_EQ3_COUNT_2[[#This Row],[ID MATERIAL]]="","",VLOOKUP(Plantilla_SCAN_EQ3_COUNT_2[[#This Row],[ID MATERIAL]],INVENTARIO!$A:$D,2,FALSE))</f>
        <v/>
      </c>
      <c r="F1648" s="7" t="str">
        <f>IF(Plantilla_SCAN_EQ3_COUNT_2[[#This Row],[ID MATERIAL]]="","",IF(Plantilla_SCAN_EQ3_COUNT_2[[#This Row],[No. Empaques]]="",1,Plantilla_SCAN_EQ3_COUNT_2[[#This Row],[No. Empaques]]*1))</f>
        <v/>
      </c>
      <c r="G1648" s="7" t="str">
        <f>IF(Plantilla_SCAN_EQ3_COUNT_2[[#This Row],[ID MATERIAL]]="","","PZ")</f>
        <v/>
      </c>
      <c r="H1648" s="7" t="str">
        <f>IF(Plantilla_SCAN_EQ3_COUNT_2[[#This Row],[ID MATERIAL]]="","",$B$13)</f>
        <v/>
      </c>
      <c r="I1648" s="7" t="str">
        <f>IF(Plantilla_SCAN_EQ3_COUNT_2[[#This Row],[ID MATERIAL]]="","","Segundo Conteo")</f>
        <v/>
      </c>
    </row>
    <row r="1649" spans="1:9" s="7" customFormat="1" ht="15" x14ac:dyDescent="0.2">
      <c r="A1649" s="7" t="str">
        <f>IF(Plantilla_SCAN_EQ3_COUNT_2[[#This Row],[ID MATERIAL]]="","",SIGN(Plantilla_SCAN_EQ3_COUNT_2[[#This Row],[Cantidad]])+A1648)</f>
        <v/>
      </c>
      <c r="B1649" s="21" t="str">
        <f>IF(Plantilla_SCAN_EQ3_COUNT_2[[#This Row],[ID MATERIAL]]="","",B1648)</f>
        <v/>
      </c>
      <c r="C1649" s="21"/>
      <c r="D1649" s="21"/>
      <c r="E1649" s="7" t="str">
        <f>IF(Plantilla_SCAN_EQ3_COUNT_2[[#This Row],[ID MATERIAL]]="","",VLOOKUP(Plantilla_SCAN_EQ3_COUNT_2[[#This Row],[ID MATERIAL]],INVENTARIO!$A:$D,2,FALSE))</f>
        <v/>
      </c>
      <c r="F1649" s="7" t="str">
        <f>IF(Plantilla_SCAN_EQ3_COUNT_2[[#This Row],[ID MATERIAL]]="","",IF(Plantilla_SCAN_EQ3_COUNT_2[[#This Row],[No. Empaques]]="",1,Plantilla_SCAN_EQ3_COUNT_2[[#This Row],[No. Empaques]]*1))</f>
        <v/>
      </c>
      <c r="G1649" s="7" t="str">
        <f>IF(Plantilla_SCAN_EQ3_COUNT_2[[#This Row],[ID MATERIAL]]="","","PZ")</f>
        <v/>
      </c>
      <c r="H1649" s="7" t="str">
        <f>IF(Plantilla_SCAN_EQ3_COUNT_2[[#This Row],[ID MATERIAL]]="","",$B$13)</f>
        <v/>
      </c>
      <c r="I1649" s="7" t="str">
        <f>IF(Plantilla_SCAN_EQ3_COUNT_2[[#This Row],[ID MATERIAL]]="","","Segundo Conteo")</f>
        <v/>
      </c>
    </row>
    <row r="1650" spans="1:9" s="7" customFormat="1" ht="15" x14ac:dyDescent="0.2">
      <c r="A1650" s="7" t="str">
        <f>IF(Plantilla_SCAN_EQ3_COUNT_2[[#This Row],[ID MATERIAL]]="","",SIGN(Plantilla_SCAN_EQ3_COUNT_2[[#This Row],[Cantidad]])+A1649)</f>
        <v/>
      </c>
      <c r="B1650" s="21" t="str">
        <f>IF(Plantilla_SCAN_EQ3_COUNT_2[[#This Row],[ID MATERIAL]]="","",B1649)</f>
        <v/>
      </c>
      <c r="C1650" s="21"/>
      <c r="D1650" s="21"/>
      <c r="E1650" s="7" t="str">
        <f>IF(Plantilla_SCAN_EQ3_COUNT_2[[#This Row],[ID MATERIAL]]="","",VLOOKUP(Plantilla_SCAN_EQ3_COUNT_2[[#This Row],[ID MATERIAL]],INVENTARIO!$A:$D,2,FALSE))</f>
        <v/>
      </c>
      <c r="F1650" s="7" t="str">
        <f>IF(Plantilla_SCAN_EQ3_COUNT_2[[#This Row],[ID MATERIAL]]="","",IF(Plantilla_SCAN_EQ3_COUNT_2[[#This Row],[No. Empaques]]="",1,Plantilla_SCAN_EQ3_COUNT_2[[#This Row],[No. Empaques]]*1))</f>
        <v/>
      </c>
      <c r="G1650" s="7" t="str">
        <f>IF(Plantilla_SCAN_EQ3_COUNT_2[[#This Row],[ID MATERIAL]]="","","PZ")</f>
        <v/>
      </c>
      <c r="H1650" s="7" t="str">
        <f>IF(Plantilla_SCAN_EQ3_COUNT_2[[#This Row],[ID MATERIAL]]="","",$B$13)</f>
        <v/>
      </c>
      <c r="I1650" s="7" t="str">
        <f>IF(Plantilla_SCAN_EQ3_COUNT_2[[#This Row],[ID MATERIAL]]="","","Segundo Conteo")</f>
        <v/>
      </c>
    </row>
    <row r="1651" spans="1:9" s="7" customFormat="1" ht="15" x14ac:dyDescent="0.2">
      <c r="A1651" s="7" t="str">
        <f>IF(Plantilla_SCAN_EQ3_COUNT_2[[#This Row],[ID MATERIAL]]="","",SIGN(Plantilla_SCAN_EQ3_COUNT_2[[#This Row],[Cantidad]])+A1650)</f>
        <v/>
      </c>
      <c r="B1651" s="21" t="str">
        <f>IF(Plantilla_SCAN_EQ3_COUNT_2[[#This Row],[ID MATERIAL]]="","",B1650)</f>
        <v/>
      </c>
      <c r="C1651" s="21"/>
      <c r="D1651" s="21"/>
      <c r="E1651" s="7" t="str">
        <f>IF(Plantilla_SCAN_EQ3_COUNT_2[[#This Row],[ID MATERIAL]]="","",VLOOKUP(Plantilla_SCAN_EQ3_COUNT_2[[#This Row],[ID MATERIAL]],INVENTARIO!$A:$D,2,FALSE))</f>
        <v/>
      </c>
      <c r="F1651" s="7" t="str">
        <f>IF(Plantilla_SCAN_EQ3_COUNT_2[[#This Row],[ID MATERIAL]]="","",IF(Plantilla_SCAN_EQ3_COUNT_2[[#This Row],[No. Empaques]]="",1,Plantilla_SCAN_EQ3_COUNT_2[[#This Row],[No. Empaques]]*1))</f>
        <v/>
      </c>
      <c r="G1651" s="7" t="str">
        <f>IF(Plantilla_SCAN_EQ3_COUNT_2[[#This Row],[ID MATERIAL]]="","","PZ")</f>
        <v/>
      </c>
      <c r="H1651" s="7" t="str">
        <f>IF(Plantilla_SCAN_EQ3_COUNT_2[[#This Row],[ID MATERIAL]]="","",$B$13)</f>
        <v/>
      </c>
      <c r="I1651" s="7" t="str">
        <f>IF(Plantilla_SCAN_EQ3_COUNT_2[[#This Row],[ID MATERIAL]]="","","Segundo Conteo")</f>
        <v/>
      </c>
    </row>
    <row r="1652" spans="1:9" s="7" customFormat="1" ht="15" x14ac:dyDescent="0.2">
      <c r="A1652" s="7" t="str">
        <f>IF(Plantilla_SCAN_EQ3_COUNT_2[[#This Row],[ID MATERIAL]]="","",SIGN(Plantilla_SCAN_EQ3_COUNT_2[[#This Row],[Cantidad]])+A1651)</f>
        <v/>
      </c>
      <c r="B1652" s="21" t="str">
        <f>IF(Plantilla_SCAN_EQ3_COUNT_2[[#This Row],[ID MATERIAL]]="","",B1651)</f>
        <v/>
      </c>
      <c r="C1652" s="21"/>
      <c r="D1652" s="21"/>
      <c r="E1652" s="7" t="str">
        <f>IF(Plantilla_SCAN_EQ3_COUNT_2[[#This Row],[ID MATERIAL]]="","",VLOOKUP(Plantilla_SCAN_EQ3_COUNT_2[[#This Row],[ID MATERIAL]],INVENTARIO!$A:$D,2,FALSE))</f>
        <v/>
      </c>
      <c r="F1652" s="7" t="str">
        <f>IF(Plantilla_SCAN_EQ3_COUNT_2[[#This Row],[ID MATERIAL]]="","",IF(Plantilla_SCAN_EQ3_COUNT_2[[#This Row],[No. Empaques]]="",1,Plantilla_SCAN_EQ3_COUNT_2[[#This Row],[No. Empaques]]*1))</f>
        <v/>
      </c>
      <c r="G1652" s="7" t="str">
        <f>IF(Plantilla_SCAN_EQ3_COUNT_2[[#This Row],[ID MATERIAL]]="","","PZ")</f>
        <v/>
      </c>
      <c r="H1652" s="7" t="str">
        <f>IF(Plantilla_SCAN_EQ3_COUNT_2[[#This Row],[ID MATERIAL]]="","",$B$13)</f>
        <v/>
      </c>
      <c r="I1652" s="7" t="str">
        <f>IF(Plantilla_SCAN_EQ3_COUNT_2[[#This Row],[ID MATERIAL]]="","","Segundo Conteo")</f>
        <v/>
      </c>
    </row>
    <row r="1653" spans="1:9" s="7" customFormat="1" ht="15" x14ac:dyDescent="0.2">
      <c r="A1653" s="7" t="str">
        <f>IF(Plantilla_SCAN_EQ3_COUNT_2[[#This Row],[ID MATERIAL]]="","",SIGN(Plantilla_SCAN_EQ3_COUNT_2[[#This Row],[Cantidad]])+A1652)</f>
        <v/>
      </c>
      <c r="B1653" s="21" t="str">
        <f>IF(Plantilla_SCAN_EQ3_COUNT_2[[#This Row],[ID MATERIAL]]="","",B1652)</f>
        <v/>
      </c>
      <c r="C1653" s="21"/>
      <c r="D1653" s="21"/>
      <c r="E1653" s="7" t="str">
        <f>IF(Plantilla_SCAN_EQ3_COUNT_2[[#This Row],[ID MATERIAL]]="","",VLOOKUP(Plantilla_SCAN_EQ3_COUNT_2[[#This Row],[ID MATERIAL]],INVENTARIO!$A:$D,2,FALSE))</f>
        <v/>
      </c>
      <c r="F1653" s="7" t="str">
        <f>IF(Plantilla_SCAN_EQ3_COUNT_2[[#This Row],[ID MATERIAL]]="","",IF(Plantilla_SCAN_EQ3_COUNT_2[[#This Row],[No. Empaques]]="",1,Plantilla_SCAN_EQ3_COUNT_2[[#This Row],[No. Empaques]]*1))</f>
        <v/>
      </c>
      <c r="G1653" s="7" t="str">
        <f>IF(Plantilla_SCAN_EQ3_COUNT_2[[#This Row],[ID MATERIAL]]="","","PZ")</f>
        <v/>
      </c>
      <c r="H1653" s="7" t="str">
        <f>IF(Plantilla_SCAN_EQ3_COUNT_2[[#This Row],[ID MATERIAL]]="","",$B$13)</f>
        <v/>
      </c>
      <c r="I1653" s="7" t="str">
        <f>IF(Plantilla_SCAN_EQ3_COUNT_2[[#This Row],[ID MATERIAL]]="","","Segundo Conteo")</f>
        <v/>
      </c>
    </row>
    <row r="1654" spans="1:9" s="7" customFormat="1" ht="15" x14ac:dyDescent="0.2">
      <c r="A1654" s="7" t="str">
        <f>IF(Plantilla_SCAN_EQ3_COUNT_2[[#This Row],[ID MATERIAL]]="","",SIGN(Plantilla_SCAN_EQ3_COUNT_2[[#This Row],[Cantidad]])+A1653)</f>
        <v/>
      </c>
      <c r="B1654" s="21" t="str">
        <f>IF(Plantilla_SCAN_EQ3_COUNT_2[[#This Row],[ID MATERIAL]]="","",B1653)</f>
        <v/>
      </c>
      <c r="C1654" s="21"/>
      <c r="D1654" s="21"/>
      <c r="E1654" s="7" t="str">
        <f>IF(Plantilla_SCAN_EQ3_COUNT_2[[#This Row],[ID MATERIAL]]="","",VLOOKUP(Plantilla_SCAN_EQ3_COUNT_2[[#This Row],[ID MATERIAL]],INVENTARIO!$A:$D,2,FALSE))</f>
        <v/>
      </c>
      <c r="F1654" s="7" t="str">
        <f>IF(Plantilla_SCAN_EQ3_COUNT_2[[#This Row],[ID MATERIAL]]="","",IF(Plantilla_SCAN_EQ3_COUNT_2[[#This Row],[No. Empaques]]="",1,Plantilla_SCAN_EQ3_COUNT_2[[#This Row],[No. Empaques]]*1))</f>
        <v/>
      </c>
      <c r="G1654" s="7" t="str">
        <f>IF(Plantilla_SCAN_EQ3_COUNT_2[[#This Row],[ID MATERIAL]]="","","PZ")</f>
        <v/>
      </c>
      <c r="H1654" s="7" t="str">
        <f>IF(Plantilla_SCAN_EQ3_COUNT_2[[#This Row],[ID MATERIAL]]="","",$B$13)</f>
        <v/>
      </c>
      <c r="I1654" s="7" t="str">
        <f>IF(Plantilla_SCAN_EQ3_COUNT_2[[#This Row],[ID MATERIAL]]="","","Segundo Conteo")</f>
        <v/>
      </c>
    </row>
    <row r="1655" spans="1:9" s="7" customFormat="1" ht="15" x14ac:dyDescent="0.2">
      <c r="A1655" s="7" t="str">
        <f>IF(Plantilla_SCAN_EQ3_COUNT_2[[#This Row],[ID MATERIAL]]="","",SIGN(Plantilla_SCAN_EQ3_COUNT_2[[#This Row],[Cantidad]])+A1654)</f>
        <v/>
      </c>
      <c r="B1655" s="21" t="str">
        <f>IF(Plantilla_SCAN_EQ3_COUNT_2[[#This Row],[ID MATERIAL]]="","",B1654)</f>
        <v/>
      </c>
      <c r="C1655" s="21"/>
      <c r="D1655" s="21"/>
      <c r="E1655" s="7" t="str">
        <f>IF(Plantilla_SCAN_EQ3_COUNT_2[[#This Row],[ID MATERIAL]]="","",VLOOKUP(Plantilla_SCAN_EQ3_COUNT_2[[#This Row],[ID MATERIAL]],INVENTARIO!$A:$D,2,FALSE))</f>
        <v/>
      </c>
      <c r="F1655" s="7" t="str">
        <f>IF(Plantilla_SCAN_EQ3_COUNT_2[[#This Row],[ID MATERIAL]]="","",IF(Plantilla_SCAN_EQ3_COUNT_2[[#This Row],[No. Empaques]]="",1,Plantilla_SCAN_EQ3_COUNT_2[[#This Row],[No. Empaques]]*1))</f>
        <v/>
      </c>
      <c r="G1655" s="7" t="str">
        <f>IF(Plantilla_SCAN_EQ3_COUNT_2[[#This Row],[ID MATERIAL]]="","","PZ")</f>
        <v/>
      </c>
      <c r="H1655" s="7" t="str">
        <f>IF(Plantilla_SCAN_EQ3_COUNT_2[[#This Row],[ID MATERIAL]]="","",$B$13)</f>
        <v/>
      </c>
      <c r="I1655" s="7" t="str">
        <f>IF(Plantilla_SCAN_EQ3_COUNT_2[[#This Row],[ID MATERIAL]]="","","Segundo Conteo")</f>
        <v/>
      </c>
    </row>
    <row r="1656" spans="1:9" s="7" customFormat="1" ht="15" x14ac:dyDescent="0.2">
      <c r="A1656" s="7" t="str">
        <f>IF(Plantilla_SCAN_EQ3_COUNT_2[[#This Row],[ID MATERIAL]]="","",SIGN(Plantilla_SCAN_EQ3_COUNT_2[[#This Row],[Cantidad]])+A1655)</f>
        <v/>
      </c>
      <c r="B1656" s="21" t="str">
        <f>IF(Plantilla_SCAN_EQ3_COUNT_2[[#This Row],[ID MATERIAL]]="","",B1655)</f>
        <v/>
      </c>
      <c r="C1656" s="21"/>
      <c r="D1656" s="21"/>
      <c r="E1656" s="7" t="str">
        <f>IF(Plantilla_SCAN_EQ3_COUNT_2[[#This Row],[ID MATERIAL]]="","",VLOOKUP(Plantilla_SCAN_EQ3_COUNT_2[[#This Row],[ID MATERIAL]],INVENTARIO!$A:$D,2,FALSE))</f>
        <v/>
      </c>
      <c r="F1656" s="7" t="str">
        <f>IF(Plantilla_SCAN_EQ3_COUNT_2[[#This Row],[ID MATERIAL]]="","",IF(Plantilla_SCAN_EQ3_COUNT_2[[#This Row],[No. Empaques]]="",1,Plantilla_SCAN_EQ3_COUNT_2[[#This Row],[No. Empaques]]*1))</f>
        <v/>
      </c>
      <c r="G1656" s="7" t="str">
        <f>IF(Plantilla_SCAN_EQ3_COUNT_2[[#This Row],[ID MATERIAL]]="","","PZ")</f>
        <v/>
      </c>
      <c r="H1656" s="7" t="str">
        <f>IF(Plantilla_SCAN_EQ3_COUNT_2[[#This Row],[ID MATERIAL]]="","",$B$13)</f>
        <v/>
      </c>
      <c r="I1656" s="7" t="str">
        <f>IF(Plantilla_SCAN_EQ3_COUNT_2[[#This Row],[ID MATERIAL]]="","","Segundo Conteo")</f>
        <v/>
      </c>
    </row>
    <row r="1657" spans="1:9" s="7" customFormat="1" ht="15" x14ac:dyDescent="0.2">
      <c r="A1657" s="7" t="str">
        <f>IF(Plantilla_SCAN_EQ3_COUNT_2[[#This Row],[ID MATERIAL]]="","",SIGN(Plantilla_SCAN_EQ3_COUNT_2[[#This Row],[Cantidad]])+A1656)</f>
        <v/>
      </c>
      <c r="B1657" s="21" t="str">
        <f>IF(Plantilla_SCAN_EQ3_COUNT_2[[#This Row],[ID MATERIAL]]="","",B1656)</f>
        <v/>
      </c>
      <c r="C1657" s="21"/>
      <c r="D1657" s="21"/>
      <c r="E1657" s="7" t="str">
        <f>IF(Plantilla_SCAN_EQ3_COUNT_2[[#This Row],[ID MATERIAL]]="","",VLOOKUP(Plantilla_SCAN_EQ3_COUNT_2[[#This Row],[ID MATERIAL]],INVENTARIO!$A:$D,2,FALSE))</f>
        <v/>
      </c>
      <c r="F1657" s="7" t="str">
        <f>IF(Plantilla_SCAN_EQ3_COUNT_2[[#This Row],[ID MATERIAL]]="","",IF(Plantilla_SCAN_EQ3_COUNT_2[[#This Row],[No. Empaques]]="",1,Plantilla_SCAN_EQ3_COUNT_2[[#This Row],[No. Empaques]]*1))</f>
        <v/>
      </c>
      <c r="G1657" s="7" t="str">
        <f>IF(Plantilla_SCAN_EQ3_COUNT_2[[#This Row],[ID MATERIAL]]="","","PZ")</f>
        <v/>
      </c>
      <c r="H1657" s="7" t="str">
        <f>IF(Plantilla_SCAN_EQ3_COUNT_2[[#This Row],[ID MATERIAL]]="","",$B$13)</f>
        <v/>
      </c>
      <c r="I1657" s="7" t="str">
        <f>IF(Plantilla_SCAN_EQ3_COUNT_2[[#This Row],[ID MATERIAL]]="","","Segundo Conteo")</f>
        <v/>
      </c>
    </row>
    <row r="1658" spans="1:9" s="7" customFormat="1" ht="15" x14ac:dyDescent="0.2">
      <c r="A1658" s="7" t="str">
        <f>IF(Plantilla_SCAN_EQ3_COUNT_2[[#This Row],[ID MATERIAL]]="","",SIGN(Plantilla_SCAN_EQ3_COUNT_2[[#This Row],[Cantidad]])+A1657)</f>
        <v/>
      </c>
      <c r="B1658" s="21" t="str">
        <f>IF(Plantilla_SCAN_EQ3_COUNT_2[[#This Row],[ID MATERIAL]]="","",B1657)</f>
        <v/>
      </c>
      <c r="C1658" s="21"/>
      <c r="D1658" s="21"/>
      <c r="E1658" s="7" t="str">
        <f>IF(Plantilla_SCAN_EQ3_COUNT_2[[#This Row],[ID MATERIAL]]="","",VLOOKUP(Plantilla_SCAN_EQ3_COUNT_2[[#This Row],[ID MATERIAL]],INVENTARIO!$A:$D,2,FALSE))</f>
        <v/>
      </c>
      <c r="F1658" s="7" t="str">
        <f>IF(Plantilla_SCAN_EQ3_COUNT_2[[#This Row],[ID MATERIAL]]="","",IF(Plantilla_SCAN_EQ3_COUNT_2[[#This Row],[No. Empaques]]="",1,Plantilla_SCAN_EQ3_COUNT_2[[#This Row],[No. Empaques]]*1))</f>
        <v/>
      </c>
      <c r="G1658" s="7" t="str">
        <f>IF(Plantilla_SCAN_EQ3_COUNT_2[[#This Row],[ID MATERIAL]]="","","PZ")</f>
        <v/>
      </c>
      <c r="H1658" s="7" t="str">
        <f>IF(Plantilla_SCAN_EQ3_COUNT_2[[#This Row],[ID MATERIAL]]="","",$B$13)</f>
        <v/>
      </c>
      <c r="I1658" s="7" t="str">
        <f>IF(Plantilla_SCAN_EQ3_COUNT_2[[#This Row],[ID MATERIAL]]="","","Segundo Conteo")</f>
        <v/>
      </c>
    </row>
    <row r="1659" spans="1:9" s="7" customFormat="1" ht="15" x14ac:dyDescent="0.2">
      <c r="A1659" s="7" t="str">
        <f>IF(Plantilla_SCAN_EQ3_COUNT_2[[#This Row],[ID MATERIAL]]="","",SIGN(Plantilla_SCAN_EQ3_COUNT_2[[#This Row],[Cantidad]])+A1658)</f>
        <v/>
      </c>
      <c r="B1659" s="21" t="str">
        <f>IF(Plantilla_SCAN_EQ3_COUNT_2[[#This Row],[ID MATERIAL]]="","",B1658)</f>
        <v/>
      </c>
      <c r="C1659" s="21"/>
      <c r="D1659" s="21"/>
      <c r="E1659" s="7" t="str">
        <f>IF(Plantilla_SCAN_EQ3_COUNT_2[[#This Row],[ID MATERIAL]]="","",VLOOKUP(Plantilla_SCAN_EQ3_COUNT_2[[#This Row],[ID MATERIAL]],INVENTARIO!$A:$D,2,FALSE))</f>
        <v/>
      </c>
      <c r="F1659" s="7" t="str">
        <f>IF(Plantilla_SCAN_EQ3_COUNT_2[[#This Row],[ID MATERIAL]]="","",IF(Plantilla_SCAN_EQ3_COUNT_2[[#This Row],[No. Empaques]]="",1,Plantilla_SCAN_EQ3_COUNT_2[[#This Row],[No. Empaques]]*1))</f>
        <v/>
      </c>
      <c r="G1659" s="7" t="str">
        <f>IF(Plantilla_SCAN_EQ3_COUNT_2[[#This Row],[ID MATERIAL]]="","","PZ")</f>
        <v/>
      </c>
      <c r="H1659" s="7" t="str">
        <f>IF(Plantilla_SCAN_EQ3_COUNT_2[[#This Row],[ID MATERIAL]]="","",$B$13)</f>
        <v/>
      </c>
      <c r="I1659" s="7" t="str">
        <f>IF(Plantilla_SCAN_EQ3_COUNT_2[[#This Row],[ID MATERIAL]]="","","Segundo Conteo")</f>
        <v/>
      </c>
    </row>
    <row r="1660" spans="1:9" s="7" customFormat="1" ht="15" x14ac:dyDescent="0.2">
      <c r="A1660" s="7" t="str">
        <f>IF(Plantilla_SCAN_EQ3_COUNT_2[[#This Row],[ID MATERIAL]]="","",SIGN(Plantilla_SCAN_EQ3_COUNT_2[[#This Row],[Cantidad]])+A1659)</f>
        <v/>
      </c>
      <c r="B1660" s="21" t="str">
        <f>IF(Plantilla_SCAN_EQ3_COUNT_2[[#This Row],[ID MATERIAL]]="","",B1659)</f>
        <v/>
      </c>
      <c r="C1660" s="21"/>
      <c r="D1660" s="21"/>
      <c r="E1660" s="7" t="str">
        <f>IF(Plantilla_SCAN_EQ3_COUNT_2[[#This Row],[ID MATERIAL]]="","",VLOOKUP(Plantilla_SCAN_EQ3_COUNT_2[[#This Row],[ID MATERIAL]],INVENTARIO!$A:$D,2,FALSE))</f>
        <v/>
      </c>
      <c r="F1660" s="7" t="str">
        <f>IF(Plantilla_SCAN_EQ3_COUNT_2[[#This Row],[ID MATERIAL]]="","",IF(Plantilla_SCAN_EQ3_COUNT_2[[#This Row],[No. Empaques]]="",1,Plantilla_SCAN_EQ3_COUNT_2[[#This Row],[No. Empaques]]*1))</f>
        <v/>
      </c>
      <c r="G1660" s="7" t="str">
        <f>IF(Plantilla_SCAN_EQ3_COUNT_2[[#This Row],[ID MATERIAL]]="","","PZ")</f>
        <v/>
      </c>
      <c r="H1660" s="7" t="str">
        <f>IF(Plantilla_SCAN_EQ3_COUNT_2[[#This Row],[ID MATERIAL]]="","",$B$13)</f>
        <v/>
      </c>
      <c r="I1660" s="7" t="str">
        <f>IF(Plantilla_SCAN_EQ3_COUNT_2[[#This Row],[ID MATERIAL]]="","","Segundo Conteo")</f>
        <v/>
      </c>
    </row>
    <row r="1661" spans="1:9" s="7" customFormat="1" ht="15" x14ac:dyDescent="0.2">
      <c r="A1661" s="7" t="str">
        <f>IF(Plantilla_SCAN_EQ3_COUNT_2[[#This Row],[ID MATERIAL]]="","",SIGN(Plantilla_SCAN_EQ3_COUNT_2[[#This Row],[Cantidad]])+A1660)</f>
        <v/>
      </c>
      <c r="B1661" s="21" t="str">
        <f>IF(Plantilla_SCAN_EQ3_COUNT_2[[#This Row],[ID MATERIAL]]="","",B1660)</f>
        <v/>
      </c>
      <c r="C1661" s="21"/>
      <c r="D1661" s="21"/>
      <c r="E1661" s="7" t="str">
        <f>IF(Plantilla_SCAN_EQ3_COUNT_2[[#This Row],[ID MATERIAL]]="","",VLOOKUP(Plantilla_SCAN_EQ3_COUNT_2[[#This Row],[ID MATERIAL]],INVENTARIO!$A:$D,2,FALSE))</f>
        <v/>
      </c>
      <c r="F1661" s="7" t="str">
        <f>IF(Plantilla_SCAN_EQ3_COUNT_2[[#This Row],[ID MATERIAL]]="","",IF(Plantilla_SCAN_EQ3_COUNT_2[[#This Row],[No. Empaques]]="",1,Plantilla_SCAN_EQ3_COUNT_2[[#This Row],[No. Empaques]]*1))</f>
        <v/>
      </c>
      <c r="G1661" s="7" t="str">
        <f>IF(Plantilla_SCAN_EQ3_COUNT_2[[#This Row],[ID MATERIAL]]="","","PZ")</f>
        <v/>
      </c>
      <c r="H1661" s="7" t="str">
        <f>IF(Plantilla_SCAN_EQ3_COUNT_2[[#This Row],[ID MATERIAL]]="","",$B$13)</f>
        <v/>
      </c>
      <c r="I1661" s="7" t="str">
        <f>IF(Plantilla_SCAN_EQ3_COUNT_2[[#This Row],[ID MATERIAL]]="","","Segundo Conteo")</f>
        <v/>
      </c>
    </row>
    <row r="1662" spans="1:9" s="7" customFormat="1" ht="15" x14ac:dyDescent="0.2">
      <c r="A1662" s="7" t="str">
        <f>IF(Plantilla_SCAN_EQ3_COUNT_2[[#This Row],[ID MATERIAL]]="","",SIGN(Plantilla_SCAN_EQ3_COUNT_2[[#This Row],[Cantidad]])+A1661)</f>
        <v/>
      </c>
      <c r="B1662" s="21" t="str">
        <f>IF(Plantilla_SCAN_EQ3_COUNT_2[[#This Row],[ID MATERIAL]]="","",B1661)</f>
        <v/>
      </c>
      <c r="C1662" s="21"/>
      <c r="D1662" s="21"/>
      <c r="E1662" s="7" t="str">
        <f>IF(Plantilla_SCAN_EQ3_COUNT_2[[#This Row],[ID MATERIAL]]="","",VLOOKUP(Plantilla_SCAN_EQ3_COUNT_2[[#This Row],[ID MATERIAL]],INVENTARIO!$A:$D,2,FALSE))</f>
        <v/>
      </c>
      <c r="F1662" s="7" t="str">
        <f>IF(Plantilla_SCAN_EQ3_COUNT_2[[#This Row],[ID MATERIAL]]="","",IF(Plantilla_SCAN_EQ3_COUNT_2[[#This Row],[No. Empaques]]="",1,Plantilla_SCAN_EQ3_COUNT_2[[#This Row],[No. Empaques]]*1))</f>
        <v/>
      </c>
      <c r="G1662" s="7" t="str">
        <f>IF(Plantilla_SCAN_EQ3_COUNT_2[[#This Row],[ID MATERIAL]]="","","PZ")</f>
        <v/>
      </c>
      <c r="H1662" s="7" t="str">
        <f>IF(Plantilla_SCAN_EQ3_COUNT_2[[#This Row],[ID MATERIAL]]="","",$B$13)</f>
        <v/>
      </c>
      <c r="I1662" s="7" t="str">
        <f>IF(Plantilla_SCAN_EQ3_COUNT_2[[#This Row],[ID MATERIAL]]="","","Segundo Conteo")</f>
        <v/>
      </c>
    </row>
    <row r="1663" spans="1:9" s="7" customFormat="1" ht="15" x14ac:dyDescent="0.2">
      <c r="A1663" s="7" t="str">
        <f>IF(Plantilla_SCAN_EQ3_COUNT_2[[#This Row],[ID MATERIAL]]="","",SIGN(Plantilla_SCAN_EQ3_COUNT_2[[#This Row],[Cantidad]])+A1662)</f>
        <v/>
      </c>
      <c r="B1663" s="21" t="str">
        <f>IF(Plantilla_SCAN_EQ3_COUNT_2[[#This Row],[ID MATERIAL]]="","",B1662)</f>
        <v/>
      </c>
      <c r="C1663" s="21"/>
      <c r="D1663" s="21"/>
      <c r="E1663" s="7" t="str">
        <f>IF(Plantilla_SCAN_EQ3_COUNT_2[[#This Row],[ID MATERIAL]]="","",VLOOKUP(Plantilla_SCAN_EQ3_COUNT_2[[#This Row],[ID MATERIAL]],INVENTARIO!$A:$D,2,FALSE))</f>
        <v/>
      </c>
      <c r="F1663" s="7" t="str">
        <f>IF(Plantilla_SCAN_EQ3_COUNT_2[[#This Row],[ID MATERIAL]]="","",IF(Plantilla_SCAN_EQ3_COUNT_2[[#This Row],[No. Empaques]]="",1,Plantilla_SCAN_EQ3_COUNT_2[[#This Row],[No. Empaques]]*1))</f>
        <v/>
      </c>
      <c r="G1663" s="7" t="str">
        <f>IF(Plantilla_SCAN_EQ3_COUNT_2[[#This Row],[ID MATERIAL]]="","","PZ")</f>
        <v/>
      </c>
      <c r="H1663" s="7" t="str">
        <f>IF(Plantilla_SCAN_EQ3_COUNT_2[[#This Row],[ID MATERIAL]]="","",$B$13)</f>
        <v/>
      </c>
      <c r="I1663" s="7" t="str">
        <f>IF(Plantilla_SCAN_EQ3_COUNT_2[[#This Row],[ID MATERIAL]]="","","Segundo Conteo")</f>
        <v/>
      </c>
    </row>
    <row r="1664" spans="1:9" s="7" customFormat="1" ht="15" x14ac:dyDescent="0.2">
      <c r="A1664" s="7" t="str">
        <f>IF(Plantilla_SCAN_EQ3_COUNT_2[[#This Row],[ID MATERIAL]]="","",SIGN(Plantilla_SCAN_EQ3_COUNT_2[[#This Row],[Cantidad]])+A1663)</f>
        <v/>
      </c>
      <c r="B1664" s="21" t="str">
        <f>IF(Plantilla_SCAN_EQ3_COUNT_2[[#This Row],[ID MATERIAL]]="","",B1663)</f>
        <v/>
      </c>
      <c r="C1664" s="21"/>
      <c r="D1664" s="21"/>
      <c r="E1664" s="7" t="str">
        <f>IF(Plantilla_SCAN_EQ3_COUNT_2[[#This Row],[ID MATERIAL]]="","",VLOOKUP(Plantilla_SCAN_EQ3_COUNT_2[[#This Row],[ID MATERIAL]],INVENTARIO!$A:$D,2,FALSE))</f>
        <v/>
      </c>
      <c r="F1664" s="7" t="str">
        <f>IF(Plantilla_SCAN_EQ3_COUNT_2[[#This Row],[ID MATERIAL]]="","",IF(Plantilla_SCAN_EQ3_COUNT_2[[#This Row],[No. Empaques]]="",1,Plantilla_SCAN_EQ3_COUNT_2[[#This Row],[No. Empaques]]*1))</f>
        <v/>
      </c>
      <c r="G1664" s="7" t="str">
        <f>IF(Plantilla_SCAN_EQ3_COUNT_2[[#This Row],[ID MATERIAL]]="","","PZ")</f>
        <v/>
      </c>
      <c r="H1664" s="7" t="str">
        <f>IF(Plantilla_SCAN_EQ3_COUNT_2[[#This Row],[ID MATERIAL]]="","",$B$13)</f>
        <v/>
      </c>
      <c r="I1664" s="7" t="str">
        <f>IF(Plantilla_SCAN_EQ3_COUNT_2[[#This Row],[ID MATERIAL]]="","","Segundo Conteo")</f>
        <v/>
      </c>
    </row>
    <row r="1665" spans="1:9" s="7" customFormat="1" ht="15" x14ac:dyDescent="0.2">
      <c r="A1665" s="7" t="str">
        <f>IF(Plantilla_SCAN_EQ3_COUNT_2[[#This Row],[ID MATERIAL]]="","",SIGN(Plantilla_SCAN_EQ3_COUNT_2[[#This Row],[Cantidad]])+A1664)</f>
        <v/>
      </c>
      <c r="B1665" s="21" t="str">
        <f>IF(Plantilla_SCAN_EQ3_COUNT_2[[#This Row],[ID MATERIAL]]="","",B1664)</f>
        <v/>
      </c>
      <c r="C1665" s="21"/>
      <c r="D1665" s="21"/>
      <c r="E1665" s="7" t="str">
        <f>IF(Plantilla_SCAN_EQ3_COUNT_2[[#This Row],[ID MATERIAL]]="","",VLOOKUP(Plantilla_SCAN_EQ3_COUNT_2[[#This Row],[ID MATERIAL]],INVENTARIO!$A:$D,2,FALSE))</f>
        <v/>
      </c>
      <c r="F1665" s="7" t="str">
        <f>IF(Plantilla_SCAN_EQ3_COUNT_2[[#This Row],[ID MATERIAL]]="","",IF(Plantilla_SCAN_EQ3_COUNT_2[[#This Row],[No. Empaques]]="",1,Plantilla_SCAN_EQ3_COUNT_2[[#This Row],[No. Empaques]]*1))</f>
        <v/>
      </c>
      <c r="G1665" s="7" t="str">
        <f>IF(Plantilla_SCAN_EQ3_COUNT_2[[#This Row],[ID MATERIAL]]="","","PZ")</f>
        <v/>
      </c>
      <c r="H1665" s="7" t="str">
        <f>IF(Plantilla_SCAN_EQ3_COUNT_2[[#This Row],[ID MATERIAL]]="","",$B$13)</f>
        <v/>
      </c>
      <c r="I1665" s="7" t="str">
        <f>IF(Plantilla_SCAN_EQ3_COUNT_2[[#This Row],[ID MATERIAL]]="","","Segundo Conteo")</f>
        <v/>
      </c>
    </row>
    <row r="1666" spans="1:9" s="7" customFormat="1" ht="15" x14ac:dyDescent="0.2">
      <c r="A1666" s="7" t="str">
        <f>IF(Plantilla_SCAN_EQ3_COUNT_2[[#This Row],[ID MATERIAL]]="","",SIGN(Plantilla_SCAN_EQ3_COUNT_2[[#This Row],[Cantidad]])+A1665)</f>
        <v/>
      </c>
      <c r="B1666" s="21" t="str">
        <f>IF(Plantilla_SCAN_EQ3_COUNT_2[[#This Row],[ID MATERIAL]]="","",B1665)</f>
        <v/>
      </c>
      <c r="C1666" s="21"/>
      <c r="D1666" s="21"/>
      <c r="E1666" s="7" t="str">
        <f>IF(Plantilla_SCAN_EQ3_COUNT_2[[#This Row],[ID MATERIAL]]="","",VLOOKUP(Plantilla_SCAN_EQ3_COUNT_2[[#This Row],[ID MATERIAL]],INVENTARIO!$A:$D,2,FALSE))</f>
        <v/>
      </c>
      <c r="F1666" s="7" t="str">
        <f>IF(Plantilla_SCAN_EQ3_COUNT_2[[#This Row],[ID MATERIAL]]="","",IF(Plantilla_SCAN_EQ3_COUNT_2[[#This Row],[No. Empaques]]="",1,Plantilla_SCAN_EQ3_COUNT_2[[#This Row],[No. Empaques]]*1))</f>
        <v/>
      </c>
      <c r="G1666" s="7" t="str">
        <f>IF(Plantilla_SCAN_EQ3_COUNT_2[[#This Row],[ID MATERIAL]]="","","PZ")</f>
        <v/>
      </c>
      <c r="H1666" s="7" t="str">
        <f>IF(Plantilla_SCAN_EQ3_COUNT_2[[#This Row],[ID MATERIAL]]="","",$B$13)</f>
        <v/>
      </c>
      <c r="I1666" s="7" t="str">
        <f>IF(Plantilla_SCAN_EQ3_COUNT_2[[#This Row],[ID MATERIAL]]="","","Segundo Conteo")</f>
        <v/>
      </c>
    </row>
    <row r="1667" spans="1:9" s="7" customFormat="1" ht="15" x14ac:dyDescent="0.2">
      <c r="A1667" s="7" t="str">
        <f>IF(Plantilla_SCAN_EQ3_COUNT_2[[#This Row],[ID MATERIAL]]="","",SIGN(Plantilla_SCAN_EQ3_COUNT_2[[#This Row],[Cantidad]])+A1666)</f>
        <v/>
      </c>
      <c r="B1667" s="21" t="str">
        <f>IF(Plantilla_SCAN_EQ3_COUNT_2[[#This Row],[ID MATERIAL]]="","",B1666)</f>
        <v/>
      </c>
      <c r="C1667" s="21"/>
      <c r="D1667" s="21"/>
      <c r="E1667" s="7" t="str">
        <f>IF(Plantilla_SCAN_EQ3_COUNT_2[[#This Row],[ID MATERIAL]]="","",VLOOKUP(Plantilla_SCAN_EQ3_COUNT_2[[#This Row],[ID MATERIAL]],INVENTARIO!$A:$D,2,FALSE))</f>
        <v/>
      </c>
      <c r="F1667" s="7" t="str">
        <f>IF(Plantilla_SCAN_EQ3_COUNT_2[[#This Row],[ID MATERIAL]]="","",IF(Plantilla_SCAN_EQ3_COUNT_2[[#This Row],[No. Empaques]]="",1,Plantilla_SCAN_EQ3_COUNT_2[[#This Row],[No. Empaques]]*1))</f>
        <v/>
      </c>
      <c r="G1667" s="7" t="str">
        <f>IF(Plantilla_SCAN_EQ3_COUNT_2[[#This Row],[ID MATERIAL]]="","","PZ")</f>
        <v/>
      </c>
      <c r="H1667" s="7" t="str">
        <f>IF(Plantilla_SCAN_EQ3_COUNT_2[[#This Row],[ID MATERIAL]]="","",$B$13)</f>
        <v/>
      </c>
      <c r="I1667" s="7" t="str">
        <f>IF(Plantilla_SCAN_EQ3_COUNT_2[[#This Row],[ID MATERIAL]]="","","Segundo Conteo")</f>
        <v/>
      </c>
    </row>
    <row r="1668" spans="1:9" s="7" customFormat="1" ht="15" x14ac:dyDescent="0.2">
      <c r="A1668" s="7" t="str">
        <f>IF(Plantilla_SCAN_EQ3_COUNT_2[[#This Row],[ID MATERIAL]]="","",SIGN(Plantilla_SCAN_EQ3_COUNT_2[[#This Row],[Cantidad]])+A1667)</f>
        <v/>
      </c>
      <c r="B1668" s="21" t="str">
        <f>IF(Plantilla_SCAN_EQ3_COUNT_2[[#This Row],[ID MATERIAL]]="","",B1667)</f>
        <v/>
      </c>
      <c r="C1668" s="21"/>
      <c r="D1668" s="21"/>
      <c r="E1668" s="7" t="str">
        <f>IF(Plantilla_SCAN_EQ3_COUNT_2[[#This Row],[ID MATERIAL]]="","",VLOOKUP(Plantilla_SCAN_EQ3_COUNT_2[[#This Row],[ID MATERIAL]],INVENTARIO!$A:$D,2,FALSE))</f>
        <v/>
      </c>
      <c r="F1668" s="7" t="str">
        <f>IF(Plantilla_SCAN_EQ3_COUNT_2[[#This Row],[ID MATERIAL]]="","",IF(Plantilla_SCAN_EQ3_COUNT_2[[#This Row],[No. Empaques]]="",1,Plantilla_SCAN_EQ3_COUNT_2[[#This Row],[No. Empaques]]*1))</f>
        <v/>
      </c>
      <c r="G1668" s="7" t="str">
        <f>IF(Plantilla_SCAN_EQ3_COUNT_2[[#This Row],[ID MATERIAL]]="","","PZ")</f>
        <v/>
      </c>
      <c r="H1668" s="7" t="str">
        <f>IF(Plantilla_SCAN_EQ3_COUNT_2[[#This Row],[ID MATERIAL]]="","",$B$13)</f>
        <v/>
      </c>
      <c r="I1668" s="7" t="str">
        <f>IF(Plantilla_SCAN_EQ3_COUNT_2[[#This Row],[ID MATERIAL]]="","","Segundo Conteo")</f>
        <v/>
      </c>
    </row>
    <row r="1669" spans="1:9" s="7" customFormat="1" ht="15" x14ac:dyDescent="0.2">
      <c r="A1669" s="7" t="str">
        <f>IF(Plantilla_SCAN_EQ3_COUNT_2[[#This Row],[ID MATERIAL]]="","",SIGN(Plantilla_SCAN_EQ3_COUNT_2[[#This Row],[Cantidad]])+A1668)</f>
        <v/>
      </c>
      <c r="B1669" s="21" t="str">
        <f>IF(Plantilla_SCAN_EQ3_COUNT_2[[#This Row],[ID MATERIAL]]="","",B1668)</f>
        <v/>
      </c>
      <c r="C1669" s="21"/>
      <c r="D1669" s="21"/>
      <c r="E1669" s="7" t="str">
        <f>IF(Plantilla_SCAN_EQ3_COUNT_2[[#This Row],[ID MATERIAL]]="","",VLOOKUP(Plantilla_SCAN_EQ3_COUNT_2[[#This Row],[ID MATERIAL]],INVENTARIO!$A:$D,2,FALSE))</f>
        <v/>
      </c>
      <c r="F1669" s="7" t="str">
        <f>IF(Plantilla_SCAN_EQ3_COUNT_2[[#This Row],[ID MATERIAL]]="","",IF(Plantilla_SCAN_EQ3_COUNT_2[[#This Row],[No. Empaques]]="",1,Plantilla_SCAN_EQ3_COUNT_2[[#This Row],[No. Empaques]]*1))</f>
        <v/>
      </c>
      <c r="G1669" s="7" t="str">
        <f>IF(Plantilla_SCAN_EQ3_COUNT_2[[#This Row],[ID MATERIAL]]="","","PZ")</f>
        <v/>
      </c>
      <c r="H1669" s="7" t="str">
        <f>IF(Plantilla_SCAN_EQ3_COUNT_2[[#This Row],[ID MATERIAL]]="","",$B$13)</f>
        <v/>
      </c>
      <c r="I1669" s="7" t="str">
        <f>IF(Plantilla_SCAN_EQ3_COUNT_2[[#This Row],[ID MATERIAL]]="","","Segundo Conteo")</f>
        <v/>
      </c>
    </row>
    <row r="1670" spans="1:9" s="7" customFormat="1" ht="15" x14ac:dyDescent="0.2">
      <c r="A1670" s="7" t="str">
        <f>IF(Plantilla_SCAN_EQ3_COUNT_2[[#This Row],[ID MATERIAL]]="","",SIGN(Plantilla_SCAN_EQ3_COUNT_2[[#This Row],[Cantidad]])+A1669)</f>
        <v/>
      </c>
      <c r="B1670" s="21" t="str">
        <f>IF(Plantilla_SCAN_EQ3_COUNT_2[[#This Row],[ID MATERIAL]]="","",B1669)</f>
        <v/>
      </c>
      <c r="C1670" s="21"/>
      <c r="D1670" s="21"/>
      <c r="E1670" s="7" t="str">
        <f>IF(Plantilla_SCAN_EQ3_COUNT_2[[#This Row],[ID MATERIAL]]="","",VLOOKUP(Plantilla_SCAN_EQ3_COUNT_2[[#This Row],[ID MATERIAL]],INVENTARIO!$A:$D,2,FALSE))</f>
        <v/>
      </c>
      <c r="F1670" s="7" t="str">
        <f>IF(Plantilla_SCAN_EQ3_COUNT_2[[#This Row],[ID MATERIAL]]="","",IF(Plantilla_SCAN_EQ3_COUNT_2[[#This Row],[No. Empaques]]="",1,Plantilla_SCAN_EQ3_COUNT_2[[#This Row],[No. Empaques]]*1))</f>
        <v/>
      </c>
      <c r="G1670" s="7" t="str">
        <f>IF(Plantilla_SCAN_EQ3_COUNT_2[[#This Row],[ID MATERIAL]]="","","PZ")</f>
        <v/>
      </c>
      <c r="H1670" s="7" t="str">
        <f>IF(Plantilla_SCAN_EQ3_COUNT_2[[#This Row],[ID MATERIAL]]="","",$B$13)</f>
        <v/>
      </c>
      <c r="I1670" s="7" t="str">
        <f>IF(Plantilla_SCAN_EQ3_COUNT_2[[#This Row],[ID MATERIAL]]="","","Segundo Conteo")</f>
        <v/>
      </c>
    </row>
    <row r="1671" spans="1:9" s="7" customFormat="1" ht="15" x14ac:dyDescent="0.2">
      <c r="A1671" s="7" t="str">
        <f>IF(Plantilla_SCAN_EQ3_COUNT_2[[#This Row],[ID MATERIAL]]="","",SIGN(Plantilla_SCAN_EQ3_COUNT_2[[#This Row],[Cantidad]])+A1670)</f>
        <v/>
      </c>
      <c r="B1671" s="21" t="str">
        <f>IF(Plantilla_SCAN_EQ3_COUNT_2[[#This Row],[ID MATERIAL]]="","",B1670)</f>
        <v/>
      </c>
      <c r="C1671" s="21"/>
      <c r="D1671" s="21"/>
      <c r="E1671" s="7" t="str">
        <f>IF(Plantilla_SCAN_EQ3_COUNT_2[[#This Row],[ID MATERIAL]]="","",VLOOKUP(Plantilla_SCAN_EQ3_COUNT_2[[#This Row],[ID MATERIAL]],INVENTARIO!$A:$D,2,FALSE))</f>
        <v/>
      </c>
      <c r="F1671" s="7" t="str">
        <f>IF(Plantilla_SCAN_EQ3_COUNT_2[[#This Row],[ID MATERIAL]]="","",IF(Plantilla_SCAN_EQ3_COUNT_2[[#This Row],[No. Empaques]]="",1,Plantilla_SCAN_EQ3_COUNT_2[[#This Row],[No. Empaques]]*1))</f>
        <v/>
      </c>
      <c r="G1671" s="7" t="str">
        <f>IF(Plantilla_SCAN_EQ3_COUNT_2[[#This Row],[ID MATERIAL]]="","","PZ")</f>
        <v/>
      </c>
      <c r="H1671" s="7" t="str">
        <f>IF(Plantilla_SCAN_EQ3_COUNT_2[[#This Row],[ID MATERIAL]]="","",$B$13)</f>
        <v/>
      </c>
      <c r="I1671" s="7" t="str">
        <f>IF(Plantilla_SCAN_EQ3_COUNT_2[[#This Row],[ID MATERIAL]]="","","Segundo Conteo")</f>
        <v/>
      </c>
    </row>
    <row r="1672" spans="1:9" s="7" customFormat="1" ht="15" x14ac:dyDescent="0.2">
      <c r="A1672" s="7" t="str">
        <f>IF(Plantilla_SCAN_EQ3_COUNT_2[[#This Row],[ID MATERIAL]]="","",SIGN(Plantilla_SCAN_EQ3_COUNT_2[[#This Row],[Cantidad]])+A1671)</f>
        <v/>
      </c>
      <c r="B1672" s="21" t="str">
        <f>IF(Plantilla_SCAN_EQ3_COUNT_2[[#This Row],[ID MATERIAL]]="","",B1671)</f>
        <v/>
      </c>
      <c r="C1672" s="21"/>
      <c r="D1672" s="21"/>
      <c r="E1672" s="7" t="str">
        <f>IF(Plantilla_SCAN_EQ3_COUNT_2[[#This Row],[ID MATERIAL]]="","",VLOOKUP(Plantilla_SCAN_EQ3_COUNT_2[[#This Row],[ID MATERIAL]],INVENTARIO!$A:$D,2,FALSE))</f>
        <v/>
      </c>
      <c r="F1672" s="7" t="str">
        <f>IF(Plantilla_SCAN_EQ3_COUNT_2[[#This Row],[ID MATERIAL]]="","",IF(Plantilla_SCAN_EQ3_COUNT_2[[#This Row],[No. Empaques]]="",1,Plantilla_SCAN_EQ3_COUNT_2[[#This Row],[No. Empaques]]*1))</f>
        <v/>
      </c>
      <c r="G1672" s="7" t="str">
        <f>IF(Plantilla_SCAN_EQ3_COUNT_2[[#This Row],[ID MATERIAL]]="","","PZ")</f>
        <v/>
      </c>
      <c r="H1672" s="7" t="str">
        <f>IF(Plantilla_SCAN_EQ3_COUNT_2[[#This Row],[ID MATERIAL]]="","",$B$13)</f>
        <v/>
      </c>
      <c r="I1672" s="7" t="str">
        <f>IF(Plantilla_SCAN_EQ3_COUNT_2[[#This Row],[ID MATERIAL]]="","","Segundo Conteo")</f>
        <v/>
      </c>
    </row>
    <row r="1673" spans="1:9" s="7" customFormat="1" ht="15" x14ac:dyDescent="0.2">
      <c r="A1673" s="7" t="str">
        <f>IF(Plantilla_SCAN_EQ3_COUNT_2[[#This Row],[ID MATERIAL]]="","",SIGN(Plantilla_SCAN_EQ3_COUNT_2[[#This Row],[Cantidad]])+A1672)</f>
        <v/>
      </c>
      <c r="B1673" s="21" t="str">
        <f>IF(Plantilla_SCAN_EQ3_COUNT_2[[#This Row],[ID MATERIAL]]="","",B1672)</f>
        <v/>
      </c>
      <c r="C1673" s="21"/>
      <c r="D1673" s="21"/>
      <c r="E1673" s="7" t="str">
        <f>IF(Plantilla_SCAN_EQ3_COUNT_2[[#This Row],[ID MATERIAL]]="","",VLOOKUP(Plantilla_SCAN_EQ3_COUNT_2[[#This Row],[ID MATERIAL]],INVENTARIO!$A:$D,2,FALSE))</f>
        <v/>
      </c>
      <c r="F1673" s="7" t="str">
        <f>IF(Plantilla_SCAN_EQ3_COUNT_2[[#This Row],[ID MATERIAL]]="","",IF(Plantilla_SCAN_EQ3_COUNT_2[[#This Row],[No. Empaques]]="",1,Plantilla_SCAN_EQ3_COUNT_2[[#This Row],[No. Empaques]]*1))</f>
        <v/>
      </c>
      <c r="G1673" s="7" t="str">
        <f>IF(Plantilla_SCAN_EQ3_COUNT_2[[#This Row],[ID MATERIAL]]="","","PZ")</f>
        <v/>
      </c>
      <c r="H1673" s="7" t="str">
        <f>IF(Plantilla_SCAN_EQ3_COUNT_2[[#This Row],[ID MATERIAL]]="","",$B$13)</f>
        <v/>
      </c>
      <c r="I1673" s="7" t="str">
        <f>IF(Plantilla_SCAN_EQ3_COUNT_2[[#This Row],[ID MATERIAL]]="","","Segundo Conteo")</f>
        <v/>
      </c>
    </row>
    <row r="1674" spans="1:9" s="7" customFormat="1" ht="15" x14ac:dyDescent="0.2">
      <c r="A1674" s="7" t="str">
        <f>IF(Plantilla_SCAN_EQ3_COUNT_2[[#This Row],[ID MATERIAL]]="","",SIGN(Plantilla_SCAN_EQ3_COUNT_2[[#This Row],[Cantidad]])+A1673)</f>
        <v/>
      </c>
      <c r="B1674" s="21" t="str">
        <f>IF(Plantilla_SCAN_EQ3_COUNT_2[[#This Row],[ID MATERIAL]]="","",B1673)</f>
        <v/>
      </c>
      <c r="C1674" s="21"/>
      <c r="D1674" s="21"/>
      <c r="E1674" s="7" t="str">
        <f>IF(Plantilla_SCAN_EQ3_COUNT_2[[#This Row],[ID MATERIAL]]="","",VLOOKUP(Plantilla_SCAN_EQ3_COUNT_2[[#This Row],[ID MATERIAL]],INVENTARIO!$A:$D,2,FALSE))</f>
        <v/>
      </c>
      <c r="F1674" s="7" t="str">
        <f>IF(Plantilla_SCAN_EQ3_COUNT_2[[#This Row],[ID MATERIAL]]="","",IF(Plantilla_SCAN_EQ3_COUNT_2[[#This Row],[No. Empaques]]="",1,Plantilla_SCAN_EQ3_COUNT_2[[#This Row],[No. Empaques]]*1))</f>
        <v/>
      </c>
      <c r="G1674" s="7" t="str">
        <f>IF(Plantilla_SCAN_EQ3_COUNT_2[[#This Row],[ID MATERIAL]]="","","PZ")</f>
        <v/>
      </c>
      <c r="H1674" s="7" t="str">
        <f>IF(Plantilla_SCAN_EQ3_COUNT_2[[#This Row],[ID MATERIAL]]="","",$B$13)</f>
        <v/>
      </c>
      <c r="I1674" s="7" t="str">
        <f>IF(Plantilla_SCAN_EQ3_COUNT_2[[#This Row],[ID MATERIAL]]="","","Segundo Conteo")</f>
        <v/>
      </c>
    </row>
    <row r="1675" spans="1:9" s="7" customFormat="1" ht="15" x14ac:dyDescent="0.2">
      <c r="A1675" s="7" t="str">
        <f>IF(Plantilla_SCAN_EQ3_COUNT_2[[#This Row],[ID MATERIAL]]="","",SIGN(Plantilla_SCAN_EQ3_COUNT_2[[#This Row],[Cantidad]])+A1674)</f>
        <v/>
      </c>
      <c r="B1675" s="21" t="str">
        <f>IF(Plantilla_SCAN_EQ3_COUNT_2[[#This Row],[ID MATERIAL]]="","",B1674)</f>
        <v/>
      </c>
      <c r="C1675" s="21"/>
      <c r="D1675" s="21"/>
      <c r="E1675" s="7" t="str">
        <f>IF(Plantilla_SCAN_EQ3_COUNT_2[[#This Row],[ID MATERIAL]]="","",VLOOKUP(Plantilla_SCAN_EQ3_COUNT_2[[#This Row],[ID MATERIAL]],INVENTARIO!$A:$D,2,FALSE))</f>
        <v/>
      </c>
      <c r="F1675" s="7" t="str">
        <f>IF(Plantilla_SCAN_EQ3_COUNT_2[[#This Row],[ID MATERIAL]]="","",IF(Plantilla_SCAN_EQ3_COUNT_2[[#This Row],[No. Empaques]]="",1,Plantilla_SCAN_EQ3_COUNT_2[[#This Row],[No. Empaques]]*1))</f>
        <v/>
      </c>
      <c r="G1675" s="7" t="str">
        <f>IF(Plantilla_SCAN_EQ3_COUNT_2[[#This Row],[ID MATERIAL]]="","","PZ")</f>
        <v/>
      </c>
      <c r="H1675" s="7" t="str">
        <f>IF(Plantilla_SCAN_EQ3_COUNT_2[[#This Row],[ID MATERIAL]]="","",$B$13)</f>
        <v/>
      </c>
      <c r="I1675" s="7" t="str">
        <f>IF(Plantilla_SCAN_EQ3_COUNT_2[[#This Row],[ID MATERIAL]]="","","Segundo Conteo")</f>
        <v/>
      </c>
    </row>
    <row r="1676" spans="1:9" s="7" customFormat="1" ht="15" x14ac:dyDescent="0.2">
      <c r="A1676" s="7" t="str">
        <f>IF(Plantilla_SCAN_EQ3_COUNT_2[[#This Row],[ID MATERIAL]]="","",SIGN(Plantilla_SCAN_EQ3_COUNT_2[[#This Row],[Cantidad]])+A1675)</f>
        <v/>
      </c>
      <c r="B1676" s="21" t="str">
        <f>IF(Plantilla_SCAN_EQ3_COUNT_2[[#This Row],[ID MATERIAL]]="","",B1675)</f>
        <v/>
      </c>
      <c r="C1676" s="21"/>
      <c r="D1676" s="21"/>
      <c r="E1676" s="7" t="str">
        <f>IF(Plantilla_SCAN_EQ3_COUNT_2[[#This Row],[ID MATERIAL]]="","",VLOOKUP(Plantilla_SCAN_EQ3_COUNT_2[[#This Row],[ID MATERIAL]],INVENTARIO!$A:$D,2,FALSE))</f>
        <v/>
      </c>
      <c r="F1676" s="7" t="str">
        <f>IF(Plantilla_SCAN_EQ3_COUNT_2[[#This Row],[ID MATERIAL]]="","",IF(Plantilla_SCAN_EQ3_COUNT_2[[#This Row],[No. Empaques]]="",1,Plantilla_SCAN_EQ3_COUNT_2[[#This Row],[No. Empaques]]*1))</f>
        <v/>
      </c>
      <c r="G1676" s="7" t="str">
        <f>IF(Plantilla_SCAN_EQ3_COUNT_2[[#This Row],[ID MATERIAL]]="","","PZ")</f>
        <v/>
      </c>
      <c r="H1676" s="7" t="str">
        <f>IF(Plantilla_SCAN_EQ3_COUNT_2[[#This Row],[ID MATERIAL]]="","",$B$13)</f>
        <v/>
      </c>
      <c r="I1676" s="7" t="str">
        <f>IF(Plantilla_SCAN_EQ3_COUNT_2[[#This Row],[ID MATERIAL]]="","","Segundo Conteo")</f>
        <v/>
      </c>
    </row>
    <row r="1677" spans="1:9" s="7" customFormat="1" ht="15" x14ac:dyDescent="0.2">
      <c r="A1677" s="7" t="str">
        <f>IF(Plantilla_SCAN_EQ3_COUNT_2[[#This Row],[ID MATERIAL]]="","",SIGN(Plantilla_SCAN_EQ3_COUNT_2[[#This Row],[Cantidad]])+A1676)</f>
        <v/>
      </c>
      <c r="B1677" s="21" t="str">
        <f>IF(Plantilla_SCAN_EQ3_COUNT_2[[#This Row],[ID MATERIAL]]="","",B1676)</f>
        <v/>
      </c>
      <c r="C1677" s="21"/>
      <c r="D1677" s="21"/>
      <c r="E1677" s="7" t="str">
        <f>IF(Plantilla_SCAN_EQ3_COUNT_2[[#This Row],[ID MATERIAL]]="","",VLOOKUP(Plantilla_SCAN_EQ3_COUNT_2[[#This Row],[ID MATERIAL]],INVENTARIO!$A:$D,2,FALSE))</f>
        <v/>
      </c>
      <c r="F1677" s="7" t="str">
        <f>IF(Plantilla_SCAN_EQ3_COUNT_2[[#This Row],[ID MATERIAL]]="","",IF(Plantilla_SCAN_EQ3_COUNT_2[[#This Row],[No. Empaques]]="",1,Plantilla_SCAN_EQ3_COUNT_2[[#This Row],[No. Empaques]]*1))</f>
        <v/>
      </c>
      <c r="G1677" s="7" t="str">
        <f>IF(Plantilla_SCAN_EQ3_COUNT_2[[#This Row],[ID MATERIAL]]="","","PZ")</f>
        <v/>
      </c>
      <c r="H1677" s="7" t="str">
        <f>IF(Plantilla_SCAN_EQ3_COUNT_2[[#This Row],[ID MATERIAL]]="","",$B$13)</f>
        <v/>
      </c>
      <c r="I1677" s="7" t="str">
        <f>IF(Plantilla_SCAN_EQ3_COUNT_2[[#This Row],[ID MATERIAL]]="","","Segundo Conteo")</f>
        <v/>
      </c>
    </row>
    <row r="1678" spans="1:9" s="7" customFormat="1" ht="15" x14ac:dyDescent="0.2">
      <c r="A1678" s="7" t="str">
        <f>IF(Plantilla_SCAN_EQ3_COUNT_2[[#This Row],[ID MATERIAL]]="","",SIGN(Plantilla_SCAN_EQ3_COUNT_2[[#This Row],[Cantidad]])+A1677)</f>
        <v/>
      </c>
      <c r="B1678" s="21" t="str">
        <f>IF(Plantilla_SCAN_EQ3_COUNT_2[[#This Row],[ID MATERIAL]]="","",B1677)</f>
        <v/>
      </c>
      <c r="C1678" s="21"/>
      <c r="D1678" s="21"/>
      <c r="E1678" s="7" t="str">
        <f>IF(Plantilla_SCAN_EQ3_COUNT_2[[#This Row],[ID MATERIAL]]="","",VLOOKUP(Plantilla_SCAN_EQ3_COUNT_2[[#This Row],[ID MATERIAL]],INVENTARIO!$A:$D,2,FALSE))</f>
        <v/>
      </c>
      <c r="F1678" s="7" t="str">
        <f>IF(Plantilla_SCAN_EQ3_COUNT_2[[#This Row],[ID MATERIAL]]="","",IF(Plantilla_SCAN_EQ3_COUNT_2[[#This Row],[No. Empaques]]="",1,Plantilla_SCAN_EQ3_COUNT_2[[#This Row],[No. Empaques]]*1))</f>
        <v/>
      </c>
      <c r="G1678" s="7" t="str">
        <f>IF(Plantilla_SCAN_EQ3_COUNT_2[[#This Row],[ID MATERIAL]]="","","PZ")</f>
        <v/>
      </c>
      <c r="H1678" s="7" t="str">
        <f>IF(Plantilla_SCAN_EQ3_COUNT_2[[#This Row],[ID MATERIAL]]="","",$B$13)</f>
        <v/>
      </c>
      <c r="I1678" s="7" t="str">
        <f>IF(Plantilla_SCAN_EQ3_COUNT_2[[#This Row],[ID MATERIAL]]="","","Segundo Conteo")</f>
        <v/>
      </c>
    </row>
    <row r="1679" spans="1:9" s="7" customFormat="1" ht="15" x14ac:dyDescent="0.2">
      <c r="A1679" s="7" t="str">
        <f>IF(Plantilla_SCAN_EQ3_COUNT_2[[#This Row],[ID MATERIAL]]="","",SIGN(Plantilla_SCAN_EQ3_COUNT_2[[#This Row],[Cantidad]])+A1678)</f>
        <v/>
      </c>
      <c r="B1679" s="21" t="str">
        <f>IF(Plantilla_SCAN_EQ3_COUNT_2[[#This Row],[ID MATERIAL]]="","",B1678)</f>
        <v/>
      </c>
      <c r="C1679" s="21"/>
      <c r="D1679" s="21"/>
      <c r="E1679" s="7" t="str">
        <f>IF(Plantilla_SCAN_EQ3_COUNT_2[[#This Row],[ID MATERIAL]]="","",VLOOKUP(Plantilla_SCAN_EQ3_COUNT_2[[#This Row],[ID MATERIAL]],INVENTARIO!$A:$D,2,FALSE))</f>
        <v/>
      </c>
      <c r="F1679" s="7" t="str">
        <f>IF(Plantilla_SCAN_EQ3_COUNT_2[[#This Row],[ID MATERIAL]]="","",IF(Plantilla_SCAN_EQ3_COUNT_2[[#This Row],[No. Empaques]]="",1,Plantilla_SCAN_EQ3_COUNT_2[[#This Row],[No. Empaques]]*1))</f>
        <v/>
      </c>
      <c r="G1679" s="7" t="str">
        <f>IF(Plantilla_SCAN_EQ3_COUNT_2[[#This Row],[ID MATERIAL]]="","","PZ")</f>
        <v/>
      </c>
      <c r="H1679" s="7" t="str">
        <f>IF(Plantilla_SCAN_EQ3_COUNT_2[[#This Row],[ID MATERIAL]]="","",$B$13)</f>
        <v/>
      </c>
      <c r="I1679" s="7" t="str">
        <f>IF(Plantilla_SCAN_EQ3_COUNT_2[[#This Row],[ID MATERIAL]]="","","Segundo Conteo")</f>
        <v/>
      </c>
    </row>
    <row r="1680" spans="1:9" s="7" customFormat="1" ht="15" x14ac:dyDescent="0.2">
      <c r="A1680" s="7" t="str">
        <f>IF(Plantilla_SCAN_EQ3_COUNT_2[[#This Row],[ID MATERIAL]]="","",SIGN(Plantilla_SCAN_EQ3_COUNT_2[[#This Row],[Cantidad]])+A1679)</f>
        <v/>
      </c>
      <c r="B1680" s="21" t="str">
        <f>IF(Plantilla_SCAN_EQ3_COUNT_2[[#This Row],[ID MATERIAL]]="","",B1679)</f>
        <v/>
      </c>
      <c r="C1680" s="21"/>
      <c r="D1680" s="21"/>
      <c r="E1680" s="7" t="str">
        <f>IF(Plantilla_SCAN_EQ3_COUNT_2[[#This Row],[ID MATERIAL]]="","",VLOOKUP(Plantilla_SCAN_EQ3_COUNT_2[[#This Row],[ID MATERIAL]],INVENTARIO!$A:$D,2,FALSE))</f>
        <v/>
      </c>
      <c r="F1680" s="7" t="str">
        <f>IF(Plantilla_SCAN_EQ3_COUNT_2[[#This Row],[ID MATERIAL]]="","",IF(Plantilla_SCAN_EQ3_COUNT_2[[#This Row],[No. Empaques]]="",1,Plantilla_SCAN_EQ3_COUNT_2[[#This Row],[No. Empaques]]*1))</f>
        <v/>
      </c>
      <c r="G1680" s="7" t="str">
        <f>IF(Plantilla_SCAN_EQ3_COUNT_2[[#This Row],[ID MATERIAL]]="","","PZ")</f>
        <v/>
      </c>
      <c r="H1680" s="7" t="str">
        <f>IF(Plantilla_SCAN_EQ3_COUNT_2[[#This Row],[ID MATERIAL]]="","",$B$13)</f>
        <v/>
      </c>
      <c r="I1680" s="7" t="str">
        <f>IF(Plantilla_SCAN_EQ3_COUNT_2[[#This Row],[ID MATERIAL]]="","","Segundo Conteo")</f>
        <v/>
      </c>
    </row>
    <row r="1681" spans="1:9" s="7" customFormat="1" ht="15" x14ac:dyDescent="0.2">
      <c r="A1681" s="7" t="str">
        <f>IF(Plantilla_SCAN_EQ3_COUNT_2[[#This Row],[ID MATERIAL]]="","",SIGN(Plantilla_SCAN_EQ3_COUNT_2[[#This Row],[Cantidad]])+A1680)</f>
        <v/>
      </c>
      <c r="B1681" s="21" t="str">
        <f>IF(Plantilla_SCAN_EQ3_COUNT_2[[#This Row],[ID MATERIAL]]="","",B1680)</f>
        <v/>
      </c>
      <c r="C1681" s="21"/>
      <c r="D1681" s="21"/>
      <c r="E1681" s="7" t="str">
        <f>IF(Plantilla_SCAN_EQ3_COUNT_2[[#This Row],[ID MATERIAL]]="","",VLOOKUP(Plantilla_SCAN_EQ3_COUNT_2[[#This Row],[ID MATERIAL]],INVENTARIO!$A:$D,2,FALSE))</f>
        <v/>
      </c>
      <c r="F1681" s="7" t="str">
        <f>IF(Plantilla_SCAN_EQ3_COUNT_2[[#This Row],[ID MATERIAL]]="","",IF(Plantilla_SCAN_EQ3_COUNT_2[[#This Row],[No. Empaques]]="",1,Plantilla_SCAN_EQ3_COUNT_2[[#This Row],[No. Empaques]]*1))</f>
        <v/>
      </c>
      <c r="G1681" s="7" t="str">
        <f>IF(Plantilla_SCAN_EQ3_COUNT_2[[#This Row],[ID MATERIAL]]="","","PZ")</f>
        <v/>
      </c>
      <c r="H1681" s="7" t="str">
        <f>IF(Plantilla_SCAN_EQ3_COUNT_2[[#This Row],[ID MATERIAL]]="","",$B$13)</f>
        <v/>
      </c>
      <c r="I1681" s="7" t="str">
        <f>IF(Plantilla_SCAN_EQ3_COUNT_2[[#This Row],[ID MATERIAL]]="","","Segundo Conteo")</f>
        <v/>
      </c>
    </row>
    <row r="1682" spans="1:9" s="7" customFormat="1" ht="15" x14ac:dyDescent="0.2">
      <c r="A1682" s="7" t="str">
        <f>IF(Plantilla_SCAN_EQ3_COUNT_2[[#This Row],[ID MATERIAL]]="","",SIGN(Plantilla_SCAN_EQ3_COUNT_2[[#This Row],[Cantidad]])+A1681)</f>
        <v/>
      </c>
      <c r="B1682" s="21" t="str">
        <f>IF(Plantilla_SCAN_EQ3_COUNT_2[[#This Row],[ID MATERIAL]]="","",B1681)</f>
        <v/>
      </c>
      <c r="C1682" s="21"/>
      <c r="D1682" s="21"/>
      <c r="E1682" s="7" t="str">
        <f>IF(Plantilla_SCAN_EQ3_COUNT_2[[#This Row],[ID MATERIAL]]="","",VLOOKUP(Plantilla_SCAN_EQ3_COUNT_2[[#This Row],[ID MATERIAL]],INVENTARIO!$A:$D,2,FALSE))</f>
        <v/>
      </c>
      <c r="F1682" s="7" t="str">
        <f>IF(Plantilla_SCAN_EQ3_COUNT_2[[#This Row],[ID MATERIAL]]="","",IF(Plantilla_SCAN_EQ3_COUNT_2[[#This Row],[No. Empaques]]="",1,Plantilla_SCAN_EQ3_COUNT_2[[#This Row],[No. Empaques]]*1))</f>
        <v/>
      </c>
      <c r="G1682" s="7" t="str">
        <f>IF(Plantilla_SCAN_EQ3_COUNT_2[[#This Row],[ID MATERIAL]]="","","PZ")</f>
        <v/>
      </c>
      <c r="H1682" s="7" t="str">
        <f>IF(Plantilla_SCAN_EQ3_COUNT_2[[#This Row],[ID MATERIAL]]="","",$B$13)</f>
        <v/>
      </c>
      <c r="I1682" s="7" t="str">
        <f>IF(Plantilla_SCAN_EQ3_COUNT_2[[#This Row],[ID MATERIAL]]="","","Segundo Conteo")</f>
        <v/>
      </c>
    </row>
    <row r="1683" spans="1:9" s="7" customFormat="1" ht="15" x14ac:dyDescent="0.2">
      <c r="A1683" s="7" t="str">
        <f>IF(Plantilla_SCAN_EQ3_COUNT_2[[#This Row],[ID MATERIAL]]="","",SIGN(Plantilla_SCAN_EQ3_COUNT_2[[#This Row],[Cantidad]])+A1682)</f>
        <v/>
      </c>
      <c r="B1683" s="21" t="str">
        <f>IF(Plantilla_SCAN_EQ3_COUNT_2[[#This Row],[ID MATERIAL]]="","",B1682)</f>
        <v/>
      </c>
      <c r="C1683" s="21"/>
      <c r="D1683" s="21"/>
      <c r="E1683" s="7" t="str">
        <f>IF(Plantilla_SCAN_EQ3_COUNT_2[[#This Row],[ID MATERIAL]]="","",VLOOKUP(Plantilla_SCAN_EQ3_COUNT_2[[#This Row],[ID MATERIAL]],INVENTARIO!$A:$D,2,FALSE))</f>
        <v/>
      </c>
      <c r="F1683" s="7" t="str">
        <f>IF(Plantilla_SCAN_EQ3_COUNT_2[[#This Row],[ID MATERIAL]]="","",IF(Plantilla_SCAN_EQ3_COUNT_2[[#This Row],[No. Empaques]]="",1,Plantilla_SCAN_EQ3_COUNT_2[[#This Row],[No. Empaques]]*1))</f>
        <v/>
      </c>
      <c r="G1683" s="7" t="str">
        <f>IF(Plantilla_SCAN_EQ3_COUNT_2[[#This Row],[ID MATERIAL]]="","","PZ")</f>
        <v/>
      </c>
      <c r="H1683" s="7" t="str">
        <f>IF(Plantilla_SCAN_EQ3_COUNT_2[[#This Row],[ID MATERIAL]]="","",$B$13)</f>
        <v/>
      </c>
      <c r="I1683" s="7" t="str">
        <f>IF(Plantilla_SCAN_EQ3_COUNT_2[[#This Row],[ID MATERIAL]]="","","Segundo Conteo")</f>
        <v/>
      </c>
    </row>
    <row r="1684" spans="1:9" s="7" customFormat="1" ht="15" x14ac:dyDescent="0.2">
      <c r="A1684" s="7" t="str">
        <f>IF(Plantilla_SCAN_EQ3_COUNT_2[[#This Row],[ID MATERIAL]]="","",SIGN(Plantilla_SCAN_EQ3_COUNT_2[[#This Row],[Cantidad]])+A1683)</f>
        <v/>
      </c>
      <c r="B1684" s="21" t="str">
        <f>IF(Plantilla_SCAN_EQ3_COUNT_2[[#This Row],[ID MATERIAL]]="","",B1683)</f>
        <v/>
      </c>
      <c r="C1684" s="21"/>
      <c r="D1684" s="21"/>
      <c r="E1684" s="7" t="str">
        <f>IF(Plantilla_SCAN_EQ3_COUNT_2[[#This Row],[ID MATERIAL]]="","",VLOOKUP(Plantilla_SCAN_EQ3_COUNT_2[[#This Row],[ID MATERIAL]],INVENTARIO!$A:$D,2,FALSE))</f>
        <v/>
      </c>
      <c r="F1684" s="7" t="str">
        <f>IF(Plantilla_SCAN_EQ3_COUNT_2[[#This Row],[ID MATERIAL]]="","",IF(Plantilla_SCAN_EQ3_COUNT_2[[#This Row],[No. Empaques]]="",1,Plantilla_SCAN_EQ3_COUNT_2[[#This Row],[No. Empaques]]*1))</f>
        <v/>
      </c>
      <c r="G1684" s="7" t="str">
        <f>IF(Plantilla_SCAN_EQ3_COUNT_2[[#This Row],[ID MATERIAL]]="","","PZ")</f>
        <v/>
      </c>
      <c r="H1684" s="7" t="str">
        <f>IF(Plantilla_SCAN_EQ3_COUNT_2[[#This Row],[ID MATERIAL]]="","",$B$13)</f>
        <v/>
      </c>
      <c r="I1684" s="7" t="str">
        <f>IF(Plantilla_SCAN_EQ3_COUNT_2[[#This Row],[ID MATERIAL]]="","","Segundo Conteo")</f>
        <v/>
      </c>
    </row>
    <row r="1685" spans="1:9" s="7" customFormat="1" ht="15" x14ac:dyDescent="0.2">
      <c r="A1685" s="7" t="str">
        <f>IF(Plantilla_SCAN_EQ3_COUNT_2[[#This Row],[ID MATERIAL]]="","",SIGN(Plantilla_SCAN_EQ3_COUNT_2[[#This Row],[Cantidad]])+A1684)</f>
        <v/>
      </c>
      <c r="B1685" s="21" t="str">
        <f>IF(Plantilla_SCAN_EQ3_COUNT_2[[#This Row],[ID MATERIAL]]="","",B1684)</f>
        <v/>
      </c>
      <c r="C1685" s="21"/>
      <c r="D1685" s="21"/>
      <c r="E1685" s="7" t="str">
        <f>IF(Plantilla_SCAN_EQ3_COUNT_2[[#This Row],[ID MATERIAL]]="","",VLOOKUP(Plantilla_SCAN_EQ3_COUNT_2[[#This Row],[ID MATERIAL]],INVENTARIO!$A:$D,2,FALSE))</f>
        <v/>
      </c>
      <c r="F1685" s="7" t="str">
        <f>IF(Plantilla_SCAN_EQ3_COUNT_2[[#This Row],[ID MATERIAL]]="","",IF(Plantilla_SCAN_EQ3_COUNT_2[[#This Row],[No. Empaques]]="",1,Plantilla_SCAN_EQ3_COUNT_2[[#This Row],[No. Empaques]]*1))</f>
        <v/>
      </c>
      <c r="G1685" s="7" t="str">
        <f>IF(Plantilla_SCAN_EQ3_COUNT_2[[#This Row],[ID MATERIAL]]="","","PZ")</f>
        <v/>
      </c>
      <c r="H1685" s="7" t="str">
        <f>IF(Plantilla_SCAN_EQ3_COUNT_2[[#This Row],[ID MATERIAL]]="","",$B$13)</f>
        <v/>
      </c>
      <c r="I1685" s="7" t="str">
        <f>IF(Plantilla_SCAN_EQ3_COUNT_2[[#This Row],[ID MATERIAL]]="","","Segundo Conteo")</f>
        <v/>
      </c>
    </row>
    <row r="1686" spans="1:9" s="7" customFormat="1" ht="15" x14ac:dyDescent="0.2">
      <c r="A1686" s="7" t="str">
        <f>IF(Plantilla_SCAN_EQ3_COUNT_2[[#This Row],[ID MATERIAL]]="","",SIGN(Plantilla_SCAN_EQ3_COUNT_2[[#This Row],[Cantidad]])+A1685)</f>
        <v/>
      </c>
      <c r="B1686" s="21" t="str">
        <f>IF(Plantilla_SCAN_EQ3_COUNT_2[[#This Row],[ID MATERIAL]]="","",B1685)</f>
        <v/>
      </c>
      <c r="C1686" s="21"/>
      <c r="D1686" s="21"/>
      <c r="E1686" s="7" t="str">
        <f>IF(Plantilla_SCAN_EQ3_COUNT_2[[#This Row],[ID MATERIAL]]="","",VLOOKUP(Plantilla_SCAN_EQ3_COUNT_2[[#This Row],[ID MATERIAL]],INVENTARIO!$A:$D,2,FALSE))</f>
        <v/>
      </c>
      <c r="F1686" s="7" t="str">
        <f>IF(Plantilla_SCAN_EQ3_COUNT_2[[#This Row],[ID MATERIAL]]="","",IF(Plantilla_SCAN_EQ3_COUNT_2[[#This Row],[No. Empaques]]="",1,Plantilla_SCAN_EQ3_COUNT_2[[#This Row],[No. Empaques]]*1))</f>
        <v/>
      </c>
      <c r="G1686" s="7" t="str">
        <f>IF(Plantilla_SCAN_EQ3_COUNT_2[[#This Row],[ID MATERIAL]]="","","PZ")</f>
        <v/>
      </c>
      <c r="H1686" s="7" t="str">
        <f>IF(Plantilla_SCAN_EQ3_COUNT_2[[#This Row],[ID MATERIAL]]="","",$B$13)</f>
        <v/>
      </c>
      <c r="I1686" s="7" t="str">
        <f>IF(Plantilla_SCAN_EQ3_COUNT_2[[#This Row],[ID MATERIAL]]="","","Segundo Conteo")</f>
        <v/>
      </c>
    </row>
    <row r="1687" spans="1:9" s="7" customFormat="1" ht="15" x14ac:dyDescent="0.2">
      <c r="A1687" s="7" t="str">
        <f>IF(Plantilla_SCAN_EQ3_COUNT_2[[#This Row],[ID MATERIAL]]="","",SIGN(Plantilla_SCAN_EQ3_COUNT_2[[#This Row],[Cantidad]])+A1686)</f>
        <v/>
      </c>
      <c r="B1687" s="21" t="str">
        <f>IF(Plantilla_SCAN_EQ3_COUNT_2[[#This Row],[ID MATERIAL]]="","",B1686)</f>
        <v/>
      </c>
      <c r="C1687" s="21"/>
      <c r="D1687" s="21"/>
      <c r="E1687" s="7" t="str">
        <f>IF(Plantilla_SCAN_EQ3_COUNT_2[[#This Row],[ID MATERIAL]]="","",VLOOKUP(Plantilla_SCAN_EQ3_COUNT_2[[#This Row],[ID MATERIAL]],INVENTARIO!$A:$D,2,FALSE))</f>
        <v/>
      </c>
      <c r="F1687" s="7" t="str">
        <f>IF(Plantilla_SCAN_EQ3_COUNT_2[[#This Row],[ID MATERIAL]]="","",IF(Plantilla_SCAN_EQ3_COUNT_2[[#This Row],[No. Empaques]]="",1,Plantilla_SCAN_EQ3_COUNT_2[[#This Row],[No. Empaques]]*1))</f>
        <v/>
      </c>
      <c r="G1687" s="7" t="str">
        <f>IF(Plantilla_SCAN_EQ3_COUNT_2[[#This Row],[ID MATERIAL]]="","","PZ")</f>
        <v/>
      </c>
      <c r="H1687" s="7" t="str">
        <f>IF(Plantilla_SCAN_EQ3_COUNT_2[[#This Row],[ID MATERIAL]]="","",$B$13)</f>
        <v/>
      </c>
      <c r="I1687" s="7" t="str">
        <f>IF(Plantilla_SCAN_EQ3_COUNT_2[[#This Row],[ID MATERIAL]]="","","Segundo Conteo")</f>
        <v/>
      </c>
    </row>
    <row r="1688" spans="1:9" s="7" customFormat="1" ht="15" x14ac:dyDescent="0.2">
      <c r="A1688" s="7" t="str">
        <f>IF(Plantilla_SCAN_EQ3_COUNT_2[[#This Row],[ID MATERIAL]]="","",SIGN(Plantilla_SCAN_EQ3_COUNT_2[[#This Row],[Cantidad]])+A1687)</f>
        <v/>
      </c>
      <c r="B1688" s="21" t="str">
        <f>IF(Plantilla_SCAN_EQ3_COUNT_2[[#This Row],[ID MATERIAL]]="","",B1687)</f>
        <v/>
      </c>
      <c r="C1688" s="21"/>
      <c r="D1688" s="21"/>
      <c r="E1688" s="7" t="str">
        <f>IF(Plantilla_SCAN_EQ3_COUNT_2[[#This Row],[ID MATERIAL]]="","",VLOOKUP(Plantilla_SCAN_EQ3_COUNT_2[[#This Row],[ID MATERIAL]],INVENTARIO!$A:$D,2,FALSE))</f>
        <v/>
      </c>
      <c r="F1688" s="7" t="str">
        <f>IF(Plantilla_SCAN_EQ3_COUNT_2[[#This Row],[ID MATERIAL]]="","",IF(Plantilla_SCAN_EQ3_COUNT_2[[#This Row],[No. Empaques]]="",1,Plantilla_SCAN_EQ3_COUNT_2[[#This Row],[No. Empaques]]*1))</f>
        <v/>
      </c>
      <c r="G1688" s="7" t="str">
        <f>IF(Plantilla_SCAN_EQ3_COUNT_2[[#This Row],[ID MATERIAL]]="","","PZ")</f>
        <v/>
      </c>
      <c r="H1688" s="7" t="str">
        <f>IF(Plantilla_SCAN_EQ3_COUNT_2[[#This Row],[ID MATERIAL]]="","",$B$13)</f>
        <v/>
      </c>
      <c r="I1688" s="7" t="str">
        <f>IF(Plantilla_SCAN_EQ3_COUNT_2[[#This Row],[ID MATERIAL]]="","","Segundo Conteo")</f>
        <v/>
      </c>
    </row>
    <row r="1689" spans="1:9" s="7" customFormat="1" ht="15" x14ac:dyDescent="0.2">
      <c r="A1689" s="7" t="str">
        <f>IF(Plantilla_SCAN_EQ3_COUNT_2[[#This Row],[ID MATERIAL]]="","",SIGN(Plantilla_SCAN_EQ3_COUNT_2[[#This Row],[Cantidad]])+A1688)</f>
        <v/>
      </c>
      <c r="B1689" s="21" t="str">
        <f>IF(Plantilla_SCAN_EQ3_COUNT_2[[#This Row],[ID MATERIAL]]="","",B1688)</f>
        <v/>
      </c>
      <c r="C1689" s="21"/>
      <c r="D1689" s="21"/>
      <c r="E1689" s="7" t="str">
        <f>IF(Plantilla_SCAN_EQ3_COUNT_2[[#This Row],[ID MATERIAL]]="","",VLOOKUP(Plantilla_SCAN_EQ3_COUNT_2[[#This Row],[ID MATERIAL]],INVENTARIO!$A:$D,2,FALSE))</f>
        <v/>
      </c>
      <c r="F1689" s="7" t="str">
        <f>IF(Plantilla_SCAN_EQ3_COUNT_2[[#This Row],[ID MATERIAL]]="","",IF(Plantilla_SCAN_EQ3_COUNT_2[[#This Row],[No. Empaques]]="",1,Plantilla_SCAN_EQ3_COUNT_2[[#This Row],[No. Empaques]]*1))</f>
        <v/>
      </c>
      <c r="G1689" s="7" t="str">
        <f>IF(Plantilla_SCAN_EQ3_COUNT_2[[#This Row],[ID MATERIAL]]="","","PZ")</f>
        <v/>
      </c>
      <c r="H1689" s="7" t="str">
        <f>IF(Plantilla_SCAN_EQ3_COUNT_2[[#This Row],[ID MATERIAL]]="","",$B$13)</f>
        <v/>
      </c>
      <c r="I1689" s="7" t="str">
        <f>IF(Plantilla_SCAN_EQ3_COUNT_2[[#This Row],[ID MATERIAL]]="","","Segundo Conteo")</f>
        <v/>
      </c>
    </row>
    <row r="1690" spans="1:9" s="7" customFormat="1" ht="15" x14ac:dyDescent="0.2">
      <c r="A1690" s="7" t="str">
        <f>IF(Plantilla_SCAN_EQ3_COUNT_2[[#This Row],[ID MATERIAL]]="","",SIGN(Plantilla_SCAN_EQ3_COUNT_2[[#This Row],[Cantidad]])+A1689)</f>
        <v/>
      </c>
      <c r="B1690" s="21" t="str">
        <f>IF(Plantilla_SCAN_EQ3_COUNT_2[[#This Row],[ID MATERIAL]]="","",B1689)</f>
        <v/>
      </c>
      <c r="C1690" s="21"/>
      <c r="D1690" s="21"/>
      <c r="E1690" s="7" t="str">
        <f>IF(Plantilla_SCAN_EQ3_COUNT_2[[#This Row],[ID MATERIAL]]="","",VLOOKUP(Plantilla_SCAN_EQ3_COUNT_2[[#This Row],[ID MATERIAL]],INVENTARIO!$A:$D,2,FALSE))</f>
        <v/>
      </c>
      <c r="F1690" s="7" t="str">
        <f>IF(Plantilla_SCAN_EQ3_COUNT_2[[#This Row],[ID MATERIAL]]="","",IF(Plantilla_SCAN_EQ3_COUNT_2[[#This Row],[No. Empaques]]="",1,Plantilla_SCAN_EQ3_COUNT_2[[#This Row],[No. Empaques]]*1))</f>
        <v/>
      </c>
      <c r="G1690" s="7" t="str">
        <f>IF(Plantilla_SCAN_EQ3_COUNT_2[[#This Row],[ID MATERIAL]]="","","PZ")</f>
        <v/>
      </c>
      <c r="H1690" s="7" t="str">
        <f>IF(Plantilla_SCAN_EQ3_COUNT_2[[#This Row],[ID MATERIAL]]="","",$B$13)</f>
        <v/>
      </c>
      <c r="I1690" s="7" t="str">
        <f>IF(Plantilla_SCAN_EQ3_COUNT_2[[#This Row],[ID MATERIAL]]="","","Segundo Conteo")</f>
        <v/>
      </c>
    </row>
    <row r="1691" spans="1:9" s="7" customFormat="1" ht="15" x14ac:dyDescent="0.2">
      <c r="A1691" s="7" t="str">
        <f>IF(Plantilla_SCAN_EQ3_COUNT_2[[#This Row],[ID MATERIAL]]="","",SIGN(Plantilla_SCAN_EQ3_COUNT_2[[#This Row],[Cantidad]])+A1690)</f>
        <v/>
      </c>
      <c r="B1691" s="21" t="str">
        <f>IF(Plantilla_SCAN_EQ3_COUNT_2[[#This Row],[ID MATERIAL]]="","",B1690)</f>
        <v/>
      </c>
      <c r="C1691" s="21"/>
      <c r="D1691" s="21"/>
      <c r="E1691" s="7" t="str">
        <f>IF(Plantilla_SCAN_EQ3_COUNT_2[[#This Row],[ID MATERIAL]]="","",VLOOKUP(Plantilla_SCAN_EQ3_COUNT_2[[#This Row],[ID MATERIAL]],INVENTARIO!$A:$D,2,FALSE))</f>
        <v/>
      </c>
      <c r="F1691" s="7" t="str">
        <f>IF(Plantilla_SCAN_EQ3_COUNT_2[[#This Row],[ID MATERIAL]]="","",IF(Plantilla_SCAN_EQ3_COUNT_2[[#This Row],[No. Empaques]]="",1,Plantilla_SCAN_EQ3_COUNT_2[[#This Row],[No. Empaques]]*1))</f>
        <v/>
      </c>
      <c r="G1691" s="7" t="str">
        <f>IF(Plantilla_SCAN_EQ3_COUNT_2[[#This Row],[ID MATERIAL]]="","","PZ")</f>
        <v/>
      </c>
      <c r="H1691" s="7" t="str">
        <f>IF(Plantilla_SCAN_EQ3_COUNT_2[[#This Row],[ID MATERIAL]]="","",$B$13)</f>
        <v/>
      </c>
      <c r="I1691" s="7" t="str">
        <f>IF(Plantilla_SCAN_EQ3_COUNT_2[[#This Row],[ID MATERIAL]]="","","Segundo Conteo")</f>
        <v/>
      </c>
    </row>
    <row r="1692" spans="1:9" s="7" customFormat="1" ht="15" x14ac:dyDescent="0.2">
      <c r="A1692" s="7" t="str">
        <f>IF(Plantilla_SCAN_EQ3_COUNT_2[[#This Row],[ID MATERIAL]]="","",SIGN(Plantilla_SCAN_EQ3_COUNT_2[[#This Row],[Cantidad]])+A1691)</f>
        <v/>
      </c>
      <c r="B1692" s="21" t="str">
        <f>IF(Plantilla_SCAN_EQ3_COUNT_2[[#This Row],[ID MATERIAL]]="","",B1691)</f>
        <v/>
      </c>
      <c r="C1692" s="21"/>
      <c r="D1692" s="21"/>
      <c r="E1692" s="7" t="str">
        <f>IF(Plantilla_SCAN_EQ3_COUNT_2[[#This Row],[ID MATERIAL]]="","",VLOOKUP(Plantilla_SCAN_EQ3_COUNT_2[[#This Row],[ID MATERIAL]],INVENTARIO!$A:$D,2,FALSE))</f>
        <v/>
      </c>
      <c r="F1692" s="7" t="str">
        <f>IF(Plantilla_SCAN_EQ3_COUNT_2[[#This Row],[ID MATERIAL]]="","",IF(Plantilla_SCAN_EQ3_COUNT_2[[#This Row],[No. Empaques]]="",1,Plantilla_SCAN_EQ3_COUNT_2[[#This Row],[No. Empaques]]*1))</f>
        <v/>
      </c>
      <c r="G1692" s="7" t="str">
        <f>IF(Plantilla_SCAN_EQ3_COUNT_2[[#This Row],[ID MATERIAL]]="","","PZ")</f>
        <v/>
      </c>
      <c r="H1692" s="7" t="str">
        <f>IF(Plantilla_SCAN_EQ3_COUNT_2[[#This Row],[ID MATERIAL]]="","",$B$13)</f>
        <v/>
      </c>
      <c r="I1692" s="7" t="str">
        <f>IF(Plantilla_SCAN_EQ3_COUNT_2[[#This Row],[ID MATERIAL]]="","","Segundo Conteo")</f>
        <v/>
      </c>
    </row>
    <row r="1693" spans="1:9" s="7" customFormat="1" ht="15" x14ac:dyDescent="0.2">
      <c r="A1693" s="7" t="str">
        <f>IF(Plantilla_SCAN_EQ3_COUNT_2[[#This Row],[ID MATERIAL]]="","",SIGN(Plantilla_SCAN_EQ3_COUNT_2[[#This Row],[Cantidad]])+A1692)</f>
        <v/>
      </c>
      <c r="B1693" s="21" t="str">
        <f>IF(Plantilla_SCAN_EQ3_COUNT_2[[#This Row],[ID MATERIAL]]="","",B1692)</f>
        <v/>
      </c>
      <c r="C1693" s="21"/>
      <c r="D1693" s="21"/>
      <c r="E1693" s="7" t="str">
        <f>IF(Plantilla_SCAN_EQ3_COUNT_2[[#This Row],[ID MATERIAL]]="","",VLOOKUP(Plantilla_SCAN_EQ3_COUNT_2[[#This Row],[ID MATERIAL]],INVENTARIO!$A:$D,2,FALSE))</f>
        <v/>
      </c>
      <c r="F1693" s="7" t="str">
        <f>IF(Plantilla_SCAN_EQ3_COUNT_2[[#This Row],[ID MATERIAL]]="","",IF(Plantilla_SCAN_EQ3_COUNT_2[[#This Row],[No. Empaques]]="",1,Plantilla_SCAN_EQ3_COUNT_2[[#This Row],[No. Empaques]]*1))</f>
        <v/>
      </c>
      <c r="G1693" s="7" t="str">
        <f>IF(Plantilla_SCAN_EQ3_COUNT_2[[#This Row],[ID MATERIAL]]="","","PZ")</f>
        <v/>
      </c>
      <c r="H1693" s="7" t="str">
        <f>IF(Plantilla_SCAN_EQ3_COUNT_2[[#This Row],[ID MATERIAL]]="","",$B$13)</f>
        <v/>
      </c>
      <c r="I1693" s="7" t="str">
        <f>IF(Plantilla_SCAN_EQ3_COUNT_2[[#This Row],[ID MATERIAL]]="","","Segundo Conteo")</f>
        <v/>
      </c>
    </row>
    <row r="1694" spans="1:9" s="7" customFormat="1" ht="15" x14ac:dyDescent="0.2">
      <c r="A1694" s="7" t="str">
        <f>IF(Plantilla_SCAN_EQ3_COUNT_2[[#This Row],[ID MATERIAL]]="","",SIGN(Plantilla_SCAN_EQ3_COUNT_2[[#This Row],[Cantidad]])+A1693)</f>
        <v/>
      </c>
      <c r="B1694" s="21" t="str">
        <f>IF(Plantilla_SCAN_EQ3_COUNT_2[[#This Row],[ID MATERIAL]]="","",B1693)</f>
        <v/>
      </c>
      <c r="C1694" s="21"/>
      <c r="D1694" s="21"/>
      <c r="E1694" s="7" t="str">
        <f>IF(Plantilla_SCAN_EQ3_COUNT_2[[#This Row],[ID MATERIAL]]="","",VLOOKUP(Plantilla_SCAN_EQ3_COUNT_2[[#This Row],[ID MATERIAL]],INVENTARIO!$A:$D,2,FALSE))</f>
        <v/>
      </c>
      <c r="F1694" s="7" t="str">
        <f>IF(Plantilla_SCAN_EQ3_COUNT_2[[#This Row],[ID MATERIAL]]="","",IF(Plantilla_SCAN_EQ3_COUNT_2[[#This Row],[No. Empaques]]="",1,Plantilla_SCAN_EQ3_COUNT_2[[#This Row],[No. Empaques]]*1))</f>
        <v/>
      </c>
      <c r="G1694" s="7" t="str">
        <f>IF(Plantilla_SCAN_EQ3_COUNT_2[[#This Row],[ID MATERIAL]]="","","PZ")</f>
        <v/>
      </c>
      <c r="H1694" s="7" t="str">
        <f>IF(Plantilla_SCAN_EQ3_COUNT_2[[#This Row],[ID MATERIAL]]="","",$B$13)</f>
        <v/>
      </c>
      <c r="I1694" s="7" t="str">
        <f>IF(Plantilla_SCAN_EQ3_COUNT_2[[#This Row],[ID MATERIAL]]="","","Segundo Conteo")</f>
        <v/>
      </c>
    </row>
    <row r="1695" spans="1:9" s="7" customFormat="1" ht="15" x14ac:dyDescent="0.2">
      <c r="A1695" s="7" t="str">
        <f>IF(Plantilla_SCAN_EQ3_COUNT_2[[#This Row],[ID MATERIAL]]="","",SIGN(Plantilla_SCAN_EQ3_COUNT_2[[#This Row],[Cantidad]])+A1694)</f>
        <v/>
      </c>
      <c r="B1695" s="21" t="str">
        <f>IF(Plantilla_SCAN_EQ3_COUNT_2[[#This Row],[ID MATERIAL]]="","",B1694)</f>
        <v/>
      </c>
      <c r="C1695" s="21"/>
      <c r="D1695" s="21"/>
      <c r="E1695" s="7" t="str">
        <f>IF(Plantilla_SCAN_EQ3_COUNT_2[[#This Row],[ID MATERIAL]]="","",VLOOKUP(Plantilla_SCAN_EQ3_COUNT_2[[#This Row],[ID MATERIAL]],INVENTARIO!$A:$D,2,FALSE))</f>
        <v/>
      </c>
      <c r="F1695" s="7" t="str">
        <f>IF(Plantilla_SCAN_EQ3_COUNT_2[[#This Row],[ID MATERIAL]]="","",IF(Plantilla_SCAN_EQ3_COUNT_2[[#This Row],[No. Empaques]]="",1,Plantilla_SCAN_EQ3_COUNT_2[[#This Row],[No. Empaques]]*1))</f>
        <v/>
      </c>
      <c r="G1695" s="7" t="str">
        <f>IF(Plantilla_SCAN_EQ3_COUNT_2[[#This Row],[ID MATERIAL]]="","","PZ")</f>
        <v/>
      </c>
      <c r="H1695" s="7" t="str">
        <f>IF(Plantilla_SCAN_EQ3_COUNT_2[[#This Row],[ID MATERIAL]]="","",$B$13)</f>
        <v/>
      </c>
      <c r="I1695" s="7" t="str">
        <f>IF(Plantilla_SCAN_EQ3_COUNT_2[[#This Row],[ID MATERIAL]]="","","Segundo Conteo")</f>
        <v/>
      </c>
    </row>
    <row r="1696" spans="1:9" s="7" customFormat="1" ht="15" x14ac:dyDescent="0.2">
      <c r="A1696" s="7" t="str">
        <f>IF(Plantilla_SCAN_EQ3_COUNT_2[[#This Row],[ID MATERIAL]]="","",SIGN(Plantilla_SCAN_EQ3_COUNT_2[[#This Row],[Cantidad]])+A1695)</f>
        <v/>
      </c>
      <c r="B1696" s="21" t="str">
        <f>IF(Plantilla_SCAN_EQ3_COUNT_2[[#This Row],[ID MATERIAL]]="","",B1695)</f>
        <v/>
      </c>
      <c r="C1696" s="21"/>
      <c r="D1696" s="21"/>
      <c r="E1696" s="7" t="str">
        <f>IF(Plantilla_SCAN_EQ3_COUNT_2[[#This Row],[ID MATERIAL]]="","",VLOOKUP(Plantilla_SCAN_EQ3_COUNT_2[[#This Row],[ID MATERIAL]],INVENTARIO!$A:$D,2,FALSE))</f>
        <v/>
      </c>
      <c r="F1696" s="7" t="str">
        <f>IF(Plantilla_SCAN_EQ3_COUNT_2[[#This Row],[ID MATERIAL]]="","",IF(Plantilla_SCAN_EQ3_COUNT_2[[#This Row],[No. Empaques]]="",1,Plantilla_SCAN_EQ3_COUNT_2[[#This Row],[No. Empaques]]*1))</f>
        <v/>
      </c>
      <c r="G1696" s="7" t="str">
        <f>IF(Plantilla_SCAN_EQ3_COUNT_2[[#This Row],[ID MATERIAL]]="","","PZ")</f>
        <v/>
      </c>
      <c r="H1696" s="7" t="str">
        <f>IF(Plantilla_SCAN_EQ3_COUNT_2[[#This Row],[ID MATERIAL]]="","",$B$13)</f>
        <v/>
      </c>
      <c r="I1696" s="7" t="str">
        <f>IF(Plantilla_SCAN_EQ3_COUNT_2[[#This Row],[ID MATERIAL]]="","","Segundo Conteo")</f>
        <v/>
      </c>
    </row>
    <row r="1697" spans="1:9" s="7" customFormat="1" ht="15" x14ac:dyDescent="0.2">
      <c r="A1697" s="7" t="str">
        <f>IF(Plantilla_SCAN_EQ3_COUNT_2[[#This Row],[ID MATERIAL]]="","",SIGN(Plantilla_SCAN_EQ3_COUNT_2[[#This Row],[Cantidad]])+A1696)</f>
        <v/>
      </c>
      <c r="B1697" s="21" t="str">
        <f>IF(Plantilla_SCAN_EQ3_COUNT_2[[#This Row],[ID MATERIAL]]="","",B1696)</f>
        <v/>
      </c>
      <c r="C1697" s="21"/>
      <c r="D1697" s="21"/>
      <c r="E1697" s="7" t="str">
        <f>IF(Plantilla_SCAN_EQ3_COUNT_2[[#This Row],[ID MATERIAL]]="","",VLOOKUP(Plantilla_SCAN_EQ3_COUNT_2[[#This Row],[ID MATERIAL]],INVENTARIO!$A:$D,2,FALSE))</f>
        <v/>
      </c>
      <c r="F1697" s="7" t="str">
        <f>IF(Plantilla_SCAN_EQ3_COUNT_2[[#This Row],[ID MATERIAL]]="","",IF(Plantilla_SCAN_EQ3_COUNT_2[[#This Row],[No. Empaques]]="",1,Plantilla_SCAN_EQ3_COUNT_2[[#This Row],[No. Empaques]]*1))</f>
        <v/>
      </c>
      <c r="G1697" s="7" t="str">
        <f>IF(Plantilla_SCAN_EQ3_COUNT_2[[#This Row],[ID MATERIAL]]="","","PZ")</f>
        <v/>
      </c>
      <c r="H1697" s="7" t="str">
        <f>IF(Plantilla_SCAN_EQ3_COUNT_2[[#This Row],[ID MATERIAL]]="","",$B$13)</f>
        <v/>
      </c>
      <c r="I1697" s="7" t="str">
        <f>IF(Plantilla_SCAN_EQ3_COUNT_2[[#This Row],[ID MATERIAL]]="","","Segundo Conteo")</f>
        <v/>
      </c>
    </row>
    <row r="1698" spans="1:9" s="7" customFormat="1" ht="15" x14ac:dyDescent="0.2">
      <c r="A1698" s="7" t="str">
        <f>IF(Plantilla_SCAN_EQ3_COUNT_2[[#This Row],[ID MATERIAL]]="","",SIGN(Plantilla_SCAN_EQ3_COUNT_2[[#This Row],[Cantidad]])+A1697)</f>
        <v/>
      </c>
      <c r="B1698" s="21" t="str">
        <f>IF(Plantilla_SCAN_EQ3_COUNT_2[[#This Row],[ID MATERIAL]]="","",B1697)</f>
        <v/>
      </c>
      <c r="C1698" s="21"/>
      <c r="D1698" s="21"/>
      <c r="E1698" s="7" t="str">
        <f>IF(Plantilla_SCAN_EQ3_COUNT_2[[#This Row],[ID MATERIAL]]="","",VLOOKUP(Plantilla_SCAN_EQ3_COUNT_2[[#This Row],[ID MATERIAL]],INVENTARIO!$A:$D,2,FALSE))</f>
        <v/>
      </c>
      <c r="F1698" s="7" t="str">
        <f>IF(Plantilla_SCAN_EQ3_COUNT_2[[#This Row],[ID MATERIAL]]="","",IF(Plantilla_SCAN_EQ3_COUNT_2[[#This Row],[No. Empaques]]="",1,Plantilla_SCAN_EQ3_COUNT_2[[#This Row],[No. Empaques]]*1))</f>
        <v/>
      </c>
      <c r="G1698" s="7" t="str">
        <f>IF(Plantilla_SCAN_EQ3_COUNT_2[[#This Row],[ID MATERIAL]]="","","PZ")</f>
        <v/>
      </c>
      <c r="H1698" s="7" t="str">
        <f>IF(Plantilla_SCAN_EQ3_COUNT_2[[#This Row],[ID MATERIAL]]="","",$B$13)</f>
        <v/>
      </c>
      <c r="I1698" s="7" t="str">
        <f>IF(Plantilla_SCAN_EQ3_COUNT_2[[#This Row],[ID MATERIAL]]="","","Segundo Conteo")</f>
        <v/>
      </c>
    </row>
    <row r="1699" spans="1:9" s="7" customFormat="1" ht="15" x14ac:dyDescent="0.2">
      <c r="A1699" s="7" t="str">
        <f>IF(Plantilla_SCAN_EQ3_COUNT_2[[#This Row],[ID MATERIAL]]="","",SIGN(Plantilla_SCAN_EQ3_COUNT_2[[#This Row],[Cantidad]])+A1698)</f>
        <v/>
      </c>
      <c r="B1699" s="21" t="str">
        <f>IF(Plantilla_SCAN_EQ3_COUNT_2[[#This Row],[ID MATERIAL]]="","",B1698)</f>
        <v/>
      </c>
      <c r="C1699" s="21"/>
      <c r="D1699" s="21"/>
      <c r="E1699" s="7" t="str">
        <f>IF(Plantilla_SCAN_EQ3_COUNT_2[[#This Row],[ID MATERIAL]]="","",VLOOKUP(Plantilla_SCAN_EQ3_COUNT_2[[#This Row],[ID MATERIAL]],INVENTARIO!$A:$D,2,FALSE))</f>
        <v/>
      </c>
      <c r="F1699" s="7" t="str">
        <f>IF(Plantilla_SCAN_EQ3_COUNT_2[[#This Row],[ID MATERIAL]]="","",IF(Plantilla_SCAN_EQ3_COUNT_2[[#This Row],[No. Empaques]]="",1,Plantilla_SCAN_EQ3_COUNT_2[[#This Row],[No. Empaques]]*1))</f>
        <v/>
      </c>
      <c r="G1699" s="7" t="str">
        <f>IF(Plantilla_SCAN_EQ3_COUNT_2[[#This Row],[ID MATERIAL]]="","","PZ")</f>
        <v/>
      </c>
      <c r="H1699" s="7" t="str">
        <f>IF(Plantilla_SCAN_EQ3_COUNT_2[[#This Row],[ID MATERIAL]]="","",$B$13)</f>
        <v/>
      </c>
      <c r="I1699" s="7" t="str">
        <f>IF(Plantilla_SCAN_EQ3_COUNT_2[[#This Row],[ID MATERIAL]]="","","Segundo Conteo")</f>
        <v/>
      </c>
    </row>
    <row r="1700" spans="1:9" s="7" customFormat="1" ht="15" x14ac:dyDescent="0.2">
      <c r="A1700" s="7" t="str">
        <f>IF(Plantilla_SCAN_EQ3_COUNT_2[[#This Row],[ID MATERIAL]]="","",SIGN(Plantilla_SCAN_EQ3_COUNT_2[[#This Row],[Cantidad]])+A1699)</f>
        <v/>
      </c>
      <c r="B1700" s="21" t="str">
        <f>IF(Plantilla_SCAN_EQ3_COUNT_2[[#This Row],[ID MATERIAL]]="","",B1699)</f>
        <v/>
      </c>
      <c r="C1700" s="21"/>
      <c r="D1700" s="21"/>
      <c r="E1700" s="7" t="str">
        <f>IF(Plantilla_SCAN_EQ3_COUNT_2[[#This Row],[ID MATERIAL]]="","",VLOOKUP(Plantilla_SCAN_EQ3_COUNT_2[[#This Row],[ID MATERIAL]],INVENTARIO!$A:$D,2,FALSE))</f>
        <v/>
      </c>
      <c r="F1700" s="7" t="str">
        <f>IF(Plantilla_SCAN_EQ3_COUNT_2[[#This Row],[ID MATERIAL]]="","",IF(Plantilla_SCAN_EQ3_COUNT_2[[#This Row],[No. Empaques]]="",1,Plantilla_SCAN_EQ3_COUNT_2[[#This Row],[No. Empaques]]*1))</f>
        <v/>
      </c>
      <c r="G1700" s="7" t="str">
        <f>IF(Plantilla_SCAN_EQ3_COUNT_2[[#This Row],[ID MATERIAL]]="","","PZ")</f>
        <v/>
      </c>
      <c r="H1700" s="7" t="str">
        <f>IF(Plantilla_SCAN_EQ3_COUNT_2[[#This Row],[ID MATERIAL]]="","",$B$13)</f>
        <v/>
      </c>
      <c r="I1700" s="7" t="str">
        <f>IF(Plantilla_SCAN_EQ3_COUNT_2[[#This Row],[ID MATERIAL]]="","","Segundo Conteo")</f>
        <v/>
      </c>
    </row>
    <row r="1701" spans="1:9" s="7" customFormat="1" ht="15" x14ac:dyDescent="0.2">
      <c r="A1701" s="7" t="str">
        <f>IF(Plantilla_SCAN_EQ3_COUNT_2[[#This Row],[ID MATERIAL]]="","",SIGN(Plantilla_SCAN_EQ3_COUNT_2[[#This Row],[Cantidad]])+A1700)</f>
        <v/>
      </c>
      <c r="B1701" s="21" t="str">
        <f>IF(Plantilla_SCAN_EQ3_COUNT_2[[#This Row],[ID MATERIAL]]="","",B1700)</f>
        <v/>
      </c>
      <c r="C1701" s="21"/>
      <c r="D1701" s="21"/>
      <c r="E1701" s="7" t="str">
        <f>IF(Plantilla_SCAN_EQ3_COUNT_2[[#This Row],[ID MATERIAL]]="","",VLOOKUP(Plantilla_SCAN_EQ3_COUNT_2[[#This Row],[ID MATERIAL]],INVENTARIO!$A:$D,2,FALSE))</f>
        <v/>
      </c>
      <c r="F1701" s="7" t="str">
        <f>IF(Plantilla_SCAN_EQ3_COUNT_2[[#This Row],[ID MATERIAL]]="","",IF(Plantilla_SCAN_EQ3_COUNT_2[[#This Row],[No. Empaques]]="",1,Plantilla_SCAN_EQ3_COUNT_2[[#This Row],[No. Empaques]]*1))</f>
        <v/>
      </c>
      <c r="G1701" s="7" t="str">
        <f>IF(Plantilla_SCAN_EQ3_COUNT_2[[#This Row],[ID MATERIAL]]="","","PZ")</f>
        <v/>
      </c>
      <c r="H1701" s="7" t="str">
        <f>IF(Plantilla_SCAN_EQ3_COUNT_2[[#This Row],[ID MATERIAL]]="","",$B$13)</f>
        <v/>
      </c>
      <c r="I1701" s="7" t="str">
        <f>IF(Plantilla_SCAN_EQ3_COUNT_2[[#This Row],[ID MATERIAL]]="","","Segundo Conteo")</f>
        <v/>
      </c>
    </row>
    <row r="1702" spans="1:9" s="7" customFormat="1" ht="15" x14ac:dyDescent="0.2">
      <c r="A1702" s="7" t="str">
        <f>IF(Plantilla_SCAN_EQ3_COUNT_2[[#This Row],[ID MATERIAL]]="","",SIGN(Plantilla_SCAN_EQ3_COUNT_2[[#This Row],[Cantidad]])+A1701)</f>
        <v/>
      </c>
      <c r="B1702" s="21" t="str">
        <f>IF(Plantilla_SCAN_EQ3_COUNT_2[[#This Row],[ID MATERIAL]]="","",B1701)</f>
        <v/>
      </c>
      <c r="C1702" s="21"/>
      <c r="D1702" s="21"/>
      <c r="E1702" s="7" t="str">
        <f>IF(Plantilla_SCAN_EQ3_COUNT_2[[#This Row],[ID MATERIAL]]="","",VLOOKUP(Plantilla_SCAN_EQ3_COUNT_2[[#This Row],[ID MATERIAL]],INVENTARIO!$A:$D,2,FALSE))</f>
        <v/>
      </c>
      <c r="F1702" s="7" t="str">
        <f>IF(Plantilla_SCAN_EQ3_COUNT_2[[#This Row],[ID MATERIAL]]="","",IF(Plantilla_SCAN_EQ3_COUNT_2[[#This Row],[No. Empaques]]="",1,Plantilla_SCAN_EQ3_COUNT_2[[#This Row],[No. Empaques]]*1))</f>
        <v/>
      </c>
      <c r="G1702" s="7" t="str">
        <f>IF(Plantilla_SCAN_EQ3_COUNT_2[[#This Row],[ID MATERIAL]]="","","PZ")</f>
        <v/>
      </c>
      <c r="H1702" s="7" t="str">
        <f>IF(Plantilla_SCAN_EQ3_COUNT_2[[#This Row],[ID MATERIAL]]="","",$B$13)</f>
        <v/>
      </c>
      <c r="I1702" s="7" t="str">
        <f>IF(Plantilla_SCAN_EQ3_COUNT_2[[#This Row],[ID MATERIAL]]="","","Segundo Conteo")</f>
        <v/>
      </c>
    </row>
    <row r="1703" spans="1:9" s="7" customFormat="1" ht="15" x14ac:dyDescent="0.2">
      <c r="A1703" s="7" t="str">
        <f>IF(Plantilla_SCAN_EQ3_COUNT_2[[#This Row],[ID MATERIAL]]="","",SIGN(Plantilla_SCAN_EQ3_COUNT_2[[#This Row],[Cantidad]])+A1702)</f>
        <v/>
      </c>
      <c r="B1703" s="21" t="str">
        <f>IF(Plantilla_SCAN_EQ3_COUNT_2[[#This Row],[ID MATERIAL]]="","",B1702)</f>
        <v/>
      </c>
      <c r="C1703" s="21"/>
      <c r="D1703" s="21"/>
      <c r="E1703" s="7" t="str">
        <f>IF(Plantilla_SCAN_EQ3_COUNT_2[[#This Row],[ID MATERIAL]]="","",VLOOKUP(Plantilla_SCAN_EQ3_COUNT_2[[#This Row],[ID MATERIAL]],INVENTARIO!$A:$D,2,FALSE))</f>
        <v/>
      </c>
      <c r="F1703" s="7" t="str">
        <f>IF(Plantilla_SCAN_EQ3_COUNT_2[[#This Row],[ID MATERIAL]]="","",IF(Plantilla_SCAN_EQ3_COUNT_2[[#This Row],[No. Empaques]]="",1,Plantilla_SCAN_EQ3_COUNT_2[[#This Row],[No. Empaques]]*1))</f>
        <v/>
      </c>
      <c r="G1703" s="7" t="str">
        <f>IF(Plantilla_SCAN_EQ3_COUNT_2[[#This Row],[ID MATERIAL]]="","","PZ")</f>
        <v/>
      </c>
      <c r="H1703" s="7" t="str">
        <f>IF(Plantilla_SCAN_EQ3_COUNT_2[[#This Row],[ID MATERIAL]]="","",$B$13)</f>
        <v/>
      </c>
      <c r="I1703" s="7" t="str">
        <f>IF(Plantilla_SCAN_EQ3_COUNT_2[[#This Row],[ID MATERIAL]]="","","Segundo Conteo")</f>
        <v/>
      </c>
    </row>
    <row r="1704" spans="1:9" s="7" customFormat="1" ht="15" x14ac:dyDescent="0.2">
      <c r="A1704" s="7" t="str">
        <f>IF(Plantilla_SCAN_EQ3_COUNT_2[[#This Row],[ID MATERIAL]]="","",SIGN(Plantilla_SCAN_EQ3_COUNT_2[[#This Row],[Cantidad]])+A1703)</f>
        <v/>
      </c>
      <c r="B1704" s="21" t="str">
        <f>IF(Plantilla_SCAN_EQ3_COUNT_2[[#This Row],[ID MATERIAL]]="","",B1703)</f>
        <v/>
      </c>
      <c r="C1704" s="21"/>
      <c r="D1704" s="21"/>
      <c r="E1704" s="7" t="str">
        <f>IF(Plantilla_SCAN_EQ3_COUNT_2[[#This Row],[ID MATERIAL]]="","",VLOOKUP(Plantilla_SCAN_EQ3_COUNT_2[[#This Row],[ID MATERIAL]],INVENTARIO!$A:$D,2,FALSE))</f>
        <v/>
      </c>
      <c r="F1704" s="7" t="str">
        <f>IF(Plantilla_SCAN_EQ3_COUNT_2[[#This Row],[ID MATERIAL]]="","",IF(Plantilla_SCAN_EQ3_COUNT_2[[#This Row],[No. Empaques]]="",1,Plantilla_SCAN_EQ3_COUNT_2[[#This Row],[No. Empaques]]*1))</f>
        <v/>
      </c>
      <c r="G1704" s="7" t="str">
        <f>IF(Plantilla_SCAN_EQ3_COUNT_2[[#This Row],[ID MATERIAL]]="","","PZ")</f>
        <v/>
      </c>
      <c r="H1704" s="7" t="str">
        <f>IF(Plantilla_SCAN_EQ3_COUNT_2[[#This Row],[ID MATERIAL]]="","",$B$13)</f>
        <v/>
      </c>
      <c r="I1704" s="7" t="str">
        <f>IF(Plantilla_SCAN_EQ3_COUNT_2[[#This Row],[ID MATERIAL]]="","","Segundo Conteo")</f>
        <v/>
      </c>
    </row>
    <row r="1705" spans="1:9" s="7" customFormat="1" ht="15" x14ac:dyDescent="0.2">
      <c r="A1705" s="7" t="str">
        <f>IF(Plantilla_SCAN_EQ3_COUNT_2[[#This Row],[ID MATERIAL]]="","",SIGN(Plantilla_SCAN_EQ3_COUNT_2[[#This Row],[Cantidad]])+A1704)</f>
        <v/>
      </c>
      <c r="B1705" s="21" t="str">
        <f>IF(Plantilla_SCAN_EQ3_COUNT_2[[#This Row],[ID MATERIAL]]="","",B1704)</f>
        <v/>
      </c>
      <c r="C1705" s="21"/>
      <c r="D1705" s="21"/>
      <c r="E1705" s="7" t="str">
        <f>IF(Plantilla_SCAN_EQ3_COUNT_2[[#This Row],[ID MATERIAL]]="","",VLOOKUP(Plantilla_SCAN_EQ3_COUNT_2[[#This Row],[ID MATERIAL]],INVENTARIO!$A:$D,2,FALSE))</f>
        <v/>
      </c>
      <c r="F1705" s="7" t="str">
        <f>IF(Plantilla_SCAN_EQ3_COUNT_2[[#This Row],[ID MATERIAL]]="","",IF(Plantilla_SCAN_EQ3_COUNT_2[[#This Row],[No. Empaques]]="",1,Plantilla_SCAN_EQ3_COUNT_2[[#This Row],[No. Empaques]]*1))</f>
        <v/>
      </c>
      <c r="G1705" s="7" t="str">
        <f>IF(Plantilla_SCAN_EQ3_COUNT_2[[#This Row],[ID MATERIAL]]="","","PZ")</f>
        <v/>
      </c>
      <c r="H1705" s="7" t="str">
        <f>IF(Plantilla_SCAN_EQ3_COUNT_2[[#This Row],[ID MATERIAL]]="","",$B$13)</f>
        <v/>
      </c>
      <c r="I1705" s="7" t="str">
        <f>IF(Plantilla_SCAN_EQ3_COUNT_2[[#This Row],[ID MATERIAL]]="","","Segundo Conteo")</f>
        <v/>
      </c>
    </row>
    <row r="1706" spans="1:9" s="7" customFormat="1" ht="15" x14ac:dyDescent="0.2">
      <c r="A1706" s="7" t="str">
        <f>IF(Plantilla_SCAN_EQ3_COUNT_2[[#This Row],[ID MATERIAL]]="","",SIGN(Plantilla_SCAN_EQ3_COUNT_2[[#This Row],[Cantidad]])+A1705)</f>
        <v/>
      </c>
      <c r="B1706" s="21" t="str">
        <f>IF(Plantilla_SCAN_EQ3_COUNT_2[[#This Row],[ID MATERIAL]]="","",B1705)</f>
        <v/>
      </c>
      <c r="C1706" s="21"/>
      <c r="D1706" s="21"/>
      <c r="E1706" s="7" t="str">
        <f>IF(Plantilla_SCAN_EQ3_COUNT_2[[#This Row],[ID MATERIAL]]="","",VLOOKUP(Plantilla_SCAN_EQ3_COUNT_2[[#This Row],[ID MATERIAL]],INVENTARIO!$A:$D,2,FALSE))</f>
        <v/>
      </c>
      <c r="F1706" s="7" t="str">
        <f>IF(Plantilla_SCAN_EQ3_COUNT_2[[#This Row],[ID MATERIAL]]="","",IF(Plantilla_SCAN_EQ3_COUNT_2[[#This Row],[No. Empaques]]="",1,Plantilla_SCAN_EQ3_COUNT_2[[#This Row],[No. Empaques]]*1))</f>
        <v/>
      </c>
      <c r="G1706" s="7" t="str">
        <f>IF(Plantilla_SCAN_EQ3_COUNT_2[[#This Row],[ID MATERIAL]]="","","PZ")</f>
        <v/>
      </c>
      <c r="H1706" s="7" t="str">
        <f>IF(Plantilla_SCAN_EQ3_COUNT_2[[#This Row],[ID MATERIAL]]="","",$B$13)</f>
        <v/>
      </c>
      <c r="I1706" s="7" t="str">
        <f>IF(Plantilla_SCAN_EQ3_COUNT_2[[#This Row],[ID MATERIAL]]="","","Segundo Conteo")</f>
        <v/>
      </c>
    </row>
    <row r="1707" spans="1:9" s="7" customFormat="1" ht="15" x14ac:dyDescent="0.2">
      <c r="A1707" s="7" t="str">
        <f>IF(Plantilla_SCAN_EQ3_COUNT_2[[#This Row],[ID MATERIAL]]="","",SIGN(Plantilla_SCAN_EQ3_COUNT_2[[#This Row],[Cantidad]])+A1706)</f>
        <v/>
      </c>
      <c r="B1707" s="21" t="str">
        <f>IF(Plantilla_SCAN_EQ3_COUNT_2[[#This Row],[ID MATERIAL]]="","",B1706)</f>
        <v/>
      </c>
      <c r="C1707" s="21"/>
      <c r="D1707" s="21"/>
      <c r="E1707" s="7" t="str">
        <f>IF(Plantilla_SCAN_EQ3_COUNT_2[[#This Row],[ID MATERIAL]]="","",VLOOKUP(Plantilla_SCAN_EQ3_COUNT_2[[#This Row],[ID MATERIAL]],INVENTARIO!$A:$D,2,FALSE))</f>
        <v/>
      </c>
      <c r="F1707" s="7" t="str">
        <f>IF(Plantilla_SCAN_EQ3_COUNT_2[[#This Row],[ID MATERIAL]]="","",IF(Plantilla_SCAN_EQ3_COUNT_2[[#This Row],[No. Empaques]]="",1,Plantilla_SCAN_EQ3_COUNT_2[[#This Row],[No. Empaques]]*1))</f>
        <v/>
      </c>
      <c r="G1707" s="7" t="str">
        <f>IF(Plantilla_SCAN_EQ3_COUNT_2[[#This Row],[ID MATERIAL]]="","","PZ")</f>
        <v/>
      </c>
      <c r="H1707" s="7" t="str">
        <f>IF(Plantilla_SCAN_EQ3_COUNT_2[[#This Row],[ID MATERIAL]]="","",$B$13)</f>
        <v/>
      </c>
      <c r="I1707" s="7" t="str">
        <f>IF(Plantilla_SCAN_EQ3_COUNT_2[[#This Row],[ID MATERIAL]]="","","Segundo Conteo")</f>
        <v/>
      </c>
    </row>
    <row r="1708" spans="1:9" s="7" customFormat="1" ht="15" x14ac:dyDescent="0.2">
      <c r="A1708" s="7" t="str">
        <f>IF(Plantilla_SCAN_EQ3_COUNT_2[[#This Row],[ID MATERIAL]]="","",SIGN(Plantilla_SCAN_EQ3_COUNT_2[[#This Row],[Cantidad]])+A1707)</f>
        <v/>
      </c>
      <c r="B1708" s="21" t="str">
        <f>IF(Plantilla_SCAN_EQ3_COUNT_2[[#This Row],[ID MATERIAL]]="","",B1707)</f>
        <v/>
      </c>
      <c r="C1708" s="21"/>
      <c r="D1708" s="21"/>
      <c r="E1708" s="7" t="str">
        <f>IF(Plantilla_SCAN_EQ3_COUNT_2[[#This Row],[ID MATERIAL]]="","",VLOOKUP(Plantilla_SCAN_EQ3_COUNT_2[[#This Row],[ID MATERIAL]],INVENTARIO!$A:$D,2,FALSE))</f>
        <v/>
      </c>
      <c r="F1708" s="7" t="str">
        <f>IF(Plantilla_SCAN_EQ3_COUNT_2[[#This Row],[ID MATERIAL]]="","",IF(Plantilla_SCAN_EQ3_COUNT_2[[#This Row],[No. Empaques]]="",1,Plantilla_SCAN_EQ3_COUNT_2[[#This Row],[No. Empaques]]*1))</f>
        <v/>
      </c>
      <c r="G1708" s="7" t="str">
        <f>IF(Plantilla_SCAN_EQ3_COUNT_2[[#This Row],[ID MATERIAL]]="","","PZ")</f>
        <v/>
      </c>
      <c r="H1708" s="7" t="str">
        <f>IF(Plantilla_SCAN_EQ3_COUNT_2[[#This Row],[ID MATERIAL]]="","",$B$13)</f>
        <v/>
      </c>
      <c r="I1708" s="7" t="str">
        <f>IF(Plantilla_SCAN_EQ3_COUNT_2[[#This Row],[ID MATERIAL]]="","","Segundo Conteo")</f>
        <v/>
      </c>
    </row>
    <row r="1709" spans="1:9" s="7" customFormat="1" ht="15" x14ac:dyDescent="0.2">
      <c r="A1709" s="7" t="str">
        <f>IF(Plantilla_SCAN_EQ3_COUNT_2[[#This Row],[ID MATERIAL]]="","",SIGN(Plantilla_SCAN_EQ3_COUNT_2[[#This Row],[Cantidad]])+A1708)</f>
        <v/>
      </c>
      <c r="B1709" s="21" t="str">
        <f>IF(Plantilla_SCAN_EQ3_COUNT_2[[#This Row],[ID MATERIAL]]="","",B1708)</f>
        <v/>
      </c>
      <c r="C1709" s="21"/>
      <c r="D1709" s="21"/>
      <c r="E1709" s="7" t="str">
        <f>IF(Plantilla_SCAN_EQ3_COUNT_2[[#This Row],[ID MATERIAL]]="","",VLOOKUP(Plantilla_SCAN_EQ3_COUNT_2[[#This Row],[ID MATERIAL]],INVENTARIO!$A:$D,2,FALSE))</f>
        <v/>
      </c>
      <c r="F1709" s="7" t="str">
        <f>IF(Plantilla_SCAN_EQ3_COUNT_2[[#This Row],[ID MATERIAL]]="","",IF(Plantilla_SCAN_EQ3_COUNT_2[[#This Row],[No. Empaques]]="",1,Plantilla_SCAN_EQ3_COUNT_2[[#This Row],[No. Empaques]]*1))</f>
        <v/>
      </c>
      <c r="G1709" s="7" t="str">
        <f>IF(Plantilla_SCAN_EQ3_COUNT_2[[#This Row],[ID MATERIAL]]="","","PZ")</f>
        <v/>
      </c>
      <c r="H1709" s="7" t="str">
        <f>IF(Plantilla_SCAN_EQ3_COUNT_2[[#This Row],[ID MATERIAL]]="","",$B$13)</f>
        <v/>
      </c>
      <c r="I1709" s="7" t="str">
        <f>IF(Plantilla_SCAN_EQ3_COUNT_2[[#This Row],[ID MATERIAL]]="","","Segundo Conteo")</f>
        <v/>
      </c>
    </row>
    <row r="1710" spans="1:9" s="7" customFormat="1" ht="15" x14ac:dyDescent="0.2">
      <c r="A1710" s="7" t="str">
        <f>IF(Plantilla_SCAN_EQ3_COUNT_2[[#This Row],[ID MATERIAL]]="","",SIGN(Plantilla_SCAN_EQ3_COUNT_2[[#This Row],[Cantidad]])+A1709)</f>
        <v/>
      </c>
      <c r="B1710" s="21" t="str">
        <f>IF(Plantilla_SCAN_EQ3_COUNT_2[[#This Row],[ID MATERIAL]]="","",B1709)</f>
        <v/>
      </c>
      <c r="C1710" s="21"/>
      <c r="D1710" s="21"/>
      <c r="E1710" s="7" t="str">
        <f>IF(Plantilla_SCAN_EQ3_COUNT_2[[#This Row],[ID MATERIAL]]="","",VLOOKUP(Plantilla_SCAN_EQ3_COUNT_2[[#This Row],[ID MATERIAL]],INVENTARIO!$A:$D,2,FALSE))</f>
        <v/>
      </c>
      <c r="F1710" s="7" t="str">
        <f>IF(Plantilla_SCAN_EQ3_COUNT_2[[#This Row],[ID MATERIAL]]="","",IF(Plantilla_SCAN_EQ3_COUNT_2[[#This Row],[No. Empaques]]="",1,Plantilla_SCAN_EQ3_COUNT_2[[#This Row],[No. Empaques]]*1))</f>
        <v/>
      </c>
      <c r="G1710" s="7" t="str">
        <f>IF(Plantilla_SCAN_EQ3_COUNT_2[[#This Row],[ID MATERIAL]]="","","PZ")</f>
        <v/>
      </c>
      <c r="H1710" s="7" t="str">
        <f>IF(Plantilla_SCAN_EQ3_COUNT_2[[#This Row],[ID MATERIAL]]="","",$B$13)</f>
        <v/>
      </c>
      <c r="I1710" s="7" t="str">
        <f>IF(Plantilla_SCAN_EQ3_COUNT_2[[#This Row],[ID MATERIAL]]="","","Segundo Conteo")</f>
        <v/>
      </c>
    </row>
    <row r="1711" spans="1:9" s="7" customFormat="1" ht="15" x14ac:dyDescent="0.2">
      <c r="A1711" s="7" t="str">
        <f>IF(Plantilla_SCAN_EQ3_COUNT_2[[#This Row],[ID MATERIAL]]="","",SIGN(Plantilla_SCAN_EQ3_COUNT_2[[#This Row],[Cantidad]])+A1710)</f>
        <v/>
      </c>
      <c r="B1711" s="21" t="str">
        <f>IF(Plantilla_SCAN_EQ3_COUNT_2[[#This Row],[ID MATERIAL]]="","",B1710)</f>
        <v/>
      </c>
      <c r="C1711" s="21"/>
      <c r="D1711" s="21"/>
      <c r="E1711" s="7" t="str">
        <f>IF(Plantilla_SCAN_EQ3_COUNT_2[[#This Row],[ID MATERIAL]]="","",VLOOKUP(Plantilla_SCAN_EQ3_COUNT_2[[#This Row],[ID MATERIAL]],INVENTARIO!$A:$D,2,FALSE))</f>
        <v/>
      </c>
      <c r="F1711" s="7" t="str">
        <f>IF(Plantilla_SCAN_EQ3_COUNT_2[[#This Row],[ID MATERIAL]]="","",IF(Plantilla_SCAN_EQ3_COUNT_2[[#This Row],[No. Empaques]]="",1,Plantilla_SCAN_EQ3_COUNT_2[[#This Row],[No. Empaques]]*1))</f>
        <v/>
      </c>
      <c r="G1711" s="7" t="str">
        <f>IF(Plantilla_SCAN_EQ3_COUNT_2[[#This Row],[ID MATERIAL]]="","","PZ")</f>
        <v/>
      </c>
      <c r="H1711" s="7" t="str">
        <f>IF(Plantilla_SCAN_EQ3_COUNT_2[[#This Row],[ID MATERIAL]]="","",$B$13)</f>
        <v/>
      </c>
      <c r="I1711" s="7" t="str">
        <f>IF(Plantilla_SCAN_EQ3_COUNT_2[[#This Row],[ID MATERIAL]]="","","Segundo Conteo")</f>
        <v/>
      </c>
    </row>
    <row r="1712" spans="1:9" s="7" customFormat="1" ht="15" x14ac:dyDescent="0.2">
      <c r="A1712" s="7" t="str">
        <f>IF(Plantilla_SCAN_EQ3_COUNT_2[[#This Row],[ID MATERIAL]]="","",SIGN(Plantilla_SCAN_EQ3_COUNT_2[[#This Row],[Cantidad]])+A1711)</f>
        <v/>
      </c>
      <c r="B1712" s="21" t="str">
        <f>IF(Plantilla_SCAN_EQ3_COUNT_2[[#This Row],[ID MATERIAL]]="","",B1711)</f>
        <v/>
      </c>
      <c r="C1712" s="21"/>
      <c r="D1712" s="21"/>
      <c r="E1712" s="7" t="str">
        <f>IF(Plantilla_SCAN_EQ3_COUNT_2[[#This Row],[ID MATERIAL]]="","",VLOOKUP(Plantilla_SCAN_EQ3_COUNT_2[[#This Row],[ID MATERIAL]],INVENTARIO!$A:$D,2,FALSE))</f>
        <v/>
      </c>
      <c r="F1712" s="7" t="str">
        <f>IF(Plantilla_SCAN_EQ3_COUNT_2[[#This Row],[ID MATERIAL]]="","",IF(Plantilla_SCAN_EQ3_COUNT_2[[#This Row],[No. Empaques]]="",1,Plantilla_SCAN_EQ3_COUNT_2[[#This Row],[No. Empaques]]*1))</f>
        <v/>
      </c>
      <c r="G1712" s="7" t="str">
        <f>IF(Plantilla_SCAN_EQ3_COUNT_2[[#This Row],[ID MATERIAL]]="","","PZ")</f>
        <v/>
      </c>
      <c r="H1712" s="7" t="str">
        <f>IF(Plantilla_SCAN_EQ3_COUNT_2[[#This Row],[ID MATERIAL]]="","",$B$13)</f>
        <v/>
      </c>
      <c r="I1712" s="7" t="str">
        <f>IF(Plantilla_SCAN_EQ3_COUNT_2[[#This Row],[ID MATERIAL]]="","","Segundo Conteo")</f>
        <v/>
      </c>
    </row>
    <row r="1713" spans="1:9" s="7" customFormat="1" ht="15" x14ac:dyDescent="0.2">
      <c r="A1713" s="7" t="str">
        <f>IF(Plantilla_SCAN_EQ3_COUNT_2[[#This Row],[ID MATERIAL]]="","",SIGN(Plantilla_SCAN_EQ3_COUNT_2[[#This Row],[Cantidad]])+A1712)</f>
        <v/>
      </c>
      <c r="B1713" s="21" t="str">
        <f>IF(Plantilla_SCAN_EQ3_COUNT_2[[#This Row],[ID MATERIAL]]="","",B1712)</f>
        <v/>
      </c>
      <c r="C1713" s="21"/>
      <c r="D1713" s="21"/>
      <c r="E1713" s="7" t="str">
        <f>IF(Plantilla_SCAN_EQ3_COUNT_2[[#This Row],[ID MATERIAL]]="","",VLOOKUP(Plantilla_SCAN_EQ3_COUNT_2[[#This Row],[ID MATERIAL]],INVENTARIO!$A:$D,2,FALSE))</f>
        <v/>
      </c>
      <c r="F1713" s="7" t="str">
        <f>IF(Plantilla_SCAN_EQ3_COUNT_2[[#This Row],[ID MATERIAL]]="","",IF(Plantilla_SCAN_EQ3_COUNT_2[[#This Row],[No. Empaques]]="",1,Plantilla_SCAN_EQ3_COUNT_2[[#This Row],[No. Empaques]]*1))</f>
        <v/>
      </c>
      <c r="G1713" s="7" t="str">
        <f>IF(Plantilla_SCAN_EQ3_COUNT_2[[#This Row],[ID MATERIAL]]="","","PZ")</f>
        <v/>
      </c>
      <c r="H1713" s="7" t="str">
        <f>IF(Plantilla_SCAN_EQ3_COUNT_2[[#This Row],[ID MATERIAL]]="","",$B$13)</f>
        <v/>
      </c>
      <c r="I1713" s="7" t="str">
        <f>IF(Plantilla_SCAN_EQ3_COUNT_2[[#This Row],[ID MATERIAL]]="","","Segundo Conteo")</f>
        <v/>
      </c>
    </row>
    <row r="1714" spans="1:9" s="7" customFormat="1" ht="15" x14ac:dyDescent="0.2">
      <c r="A1714" s="7" t="str">
        <f>IF(Plantilla_SCAN_EQ3_COUNT_2[[#This Row],[ID MATERIAL]]="","",SIGN(Plantilla_SCAN_EQ3_COUNT_2[[#This Row],[Cantidad]])+A1713)</f>
        <v/>
      </c>
      <c r="B1714" s="21" t="str">
        <f>IF(Plantilla_SCAN_EQ3_COUNT_2[[#This Row],[ID MATERIAL]]="","",B1713)</f>
        <v/>
      </c>
      <c r="C1714" s="21"/>
      <c r="D1714" s="21"/>
      <c r="E1714" s="7" t="str">
        <f>IF(Plantilla_SCAN_EQ3_COUNT_2[[#This Row],[ID MATERIAL]]="","",VLOOKUP(Plantilla_SCAN_EQ3_COUNT_2[[#This Row],[ID MATERIAL]],INVENTARIO!$A:$D,2,FALSE))</f>
        <v/>
      </c>
      <c r="F1714" s="7" t="str">
        <f>IF(Plantilla_SCAN_EQ3_COUNT_2[[#This Row],[ID MATERIAL]]="","",IF(Plantilla_SCAN_EQ3_COUNT_2[[#This Row],[No. Empaques]]="",1,Plantilla_SCAN_EQ3_COUNT_2[[#This Row],[No. Empaques]]*1))</f>
        <v/>
      </c>
      <c r="G1714" s="7" t="str">
        <f>IF(Plantilla_SCAN_EQ3_COUNT_2[[#This Row],[ID MATERIAL]]="","","PZ")</f>
        <v/>
      </c>
      <c r="H1714" s="7" t="str">
        <f>IF(Plantilla_SCAN_EQ3_COUNT_2[[#This Row],[ID MATERIAL]]="","",$B$13)</f>
        <v/>
      </c>
      <c r="I1714" s="7" t="str">
        <f>IF(Plantilla_SCAN_EQ3_COUNT_2[[#This Row],[ID MATERIAL]]="","","Segundo Conteo")</f>
        <v/>
      </c>
    </row>
    <row r="1715" spans="1:9" s="7" customFormat="1" ht="15" x14ac:dyDescent="0.2">
      <c r="A1715" s="7" t="str">
        <f>IF(Plantilla_SCAN_EQ3_COUNT_2[[#This Row],[ID MATERIAL]]="","",SIGN(Plantilla_SCAN_EQ3_COUNT_2[[#This Row],[Cantidad]])+A1714)</f>
        <v/>
      </c>
      <c r="B1715" s="21" t="str">
        <f>IF(Plantilla_SCAN_EQ3_COUNT_2[[#This Row],[ID MATERIAL]]="","",B1714)</f>
        <v/>
      </c>
      <c r="C1715" s="21"/>
      <c r="D1715" s="21"/>
      <c r="E1715" s="7" t="str">
        <f>IF(Plantilla_SCAN_EQ3_COUNT_2[[#This Row],[ID MATERIAL]]="","",VLOOKUP(Plantilla_SCAN_EQ3_COUNT_2[[#This Row],[ID MATERIAL]],INVENTARIO!$A:$D,2,FALSE))</f>
        <v/>
      </c>
      <c r="F1715" s="7" t="str">
        <f>IF(Plantilla_SCAN_EQ3_COUNT_2[[#This Row],[ID MATERIAL]]="","",IF(Plantilla_SCAN_EQ3_COUNT_2[[#This Row],[No. Empaques]]="",1,Plantilla_SCAN_EQ3_COUNT_2[[#This Row],[No. Empaques]]*1))</f>
        <v/>
      </c>
      <c r="G1715" s="7" t="str">
        <f>IF(Plantilla_SCAN_EQ3_COUNT_2[[#This Row],[ID MATERIAL]]="","","PZ")</f>
        <v/>
      </c>
      <c r="H1715" s="7" t="str">
        <f>IF(Plantilla_SCAN_EQ3_COUNT_2[[#This Row],[ID MATERIAL]]="","",$B$13)</f>
        <v/>
      </c>
      <c r="I1715" s="7" t="str">
        <f>IF(Plantilla_SCAN_EQ3_COUNT_2[[#This Row],[ID MATERIAL]]="","","Segundo Conteo")</f>
        <v/>
      </c>
    </row>
    <row r="1716" spans="1:9" s="7" customFormat="1" ht="15" x14ac:dyDescent="0.2">
      <c r="A1716" s="7" t="str">
        <f>IF(Plantilla_SCAN_EQ3_COUNT_2[[#This Row],[ID MATERIAL]]="","",SIGN(Plantilla_SCAN_EQ3_COUNT_2[[#This Row],[Cantidad]])+A1715)</f>
        <v/>
      </c>
      <c r="B1716" s="21" t="str">
        <f>IF(Plantilla_SCAN_EQ3_COUNT_2[[#This Row],[ID MATERIAL]]="","",B1715)</f>
        <v/>
      </c>
      <c r="C1716" s="21"/>
      <c r="D1716" s="21"/>
      <c r="E1716" s="7" t="str">
        <f>IF(Plantilla_SCAN_EQ3_COUNT_2[[#This Row],[ID MATERIAL]]="","",VLOOKUP(Plantilla_SCAN_EQ3_COUNT_2[[#This Row],[ID MATERIAL]],INVENTARIO!$A:$D,2,FALSE))</f>
        <v/>
      </c>
      <c r="F1716" s="7" t="str">
        <f>IF(Plantilla_SCAN_EQ3_COUNT_2[[#This Row],[ID MATERIAL]]="","",IF(Plantilla_SCAN_EQ3_COUNT_2[[#This Row],[No. Empaques]]="",1,Plantilla_SCAN_EQ3_COUNT_2[[#This Row],[No. Empaques]]*1))</f>
        <v/>
      </c>
      <c r="G1716" s="7" t="str">
        <f>IF(Plantilla_SCAN_EQ3_COUNT_2[[#This Row],[ID MATERIAL]]="","","PZ")</f>
        <v/>
      </c>
      <c r="H1716" s="7" t="str">
        <f>IF(Plantilla_SCAN_EQ3_COUNT_2[[#This Row],[ID MATERIAL]]="","",$B$13)</f>
        <v/>
      </c>
      <c r="I1716" s="7" t="str">
        <f>IF(Plantilla_SCAN_EQ3_COUNT_2[[#This Row],[ID MATERIAL]]="","","Segundo Conteo")</f>
        <v/>
      </c>
    </row>
    <row r="1717" spans="1:9" s="7" customFormat="1" ht="15" x14ac:dyDescent="0.2">
      <c r="A1717" s="7" t="str">
        <f>IF(Plantilla_SCAN_EQ3_COUNT_2[[#This Row],[ID MATERIAL]]="","",SIGN(Plantilla_SCAN_EQ3_COUNT_2[[#This Row],[Cantidad]])+A1716)</f>
        <v/>
      </c>
      <c r="B1717" s="21" t="str">
        <f>IF(Plantilla_SCAN_EQ3_COUNT_2[[#This Row],[ID MATERIAL]]="","",B1716)</f>
        <v/>
      </c>
      <c r="C1717" s="21"/>
      <c r="D1717" s="21"/>
      <c r="E1717" s="7" t="str">
        <f>IF(Plantilla_SCAN_EQ3_COUNT_2[[#This Row],[ID MATERIAL]]="","",VLOOKUP(Plantilla_SCAN_EQ3_COUNT_2[[#This Row],[ID MATERIAL]],INVENTARIO!$A:$D,2,FALSE))</f>
        <v/>
      </c>
      <c r="F1717" s="7" t="str">
        <f>IF(Plantilla_SCAN_EQ3_COUNT_2[[#This Row],[ID MATERIAL]]="","",IF(Plantilla_SCAN_EQ3_COUNT_2[[#This Row],[No. Empaques]]="",1,Plantilla_SCAN_EQ3_COUNT_2[[#This Row],[No. Empaques]]*1))</f>
        <v/>
      </c>
      <c r="G1717" s="7" t="str">
        <f>IF(Plantilla_SCAN_EQ3_COUNT_2[[#This Row],[ID MATERIAL]]="","","PZ")</f>
        <v/>
      </c>
      <c r="H1717" s="7" t="str">
        <f>IF(Plantilla_SCAN_EQ3_COUNT_2[[#This Row],[ID MATERIAL]]="","",$B$13)</f>
        <v/>
      </c>
      <c r="I1717" s="7" t="str">
        <f>IF(Plantilla_SCAN_EQ3_COUNT_2[[#This Row],[ID MATERIAL]]="","","Segundo Conteo")</f>
        <v/>
      </c>
    </row>
    <row r="1718" spans="1:9" s="7" customFormat="1" ht="15" x14ac:dyDescent="0.2">
      <c r="A1718" s="7" t="str">
        <f>IF(Plantilla_SCAN_EQ3_COUNT_2[[#This Row],[ID MATERIAL]]="","",SIGN(Plantilla_SCAN_EQ3_COUNT_2[[#This Row],[Cantidad]])+A1717)</f>
        <v/>
      </c>
      <c r="B1718" s="21" t="str">
        <f>IF(Plantilla_SCAN_EQ3_COUNT_2[[#This Row],[ID MATERIAL]]="","",B1717)</f>
        <v/>
      </c>
      <c r="C1718" s="21"/>
      <c r="D1718" s="21"/>
      <c r="E1718" s="7" t="str">
        <f>IF(Plantilla_SCAN_EQ3_COUNT_2[[#This Row],[ID MATERIAL]]="","",VLOOKUP(Plantilla_SCAN_EQ3_COUNT_2[[#This Row],[ID MATERIAL]],INVENTARIO!$A:$D,2,FALSE))</f>
        <v/>
      </c>
      <c r="F1718" s="7" t="str">
        <f>IF(Plantilla_SCAN_EQ3_COUNT_2[[#This Row],[ID MATERIAL]]="","",IF(Plantilla_SCAN_EQ3_COUNT_2[[#This Row],[No. Empaques]]="",1,Plantilla_SCAN_EQ3_COUNT_2[[#This Row],[No. Empaques]]*1))</f>
        <v/>
      </c>
      <c r="G1718" s="7" t="str">
        <f>IF(Plantilla_SCAN_EQ3_COUNT_2[[#This Row],[ID MATERIAL]]="","","PZ")</f>
        <v/>
      </c>
      <c r="H1718" s="7" t="str">
        <f>IF(Plantilla_SCAN_EQ3_COUNT_2[[#This Row],[ID MATERIAL]]="","",$B$13)</f>
        <v/>
      </c>
      <c r="I1718" s="7" t="str">
        <f>IF(Plantilla_SCAN_EQ3_COUNT_2[[#This Row],[ID MATERIAL]]="","","Segundo Conteo")</f>
        <v/>
      </c>
    </row>
    <row r="1719" spans="1:9" s="7" customFormat="1" ht="15" x14ac:dyDescent="0.2">
      <c r="A1719" s="7" t="str">
        <f>IF(Plantilla_SCAN_EQ3_COUNT_2[[#This Row],[ID MATERIAL]]="","",SIGN(Plantilla_SCAN_EQ3_COUNT_2[[#This Row],[Cantidad]])+A1718)</f>
        <v/>
      </c>
      <c r="B1719" s="21" t="str">
        <f>IF(Plantilla_SCAN_EQ3_COUNT_2[[#This Row],[ID MATERIAL]]="","",B1718)</f>
        <v/>
      </c>
      <c r="C1719" s="21"/>
      <c r="D1719" s="21"/>
      <c r="E1719" s="7" t="str">
        <f>IF(Plantilla_SCAN_EQ3_COUNT_2[[#This Row],[ID MATERIAL]]="","",VLOOKUP(Plantilla_SCAN_EQ3_COUNT_2[[#This Row],[ID MATERIAL]],INVENTARIO!$A:$D,2,FALSE))</f>
        <v/>
      </c>
      <c r="F1719" s="7" t="str">
        <f>IF(Plantilla_SCAN_EQ3_COUNT_2[[#This Row],[ID MATERIAL]]="","",IF(Plantilla_SCAN_EQ3_COUNT_2[[#This Row],[No. Empaques]]="",1,Plantilla_SCAN_EQ3_COUNT_2[[#This Row],[No. Empaques]]*1))</f>
        <v/>
      </c>
      <c r="G1719" s="7" t="str">
        <f>IF(Plantilla_SCAN_EQ3_COUNT_2[[#This Row],[ID MATERIAL]]="","","PZ")</f>
        <v/>
      </c>
      <c r="H1719" s="7" t="str">
        <f>IF(Plantilla_SCAN_EQ3_COUNT_2[[#This Row],[ID MATERIAL]]="","",$B$13)</f>
        <v/>
      </c>
      <c r="I1719" s="7" t="str">
        <f>IF(Plantilla_SCAN_EQ3_COUNT_2[[#This Row],[ID MATERIAL]]="","","Segundo Conteo")</f>
        <v/>
      </c>
    </row>
    <row r="1720" spans="1:9" s="7" customFormat="1" ht="15" x14ac:dyDescent="0.2">
      <c r="A1720" s="7" t="str">
        <f>IF(Plantilla_SCAN_EQ3_COUNT_2[[#This Row],[ID MATERIAL]]="","",SIGN(Plantilla_SCAN_EQ3_COUNT_2[[#This Row],[Cantidad]])+A1719)</f>
        <v/>
      </c>
      <c r="B1720" s="21" t="str">
        <f>IF(Plantilla_SCAN_EQ3_COUNT_2[[#This Row],[ID MATERIAL]]="","",B1719)</f>
        <v/>
      </c>
      <c r="C1720" s="21"/>
      <c r="D1720" s="21"/>
      <c r="E1720" s="7" t="str">
        <f>IF(Plantilla_SCAN_EQ3_COUNT_2[[#This Row],[ID MATERIAL]]="","",VLOOKUP(Plantilla_SCAN_EQ3_COUNT_2[[#This Row],[ID MATERIAL]],INVENTARIO!$A:$D,2,FALSE))</f>
        <v/>
      </c>
      <c r="F1720" s="7" t="str">
        <f>IF(Plantilla_SCAN_EQ3_COUNT_2[[#This Row],[ID MATERIAL]]="","",IF(Plantilla_SCAN_EQ3_COUNT_2[[#This Row],[No. Empaques]]="",1,Plantilla_SCAN_EQ3_COUNT_2[[#This Row],[No. Empaques]]*1))</f>
        <v/>
      </c>
      <c r="G1720" s="7" t="str">
        <f>IF(Plantilla_SCAN_EQ3_COUNT_2[[#This Row],[ID MATERIAL]]="","","PZ")</f>
        <v/>
      </c>
      <c r="H1720" s="7" t="str">
        <f>IF(Plantilla_SCAN_EQ3_COUNT_2[[#This Row],[ID MATERIAL]]="","",$B$13)</f>
        <v/>
      </c>
      <c r="I1720" s="7" t="str">
        <f>IF(Plantilla_SCAN_EQ3_COUNT_2[[#This Row],[ID MATERIAL]]="","","Segundo Conteo")</f>
        <v/>
      </c>
    </row>
    <row r="1721" spans="1:9" s="7" customFormat="1" ht="15" x14ac:dyDescent="0.2">
      <c r="A1721" s="7" t="str">
        <f>IF(Plantilla_SCAN_EQ3_COUNT_2[[#This Row],[ID MATERIAL]]="","",SIGN(Plantilla_SCAN_EQ3_COUNT_2[[#This Row],[Cantidad]])+A1720)</f>
        <v/>
      </c>
      <c r="B1721" s="21" t="str">
        <f>IF(Plantilla_SCAN_EQ3_COUNT_2[[#This Row],[ID MATERIAL]]="","",B1720)</f>
        <v/>
      </c>
      <c r="C1721" s="21"/>
      <c r="D1721" s="21"/>
      <c r="E1721" s="7" t="str">
        <f>IF(Plantilla_SCAN_EQ3_COUNT_2[[#This Row],[ID MATERIAL]]="","",VLOOKUP(Plantilla_SCAN_EQ3_COUNT_2[[#This Row],[ID MATERIAL]],INVENTARIO!$A:$D,2,FALSE))</f>
        <v/>
      </c>
      <c r="F1721" s="7" t="str">
        <f>IF(Plantilla_SCAN_EQ3_COUNT_2[[#This Row],[ID MATERIAL]]="","",IF(Plantilla_SCAN_EQ3_COUNT_2[[#This Row],[No. Empaques]]="",1,Plantilla_SCAN_EQ3_COUNT_2[[#This Row],[No. Empaques]]*1))</f>
        <v/>
      </c>
      <c r="G1721" s="7" t="str">
        <f>IF(Plantilla_SCAN_EQ3_COUNT_2[[#This Row],[ID MATERIAL]]="","","PZ")</f>
        <v/>
      </c>
      <c r="H1721" s="7" t="str">
        <f>IF(Plantilla_SCAN_EQ3_COUNT_2[[#This Row],[ID MATERIAL]]="","",$B$13)</f>
        <v/>
      </c>
      <c r="I1721" s="7" t="str">
        <f>IF(Plantilla_SCAN_EQ3_COUNT_2[[#This Row],[ID MATERIAL]]="","","Segundo Conteo")</f>
        <v/>
      </c>
    </row>
    <row r="1722" spans="1:9" s="7" customFormat="1" ht="15" x14ac:dyDescent="0.2">
      <c r="A1722" s="7" t="str">
        <f>IF(Plantilla_SCAN_EQ3_COUNT_2[[#This Row],[ID MATERIAL]]="","",SIGN(Plantilla_SCAN_EQ3_COUNT_2[[#This Row],[Cantidad]])+A1721)</f>
        <v/>
      </c>
      <c r="B1722" s="21" t="str">
        <f>IF(Plantilla_SCAN_EQ3_COUNT_2[[#This Row],[ID MATERIAL]]="","",B1721)</f>
        <v/>
      </c>
      <c r="C1722" s="21"/>
      <c r="D1722" s="21"/>
      <c r="E1722" s="7" t="str">
        <f>IF(Plantilla_SCAN_EQ3_COUNT_2[[#This Row],[ID MATERIAL]]="","",VLOOKUP(Plantilla_SCAN_EQ3_COUNT_2[[#This Row],[ID MATERIAL]],INVENTARIO!$A:$D,2,FALSE))</f>
        <v/>
      </c>
      <c r="F1722" s="7" t="str">
        <f>IF(Plantilla_SCAN_EQ3_COUNT_2[[#This Row],[ID MATERIAL]]="","",IF(Plantilla_SCAN_EQ3_COUNT_2[[#This Row],[No. Empaques]]="",1,Plantilla_SCAN_EQ3_COUNT_2[[#This Row],[No. Empaques]]*1))</f>
        <v/>
      </c>
      <c r="G1722" s="7" t="str">
        <f>IF(Plantilla_SCAN_EQ3_COUNT_2[[#This Row],[ID MATERIAL]]="","","PZ")</f>
        <v/>
      </c>
      <c r="H1722" s="7" t="str">
        <f>IF(Plantilla_SCAN_EQ3_COUNT_2[[#This Row],[ID MATERIAL]]="","",$B$13)</f>
        <v/>
      </c>
      <c r="I1722" s="7" t="str">
        <f>IF(Plantilla_SCAN_EQ3_COUNT_2[[#This Row],[ID MATERIAL]]="","","Segundo Conteo")</f>
        <v/>
      </c>
    </row>
    <row r="1723" spans="1:9" s="7" customFormat="1" ht="15" x14ac:dyDescent="0.2">
      <c r="A1723" s="7" t="str">
        <f>IF(Plantilla_SCAN_EQ3_COUNT_2[[#This Row],[ID MATERIAL]]="","",SIGN(Plantilla_SCAN_EQ3_COUNT_2[[#This Row],[Cantidad]])+A1722)</f>
        <v/>
      </c>
      <c r="B1723" s="21" t="str">
        <f>IF(Plantilla_SCAN_EQ3_COUNT_2[[#This Row],[ID MATERIAL]]="","",B1722)</f>
        <v/>
      </c>
      <c r="C1723" s="21"/>
      <c r="D1723" s="21"/>
      <c r="E1723" s="7" t="str">
        <f>IF(Plantilla_SCAN_EQ3_COUNT_2[[#This Row],[ID MATERIAL]]="","",VLOOKUP(Plantilla_SCAN_EQ3_COUNT_2[[#This Row],[ID MATERIAL]],INVENTARIO!$A:$D,2,FALSE))</f>
        <v/>
      </c>
      <c r="F1723" s="7" t="str">
        <f>IF(Plantilla_SCAN_EQ3_COUNT_2[[#This Row],[ID MATERIAL]]="","",IF(Plantilla_SCAN_EQ3_COUNT_2[[#This Row],[No. Empaques]]="",1,Plantilla_SCAN_EQ3_COUNT_2[[#This Row],[No. Empaques]]*1))</f>
        <v/>
      </c>
      <c r="G1723" s="7" t="str">
        <f>IF(Plantilla_SCAN_EQ3_COUNT_2[[#This Row],[ID MATERIAL]]="","","PZ")</f>
        <v/>
      </c>
      <c r="H1723" s="7" t="str">
        <f>IF(Plantilla_SCAN_EQ3_COUNT_2[[#This Row],[ID MATERIAL]]="","",$B$13)</f>
        <v/>
      </c>
      <c r="I1723" s="7" t="str">
        <f>IF(Plantilla_SCAN_EQ3_COUNT_2[[#This Row],[ID MATERIAL]]="","","Segundo Conteo")</f>
        <v/>
      </c>
    </row>
    <row r="1724" spans="1:9" s="7" customFormat="1" ht="15" x14ac:dyDescent="0.2">
      <c r="A1724" s="7" t="str">
        <f>IF(Plantilla_SCAN_EQ3_COUNT_2[[#This Row],[ID MATERIAL]]="","",SIGN(Plantilla_SCAN_EQ3_COUNT_2[[#This Row],[Cantidad]])+A1723)</f>
        <v/>
      </c>
      <c r="B1724" s="21" t="str">
        <f>IF(Plantilla_SCAN_EQ3_COUNT_2[[#This Row],[ID MATERIAL]]="","",B1723)</f>
        <v/>
      </c>
      <c r="C1724" s="21"/>
      <c r="D1724" s="21"/>
      <c r="E1724" s="7" t="str">
        <f>IF(Plantilla_SCAN_EQ3_COUNT_2[[#This Row],[ID MATERIAL]]="","",VLOOKUP(Plantilla_SCAN_EQ3_COUNT_2[[#This Row],[ID MATERIAL]],INVENTARIO!$A:$D,2,FALSE))</f>
        <v/>
      </c>
      <c r="F1724" s="7" t="str">
        <f>IF(Plantilla_SCAN_EQ3_COUNT_2[[#This Row],[ID MATERIAL]]="","",IF(Plantilla_SCAN_EQ3_COUNT_2[[#This Row],[No. Empaques]]="",1,Plantilla_SCAN_EQ3_COUNT_2[[#This Row],[No. Empaques]]*1))</f>
        <v/>
      </c>
      <c r="G1724" s="7" t="str">
        <f>IF(Plantilla_SCAN_EQ3_COUNT_2[[#This Row],[ID MATERIAL]]="","","PZ")</f>
        <v/>
      </c>
      <c r="H1724" s="7" t="str">
        <f>IF(Plantilla_SCAN_EQ3_COUNT_2[[#This Row],[ID MATERIAL]]="","",$B$13)</f>
        <v/>
      </c>
      <c r="I1724" s="7" t="str">
        <f>IF(Plantilla_SCAN_EQ3_COUNT_2[[#This Row],[ID MATERIAL]]="","","Segundo Conteo")</f>
        <v/>
      </c>
    </row>
    <row r="1725" spans="1:9" s="7" customFormat="1" ht="15" x14ac:dyDescent="0.2">
      <c r="A1725" s="7" t="str">
        <f>IF(Plantilla_SCAN_EQ3_COUNT_2[[#This Row],[ID MATERIAL]]="","",SIGN(Plantilla_SCAN_EQ3_COUNT_2[[#This Row],[Cantidad]])+A1724)</f>
        <v/>
      </c>
      <c r="B1725" s="21" t="str">
        <f>IF(Plantilla_SCAN_EQ3_COUNT_2[[#This Row],[ID MATERIAL]]="","",B1724)</f>
        <v/>
      </c>
      <c r="C1725" s="21"/>
      <c r="D1725" s="21"/>
      <c r="E1725" s="7" t="str">
        <f>IF(Plantilla_SCAN_EQ3_COUNT_2[[#This Row],[ID MATERIAL]]="","",VLOOKUP(Plantilla_SCAN_EQ3_COUNT_2[[#This Row],[ID MATERIAL]],INVENTARIO!$A:$D,2,FALSE))</f>
        <v/>
      </c>
      <c r="F1725" s="7" t="str">
        <f>IF(Plantilla_SCAN_EQ3_COUNT_2[[#This Row],[ID MATERIAL]]="","",IF(Plantilla_SCAN_EQ3_COUNT_2[[#This Row],[No. Empaques]]="",1,Plantilla_SCAN_EQ3_COUNT_2[[#This Row],[No. Empaques]]*1))</f>
        <v/>
      </c>
      <c r="G1725" s="7" t="str">
        <f>IF(Plantilla_SCAN_EQ3_COUNT_2[[#This Row],[ID MATERIAL]]="","","PZ")</f>
        <v/>
      </c>
      <c r="H1725" s="7" t="str">
        <f>IF(Plantilla_SCAN_EQ3_COUNT_2[[#This Row],[ID MATERIAL]]="","",$B$13)</f>
        <v/>
      </c>
      <c r="I1725" s="7" t="str">
        <f>IF(Plantilla_SCAN_EQ3_COUNT_2[[#This Row],[ID MATERIAL]]="","","Segundo Conteo")</f>
        <v/>
      </c>
    </row>
    <row r="1726" spans="1:9" s="7" customFormat="1" ht="15" x14ac:dyDescent="0.2">
      <c r="A1726" s="7" t="str">
        <f>IF(Plantilla_SCAN_EQ3_COUNT_2[[#This Row],[ID MATERIAL]]="","",SIGN(Plantilla_SCAN_EQ3_COUNT_2[[#This Row],[Cantidad]])+A1725)</f>
        <v/>
      </c>
      <c r="B1726" s="21" t="str">
        <f>IF(Plantilla_SCAN_EQ3_COUNT_2[[#This Row],[ID MATERIAL]]="","",B1725)</f>
        <v/>
      </c>
      <c r="C1726" s="21"/>
      <c r="D1726" s="21"/>
      <c r="E1726" s="7" t="str">
        <f>IF(Plantilla_SCAN_EQ3_COUNT_2[[#This Row],[ID MATERIAL]]="","",VLOOKUP(Plantilla_SCAN_EQ3_COUNT_2[[#This Row],[ID MATERIAL]],INVENTARIO!$A:$D,2,FALSE))</f>
        <v/>
      </c>
      <c r="F1726" s="7" t="str">
        <f>IF(Plantilla_SCAN_EQ3_COUNT_2[[#This Row],[ID MATERIAL]]="","",IF(Plantilla_SCAN_EQ3_COUNT_2[[#This Row],[No. Empaques]]="",1,Plantilla_SCAN_EQ3_COUNT_2[[#This Row],[No. Empaques]]*1))</f>
        <v/>
      </c>
      <c r="G1726" s="7" t="str">
        <f>IF(Plantilla_SCAN_EQ3_COUNT_2[[#This Row],[ID MATERIAL]]="","","PZ")</f>
        <v/>
      </c>
      <c r="H1726" s="7" t="str">
        <f>IF(Plantilla_SCAN_EQ3_COUNT_2[[#This Row],[ID MATERIAL]]="","",$B$13)</f>
        <v/>
      </c>
      <c r="I1726" s="7" t="str">
        <f>IF(Plantilla_SCAN_EQ3_COUNT_2[[#This Row],[ID MATERIAL]]="","","Segundo Conteo")</f>
        <v/>
      </c>
    </row>
    <row r="1727" spans="1:9" s="7" customFormat="1" ht="15" x14ac:dyDescent="0.2">
      <c r="A1727" s="7" t="str">
        <f>IF(Plantilla_SCAN_EQ3_COUNT_2[[#This Row],[ID MATERIAL]]="","",SIGN(Plantilla_SCAN_EQ3_COUNT_2[[#This Row],[Cantidad]])+A1726)</f>
        <v/>
      </c>
      <c r="B1727" s="21" t="str">
        <f>IF(Plantilla_SCAN_EQ3_COUNT_2[[#This Row],[ID MATERIAL]]="","",B1726)</f>
        <v/>
      </c>
      <c r="C1727" s="21"/>
      <c r="D1727" s="21"/>
      <c r="E1727" s="7" t="str">
        <f>IF(Plantilla_SCAN_EQ3_COUNT_2[[#This Row],[ID MATERIAL]]="","",VLOOKUP(Plantilla_SCAN_EQ3_COUNT_2[[#This Row],[ID MATERIAL]],INVENTARIO!$A:$D,2,FALSE))</f>
        <v/>
      </c>
      <c r="F1727" s="7" t="str">
        <f>IF(Plantilla_SCAN_EQ3_COUNT_2[[#This Row],[ID MATERIAL]]="","",IF(Plantilla_SCAN_EQ3_COUNT_2[[#This Row],[No. Empaques]]="",1,Plantilla_SCAN_EQ3_COUNT_2[[#This Row],[No. Empaques]]*1))</f>
        <v/>
      </c>
      <c r="G1727" s="7" t="str">
        <f>IF(Plantilla_SCAN_EQ3_COUNT_2[[#This Row],[ID MATERIAL]]="","","PZ")</f>
        <v/>
      </c>
      <c r="H1727" s="7" t="str">
        <f>IF(Plantilla_SCAN_EQ3_COUNT_2[[#This Row],[ID MATERIAL]]="","",$B$13)</f>
        <v/>
      </c>
      <c r="I1727" s="7" t="str">
        <f>IF(Plantilla_SCAN_EQ3_COUNT_2[[#This Row],[ID MATERIAL]]="","","Segundo Conteo")</f>
        <v/>
      </c>
    </row>
    <row r="1728" spans="1:9" s="7" customFormat="1" ht="15" x14ac:dyDescent="0.2">
      <c r="A1728" s="7" t="str">
        <f>IF(Plantilla_SCAN_EQ3_COUNT_2[[#This Row],[ID MATERIAL]]="","",SIGN(Plantilla_SCAN_EQ3_COUNT_2[[#This Row],[Cantidad]])+A1727)</f>
        <v/>
      </c>
      <c r="B1728" s="21" t="str">
        <f>IF(Plantilla_SCAN_EQ3_COUNT_2[[#This Row],[ID MATERIAL]]="","",B1727)</f>
        <v/>
      </c>
      <c r="C1728" s="21"/>
      <c r="D1728" s="21"/>
      <c r="E1728" s="7" t="str">
        <f>IF(Plantilla_SCAN_EQ3_COUNT_2[[#This Row],[ID MATERIAL]]="","",VLOOKUP(Plantilla_SCAN_EQ3_COUNT_2[[#This Row],[ID MATERIAL]],INVENTARIO!$A:$D,2,FALSE))</f>
        <v/>
      </c>
      <c r="F1728" s="7" t="str">
        <f>IF(Plantilla_SCAN_EQ3_COUNT_2[[#This Row],[ID MATERIAL]]="","",IF(Plantilla_SCAN_EQ3_COUNT_2[[#This Row],[No. Empaques]]="",1,Plantilla_SCAN_EQ3_COUNT_2[[#This Row],[No. Empaques]]*1))</f>
        <v/>
      </c>
      <c r="G1728" s="7" t="str">
        <f>IF(Plantilla_SCAN_EQ3_COUNT_2[[#This Row],[ID MATERIAL]]="","","PZ")</f>
        <v/>
      </c>
      <c r="H1728" s="7" t="str">
        <f>IF(Plantilla_SCAN_EQ3_COUNT_2[[#This Row],[ID MATERIAL]]="","",$B$13)</f>
        <v/>
      </c>
      <c r="I1728" s="7" t="str">
        <f>IF(Plantilla_SCAN_EQ3_COUNT_2[[#This Row],[ID MATERIAL]]="","","Segundo Conteo")</f>
        <v/>
      </c>
    </row>
    <row r="1729" spans="1:9" s="7" customFormat="1" ht="15" x14ac:dyDescent="0.2">
      <c r="A1729" s="7" t="str">
        <f>IF(Plantilla_SCAN_EQ3_COUNT_2[[#This Row],[ID MATERIAL]]="","",SIGN(Plantilla_SCAN_EQ3_COUNT_2[[#This Row],[Cantidad]])+A1728)</f>
        <v/>
      </c>
      <c r="B1729" s="21" t="str">
        <f>IF(Plantilla_SCAN_EQ3_COUNT_2[[#This Row],[ID MATERIAL]]="","",B1728)</f>
        <v/>
      </c>
      <c r="C1729" s="21"/>
      <c r="D1729" s="21"/>
      <c r="E1729" s="7" t="str">
        <f>IF(Plantilla_SCAN_EQ3_COUNT_2[[#This Row],[ID MATERIAL]]="","",VLOOKUP(Plantilla_SCAN_EQ3_COUNT_2[[#This Row],[ID MATERIAL]],INVENTARIO!$A:$D,2,FALSE))</f>
        <v/>
      </c>
      <c r="F1729" s="7" t="str">
        <f>IF(Plantilla_SCAN_EQ3_COUNT_2[[#This Row],[ID MATERIAL]]="","",IF(Plantilla_SCAN_EQ3_COUNT_2[[#This Row],[No. Empaques]]="",1,Plantilla_SCAN_EQ3_COUNT_2[[#This Row],[No. Empaques]]*1))</f>
        <v/>
      </c>
      <c r="G1729" s="7" t="str">
        <f>IF(Plantilla_SCAN_EQ3_COUNT_2[[#This Row],[ID MATERIAL]]="","","PZ")</f>
        <v/>
      </c>
      <c r="H1729" s="7" t="str">
        <f>IF(Plantilla_SCAN_EQ3_COUNT_2[[#This Row],[ID MATERIAL]]="","",$B$13)</f>
        <v/>
      </c>
      <c r="I1729" s="7" t="str">
        <f>IF(Plantilla_SCAN_EQ3_COUNT_2[[#This Row],[ID MATERIAL]]="","","Segundo Conteo")</f>
        <v/>
      </c>
    </row>
    <row r="1730" spans="1:9" s="7" customFormat="1" ht="15" x14ac:dyDescent="0.2">
      <c r="A1730" s="7" t="str">
        <f>IF(Plantilla_SCAN_EQ3_COUNT_2[[#This Row],[ID MATERIAL]]="","",SIGN(Plantilla_SCAN_EQ3_COUNT_2[[#This Row],[Cantidad]])+A1729)</f>
        <v/>
      </c>
      <c r="B1730" s="21" t="str">
        <f>IF(Plantilla_SCAN_EQ3_COUNT_2[[#This Row],[ID MATERIAL]]="","",B1729)</f>
        <v/>
      </c>
      <c r="C1730" s="21"/>
      <c r="D1730" s="21"/>
      <c r="E1730" s="7" t="str">
        <f>IF(Plantilla_SCAN_EQ3_COUNT_2[[#This Row],[ID MATERIAL]]="","",VLOOKUP(Plantilla_SCAN_EQ3_COUNT_2[[#This Row],[ID MATERIAL]],INVENTARIO!$A:$D,2,FALSE))</f>
        <v/>
      </c>
      <c r="F1730" s="7" t="str">
        <f>IF(Plantilla_SCAN_EQ3_COUNT_2[[#This Row],[ID MATERIAL]]="","",IF(Plantilla_SCAN_EQ3_COUNT_2[[#This Row],[No. Empaques]]="",1,Plantilla_SCAN_EQ3_COUNT_2[[#This Row],[No. Empaques]]*1))</f>
        <v/>
      </c>
      <c r="G1730" s="7" t="str">
        <f>IF(Plantilla_SCAN_EQ3_COUNT_2[[#This Row],[ID MATERIAL]]="","","PZ")</f>
        <v/>
      </c>
      <c r="H1730" s="7" t="str">
        <f>IF(Plantilla_SCAN_EQ3_COUNT_2[[#This Row],[ID MATERIAL]]="","",$B$13)</f>
        <v/>
      </c>
      <c r="I1730" s="7" t="str">
        <f>IF(Plantilla_SCAN_EQ3_COUNT_2[[#This Row],[ID MATERIAL]]="","","Segundo Conteo")</f>
        <v/>
      </c>
    </row>
    <row r="1731" spans="1:9" s="7" customFormat="1" ht="15" x14ac:dyDescent="0.2">
      <c r="A1731" s="7" t="str">
        <f>IF(Plantilla_SCAN_EQ3_COUNT_2[[#This Row],[ID MATERIAL]]="","",SIGN(Plantilla_SCAN_EQ3_COUNT_2[[#This Row],[Cantidad]])+A1730)</f>
        <v/>
      </c>
      <c r="B1731" s="21" t="str">
        <f>IF(Plantilla_SCAN_EQ3_COUNT_2[[#This Row],[ID MATERIAL]]="","",B1730)</f>
        <v/>
      </c>
      <c r="C1731" s="21"/>
      <c r="D1731" s="21"/>
      <c r="E1731" s="7" t="str">
        <f>IF(Plantilla_SCAN_EQ3_COUNT_2[[#This Row],[ID MATERIAL]]="","",VLOOKUP(Plantilla_SCAN_EQ3_COUNT_2[[#This Row],[ID MATERIAL]],INVENTARIO!$A:$D,2,FALSE))</f>
        <v/>
      </c>
      <c r="F1731" s="7" t="str">
        <f>IF(Plantilla_SCAN_EQ3_COUNT_2[[#This Row],[ID MATERIAL]]="","",IF(Plantilla_SCAN_EQ3_COUNT_2[[#This Row],[No. Empaques]]="",1,Plantilla_SCAN_EQ3_COUNT_2[[#This Row],[No. Empaques]]*1))</f>
        <v/>
      </c>
      <c r="G1731" s="7" t="str">
        <f>IF(Plantilla_SCAN_EQ3_COUNT_2[[#This Row],[ID MATERIAL]]="","","PZ")</f>
        <v/>
      </c>
      <c r="H1731" s="7" t="str">
        <f>IF(Plantilla_SCAN_EQ3_COUNT_2[[#This Row],[ID MATERIAL]]="","",$B$13)</f>
        <v/>
      </c>
      <c r="I1731" s="7" t="str">
        <f>IF(Plantilla_SCAN_EQ3_COUNT_2[[#This Row],[ID MATERIAL]]="","","Segundo Conteo")</f>
        <v/>
      </c>
    </row>
    <row r="1732" spans="1:9" s="7" customFormat="1" ht="15" x14ac:dyDescent="0.2">
      <c r="A1732" s="7" t="str">
        <f>IF(Plantilla_SCAN_EQ3_COUNT_2[[#This Row],[ID MATERIAL]]="","",SIGN(Plantilla_SCAN_EQ3_COUNT_2[[#This Row],[Cantidad]])+A1731)</f>
        <v/>
      </c>
      <c r="B1732" s="21" t="str">
        <f>IF(Plantilla_SCAN_EQ3_COUNT_2[[#This Row],[ID MATERIAL]]="","",B1731)</f>
        <v/>
      </c>
      <c r="C1732" s="21"/>
      <c r="D1732" s="21"/>
      <c r="E1732" s="7" t="str">
        <f>IF(Plantilla_SCAN_EQ3_COUNT_2[[#This Row],[ID MATERIAL]]="","",VLOOKUP(Plantilla_SCAN_EQ3_COUNT_2[[#This Row],[ID MATERIAL]],INVENTARIO!$A:$D,2,FALSE))</f>
        <v/>
      </c>
      <c r="F1732" s="7" t="str">
        <f>IF(Plantilla_SCAN_EQ3_COUNT_2[[#This Row],[ID MATERIAL]]="","",IF(Plantilla_SCAN_EQ3_COUNT_2[[#This Row],[No. Empaques]]="",1,Plantilla_SCAN_EQ3_COUNT_2[[#This Row],[No. Empaques]]*1))</f>
        <v/>
      </c>
      <c r="G1732" s="7" t="str">
        <f>IF(Plantilla_SCAN_EQ3_COUNT_2[[#This Row],[ID MATERIAL]]="","","PZ")</f>
        <v/>
      </c>
      <c r="H1732" s="7" t="str">
        <f>IF(Plantilla_SCAN_EQ3_COUNT_2[[#This Row],[ID MATERIAL]]="","",$B$13)</f>
        <v/>
      </c>
      <c r="I1732" s="7" t="str">
        <f>IF(Plantilla_SCAN_EQ3_COUNT_2[[#This Row],[ID MATERIAL]]="","","Segundo Conteo")</f>
        <v/>
      </c>
    </row>
    <row r="1733" spans="1:9" s="7" customFormat="1" ht="15" x14ac:dyDescent="0.2">
      <c r="A1733" s="7" t="str">
        <f>IF(Plantilla_SCAN_EQ3_COUNT_2[[#This Row],[ID MATERIAL]]="","",SIGN(Plantilla_SCAN_EQ3_COUNT_2[[#This Row],[Cantidad]])+A1732)</f>
        <v/>
      </c>
      <c r="B1733" s="21" t="str">
        <f>IF(Plantilla_SCAN_EQ3_COUNT_2[[#This Row],[ID MATERIAL]]="","",B1732)</f>
        <v/>
      </c>
      <c r="C1733" s="21"/>
      <c r="D1733" s="21"/>
      <c r="E1733" s="7" t="str">
        <f>IF(Plantilla_SCAN_EQ3_COUNT_2[[#This Row],[ID MATERIAL]]="","",VLOOKUP(Plantilla_SCAN_EQ3_COUNT_2[[#This Row],[ID MATERIAL]],INVENTARIO!$A:$D,2,FALSE))</f>
        <v/>
      </c>
      <c r="F1733" s="7" t="str">
        <f>IF(Plantilla_SCAN_EQ3_COUNT_2[[#This Row],[ID MATERIAL]]="","",IF(Plantilla_SCAN_EQ3_COUNT_2[[#This Row],[No. Empaques]]="",1,Plantilla_SCAN_EQ3_COUNT_2[[#This Row],[No. Empaques]]*1))</f>
        <v/>
      </c>
      <c r="G1733" s="7" t="str">
        <f>IF(Plantilla_SCAN_EQ3_COUNT_2[[#This Row],[ID MATERIAL]]="","","PZ")</f>
        <v/>
      </c>
      <c r="H1733" s="7" t="str">
        <f>IF(Plantilla_SCAN_EQ3_COUNT_2[[#This Row],[ID MATERIAL]]="","",$B$13)</f>
        <v/>
      </c>
      <c r="I1733" s="7" t="str">
        <f>IF(Plantilla_SCAN_EQ3_COUNT_2[[#This Row],[ID MATERIAL]]="","","Segundo Conteo")</f>
        <v/>
      </c>
    </row>
    <row r="1734" spans="1:9" s="7" customFormat="1" ht="15" x14ac:dyDescent="0.2">
      <c r="A1734" s="7" t="str">
        <f>IF(Plantilla_SCAN_EQ3_COUNT_2[[#This Row],[ID MATERIAL]]="","",SIGN(Plantilla_SCAN_EQ3_COUNT_2[[#This Row],[Cantidad]])+A1733)</f>
        <v/>
      </c>
      <c r="B1734" s="21" t="str">
        <f>IF(Plantilla_SCAN_EQ3_COUNT_2[[#This Row],[ID MATERIAL]]="","",B1733)</f>
        <v/>
      </c>
      <c r="C1734" s="21"/>
      <c r="D1734" s="21"/>
      <c r="E1734" s="7" t="str">
        <f>IF(Plantilla_SCAN_EQ3_COUNT_2[[#This Row],[ID MATERIAL]]="","",VLOOKUP(Plantilla_SCAN_EQ3_COUNT_2[[#This Row],[ID MATERIAL]],INVENTARIO!$A:$D,2,FALSE))</f>
        <v/>
      </c>
      <c r="F1734" s="7" t="str">
        <f>IF(Plantilla_SCAN_EQ3_COUNT_2[[#This Row],[ID MATERIAL]]="","",IF(Plantilla_SCAN_EQ3_COUNT_2[[#This Row],[No. Empaques]]="",1,Plantilla_SCAN_EQ3_COUNT_2[[#This Row],[No. Empaques]]*1))</f>
        <v/>
      </c>
      <c r="G1734" s="7" t="str">
        <f>IF(Plantilla_SCAN_EQ3_COUNT_2[[#This Row],[ID MATERIAL]]="","","PZ")</f>
        <v/>
      </c>
      <c r="H1734" s="7" t="str">
        <f>IF(Plantilla_SCAN_EQ3_COUNT_2[[#This Row],[ID MATERIAL]]="","",$B$13)</f>
        <v/>
      </c>
      <c r="I1734" s="7" t="str">
        <f>IF(Plantilla_SCAN_EQ3_COUNT_2[[#This Row],[ID MATERIAL]]="","","Segundo Conteo")</f>
        <v/>
      </c>
    </row>
    <row r="1735" spans="1:9" s="7" customFormat="1" ht="15" x14ac:dyDescent="0.2">
      <c r="A1735" s="7" t="str">
        <f>IF(Plantilla_SCAN_EQ3_COUNT_2[[#This Row],[ID MATERIAL]]="","",SIGN(Plantilla_SCAN_EQ3_COUNT_2[[#This Row],[Cantidad]])+A1734)</f>
        <v/>
      </c>
      <c r="B1735" s="21" t="str">
        <f>IF(Plantilla_SCAN_EQ3_COUNT_2[[#This Row],[ID MATERIAL]]="","",B1734)</f>
        <v/>
      </c>
      <c r="C1735" s="21"/>
      <c r="D1735" s="21"/>
      <c r="E1735" s="7" t="str">
        <f>IF(Plantilla_SCAN_EQ3_COUNT_2[[#This Row],[ID MATERIAL]]="","",VLOOKUP(Plantilla_SCAN_EQ3_COUNT_2[[#This Row],[ID MATERIAL]],INVENTARIO!$A:$D,2,FALSE))</f>
        <v/>
      </c>
      <c r="F1735" s="7" t="str">
        <f>IF(Plantilla_SCAN_EQ3_COUNT_2[[#This Row],[ID MATERIAL]]="","",IF(Plantilla_SCAN_EQ3_COUNT_2[[#This Row],[No. Empaques]]="",1,Plantilla_SCAN_EQ3_COUNT_2[[#This Row],[No. Empaques]]*1))</f>
        <v/>
      </c>
      <c r="G1735" s="7" t="str">
        <f>IF(Plantilla_SCAN_EQ3_COUNT_2[[#This Row],[ID MATERIAL]]="","","PZ")</f>
        <v/>
      </c>
      <c r="H1735" s="7" t="str">
        <f>IF(Plantilla_SCAN_EQ3_COUNT_2[[#This Row],[ID MATERIAL]]="","",$B$13)</f>
        <v/>
      </c>
      <c r="I1735" s="7" t="str">
        <f>IF(Plantilla_SCAN_EQ3_COUNT_2[[#This Row],[ID MATERIAL]]="","","Segundo Conteo")</f>
        <v/>
      </c>
    </row>
    <row r="1736" spans="1:9" s="7" customFormat="1" ht="15" x14ac:dyDescent="0.2">
      <c r="A1736" s="7" t="str">
        <f>IF(Plantilla_SCAN_EQ3_COUNT_2[[#This Row],[ID MATERIAL]]="","",SIGN(Plantilla_SCAN_EQ3_COUNT_2[[#This Row],[Cantidad]])+A1735)</f>
        <v/>
      </c>
      <c r="B1736" s="21" t="str">
        <f>IF(Plantilla_SCAN_EQ3_COUNT_2[[#This Row],[ID MATERIAL]]="","",B1735)</f>
        <v/>
      </c>
      <c r="C1736" s="21"/>
      <c r="D1736" s="21"/>
      <c r="E1736" s="7" t="str">
        <f>IF(Plantilla_SCAN_EQ3_COUNT_2[[#This Row],[ID MATERIAL]]="","",VLOOKUP(Plantilla_SCAN_EQ3_COUNT_2[[#This Row],[ID MATERIAL]],INVENTARIO!$A:$D,2,FALSE))</f>
        <v/>
      </c>
      <c r="F1736" s="7" t="str">
        <f>IF(Plantilla_SCAN_EQ3_COUNT_2[[#This Row],[ID MATERIAL]]="","",IF(Plantilla_SCAN_EQ3_COUNT_2[[#This Row],[No. Empaques]]="",1,Plantilla_SCAN_EQ3_COUNT_2[[#This Row],[No. Empaques]]*1))</f>
        <v/>
      </c>
      <c r="G1736" s="7" t="str">
        <f>IF(Plantilla_SCAN_EQ3_COUNT_2[[#This Row],[ID MATERIAL]]="","","PZ")</f>
        <v/>
      </c>
      <c r="H1736" s="7" t="str">
        <f>IF(Plantilla_SCAN_EQ3_COUNT_2[[#This Row],[ID MATERIAL]]="","",$B$13)</f>
        <v/>
      </c>
      <c r="I1736" s="7" t="str">
        <f>IF(Plantilla_SCAN_EQ3_COUNT_2[[#This Row],[ID MATERIAL]]="","","Segundo Conteo")</f>
        <v/>
      </c>
    </row>
    <row r="1737" spans="1:9" s="7" customFormat="1" ht="15" x14ac:dyDescent="0.2">
      <c r="A1737" s="7" t="str">
        <f>IF(Plantilla_SCAN_EQ3_COUNT_2[[#This Row],[ID MATERIAL]]="","",SIGN(Plantilla_SCAN_EQ3_COUNT_2[[#This Row],[Cantidad]])+A1736)</f>
        <v/>
      </c>
      <c r="B1737" s="21" t="str">
        <f>IF(Plantilla_SCAN_EQ3_COUNT_2[[#This Row],[ID MATERIAL]]="","",B1736)</f>
        <v/>
      </c>
      <c r="C1737" s="21"/>
      <c r="D1737" s="21"/>
      <c r="E1737" s="7" t="str">
        <f>IF(Plantilla_SCAN_EQ3_COUNT_2[[#This Row],[ID MATERIAL]]="","",VLOOKUP(Plantilla_SCAN_EQ3_COUNT_2[[#This Row],[ID MATERIAL]],INVENTARIO!$A:$D,2,FALSE))</f>
        <v/>
      </c>
      <c r="F1737" s="7" t="str">
        <f>IF(Plantilla_SCAN_EQ3_COUNT_2[[#This Row],[ID MATERIAL]]="","",IF(Plantilla_SCAN_EQ3_COUNT_2[[#This Row],[No. Empaques]]="",1,Plantilla_SCAN_EQ3_COUNT_2[[#This Row],[No. Empaques]]*1))</f>
        <v/>
      </c>
      <c r="G1737" s="7" t="str">
        <f>IF(Plantilla_SCAN_EQ3_COUNT_2[[#This Row],[ID MATERIAL]]="","","PZ")</f>
        <v/>
      </c>
      <c r="H1737" s="7" t="str">
        <f>IF(Plantilla_SCAN_EQ3_COUNT_2[[#This Row],[ID MATERIAL]]="","",$B$13)</f>
        <v/>
      </c>
      <c r="I1737" s="7" t="str">
        <f>IF(Plantilla_SCAN_EQ3_COUNT_2[[#This Row],[ID MATERIAL]]="","","Segundo Conteo")</f>
        <v/>
      </c>
    </row>
    <row r="1738" spans="1:9" s="7" customFormat="1" ht="15" x14ac:dyDescent="0.2">
      <c r="A1738" s="7" t="str">
        <f>IF(Plantilla_SCAN_EQ3_COUNT_2[[#This Row],[ID MATERIAL]]="","",SIGN(Plantilla_SCAN_EQ3_COUNT_2[[#This Row],[Cantidad]])+A1737)</f>
        <v/>
      </c>
      <c r="B1738" s="21" t="str">
        <f>IF(Plantilla_SCAN_EQ3_COUNT_2[[#This Row],[ID MATERIAL]]="","",B1737)</f>
        <v/>
      </c>
      <c r="C1738" s="21"/>
      <c r="D1738" s="21"/>
      <c r="E1738" s="7" t="str">
        <f>IF(Plantilla_SCAN_EQ3_COUNT_2[[#This Row],[ID MATERIAL]]="","",VLOOKUP(Plantilla_SCAN_EQ3_COUNT_2[[#This Row],[ID MATERIAL]],INVENTARIO!$A:$D,2,FALSE))</f>
        <v/>
      </c>
      <c r="F1738" s="7" t="str">
        <f>IF(Plantilla_SCAN_EQ3_COUNT_2[[#This Row],[ID MATERIAL]]="","",IF(Plantilla_SCAN_EQ3_COUNT_2[[#This Row],[No. Empaques]]="",1,Plantilla_SCAN_EQ3_COUNT_2[[#This Row],[No. Empaques]]*1))</f>
        <v/>
      </c>
      <c r="G1738" s="7" t="str">
        <f>IF(Plantilla_SCAN_EQ3_COUNT_2[[#This Row],[ID MATERIAL]]="","","PZ")</f>
        <v/>
      </c>
      <c r="H1738" s="7" t="str">
        <f>IF(Plantilla_SCAN_EQ3_COUNT_2[[#This Row],[ID MATERIAL]]="","",$B$13)</f>
        <v/>
      </c>
      <c r="I1738" s="7" t="str">
        <f>IF(Plantilla_SCAN_EQ3_COUNT_2[[#This Row],[ID MATERIAL]]="","","Segundo Conteo")</f>
        <v/>
      </c>
    </row>
    <row r="1739" spans="1:9" s="7" customFormat="1" ht="15" x14ac:dyDescent="0.2">
      <c r="A1739" s="7" t="str">
        <f>IF(Plantilla_SCAN_EQ3_COUNT_2[[#This Row],[ID MATERIAL]]="","",SIGN(Plantilla_SCAN_EQ3_COUNT_2[[#This Row],[Cantidad]])+A1738)</f>
        <v/>
      </c>
      <c r="B1739" s="21" t="str">
        <f>IF(Plantilla_SCAN_EQ3_COUNT_2[[#This Row],[ID MATERIAL]]="","",B1738)</f>
        <v/>
      </c>
      <c r="C1739" s="21"/>
      <c r="D1739" s="21"/>
      <c r="E1739" s="7" t="str">
        <f>IF(Plantilla_SCAN_EQ3_COUNT_2[[#This Row],[ID MATERIAL]]="","",VLOOKUP(Plantilla_SCAN_EQ3_COUNT_2[[#This Row],[ID MATERIAL]],INVENTARIO!$A:$D,2,FALSE))</f>
        <v/>
      </c>
      <c r="F1739" s="7" t="str">
        <f>IF(Plantilla_SCAN_EQ3_COUNT_2[[#This Row],[ID MATERIAL]]="","",IF(Plantilla_SCAN_EQ3_COUNT_2[[#This Row],[No. Empaques]]="",1,Plantilla_SCAN_EQ3_COUNT_2[[#This Row],[No. Empaques]]*1))</f>
        <v/>
      </c>
      <c r="G1739" s="7" t="str">
        <f>IF(Plantilla_SCAN_EQ3_COUNT_2[[#This Row],[ID MATERIAL]]="","","PZ")</f>
        <v/>
      </c>
      <c r="H1739" s="7" t="str">
        <f>IF(Plantilla_SCAN_EQ3_COUNT_2[[#This Row],[ID MATERIAL]]="","",$B$13)</f>
        <v/>
      </c>
      <c r="I1739" s="7" t="str">
        <f>IF(Plantilla_SCAN_EQ3_COUNT_2[[#This Row],[ID MATERIAL]]="","","Segundo Conteo")</f>
        <v/>
      </c>
    </row>
    <row r="1740" spans="1:9" s="7" customFormat="1" ht="15" x14ac:dyDescent="0.2">
      <c r="A1740" s="7" t="str">
        <f>IF(Plantilla_SCAN_EQ3_COUNT_2[[#This Row],[ID MATERIAL]]="","",SIGN(Plantilla_SCAN_EQ3_COUNT_2[[#This Row],[Cantidad]])+A1739)</f>
        <v/>
      </c>
      <c r="B1740" s="21" t="str">
        <f>IF(Plantilla_SCAN_EQ3_COUNT_2[[#This Row],[ID MATERIAL]]="","",B1739)</f>
        <v/>
      </c>
      <c r="C1740" s="21"/>
      <c r="D1740" s="21"/>
      <c r="E1740" s="7" t="str">
        <f>IF(Plantilla_SCAN_EQ3_COUNT_2[[#This Row],[ID MATERIAL]]="","",VLOOKUP(Plantilla_SCAN_EQ3_COUNT_2[[#This Row],[ID MATERIAL]],INVENTARIO!$A:$D,2,FALSE))</f>
        <v/>
      </c>
      <c r="F1740" s="7" t="str">
        <f>IF(Plantilla_SCAN_EQ3_COUNT_2[[#This Row],[ID MATERIAL]]="","",IF(Plantilla_SCAN_EQ3_COUNT_2[[#This Row],[No. Empaques]]="",1,Plantilla_SCAN_EQ3_COUNT_2[[#This Row],[No. Empaques]]*1))</f>
        <v/>
      </c>
      <c r="G1740" s="7" t="str">
        <f>IF(Plantilla_SCAN_EQ3_COUNT_2[[#This Row],[ID MATERIAL]]="","","PZ")</f>
        <v/>
      </c>
      <c r="H1740" s="7" t="str">
        <f>IF(Plantilla_SCAN_EQ3_COUNT_2[[#This Row],[ID MATERIAL]]="","",$B$13)</f>
        <v/>
      </c>
      <c r="I1740" s="7" t="str">
        <f>IF(Plantilla_SCAN_EQ3_COUNT_2[[#This Row],[ID MATERIAL]]="","","Segundo Conteo")</f>
        <v/>
      </c>
    </row>
    <row r="1741" spans="1:9" s="7" customFormat="1" ht="15" x14ac:dyDescent="0.2">
      <c r="A1741" s="7" t="str">
        <f>IF(Plantilla_SCAN_EQ3_COUNT_2[[#This Row],[ID MATERIAL]]="","",SIGN(Plantilla_SCAN_EQ3_COUNT_2[[#This Row],[Cantidad]])+A1740)</f>
        <v/>
      </c>
      <c r="B1741" s="21" t="str">
        <f>IF(Plantilla_SCAN_EQ3_COUNT_2[[#This Row],[ID MATERIAL]]="","",B1740)</f>
        <v/>
      </c>
      <c r="C1741" s="21"/>
      <c r="D1741" s="21"/>
      <c r="E1741" s="7" t="str">
        <f>IF(Plantilla_SCAN_EQ3_COUNT_2[[#This Row],[ID MATERIAL]]="","",VLOOKUP(Plantilla_SCAN_EQ3_COUNT_2[[#This Row],[ID MATERIAL]],INVENTARIO!$A:$D,2,FALSE))</f>
        <v/>
      </c>
      <c r="F1741" s="7" t="str">
        <f>IF(Plantilla_SCAN_EQ3_COUNT_2[[#This Row],[ID MATERIAL]]="","",IF(Plantilla_SCAN_EQ3_COUNT_2[[#This Row],[No. Empaques]]="",1,Plantilla_SCAN_EQ3_COUNT_2[[#This Row],[No. Empaques]]*1))</f>
        <v/>
      </c>
      <c r="G1741" s="7" t="str">
        <f>IF(Plantilla_SCAN_EQ3_COUNT_2[[#This Row],[ID MATERIAL]]="","","PZ")</f>
        <v/>
      </c>
      <c r="H1741" s="7" t="str">
        <f>IF(Plantilla_SCAN_EQ3_COUNT_2[[#This Row],[ID MATERIAL]]="","",$B$13)</f>
        <v/>
      </c>
      <c r="I1741" s="7" t="str">
        <f>IF(Plantilla_SCAN_EQ3_COUNT_2[[#This Row],[ID MATERIAL]]="","","Segundo Conteo")</f>
        <v/>
      </c>
    </row>
    <row r="1742" spans="1:9" s="7" customFormat="1" ht="15" x14ac:dyDescent="0.2">
      <c r="A1742" s="7" t="str">
        <f>IF(Plantilla_SCAN_EQ3_COUNT_2[[#This Row],[ID MATERIAL]]="","",SIGN(Plantilla_SCAN_EQ3_COUNT_2[[#This Row],[Cantidad]])+A1741)</f>
        <v/>
      </c>
      <c r="B1742" s="21" t="str">
        <f>IF(Plantilla_SCAN_EQ3_COUNT_2[[#This Row],[ID MATERIAL]]="","",B1741)</f>
        <v/>
      </c>
      <c r="C1742" s="21"/>
      <c r="D1742" s="21"/>
      <c r="E1742" s="7" t="str">
        <f>IF(Plantilla_SCAN_EQ3_COUNT_2[[#This Row],[ID MATERIAL]]="","",VLOOKUP(Plantilla_SCAN_EQ3_COUNT_2[[#This Row],[ID MATERIAL]],INVENTARIO!$A:$D,2,FALSE))</f>
        <v/>
      </c>
      <c r="F1742" s="7" t="str">
        <f>IF(Plantilla_SCAN_EQ3_COUNT_2[[#This Row],[ID MATERIAL]]="","",IF(Plantilla_SCAN_EQ3_COUNT_2[[#This Row],[No. Empaques]]="",1,Plantilla_SCAN_EQ3_COUNT_2[[#This Row],[No. Empaques]]*1))</f>
        <v/>
      </c>
      <c r="G1742" s="7" t="str">
        <f>IF(Plantilla_SCAN_EQ3_COUNT_2[[#This Row],[ID MATERIAL]]="","","PZ")</f>
        <v/>
      </c>
      <c r="H1742" s="7" t="str">
        <f>IF(Plantilla_SCAN_EQ3_COUNT_2[[#This Row],[ID MATERIAL]]="","",$B$13)</f>
        <v/>
      </c>
      <c r="I1742" s="7" t="str">
        <f>IF(Plantilla_SCAN_EQ3_COUNT_2[[#This Row],[ID MATERIAL]]="","","Segundo Conteo")</f>
        <v/>
      </c>
    </row>
    <row r="1743" spans="1:9" s="7" customFormat="1" ht="15" x14ac:dyDescent="0.2">
      <c r="A1743" s="7" t="str">
        <f>IF(Plantilla_SCAN_EQ3_COUNT_2[[#This Row],[ID MATERIAL]]="","",SIGN(Plantilla_SCAN_EQ3_COUNT_2[[#This Row],[Cantidad]])+A1742)</f>
        <v/>
      </c>
      <c r="B1743" s="21" t="str">
        <f>IF(Plantilla_SCAN_EQ3_COUNT_2[[#This Row],[ID MATERIAL]]="","",B1742)</f>
        <v/>
      </c>
      <c r="C1743" s="21"/>
      <c r="D1743" s="21"/>
      <c r="E1743" s="7" t="str">
        <f>IF(Plantilla_SCAN_EQ3_COUNT_2[[#This Row],[ID MATERIAL]]="","",VLOOKUP(Plantilla_SCAN_EQ3_COUNT_2[[#This Row],[ID MATERIAL]],INVENTARIO!$A:$D,2,FALSE))</f>
        <v/>
      </c>
      <c r="F1743" s="7" t="str">
        <f>IF(Plantilla_SCAN_EQ3_COUNT_2[[#This Row],[ID MATERIAL]]="","",IF(Plantilla_SCAN_EQ3_COUNT_2[[#This Row],[No. Empaques]]="",1,Plantilla_SCAN_EQ3_COUNT_2[[#This Row],[No. Empaques]]*1))</f>
        <v/>
      </c>
      <c r="G1743" s="7" t="str">
        <f>IF(Plantilla_SCAN_EQ3_COUNT_2[[#This Row],[ID MATERIAL]]="","","PZ")</f>
        <v/>
      </c>
      <c r="H1743" s="7" t="str">
        <f>IF(Plantilla_SCAN_EQ3_COUNT_2[[#This Row],[ID MATERIAL]]="","",$B$13)</f>
        <v/>
      </c>
      <c r="I1743" s="7" t="str">
        <f>IF(Plantilla_SCAN_EQ3_COUNT_2[[#This Row],[ID MATERIAL]]="","","Segundo Conteo")</f>
        <v/>
      </c>
    </row>
    <row r="1744" spans="1:9" s="7" customFormat="1" ht="15" x14ac:dyDescent="0.2">
      <c r="A1744" s="7" t="str">
        <f>IF(Plantilla_SCAN_EQ3_COUNT_2[[#This Row],[ID MATERIAL]]="","",SIGN(Plantilla_SCAN_EQ3_COUNT_2[[#This Row],[Cantidad]])+A1743)</f>
        <v/>
      </c>
      <c r="B1744" s="21" t="str">
        <f>IF(Plantilla_SCAN_EQ3_COUNT_2[[#This Row],[ID MATERIAL]]="","",B1743)</f>
        <v/>
      </c>
      <c r="C1744" s="21"/>
      <c r="D1744" s="21"/>
      <c r="E1744" s="7" t="str">
        <f>IF(Plantilla_SCAN_EQ3_COUNT_2[[#This Row],[ID MATERIAL]]="","",VLOOKUP(Plantilla_SCAN_EQ3_COUNT_2[[#This Row],[ID MATERIAL]],INVENTARIO!$A:$D,2,FALSE))</f>
        <v/>
      </c>
      <c r="F1744" s="7" t="str">
        <f>IF(Plantilla_SCAN_EQ3_COUNT_2[[#This Row],[ID MATERIAL]]="","",IF(Plantilla_SCAN_EQ3_COUNT_2[[#This Row],[No. Empaques]]="",1,Plantilla_SCAN_EQ3_COUNT_2[[#This Row],[No. Empaques]]*1))</f>
        <v/>
      </c>
      <c r="G1744" s="7" t="str">
        <f>IF(Plantilla_SCAN_EQ3_COUNT_2[[#This Row],[ID MATERIAL]]="","","PZ")</f>
        <v/>
      </c>
      <c r="H1744" s="7" t="str">
        <f>IF(Plantilla_SCAN_EQ3_COUNT_2[[#This Row],[ID MATERIAL]]="","",$B$13)</f>
        <v/>
      </c>
      <c r="I1744" s="7" t="str">
        <f>IF(Plantilla_SCAN_EQ3_COUNT_2[[#This Row],[ID MATERIAL]]="","","Segundo Conteo")</f>
        <v/>
      </c>
    </row>
    <row r="1745" spans="1:9" s="7" customFormat="1" ht="15" x14ac:dyDescent="0.2">
      <c r="A1745" s="7" t="str">
        <f>IF(Plantilla_SCAN_EQ3_COUNT_2[[#This Row],[ID MATERIAL]]="","",SIGN(Plantilla_SCAN_EQ3_COUNT_2[[#This Row],[Cantidad]])+A1744)</f>
        <v/>
      </c>
      <c r="B1745" s="21" t="str">
        <f>IF(Plantilla_SCAN_EQ3_COUNT_2[[#This Row],[ID MATERIAL]]="","",B1744)</f>
        <v/>
      </c>
      <c r="C1745" s="21"/>
      <c r="D1745" s="21"/>
      <c r="E1745" s="7" t="str">
        <f>IF(Plantilla_SCAN_EQ3_COUNT_2[[#This Row],[ID MATERIAL]]="","",VLOOKUP(Plantilla_SCAN_EQ3_COUNT_2[[#This Row],[ID MATERIAL]],INVENTARIO!$A:$D,2,FALSE))</f>
        <v/>
      </c>
      <c r="F1745" s="7" t="str">
        <f>IF(Plantilla_SCAN_EQ3_COUNT_2[[#This Row],[ID MATERIAL]]="","",IF(Plantilla_SCAN_EQ3_COUNT_2[[#This Row],[No. Empaques]]="",1,Plantilla_SCAN_EQ3_COUNT_2[[#This Row],[No. Empaques]]*1))</f>
        <v/>
      </c>
      <c r="G1745" s="7" t="str">
        <f>IF(Plantilla_SCAN_EQ3_COUNT_2[[#This Row],[ID MATERIAL]]="","","PZ")</f>
        <v/>
      </c>
      <c r="H1745" s="7" t="str">
        <f>IF(Plantilla_SCAN_EQ3_COUNT_2[[#This Row],[ID MATERIAL]]="","",$B$13)</f>
        <v/>
      </c>
      <c r="I1745" s="7" t="str">
        <f>IF(Plantilla_SCAN_EQ3_COUNT_2[[#This Row],[ID MATERIAL]]="","","Segundo Conteo")</f>
        <v/>
      </c>
    </row>
    <row r="1746" spans="1:9" s="7" customFormat="1" ht="15" x14ac:dyDescent="0.2">
      <c r="A1746" s="7" t="str">
        <f>IF(Plantilla_SCAN_EQ3_COUNT_2[[#This Row],[ID MATERIAL]]="","",SIGN(Plantilla_SCAN_EQ3_COUNT_2[[#This Row],[Cantidad]])+A1745)</f>
        <v/>
      </c>
      <c r="B1746" s="21" t="str">
        <f>IF(Plantilla_SCAN_EQ3_COUNT_2[[#This Row],[ID MATERIAL]]="","",B1745)</f>
        <v/>
      </c>
      <c r="C1746" s="21"/>
      <c r="D1746" s="21"/>
      <c r="E1746" s="7" t="str">
        <f>IF(Plantilla_SCAN_EQ3_COUNT_2[[#This Row],[ID MATERIAL]]="","",VLOOKUP(Plantilla_SCAN_EQ3_COUNT_2[[#This Row],[ID MATERIAL]],INVENTARIO!$A:$D,2,FALSE))</f>
        <v/>
      </c>
      <c r="F1746" s="7" t="str">
        <f>IF(Plantilla_SCAN_EQ3_COUNT_2[[#This Row],[ID MATERIAL]]="","",IF(Plantilla_SCAN_EQ3_COUNT_2[[#This Row],[No. Empaques]]="",1,Plantilla_SCAN_EQ3_COUNT_2[[#This Row],[No. Empaques]]*1))</f>
        <v/>
      </c>
      <c r="G1746" s="7" t="str">
        <f>IF(Plantilla_SCAN_EQ3_COUNT_2[[#This Row],[ID MATERIAL]]="","","PZ")</f>
        <v/>
      </c>
      <c r="H1746" s="7" t="str">
        <f>IF(Plantilla_SCAN_EQ3_COUNT_2[[#This Row],[ID MATERIAL]]="","",$B$13)</f>
        <v/>
      </c>
      <c r="I1746" s="7" t="str">
        <f>IF(Plantilla_SCAN_EQ3_COUNT_2[[#This Row],[ID MATERIAL]]="","","Segundo Conteo")</f>
        <v/>
      </c>
    </row>
    <row r="1747" spans="1:9" s="7" customFormat="1" ht="15" x14ac:dyDescent="0.2">
      <c r="A1747" s="7" t="str">
        <f>IF(Plantilla_SCAN_EQ3_COUNT_2[[#This Row],[ID MATERIAL]]="","",SIGN(Plantilla_SCAN_EQ3_COUNT_2[[#This Row],[Cantidad]])+A1746)</f>
        <v/>
      </c>
      <c r="B1747" s="21" t="str">
        <f>IF(Plantilla_SCAN_EQ3_COUNT_2[[#This Row],[ID MATERIAL]]="","",B1746)</f>
        <v/>
      </c>
      <c r="C1747" s="21"/>
      <c r="D1747" s="21"/>
      <c r="E1747" s="7" t="str">
        <f>IF(Plantilla_SCAN_EQ3_COUNT_2[[#This Row],[ID MATERIAL]]="","",VLOOKUP(Plantilla_SCAN_EQ3_COUNT_2[[#This Row],[ID MATERIAL]],INVENTARIO!$A:$D,2,FALSE))</f>
        <v/>
      </c>
      <c r="F1747" s="7" t="str">
        <f>IF(Plantilla_SCAN_EQ3_COUNT_2[[#This Row],[ID MATERIAL]]="","",IF(Plantilla_SCAN_EQ3_COUNT_2[[#This Row],[No. Empaques]]="",1,Plantilla_SCAN_EQ3_COUNT_2[[#This Row],[No. Empaques]]*1))</f>
        <v/>
      </c>
      <c r="G1747" s="7" t="str">
        <f>IF(Plantilla_SCAN_EQ3_COUNT_2[[#This Row],[ID MATERIAL]]="","","PZ")</f>
        <v/>
      </c>
      <c r="H1747" s="7" t="str">
        <f>IF(Plantilla_SCAN_EQ3_COUNT_2[[#This Row],[ID MATERIAL]]="","",$B$13)</f>
        <v/>
      </c>
      <c r="I1747" s="7" t="str">
        <f>IF(Plantilla_SCAN_EQ3_COUNT_2[[#This Row],[ID MATERIAL]]="","","Segundo Conteo")</f>
        <v/>
      </c>
    </row>
    <row r="1748" spans="1:9" s="7" customFormat="1" ht="15" x14ac:dyDescent="0.2">
      <c r="A1748" s="7" t="str">
        <f>IF(Plantilla_SCAN_EQ3_COUNT_2[[#This Row],[ID MATERIAL]]="","",SIGN(Plantilla_SCAN_EQ3_COUNT_2[[#This Row],[Cantidad]])+A1747)</f>
        <v/>
      </c>
      <c r="B1748" s="21" t="str">
        <f>IF(Plantilla_SCAN_EQ3_COUNT_2[[#This Row],[ID MATERIAL]]="","",B1747)</f>
        <v/>
      </c>
      <c r="C1748" s="21"/>
      <c r="D1748" s="21"/>
      <c r="E1748" s="7" t="str">
        <f>IF(Plantilla_SCAN_EQ3_COUNT_2[[#This Row],[ID MATERIAL]]="","",VLOOKUP(Plantilla_SCAN_EQ3_COUNT_2[[#This Row],[ID MATERIAL]],INVENTARIO!$A:$D,2,FALSE))</f>
        <v/>
      </c>
      <c r="F1748" s="7" t="str">
        <f>IF(Plantilla_SCAN_EQ3_COUNT_2[[#This Row],[ID MATERIAL]]="","",IF(Plantilla_SCAN_EQ3_COUNT_2[[#This Row],[No. Empaques]]="",1,Plantilla_SCAN_EQ3_COUNT_2[[#This Row],[No. Empaques]]*1))</f>
        <v/>
      </c>
      <c r="G1748" s="7" t="str">
        <f>IF(Plantilla_SCAN_EQ3_COUNT_2[[#This Row],[ID MATERIAL]]="","","PZ")</f>
        <v/>
      </c>
      <c r="H1748" s="7" t="str">
        <f>IF(Plantilla_SCAN_EQ3_COUNT_2[[#This Row],[ID MATERIAL]]="","",$B$13)</f>
        <v/>
      </c>
      <c r="I1748" s="7" t="str">
        <f>IF(Plantilla_SCAN_EQ3_COUNT_2[[#This Row],[ID MATERIAL]]="","","Segundo Conteo")</f>
        <v/>
      </c>
    </row>
    <row r="1749" spans="1:9" s="7" customFormat="1" ht="15" x14ac:dyDescent="0.2">
      <c r="A1749" s="7" t="str">
        <f>IF(Plantilla_SCAN_EQ3_COUNT_2[[#This Row],[ID MATERIAL]]="","",SIGN(Plantilla_SCAN_EQ3_COUNT_2[[#This Row],[Cantidad]])+A1748)</f>
        <v/>
      </c>
      <c r="B1749" s="21" t="str">
        <f>IF(Plantilla_SCAN_EQ3_COUNT_2[[#This Row],[ID MATERIAL]]="","",B1748)</f>
        <v/>
      </c>
      <c r="C1749" s="21"/>
      <c r="D1749" s="21"/>
      <c r="E1749" s="7" t="str">
        <f>IF(Plantilla_SCAN_EQ3_COUNT_2[[#This Row],[ID MATERIAL]]="","",VLOOKUP(Plantilla_SCAN_EQ3_COUNT_2[[#This Row],[ID MATERIAL]],INVENTARIO!$A:$D,2,FALSE))</f>
        <v/>
      </c>
      <c r="F1749" s="7" t="str">
        <f>IF(Plantilla_SCAN_EQ3_COUNT_2[[#This Row],[ID MATERIAL]]="","",IF(Plantilla_SCAN_EQ3_COUNT_2[[#This Row],[No. Empaques]]="",1,Plantilla_SCAN_EQ3_COUNT_2[[#This Row],[No. Empaques]]*1))</f>
        <v/>
      </c>
      <c r="G1749" s="7" t="str">
        <f>IF(Plantilla_SCAN_EQ3_COUNT_2[[#This Row],[ID MATERIAL]]="","","PZ")</f>
        <v/>
      </c>
      <c r="H1749" s="7" t="str">
        <f>IF(Plantilla_SCAN_EQ3_COUNT_2[[#This Row],[ID MATERIAL]]="","",$B$13)</f>
        <v/>
      </c>
      <c r="I1749" s="7" t="str">
        <f>IF(Plantilla_SCAN_EQ3_COUNT_2[[#This Row],[ID MATERIAL]]="","","Segundo Conteo")</f>
        <v/>
      </c>
    </row>
    <row r="1750" spans="1:9" s="7" customFormat="1" ht="15" x14ac:dyDescent="0.2">
      <c r="A1750" s="7" t="str">
        <f>IF(Plantilla_SCAN_EQ3_COUNT_2[[#This Row],[ID MATERIAL]]="","",SIGN(Plantilla_SCAN_EQ3_COUNT_2[[#This Row],[Cantidad]])+A1749)</f>
        <v/>
      </c>
      <c r="B1750" s="21" t="str">
        <f>IF(Plantilla_SCAN_EQ3_COUNT_2[[#This Row],[ID MATERIAL]]="","",B1749)</f>
        <v/>
      </c>
      <c r="C1750" s="21"/>
      <c r="D1750" s="21"/>
      <c r="E1750" s="7" t="str">
        <f>IF(Plantilla_SCAN_EQ3_COUNT_2[[#This Row],[ID MATERIAL]]="","",VLOOKUP(Plantilla_SCAN_EQ3_COUNT_2[[#This Row],[ID MATERIAL]],INVENTARIO!$A:$D,2,FALSE))</f>
        <v/>
      </c>
      <c r="F1750" s="7" t="str">
        <f>IF(Plantilla_SCAN_EQ3_COUNT_2[[#This Row],[ID MATERIAL]]="","",IF(Plantilla_SCAN_EQ3_COUNT_2[[#This Row],[No. Empaques]]="",1,Plantilla_SCAN_EQ3_COUNT_2[[#This Row],[No. Empaques]]*1))</f>
        <v/>
      </c>
      <c r="G1750" s="7" t="str">
        <f>IF(Plantilla_SCAN_EQ3_COUNT_2[[#This Row],[ID MATERIAL]]="","","PZ")</f>
        <v/>
      </c>
      <c r="H1750" s="7" t="str">
        <f>IF(Plantilla_SCAN_EQ3_COUNT_2[[#This Row],[ID MATERIAL]]="","",$B$13)</f>
        <v/>
      </c>
      <c r="I1750" s="7" t="str">
        <f>IF(Plantilla_SCAN_EQ3_COUNT_2[[#This Row],[ID MATERIAL]]="","","Segundo Conteo")</f>
        <v/>
      </c>
    </row>
    <row r="1751" spans="1:9" s="7" customFormat="1" ht="15" x14ac:dyDescent="0.2">
      <c r="A1751" s="7" t="str">
        <f>IF(Plantilla_SCAN_EQ3_COUNT_2[[#This Row],[ID MATERIAL]]="","",SIGN(Plantilla_SCAN_EQ3_COUNT_2[[#This Row],[Cantidad]])+A1750)</f>
        <v/>
      </c>
      <c r="B1751" s="21" t="str">
        <f>IF(Plantilla_SCAN_EQ3_COUNT_2[[#This Row],[ID MATERIAL]]="","",B1750)</f>
        <v/>
      </c>
      <c r="C1751" s="21"/>
      <c r="D1751" s="21"/>
      <c r="E1751" s="7" t="str">
        <f>IF(Plantilla_SCAN_EQ3_COUNT_2[[#This Row],[ID MATERIAL]]="","",VLOOKUP(Plantilla_SCAN_EQ3_COUNT_2[[#This Row],[ID MATERIAL]],INVENTARIO!$A:$D,2,FALSE))</f>
        <v/>
      </c>
      <c r="F1751" s="7" t="str">
        <f>IF(Plantilla_SCAN_EQ3_COUNT_2[[#This Row],[ID MATERIAL]]="","",IF(Plantilla_SCAN_EQ3_COUNT_2[[#This Row],[No. Empaques]]="",1,Plantilla_SCAN_EQ3_COUNT_2[[#This Row],[No. Empaques]]*1))</f>
        <v/>
      </c>
      <c r="G1751" s="7" t="str">
        <f>IF(Plantilla_SCAN_EQ3_COUNT_2[[#This Row],[ID MATERIAL]]="","","PZ")</f>
        <v/>
      </c>
      <c r="H1751" s="7" t="str">
        <f>IF(Plantilla_SCAN_EQ3_COUNT_2[[#This Row],[ID MATERIAL]]="","",$B$13)</f>
        <v/>
      </c>
      <c r="I1751" s="7" t="str">
        <f>IF(Plantilla_SCAN_EQ3_COUNT_2[[#This Row],[ID MATERIAL]]="","","Segundo Conteo")</f>
        <v/>
      </c>
    </row>
    <row r="1752" spans="1:9" s="7" customFormat="1" ht="15" x14ac:dyDescent="0.2">
      <c r="A1752" s="7" t="str">
        <f>IF(Plantilla_SCAN_EQ3_COUNT_2[[#This Row],[ID MATERIAL]]="","",SIGN(Plantilla_SCAN_EQ3_COUNT_2[[#This Row],[Cantidad]])+A1751)</f>
        <v/>
      </c>
      <c r="B1752" s="21" t="str">
        <f>IF(Plantilla_SCAN_EQ3_COUNT_2[[#This Row],[ID MATERIAL]]="","",B1751)</f>
        <v/>
      </c>
      <c r="C1752" s="21"/>
      <c r="D1752" s="21"/>
      <c r="E1752" s="7" t="str">
        <f>IF(Plantilla_SCAN_EQ3_COUNT_2[[#This Row],[ID MATERIAL]]="","",VLOOKUP(Plantilla_SCAN_EQ3_COUNT_2[[#This Row],[ID MATERIAL]],INVENTARIO!$A:$D,2,FALSE))</f>
        <v/>
      </c>
      <c r="F1752" s="7" t="str">
        <f>IF(Plantilla_SCAN_EQ3_COUNT_2[[#This Row],[ID MATERIAL]]="","",IF(Plantilla_SCAN_EQ3_COUNT_2[[#This Row],[No. Empaques]]="",1,Plantilla_SCAN_EQ3_COUNT_2[[#This Row],[No. Empaques]]*1))</f>
        <v/>
      </c>
      <c r="G1752" s="7" t="str">
        <f>IF(Plantilla_SCAN_EQ3_COUNT_2[[#This Row],[ID MATERIAL]]="","","PZ")</f>
        <v/>
      </c>
      <c r="H1752" s="7" t="str">
        <f>IF(Plantilla_SCAN_EQ3_COUNT_2[[#This Row],[ID MATERIAL]]="","",$B$13)</f>
        <v/>
      </c>
      <c r="I1752" s="7" t="str">
        <f>IF(Plantilla_SCAN_EQ3_COUNT_2[[#This Row],[ID MATERIAL]]="","","Segundo Conteo")</f>
        <v/>
      </c>
    </row>
    <row r="1753" spans="1:9" s="7" customFormat="1" ht="15" x14ac:dyDescent="0.2">
      <c r="A1753" s="7" t="str">
        <f>IF(Plantilla_SCAN_EQ3_COUNT_2[[#This Row],[ID MATERIAL]]="","",SIGN(Plantilla_SCAN_EQ3_COUNT_2[[#This Row],[Cantidad]])+A1752)</f>
        <v/>
      </c>
      <c r="B1753" s="21" t="str">
        <f>IF(Plantilla_SCAN_EQ3_COUNT_2[[#This Row],[ID MATERIAL]]="","",B1752)</f>
        <v/>
      </c>
      <c r="C1753" s="21"/>
      <c r="D1753" s="21"/>
      <c r="E1753" s="7" t="str">
        <f>IF(Plantilla_SCAN_EQ3_COUNT_2[[#This Row],[ID MATERIAL]]="","",VLOOKUP(Plantilla_SCAN_EQ3_COUNT_2[[#This Row],[ID MATERIAL]],INVENTARIO!$A:$D,2,FALSE))</f>
        <v/>
      </c>
      <c r="F1753" s="7" t="str">
        <f>IF(Plantilla_SCAN_EQ3_COUNT_2[[#This Row],[ID MATERIAL]]="","",IF(Plantilla_SCAN_EQ3_COUNT_2[[#This Row],[No. Empaques]]="",1,Plantilla_SCAN_EQ3_COUNT_2[[#This Row],[No. Empaques]]*1))</f>
        <v/>
      </c>
      <c r="G1753" s="7" t="str">
        <f>IF(Plantilla_SCAN_EQ3_COUNT_2[[#This Row],[ID MATERIAL]]="","","PZ")</f>
        <v/>
      </c>
      <c r="H1753" s="7" t="str">
        <f>IF(Plantilla_SCAN_EQ3_COUNT_2[[#This Row],[ID MATERIAL]]="","",$B$13)</f>
        <v/>
      </c>
      <c r="I1753" s="7" t="str">
        <f>IF(Plantilla_SCAN_EQ3_COUNT_2[[#This Row],[ID MATERIAL]]="","","Segundo Conteo")</f>
        <v/>
      </c>
    </row>
    <row r="1754" spans="1:9" s="7" customFormat="1" ht="15" x14ac:dyDescent="0.2">
      <c r="A1754" s="7" t="str">
        <f>IF(Plantilla_SCAN_EQ3_COUNT_2[[#This Row],[ID MATERIAL]]="","",SIGN(Plantilla_SCAN_EQ3_COUNT_2[[#This Row],[Cantidad]])+A1753)</f>
        <v/>
      </c>
      <c r="B1754" s="21" t="str">
        <f>IF(Plantilla_SCAN_EQ3_COUNT_2[[#This Row],[ID MATERIAL]]="","",B1753)</f>
        <v/>
      </c>
      <c r="C1754" s="21"/>
      <c r="D1754" s="21"/>
      <c r="E1754" s="7" t="str">
        <f>IF(Plantilla_SCAN_EQ3_COUNT_2[[#This Row],[ID MATERIAL]]="","",VLOOKUP(Plantilla_SCAN_EQ3_COUNT_2[[#This Row],[ID MATERIAL]],INVENTARIO!$A:$D,2,FALSE))</f>
        <v/>
      </c>
      <c r="F1754" s="7" t="str">
        <f>IF(Plantilla_SCAN_EQ3_COUNT_2[[#This Row],[ID MATERIAL]]="","",IF(Plantilla_SCAN_EQ3_COUNT_2[[#This Row],[No. Empaques]]="",1,Plantilla_SCAN_EQ3_COUNT_2[[#This Row],[No. Empaques]]*1))</f>
        <v/>
      </c>
      <c r="G1754" s="7" t="str">
        <f>IF(Plantilla_SCAN_EQ3_COUNT_2[[#This Row],[ID MATERIAL]]="","","PZ")</f>
        <v/>
      </c>
      <c r="H1754" s="7" t="str">
        <f>IF(Plantilla_SCAN_EQ3_COUNT_2[[#This Row],[ID MATERIAL]]="","",$B$13)</f>
        <v/>
      </c>
      <c r="I1754" s="7" t="str">
        <f>IF(Plantilla_SCAN_EQ3_COUNT_2[[#This Row],[ID MATERIAL]]="","","Segundo Conteo")</f>
        <v/>
      </c>
    </row>
    <row r="1755" spans="1:9" s="7" customFormat="1" ht="15" x14ac:dyDescent="0.2">
      <c r="A1755" s="7" t="str">
        <f>IF(Plantilla_SCAN_EQ3_COUNT_2[[#This Row],[ID MATERIAL]]="","",SIGN(Plantilla_SCAN_EQ3_COUNT_2[[#This Row],[Cantidad]])+A1754)</f>
        <v/>
      </c>
      <c r="B1755" s="21" t="str">
        <f>IF(Plantilla_SCAN_EQ3_COUNT_2[[#This Row],[ID MATERIAL]]="","",B1754)</f>
        <v/>
      </c>
      <c r="C1755" s="21"/>
      <c r="D1755" s="21"/>
      <c r="E1755" s="7" t="str">
        <f>IF(Plantilla_SCAN_EQ3_COUNT_2[[#This Row],[ID MATERIAL]]="","",VLOOKUP(Plantilla_SCAN_EQ3_COUNT_2[[#This Row],[ID MATERIAL]],INVENTARIO!$A:$D,2,FALSE))</f>
        <v/>
      </c>
      <c r="F1755" s="7" t="str">
        <f>IF(Plantilla_SCAN_EQ3_COUNT_2[[#This Row],[ID MATERIAL]]="","",IF(Plantilla_SCAN_EQ3_COUNT_2[[#This Row],[No. Empaques]]="",1,Plantilla_SCAN_EQ3_COUNT_2[[#This Row],[No. Empaques]]*1))</f>
        <v/>
      </c>
      <c r="G1755" s="7" t="str">
        <f>IF(Plantilla_SCAN_EQ3_COUNT_2[[#This Row],[ID MATERIAL]]="","","PZ")</f>
        <v/>
      </c>
      <c r="H1755" s="7" t="str">
        <f>IF(Plantilla_SCAN_EQ3_COUNT_2[[#This Row],[ID MATERIAL]]="","",$B$13)</f>
        <v/>
      </c>
      <c r="I1755" s="7" t="str">
        <f>IF(Plantilla_SCAN_EQ3_COUNT_2[[#This Row],[ID MATERIAL]]="","","Segundo Conteo")</f>
        <v/>
      </c>
    </row>
    <row r="1756" spans="1:9" s="7" customFormat="1" ht="15" x14ac:dyDescent="0.2">
      <c r="A1756" s="7" t="str">
        <f>IF(Plantilla_SCAN_EQ3_COUNT_2[[#This Row],[ID MATERIAL]]="","",SIGN(Plantilla_SCAN_EQ3_COUNT_2[[#This Row],[Cantidad]])+A1755)</f>
        <v/>
      </c>
      <c r="B1756" s="21" t="str">
        <f>IF(Plantilla_SCAN_EQ3_COUNT_2[[#This Row],[ID MATERIAL]]="","",B1755)</f>
        <v/>
      </c>
      <c r="C1756" s="21"/>
      <c r="D1756" s="21"/>
      <c r="E1756" s="7" t="str">
        <f>IF(Plantilla_SCAN_EQ3_COUNT_2[[#This Row],[ID MATERIAL]]="","",VLOOKUP(Plantilla_SCAN_EQ3_COUNT_2[[#This Row],[ID MATERIAL]],INVENTARIO!$A:$D,2,FALSE))</f>
        <v/>
      </c>
      <c r="F1756" s="7" t="str">
        <f>IF(Plantilla_SCAN_EQ3_COUNT_2[[#This Row],[ID MATERIAL]]="","",IF(Plantilla_SCAN_EQ3_COUNT_2[[#This Row],[No. Empaques]]="",1,Plantilla_SCAN_EQ3_COUNT_2[[#This Row],[No. Empaques]]*1))</f>
        <v/>
      </c>
      <c r="G1756" s="7" t="str">
        <f>IF(Plantilla_SCAN_EQ3_COUNT_2[[#This Row],[ID MATERIAL]]="","","PZ")</f>
        <v/>
      </c>
      <c r="H1756" s="7" t="str">
        <f>IF(Plantilla_SCAN_EQ3_COUNT_2[[#This Row],[ID MATERIAL]]="","",$B$13)</f>
        <v/>
      </c>
      <c r="I1756" s="7" t="str">
        <f>IF(Plantilla_SCAN_EQ3_COUNT_2[[#This Row],[ID MATERIAL]]="","","Segundo Conteo")</f>
        <v/>
      </c>
    </row>
    <row r="1757" spans="1:9" s="7" customFormat="1" ht="15" x14ac:dyDescent="0.2">
      <c r="A1757" s="7" t="str">
        <f>IF(Plantilla_SCAN_EQ3_COUNT_2[[#This Row],[ID MATERIAL]]="","",SIGN(Plantilla_SCAN_EQ3_COUNT_2[[#This Row],[Cantidad]])+A1756)</f>
        <v/>
      </c>
      <c r="B1757" s="21" t="str">
        <f>IF(Plantilla_SCAN_EQ3_COUNT_2[[#This Row],[ID MATERIAL]]="","",B1756)</f>
        <v/>
      </c>
      <c r="C1757" s="21"/>
      <c r="D1757" s="21"/>
      <c r="E1757" s="7" t="str">
        <f>IF(Plantilla_SCAN_EQ3_COUNT_2[[#This Row],[ID MATERIAL]]="","",VLOOKUP(Plantilla_SCAN_EQ3_COUNT_2[[#This Row],[ID MATERIAL]],INVENTARIO!$A:$D,2,FALSE))</f>
        <v/>
      </c>
      <c r="F1757" s="7" t="str">
        <f>IF(Plantilla_SCAN_EQ3_COUNT_2[[#This Row],[ID MATERIAL]]="","",IF(Plantilla_SCAN_EQ3_COUNT_2[[#This Row],[No. Empaques]]="",1,Plantilla_SCAN_EQ3_COUNT_2[[#This Row],[No. Empaques]]*1))</f>
        <v/>
      </c>
      <c r="G1757" s="7" t="str">
        <f>IF(Plantilla_SCAN_EQ3_COUNT_2[[#This Row],[ID MATERIAL]]="","","PZ")</f>
        <v/>
      </c>
      <c r="H1757" s="7" t="str">
        <f>IF(Plantilla_SCAN_EQ3_COUNT_2[[#This Row],[ID MATERIAL]]="","",$B$13)</f>
        <v/>
      </c>
      <c r="I1757" s="7" t="str">
        <f>IF(Plantilla_SCAN_EQ3_COUNT_2[[#This Row],[ID MATERIAL]]="","","Segundo Conteo")</f>
        <v/>
      </c>
    </row>
    <row r="1758" spans="1:9" s="7" customFormat="1" ht="15" x14ac:dyDescent="0.2">
      <c r="A1758" s="7" t="str">
        <f>IF(Plantilla_SCAN_EQ3_COUNT_2[[#This Row],[ID MATERIAL]]="","",SIGN(Plantilla_SCAN_EQ3_COUNT_2[[#This Row],[Cantidad]])+A1757)</f>
        <v/>
      </c>
      <c r="B1758" s="21" t="str">
        <f>IF(Plantilla_SCAN_EQ3_COUNT_2[[#This Row],[ID MATERIAL]]="","",B1757)</f>
        <v/>
      </c>
      <c r="C1758" s="21"/>
      <c r="D1758" s="21"/>
      <c r="E1758" s="7" t="str">
        <f>IF(Plantilla_SCAN_EQ3_COUNT_2[[#This Row],[ID MATERIAL]]="","",VLOOKUP(Plantilla_SCAN_EQ3_COUNT_2[[#This Row],[ID MATERIAL]],INVENTARIO!$A:$D,2,FALSE))</f>
        <v/>
      </c>
      <c r="F1758" s="7" t="str">
        <f>IF(Plantilla_SCAN_EQ3_COUNT_2[[#This Row],[ID MATERIAL]]="","",IF(Plantilla_SCAN_EQ3_COUNT_2[[#This Row],[No. Empaques]]="",1,Plantilla_SCAN_EQ3_COUNT_2[[#This Row],[No. Empaques]]*1))</f>
        <v/>
      </c>
      <c r="G1758" s="7" t="str">
        <f>IF(Plantilla_SCAN_EQ3_COUNT_2[[#This Row],[ID MATERIAL]]="","","PZ")</f>
        <v/>
      </c>
      <c r="H1758" s="7" t="str">
        <f>IF(Plantilla_SCAN_EQ3_COUNT_2[[#This Row],[ID MATERIAL]]="","",$B$13)</f>
        <v/>
      </c>
      <c r="I1758" s="7" t="str">
        <f>IF(Plantilla_SCAN_EQ3_COUNT_2[[#This Row],[ID MATERIAL]]="","","Segundo Conteo")</f>
        <v/>
      </c>
    </row>
    <row r="1759" spans="1:9" s="7" customFormat="1" ht="15" x14ac:dyDescent="0.2">
      <c r="A1759" s="7" t="str">
        <f>IF(Plantilla_SCAN_EQ3_COUNT_2[[#This Row],[ID MATERIAL]]="","",SIGN(Plantilla_SCAN_EQ3_COUNT_2[[#This Row],[Cantidad]])+A1758)</f>
        <v/>
      </c>
      <c r="B1759" s="21" t="str">
        <f>IF(Plantilla_SCAN_EQ3_COUNT_2[[#This Row],[ID MATERIAL]]="","",B1758)</f>
        <v/>
      </c>
      <c r="C1759" s="21"/>
      <c r="D1759" s="21"/>
      <c r="E1759" s="7" t="str">
        <f>IF(Plantilla_SCAN_EQ3_COUNT_2[[#This Row],[ID MATERIAL]]="","",VLOOKUP(Plantilla_SCAN_EQ3_COUNT_2[[#This Row],[ID MATERIAL]],INVENTARIO!$A:$D,2,FALSE))</f>
        <v/>
      </c>
      <c r="F1759" s="7" t="str">
        <f>IF(Plantilla_SCAN_EQ3_COUNT_2[[#This Row],[ID MATERIAL]]="","",IF(Plantilla_SCAN_EQ3_COUNT_2[[#This Row],[No. Empaques]]="",1,Plantilla_SCAN_EQ3_COUNT_2[[#This Row],[No. Empaques]]*1))</f>
        <v/>
      </c>
      <c r="G1759" s="7" t="str">
        <f>IF(Plantilla_SCAN_EQ3_COUNT_2[[#This Row],[ID MATERIAL]]="","","PZ")</f>
        <v/>
      </c>
      <c r="H1759" s="7" t="str">
        <f>IF(Plantilla_SCAN_EQ3_COUNT_2[[#This Row],[ID MATERIAL]]="","",$B$13)</f>
        <v/>
      </c>
      <c r="I1759" s="7" t="str">
        <f>IF(Plantilla_SCAN_EQ3_COUNT_2[[#This Row],[ID MATERIAL]]="","","Segundo Conteo")</f>
        <v/>
      </c>
    </row>
    <row r="1760" spans="1:9" s="7" customFormat="1" ht="15" x14ac:dyDescent="0.2">
      <c r="A1760" s="7" t="str">
        <f>IF(Plantilla_SCAN_EQ3_COUNT_2[[#This Row],[ID MATERIAL]]="","",SIGN(Plantilla_SCAN_EQ3_COUNT_2[[#This Row],[Cantidad]])+A1759)</f>
        <v/>
      </c>
      <c r="B1760" s="21" t="str">
        <f>IF(Plantilla_SCAN_EQ3_COUNT_2[[#This Row],[ID MATERIAL]]="","",B1759)</f>
        <v/>
      </c>
      <c r="C1760" s="21"/>
      <c r="D1760" s="21"/>
      <c r="E1760" s="7" t="str">
        <f>IF(Plantilla_SCAN_EQ3_COUNT_2[[#This Row],[ID MATERIAL]]="","",VLOOKUP(Plantilla_SCAN_EQ3_COUNT_2[[#This Row],[ID MATERIAL]],INVENTARIO!$A:$D,2,FALSE))</f>
        <v/>
      </c>
      <c r="F1760" s="7" t="str">
        <f>IF(Plantilla_SCAN_EQ3_COUNT_2[[#This Row],[ID MATERIAL]]="","",IF(Plantilla_SCAN_EQ3_COUNT_2[[#This Row],[No. Empaques]]="",1,Plantilla_SCAN_EQ3_COUNT_2[[#This Row],[No. Empaques]]*1))</f>
        <v/>
      </c>
      <c r="G1760" s="7" t="str">
        <f>IF(Plantilla_SCAN_EQ3_COUNT_2[[#This Row],[ID MATERIAL]]="","","PZ")</f>
        <v/>
      </c>
      <c r="H1760" s="7" t="str">
        <f>IF(Plantilla_SCAN_EQ3_COUNT_2[[#This Row],[ID MATERIAL]]="","",$B$13)</f>
        <v/>
      </c>
      <c r="I1760" s="7" t="str">
        <f>IF(Plantilla_SCAN_EQ3_COUNT_2[[#This Row],[ID MATERIAL]]="","","Segundo Conteo")</f>
        <v/>
      </c>
    </row>
    <row r="1761" spans="1:9" s="7" customFormat="1" ht="15" x14ac:dyDescent="0.2">
      <c r="A1761" s="7" t="str">
        <f>IF(Plantilla_SCAN_EQ3_COUNT_2[[#This Row],[ID MATERIAL]]="","",SIGN(Plantilla_SCAN_EQ3_COUNT_2[[#This Row],[Cantidad]])+A1760)</f>
        <v/>
      </c>
      <c r="B1761" s="21" t="str">
        <f>IF(Plantilla_SCAN_EQ3_COUNT_2[[#This Row],[ID MATERIAL]]="","",B1760)</f>
        <v/>
      </c>
      <c r="C1761" s="21"/>
      <c r="D1761" s="21"/>
      <c r="E1761" s="7" t="str">
        <f>IF(Plantilla_SCAN_EQ3_COUNT_2[[#This Row],[ID MATERIAL]]="","",VLOOKUP(Plantilla_SCAN_EQ3_COUNT_2[[#This Row],[ID MATERIAL]],INVENTARIO!$A:$D,2,FALSE))</f>
        <v/>
      </c>
      <c r="F1761" s="7" t="str">
        <f>IF(Plantilla_SCAN_EQ3_COUNT_2[[#This Row],[ID MATERIAL]]="","",IF(Plantilla_SCAN_EQ3_COUNT_2[[#This Row],[No. Empaques]]="",1,Plantilla_SCAN_EQ3_COUNT_2[[#This Row],[No. Empaques]]*1))</f>
        <v/>
      </c>
      <c r="G1761" s="7" t="str">
        <f>IF(Plantilla_SCAN_EQ3_COUNT_2[[#This Row],[ID MATERIAL]]="","","PZ")</f>
        <v/>
      </c>
      <c r="H1761" s="7" t="str">
        <f>IF(Plantilla_SCAN_EQ3_COUNT_2[[#This Row],[ID MATERIAL]]="","",$B$13)</f>
        <v/>
      </c>
      <c r="I1761" s="7" t="str">
        <f>IF(Plantilla_SCAN_EQ3_COUNT_2[[#This Row],[ID MATERIAL]]="","","Segundo Conteo")</f>
        <v/>
      </c>
    </row>
    <row r="1762" spans="1:9" s="7" customFormat="1" ht="15" x14ac:dyDescent="0.2">
      <c r="A1762" s="7" t="str">
        <f>IF(Plantilla_SCAN_EQ3_COUNT_2[[#This Row],[ID MATERIAL]]="","",SIGN(Plantilla_SCAN_EQ3_COUNT_2[[#This Row],[Cantidad]])+A1761)</f>
        <v/>
      </c>
      <c r="B1762" s="21" t="str">
        <f>IF(Plantilla_SCAN_EQ3_COUNT_2[[#This Row],[ID MATERIAL]]="","",B1761)</f>
        <v/>
      </c>
      <c r="C1762" s="21"/>
      <c r="D1762" s="21"/>
      <c r="E1762" s="7" t="str">
        <f>IF(Plantilla_SCAN_EQ3_COUNT_2[[#This Row],[ID MATERIAL]]="","",VLOOKUP(Plantilla_SCAN_EQ3_COUNT_2[[#This Row],[ID MATERIAL]],INVENTARIO!$A:$D,2,FALSE))</f>
        <v/>
      </c>
      <c r="F1762" s="7" t="str">
        <f>IF(Plantilla_SCAN_EQ3_COUNT_2[[#This Row],[ID MATERIAL]]="","",IF(Plantilla_SCAN_EQ3_COUNT_2[[#This Row],[No. Empaques]]="",1,Plantilla_SCAN_EQ3_COUNT_2[[#This Row],[No. Empaques]]*1))</f>
        <v/>
      </c>
      <c r="G1762" s="7" t="str">
        <f>IF(Plantilla_SCAN_EQ3_COUNT_2[[#This Row],[ID MATERIAL]]="","","PZ")</f>
        <v/>
      </c>
      <c r="H1762" s="7" t="str">
        <f>IF(Plantilla_SCAN_EQ3_COUNT_2[[#This Row],[ID MATERIAL]]="","",$B$13)</f>
        <v/>
      </c>
      <c r="I1762" s="7" t="str">
        <f>IF(Plantilla_SCAN_EQ3_COUNT_2[[#This Row],[ID MATERIAL]]="","","Segundo Conteo")</f>
        <v/>
      </c>
    </row>
    <row r="1763" spans="1:9" s="7" customFormat="1" ht="15" x14ac:dyDescent="0.2">
      <c r="A1763" s="7" t="str">
        <f>IF(Plantilla_SCAN_EQ3_COUNT_2[[#This Row],[ID MATERIAL]]="","",SIGN(Plantilla_SCAN_EQ3_COUNT_2[[#This Row],[Cantidad]])+A1762)</f>
        <v/>
      </c>
      <c r="B1763" s="21" t="str">
        <f>IF(Plantilla_SCAN_EQ3_COUNT_2[[#This Row],[ID MATERIAL]]="","",B1762)</f>
        <v/>
      </c>
      <c r="C1763" s="21"/>
      <c r="D1763" s="21"/>
      <c r="E1763" s="7" t="str">
        <f>IF(Plantilla_SCAN_EQ3_COUNT_2[[#This Row],[ID MATERIAL]]="","",VLOOKUP(Plantilla_SCAN_EQ3_COUNT_2[[#This Row],[ID MATERIAL]],INVENTARIO!$A:$D,2,FALSE))</f>
        <v/>
      </c>
      <c r="F1763" s="7" t="str">
        <f>IF(Plantilla_SCAN_EQ3_COUNT_2[[#This Row],[ID MATERIAL]]="","",IF(Plantilla_SCAN_EQ3_COUNT_2[[#This Row],[No. Empaques]]="",1,Plantilla_SCAN_EQ3_COUNT_2[[#This Row],[No. Empaques]]*1))</f>
        <v/>
      </c>
      <c r="G1763" s="7" t="str">
        <f>IF(Plantilla_SCAN_EQ3_COUNT_2[[#This Row],[ID MATERIAL]]="","","PZ")</f>
        <v/>
      </c>
      <c r="H1763" s="7" t="str">
        <f>IF(Plantilla_SCAN_EQ3_COUNT_2[[#This Row],[ID MATERIAL]]="","",$B$13)</f>
        <v/>
      </c>
      <c r="I1763" s="7" t="str">
        <f>IF(Plantilla_SCAN_EQ3_COUNT_2[[#This Row],[ID MATERIAL]]="","","Segundo Conteo")</f>
        <v/>
      </c>
    </row>
    <row r="1764" spans="1:9" s="7" customFormat="1" ht="15" x14ac:dyDescent="0.2">
      <c r="A1764" s="7" t="str">
        <f>IF(Plantilla_SCAN_EQ3_COUNT_2[[#This Row],[ID MATERIAL]]="","",SIGN(Plantilla_SCAN_EQ3_COUNT_2[[#This Row],[Cantidad]])+A1763)</f>
        <v/>
      </c>
      <c r="B1764" s="21" t="str">
        <f>IF(Plantilla_SCAN_EQ3_COUNT_2[[#This Row],[ID MATERIAL]]="","",B1763)</f>
        <v/>
      </c>
      <c r="C1764" s="21"/>
      <c r="D1764" s="21"/>
      <c r="E1764" s="7" t="str">
        <f>IF(Plantilla_SCAN_EQ3_COUNT_2[[#This Row],[ID MATERIAL]]="","",VLOOKUP(Plantilla_SCAN_EQ3_COUNT_2[[#This Row],[ID MATERIAL]],INVENTARIO!$A:$D,2,FALSE))</f>
        <v/>
      </c>
      <c r="F1764" s="7" t="str">
        <f>IF(Plantilla_SCAN_EQ3_COUNT_2[[#This Row],[ID MATERIAL]]="","",IF(Plantilla_SCAN_EQ3_COUNT_2[[#This Row],[No. Empaques]]="",1,Plantilla_SCAN_EQ3_COUNT_2[[#This Row],[No. Empaques]]*1))</f>
        <v/>
      </c>
      <c r="G1764" s="7" t="str">
        <f>IF(Plantilla_SCAN_EQ3_COUNT_2[[#This Row],[ID MATERIAL]]="","","PZ")</f>
        <v/>
      </c>
      <c r="H1764" s="7" t="str">
        <f>IF(Plantilla_SCAN_EQ3_COUNT_2[[#This Row],[ID MATERIAL]]="","",$B$13)</f>
        <v/>
      </c>
      <c r="I1764" s="7" t="str">
        <f>IF(Plantilla_SCAN_EQ3_COUNT_2[[#This Row],[ID MATERIAL]]="","","Segundo Conteo")</f>
        <v/>
      </c>
    </row>
    <row r="1765" spans="1:9" s="7" customFormat="1" ht="15" x14ac:dyDescent="0.2">
      <c r="A1765" s="7" t="str">
        <f>IF(Plantilla_SCAN_EQ3_COUNT_2[[#This Row],[ID MATERIAL]]="","",SIGN(Plantilla_SCAN_EQ3_COUNT_2[[#This Row],[Cantidad]])+A1764)</f>
        <v/>
      </c>
      <c r="B1765" s="21" t="str">
        <f>IF(Plantilla_SCAN_EQ3_COUNT_2[[#This Row],[ID MATERIAL]]="","",B1764)</f>
        <v/>
      </c>
      <c r="C1765" s="21"/>
      <c r="D1765" s="21"/>
      <c r="E1765" s="7" t="str">
        <f>IF(Plantilla_SCAN_EQ3_COUNT_2[[#This Row],[ID MATERIAL]]="","",VLOOKUP(Plantilla_SCAN_EQ3_COUNT_2[[#This Row],[ID MATERIAL]],INVENTARIO!$A:$D,2,FALSE))</f>
        <v/>
      </c>
      <c r="F1765" s="7" t="str">
        <f>IF(Plantilla_SCAN_EQ3_COUNT_2[[#This Row],[ID MATERIAL]]="","",IF(Plantilla_SCAN_EQ3_COUNT_2[[#This Row],[No. Empaques]]="",1,Plantilla_SCAN_EQ3_COUNT_2[[#This Row],[No. Empaques]]*1))</f>
        <v/>
      </c>
      <c r="G1765" s="7" t="str">
        <f>IF(Plantilla_SCAN_EQ3_COUNT_2[[#This Row],[ID MATERIAL]]="","","PZ")</f>
        <v/>
      </c>
      <c r="H1765" s="7" t="str">
        <f>IF(Plantilla_SCAN_EQ3_COUNT_2[[#This Row],[ID MATERIAL]]="","",$B$13)</f>
        <v/>
      </c>
      <c r="I1765" s="7" t="str">
        <f>IF(Plantilla_SCAN_EQ3_COUNT_2[[#This Row],[ID MATERIAL]]="","","Segundo Conteo")</f>
        <v/>
      </c>
    </row>
    <row r="1766" spans="1:9" s="7" customFormat="1" ht="15" x14ac:dyDescent="0.2">
      <c r="A1766" s="7" t="str">
        <f>IF(Plantilla_SCAN_EQ3_COUNT_2[[#This Row],[ID MATERIAL]]="","",SIGN(Plantilla_SCAN_EQ3_COUNT_2[[#This Row],[Cantidad]])+A1765)</f>
        <v/>
      </c>
      <c r="B1766" s="21" t="str">
        <f>IF(Plantilla_SCAN_EQ3_COUNT_2[[#This Row],[ID MATERIAL]]="","",B1765)</f>
        <v/>
      </c>
      <c r="C1766" s="21"/>
      <c r="D1766" s="21"/>
      <c r="E1766" s="7" t="str">
        <f>IF(Plantilla_SCAN_EQ3_COUNT_2[[#This Row],[ID MATERIAL]]="","",VLOOKUP(Plantilla_SCAN_EQ3_COUNT_2[[#This Row],[ID MATERIAL]],INVENTARIO!$A:$D,2,FALSE))</f>
        <v/>
      </c>
      <c r="F1766" s="7" t="str">
        <f>IF(Plantilla_SCAN_EQ3_COUNT_2[[#This Row],[ID MATERIAL]]="","",IF(Plantilla_SCAN_EQ3_COUNT_2[[#This Row],[No. Empaques]]="",1,Plantilla_SCAN_EQ3_COUNT_2[[#This Row],[No. Empaques]]*1))</f>
        <v/>
      </c>
      <c r="G1766" s="7" t="str">
        <f>IF(Plantilla_SCAN_EQ3_COUNT_2[[#This Row],[ID MATERIAL]]="","","PZ")</f>
        <v/>
      </c>
      <c r="H1766" s="7" t="str">
        <f>IF(Plantilla_SCAN_EQ3_COUNT_2[[#This Row],[ID MATERIAL]]="","",$B$13)</f>
        <v/>
      </c>
      <c r="I1766" s="7" t="str">
        <f>IF(Plantilla_SCAN_EQ3_COUNT_2[[#This Row],[ID MATERIAL]]="","","Segundo Conteo")</f>
        <v/>
      </c>
    </row>
    <row r="1767" spans="1:9" s="7" customFormat="1" ht="15" x14ac:dyDescent="0.2">
      <c r="A1767" s="7" t="str">
        <f>IF(Plantilla_SCAN_EQ3_COUNT_2[[#This Row],[ID MATERIAL]]="","",SIGN(Plantilla_SCAN_EQ3_COUNT_2[[#This Row],[Cantidad]])+A1766)</f>
        <v/>
      </c>
      <c r="B1767" s="21" t="str">
        <f>IF(Plantilla_SCAN_EQ3_COUNT_2[[#This Row],[ID MATERIAL]]="","",B1766)</f>
        <v/>
      </c>
      <c r="C1767" s="21"/>
      <c r="D1767" s="21"/>
      <c r="E1767" s="7" t="str">
        <f>IF(Plantilla_SCAN_EQ3_COUNT_2[[#This Row],[ID MATERIAL]]="","",VLOOKUP(Plantilla_SCAN_EQ3_COUNT_2[[#This Row],[ID MATERIAL]],INVENTARIO!$A:$D,2,FALSE))</f>
        <v/>
      </c>
      <c r="F1767" s="7" t="str">
        <f>IF(Plantilla_SCAN_EQ3_COUNT_2[[#This Row],[ID MATERIAL]]="","",IF(Plantilla_SCAN_EQ3_COUNT_2[[#This Row],[No. Empaques]]="",1,Plantilla_SCAN_EQ3_COUNT_2[[#This Row],[No. Empaques]]*1))</f>
        <v/>
      </c>
      <c r="G1767" s="7" t="str">
        <f>IF(Plantilla_SCAN_EQ3_COUNT_2[[#This Row],[ID MATERIAL]]="","","PZ")</f>
        <v/>
      </c>
      <c r="H1767" s="7" t="str">
        <f>IF(Plantilla_SCAN_EQ3_COUNT_2[[#This Row],[ID MATERIAL]]="","",$B$13)</f>
        <v/>
      </c>
      <c r="I1767" s="7" t="str">
        <f>IF(Plantilla_SCAN_EQ3_COUNT_2[[#This Row],[ID MATERIAL]]="","","Segundo Conteo")</f>
        <v/>
      </c>
    </row>
    <row r="1768" spans="1:9" s="7" customFormat="1" ht="15" x14ac:dyDescent="0.2">
      <c r="A1768" s="7" t="str">
        <f>IF(Plantilla_SCAN_EQ3_COUNT_2[[#This Row],[ID MATERIAL]]="","",SIGN(Plantilla_SCAN_EQ3_COUNT_2[[#This Row],[Cantidad]])+A1767)</f>
        <v/>
      </c>
      <c r="B1768" s="21" t="str">
        <f>IF(Plantilla_SCAN_EQ3_COUNT_2[[#This Row],[ID MATERIAL]]="","",B1767)</f>
        <v/>
      </c>
      <c r="C1768" s="21"/>
      <c r="D1768" s="21"/>
      <c r="E1768" s="7" t="str">
        <f>IF(Plantilla_SCAN_EQ3_COUNT_2[[#This Row],[ID MATERIAL]]="","",VLOOKUP(Plantilla_SCAN_EQ3_COUNT_2[[#This Row],[ID MATERIAL]],INVENTARIO!$A:$D,2,FALSE))</f>
        <v/>
      </c>
      <c r="F1768" s="7" t="str">
        <f>IF(Plantilla_SCAN_EQ3_COUNT_2[[#This Row],[ID MATERIAL]]="","",IF(Plantilla_SCAN_EQ3_COUNT_2[[#This Row],[No. Empaques]]="",1,Plantilla_SCAN_EQ3_COUNT_2[[#This Row],[No. Empaques]]*1))</f>
        <v/>
      </c>
      <c r="G1768" s="7" t="str">
        <f>IF(Plantilla_SCAN_EQ3_COUNT_2[[#This Row],[ID MATERIAL]]="","","PZ")</f>
        <v/>
      </c>
      <c r="H1768" s="7" t="str">
        <f>IF(Plantilla_SCAN_EQ3_COUNT_2[[#This Row],[ID MATERIAL]]="","",$B$13)</f>
        <v/>
      </c>
      <c r="I1768" s="7" t="str">
        <f>IF(Plantilla_SCAN_EQ3_COUNT_2[[#This Row],[ID MATERIAL]]="","","Segundo Conteo")</f>
        <v/>
      </c>
    </row>
    <row r="1769" spans="1:9" s="7" customFormat="1" ht="15" x14ac:dyDescent="0.2">
      <c r="A1769" s="7" t="str">
        <f>IF(Plantilla_SCAN_EQ3_COUNT_2[[#This Row],[ID MATERIAL]]="","",SIGN(Plantilla_SCAN_EQ3_COUNT_2[[#This Row],[Cantidad]])+A1768)</f>
        <v/>
      </c>
      <c r="B1769" s="21" t="str">
        <f>IF(Plantilla_SCAN_EQ3_COUNT_2[[#This Row],[ID MATERIAL]]="","",B1768)</f>
        <v/>
      </c>
      <c r="C1769" s="21"/>
      <c r="D1769" s="21"/>
      <c r="E1769" s="7" t="str">
        <f>IF(Plantilla_SCAN_EQ3_COUNT_2[[#This Row],[ID MATERIAL]]="","",VLOOKUP(Plantilla_SCAN_EQ3_COUNT_2[[#This Row],[ID MATERIAL]],INVENTARIO!$A:$D,2,FALSE))</f>
        <v/>
      </c>
      <c r="F1769" s="7" t="str">
        <f>IF(Plantilla_SCAN_EQ3_COUNT_2[[#This Row],[ID MATERIAL]]="","",IF(Plantilla_SCAN_EQ3_COUNT_2[[#This Row],[No. Empaques]]="",1,Plantilla_SCAN_EQ3_COUNT_2[[#This Row],[No. Empaques]]*1))</f>
        <v/>
      </c>
      <c r="G1769" s="7" t="str">
        <f>IF(Plantilla_SCAN_EQ3_COUNT_2[[#This Row],[ID MATERIAL]]="","","PZ")</f>
        <v/>
      </c>
      <c r="H1769" s="7" t="str">
        <f>IF(Plantilla_SCAN_EQ3_COUNT_2[[#This Row],[ID MATERIAL]]="","",$B$13)</f>
        <v/>
      </c>
      <c r="I1769" s="7" t="str">
        <f>IF(Plantilla_SCAN_EQ3_COUNT_2[[#This Row],[ID MATERIAL]]="","","Segundo Conteo")</f>
        <v/>
      </c>
    </row>
    <row r="1770" spans="1:9" s="7" customFormat="1" ht="15" x14ac:dyDescent="0.2">
      <c r="A1770" s="7" t="str">
        <f>IF(Plantilla_SCAN_EQ3_COUNT_2[[#This Row],[ID MATERIAL]]="","",SIGN(Plantilla_SCAN_EQ3_COUNT_2[[#This Row],[Cantidad]])+A1769)</f>
        <v/>
      </c>
      <c r="B1770" s="21" t="str">
        <f>IF(Plantilla_SCAN_EQ3_COUNT_2[[#This Row],[ID MATERIAL]]="","",B1769)</f>
        <v/>
      </c>
      <c r="C1770" s="21"/>
      <c r="D1770" s="21"/>
      <c r="E1770" s="7" t="str">
        <f>IF(Plantilla_SCAN_EQ3_COUNT_2[[#This Row],[ID MATERIAL]]="","",VLOOKUP(Plantilla_SCAN_EQ3_COUNT_2[[#This Row],[ID MATERIAL]],INVENTARIO!$A:$D,2,FALSE))</f>
        <v/>
      </c>
      <c r="F1770" s="7" t="str">
        <f>IF(Plantilla_SCAN_EQ3_COUNT_2[[#This Row],[ID MATERIAL]]="","",IF(Plantilla_SCAN_EQ3_COUNT_2[[#This Row],[No. Empaques]]="",1,Plantilla_SCAN_EQ3_COUNT_2[[#This Row],[No. Empaques]]*1))</f>
        <v/>
      </c>
      <c r="G1770" s="7" t="str">
        <f>IF(Plantilla_SCAN_EQ3_COUNT_2[[#This Row],[ID MATERIAL]]="","","PZ")</f>
        <v/>
      </c>
      <c r="H1770" s="7" t="str">
        <f>IF(Plantilla_SCAN_EQ3_COUNT_2[[#This Row],[ID MATERIAL]]="","",$B$13)</f>
        <v/>
      </c>
      <c r="I1770" s="7" t="str">
        <f>IF(Plantilla_SCAN_EQ3_COUNT_2[[#This Row],[ID MATERIAL]]="","","Segundo Conteo")</f>
        <v/>
      </c>
    </row>
    <row r="1771" spans="1:9" s="7" customFormat="1" ht="15" x14ac:dyDescent="0.2">
      <c r="A1771" s="7" t="str">
        <f>IF(Plantilla_SCAN_EQ3_COUNT_2[[#This Row],[ID MATERIAL]]="","",SIGN(Plantilla_SCAN_EQ3_COUNT_2[[#This Row],[Cantidad]])+A1770)</f>
        <v/>
      </c>
      <c r="B1771" s="21" t="str">
        <f>IF(Plantilla_SCAN_EQ3_COUNT_2[[#This Row],[ID MATERIAL]]="","",B1770)</f>
        <v/>
      </c>
      <c r="C1771" s="21"/>
      <c r="D1771" s="21"/>
      <c r="E1771" s="7" t="str">
        <f>IF(Plantilla_SCAN_EQ3_COUNT_2[[#This Row],[ID MATERIAL]]="","",VLOOKUP(Plantilla_SCAN_EQ3_COUNT_2[[#This Row],[ID MATERIAL]],INVENTARIO!$A:$D,2,FALSE))</f>
        <v/>
      </c>
      <c r="F1771" s="7" t="str">
        <f>IF(Plantilla_SCAN_EQ3_COUNT_2[[#This Row],[ID MATERIAL]]="","",IF(Plantilla_SCAN_EQ3_COUNT_2[[#This Row],[No. Empaques]]="",1,Plantilla_SCAN_EQ3_COUNT_2[[#This Row],[No. Empaques]]*1))</f>
        <v/>
      </c>
      <c r="G1771" s="7" t="str">
        <f>IF(Plantilla_SCAN_EQ3_COUNT_2[[#This Row],[ID MATERIAL]]="","","PZ")</f>
        <v/>
      </c>
      <c r="H1771" s="7" t="str">
        <f>IF(Plantilla_SCAN_EQ3_COUNT_2[[#This Row],[ID MATERIAL]]="","",$B$13)</f>
        <v/>
      </c>
      <c r="I1771" s="7" t="str">
        <f>IF(Plantilla_SCAN_EQ3_COUNT_2[[#This Row],[ID MATERIAL]]="","","Segundo Conteo")</f>
        <v/>
      </c>
    </row>
    <row r="1772" spans="1:9" s="7" customFormat="1" ht="15" x14ac:dyDescent="0.2">
      <c r="A1772" s="7" t="str">
        <f>IF(Plantilla_SCAN_EQ3_COUNT_2[[#This Row],[ID MATERIAL]]="","",SIGN(Plantilla_SCAN_EQ3_COUNT_2[[#This Row],[Cantidad]])+A1771)</f>
        <v/>
      </c>
      <c r="B1772" s="21" t="str">
        <f>IF(Plantilla_SCAN_EQ3_COUNT_2[[#This Row],[ID MATERIAL]]="","",B1771)</f>
        <v/>
      </c>
      <c r="C1772" s="21"/>
      <c r="D1772" s="21"/>
      <c r="E1772" s="7" t="str">
        <f>IF(Plantilla_SCAN_EQ3_COUNT_2[[#This Row],[ID MATERIAL]]="","",VLOOKUP(Plantilla_SCAN_EQ3_COUNT_2[[#This Row],[ID MATERIAL]],INVENTARIO!$A:$D,2,FALSE))</f>
        <v/>
      </c>
      <c r="F1772" s="7" t="str">
        <f>IF(Plantilla_SCAN_EQ3_COUNT_2[[#This Row],[ID MATERIAL]]="","",IF(Plantilla_SCAN_EQ3_COUNT_2[[#This Row],[No. Empaques]]="",1,Plantilla_SCAN_EQ3_COUNT_2[[#This Row],[No. Empaques]]*1))</f>
        <v/>
      </c>
      <c r="G1772" s="7" t="str">
        <f>IF(Plantilla_SCAN_EQ3_COUNT_2[[#This Row],[ID MATERIAL]]="","","PZ")</f>
        <v/>
      </c>
      <c r="H1772" s="7" t="str">
        <f>IF(Plantilla_SCAN_EQ3_COUNT_2[[#This Row],[ID MATERIAL]]="","",$B$13)</f>
        <v/>
      </c>
      <c r="I1772" s="7" t="str">
        <f>IF(Plantilla_SCAN_EQ3_COUNT_2[[#This Row],[ID MATERIAL]]="","","Segundo Conteo")</f>
        <v/>
      </c>
    </row>
    <row r="1773" spans="1:9" s="7" customFormat="1" ht="15" x14ac:dyDescent="0.2">
      <c r="A1773" s="7" t="str">
        <f>IF(Plantilla_SCAN_EQ3_COUNT_2[[#This Row],[ID MATERIAL]]="","",SIGN(Plantilla_SCAN_EQ3_COUNT_2[[#This Row],[Cantidad]])+A1772)</f>
        <v/>
      </c>
      <c r="B1773" s="21" t="str">
        <f>IF(Plantilla_SCAN_EQ3_COUNT_2[[#This Row],[ID MATERIAL]]="","",B1772)</f>
        <v/>
      </c>
      <c r="C1773" s="21"/>
      <c r="D1773" s="21"/>
      <c r="E1773" s="7" t="str">
        <f>IF(Plantilla_SCAN_EQ3_COUNT_2[[#This Row],[ID MATERIAL]]="","",VLOOKUP(Plantilla_SCAN_EQ3_COUNT_2[[#This Row],[ID MATERIAL]],INVENTARIO!$A:$D,2,FALSE))</f>
        <v/>
      </c>
      <c r="F1773" s="7" t="str">
        <f>IF(Plantilla_SCAN_EQ3_COUNT_2[[#This Row],[ID MATERIAL]]="","",IF(Plantilla_SCAN_EQ3_COUNT_2[[#This Row],[No. Empaques]]="",1,Plantilla_SCAN_EQ3_COUNT_2[[#This Row],[No. Empaques]]*1))</f>
        <v/>
      </c>
      <c r="G1773" s="7" t="str">
        <f>IF(Plantilla_SCAN_EQ3_COUNT_2[[#This Row],[ID MATERIAL]]="","","PZ")</f>
        <v/>
      </c>
      <c r="H1773" s="7" t="str">
        <f>IF(Plantilla_SCAN_EQ3_COUNT_2[[#This Row],[ID MATERIAL]]="","",$B$13)</f>
        <v/>
      </c>
      <c r="I1773" s="7" t="str">
        <f>IF(Plantilla_SCAN_EQ3_COUNT_2[[#This Row],[ID MATERIAL]]="","","Segundo Conteo")</f>
        <v/>
      </c>
    </row>
    <row r="1774" spans="1:9" s="7" customFormat="1" ht="15" x14ac:dyDescent="0.2">
      <c r="A1774" s="7" t="str">
        <f>IF(Plantilla_SCAN_EQ3_COUNT_2[[#This Row],[ID MATERIAL]]="","",SIGN(Plantilla_SCAN_EQ3_COUNT_2[[#This Row],[Cantidad]])+A1773)</f>
        <v/>
      </c>
      <c r="B1774" s="21" t="str">
        <f>IF(Plantilla_SCAN_EQ3_COUNT_2[[#This Row],[ID MATERIAL]]="","",B1773)</f>
        <v/>
      </c>
      <c r="C1774" s="21"/>
      <c r="D1774" s="21"/>
      <c r="E1774" s="7" t="str">
        <f>IF(Plantilla_SCAN_EQ3_COUNT_2[[#This Row],[ID MATERIAL]]="","",VLOOKUP(Plantilla_SCAN_EQ3_COUNT_2[[#This Row],[ID MATERIAL]],INVENTARIO!$A:$D,2,FALSE))</f>
        <v/>
      </c>
      <c r="F1774" s="7" t="str">
        <f>IF(Plantilla_SCAN_EQ3_COUNT_2[[#This Row],[ID MATERIAL]]="","",IF(Plantilla_SCAN_EQ3_COUNT_2[[#This Row],[No. Empaques]]="",1,Plantilla_SCAN_EQ3_COUNT_2[[#This Row],[No. Empaques]]*1))</f>
        <v/>
      </c>
      <c r="G1774" s="7" t="str">
        <f>IF(Plantilla_SCAN_EQ3_COUNT_2[[#This Row],[ID MATERIAL]]="","","PZ")</f>
        <v/>
      </c>
      <c r="H1774" s="7" t="str">
        <f>IF(Plantilla_SCAN_EQ3_COUNT_2[[#This Row],[ID MATERIAL]]="","",$B$13)</f>
        <v/>
      </c>
      <c r="I1774" s="7" t="str">
        <f>IF(Plantilla_SCAN_EQ3_COUNT_2[[#This Row],[ID MATERIAL]]="","","Segundo Conteo")</f>
        <v/>
      </c>
    </row>
    <row r="1775" spans="1:9" s="7" customFormat="1" ht="15" x14ac:dyDescent="0.2">
      <c r="A1775" s="7" t="str">
        <f>IF(Plantilla_SCAN_EQ3_COUNT_2[[#This Row],[ID MATERIAL]]="","",SIGN(Plantilla_SCAN_EQ3_COUNT_2[[#This Row],[Cantidad]])+A1774)</f>
        <v/>
      </c>
      <c r="B1775" s="21" t="str">
        <f>IF(Plantilla_SCAN_EQ3_COUNT_2[[#This Row],[ID MATERIAL]]="","",B1774)</f>
        <v/>
      </c>
      <c r="C1775" s="21"/>
      <c r="D1775" s="21"/>
      <c r="E1775" s="7" t="str">
        <f>IF(Plantilla_SCAN_EQ3_COUNT_2[[#This Row],[ID MATERIAL]]="","",VLOOKUP(Plantilla_SCAN_EQ3_COUNT_2[[#This Row],[ID MATERIAL]],INVENTARIO!$A:$D,2,FALSE))</f>
        <v/>
      </c>
      <c r="F1775" s="7" t="str">
        <f>IF(Plantilla_SCAN_EQ3_COUNT_2[[#This Row],[ID MATERIAL]]="","",IF(Plantilla_SCAN_EQ3_COUNT_2[[#This Row],[No. Empaques]]="",1,Plantilla_SCAN_EQ3_COUNT_2[[#This Row],[No. Empaques]]*1))</f>
        <v/>
      </c>
      <c r="G1775" s="7" t="str">
        <f>IF(Plantilla_SCAN_EQ3_COUNT_2[[#This Row],[ID MATERIAL]]="","","PZ")</f>
        <v/>
      </c>
      <c r="H1775" s="7" t="str">
        <f>IF(Plantilla_SCAN_EQ3_COUNT_2[[#This Row],[ID MATERIAL]]="","",$B$13)</f>
        <v/>
      </c>
      <c r="I1775" s="7" t="str">
        <f>IF(Plantilla_SCAN_EQ3_COUNT_2[[#This Row],[ID MATERIAL]]="","","Segundo Conteo")</f>
        <v/>
      </c>
    </row>
    <row r="1776" spans="1:9" s="7" customFormat="1" ht="15" x14ac:dyDescent="0.2">
      <c r="A1776" s="7" t="str">
        <f>IF(Plantilla_SCAN_EQ3_COUNT_2[[#This Row],[ID MATERIAL]]="","",SIGN(Plantilla_SCAN_EQ3_COUNT_2[[#This Row],[Cantidad]])+A1775)</f>
        <v/>
      </c>
      <c r="B1776" s="21" t="str">
        <f>IF(Plantilla_SCAN_EQ3_COUNT_2[[#This Row],[ID MATERIAL]]="","",B1775)</f>
        <v/>
      </c>
      <c r="C1776" s="21"/>
      <c r="D1776" s="21"/>
      <c r="E1776" s="7" t="str">
        <f>IF(Plantilla_SCAN_EQ3_COUNT_2[[#This Row],[ID MATERIAL]]="","",VLOOKUP(Plantilla_SCAN_EQ3_COUNT_2[[#This Row],[ID MATERIAL]],INVENTARIO!$A:$D,2,FALSE))</f>
        <v/>
      </c>
      <c r="F1776" s="7" t="str">
        <f>IF(Plantilla_SCAN_EQ3_COUNT_2[[#This Row],[ID MATERIAL]]="","",IF(Plantilla_SCAN_EQ3_COUNT_2[[#This Row],[No. Empaques]]="",1,Plantilla_SCAN_EQ3_COUNT_2[[#This Row],[No. Empaques]]*1))</f>
        <v/>
      </c>
      <c r="G1776" s="7" t="str">
        <f>IF(Plantilla_SCAN_EQ3_COUNT_2[[#This Row],[ID MATERIAL]]="","","PZ")</f>
        <v/>
      </c>
      <c r="H1776" s="7" t="str">
        <f>IF(Plantilla_SCAN_EQ3_COUNT_2[[#This Row],[ID MATERIAL]]="","",$B$13)</f>
        <v/>
      </c>
      <c r="I1776" s="7" t="str">
        <f>IF(Plantilla_SCAN_EQ3_COUNT_2[[#This Row],[ID MATERIAL]]="","","Segundo Conteo")</f>
        <v/>
      </c>
    </row>
    <row r="1777" spans="1:9" s="7" customFormat="1" ht="15" x14ac:dyDescent="0.2">
      <c r="A1777" s="7" t="str">
        <f>IF(Plantilla_SCAN_EQ3_COUNT_2[[#This Row],[ID MATERIAL]]="","",SIGN(Plantilla_SCAN_EQ3_COUNT_2[[#This Row],[Cantidad]])+A1776)</f>
        <v/>
      </c>
      <c r="B1777" s="21" t="str">
        <f>IF(Plantilla_SCAN_EQ3_COUNT_2[[#This Row],[ID MATERIAL]]="","",B1776)</f>
        <v/>
      </c>
      <c r="C1777" s="21"/>
      <c r="D1777" s="21"/>
      <c r="E1777" s="7" t="str">
        <f>IF(Plantilla_SCAN_EQ3_COUNT_2[[#This Row],[ID MATERIAL]]="","",VLOOKUP(Plantilla_SCAN_EQ3_COUNT_2[[#This Row],[ID MATERIAL]],INVENTARIO!$A:$D,2,FALSE))</f>
        <v/>
      </c>
      <c r="F1777" s="7" t="str">
        <f>IF(Plantilla_SCAN_EQ3_COUNT_2[[#This Row],[ID MATERIAL]]="","",IF(Plantilla_SCAN_EQ3_COUNT_2[[#This Row],[No. Empaques]]="",1,Plantilla_SCAN_EQ3_COUNT_2[[#This Row],[No. Empaques]]*1))</f>
        <v/>
      </c>
      <c r="G1777" s="7" t="str">
        <f>IF(Plantilla_SCAN_EQ3_COUNT_2[[#This Row],[ID MATERIAL]]="","","PZ")</f>
        <v/>
      </c>
      <c r="H1777" s="7" t="str">
        <f>IF(Plantilla_SCAN_EQ3_COUNT_2[[#This Row],[ID MATERIAL]]="","",$B$13)</f>
        <v/>
      </c>
      <c r="I1777" s="7" t="str">
        <f>IF(Plantilla_SCAN_EQ3_COUNT_2[[#This Row],[ID MATERIAL]]="","","Segundo Conteo")</f>
        <v/>
      </c>
    </row>
    <row r="1778" spans="1:9" s="7" customFormat="1" ht="15" x14ac:dyDescent="0.2">
      <c r="A1778" s="7" t="str">
        <f>IF(Plantilla_SCAN_EQ3_COUNT_2[[#This Row],[ID MATERIAL]]="","",SIGN(Plantilla_SCAN_EQ3_COUNT_2[[#This Row],[Cantidad]])+A1777)</f>
        <v/>
      </c>
      <c r="B1778" s="21" t="str">
        <f>IF(Plantilla_SCAN_EQ3_COUNT_2[[#This Row],[ID MATERIAL]]="","",B1777)</f>
        <v/>
      </c>
      <c r="C1778" s="21"/>
      <c r="D1778" s="21"/>
      <c r="E1778" s="7" t="str">
        <f>IF(Plantilla_SCAN_EQ3_COUNT_2[[#This Row],[ID MATERIAL]]="","",VLOOKUP(Plantilla_SCAN_EQ3_COUNT_2[[#This Row],[ID MATERIAL]],INVENTARIO!$A:$D,2,FALSE))</f>
        <v/>
      </c>
      <c r="F1778" s="7" t="str">
        <f>IF(Plantilla_SCAN_EQ3_COUNT_2[[#This Row],[ID MATERIAL]]="","",IF(Plantilla_SCAN_EQ3_COUNT_2[[#This Row],[No. Empaques]]="",1,Plantilla_SCAN_EQ3_COUNT_2[[#This Row],[No. Empaques]]*1))</f>
        <v/>
      </c>
      <c r="G1778" s="7" t="str">
        <f>IF(Plantilla_SCAN_EQ3_COUNT_2[[#This Row],[ID MATERIAL]]="","","PZ")</f>
        <v/>
      </c>
      <c r="H1778" s="7" t="str">
        <f>IF(Plantilla_SCAN_EQ3_COUNT_2[[#This Row],[ID MATERIAL]]="","",$B$13)</f>
        <v/>
      </c>
      <c r="I1778" s="7" t="str">
        <f>IF(Plantilla_SCAN_EQ3_COUNT_2[[#This Row],[ID MATERIAL]]="","","Segundo Conteo")</f>
        <v/>
      </c>
    </row>
    <row r="1779" spans="1:9" s="7" customFormat="1" ht="15" x14ac:dyDescent="0.2">
      <c r="A1779" s="7" t="str">
        <f>IF(Plantilla_SCAN_EQ3_COUNT_2[[#This Row],[ID MATERIAL]]="","",SIGN(Plantilla_SCAN_EQ3_COUNT_2[[#This Row],[Cantidad]])+A1778)</f>
        <v/>
      </c>
      <c r="B1779" s="21" t="str">
        <f>IF(Plantilla_SCAN_EQ3_COUNT_2[[#This Row],[ID MATERIAL]]="","",B1778)</f>
        <v/>
      </c>
      <c r="C1779" s="21"/>
      <c r="D1779" s="21"/>
      <c r="E1779" s="7" t="str">
        <f>IF(Plantilla_SCAN_EQ3_COUNT_2[[#This Row],[ID MATERIAL]]="","",VLOOKUP(Plantilla_SCAN_EQ3_COUNT_2[[#This Row],[ID MATERIAL]],INVENTARIO!$A:$D,2,FALSE))</f>
        <v/>
      </c>
      <c r="F1779" s="7" t="str">
        <f>IF(Plantilla_SCAN_EQ3_COUNT_2[[#This Row],[ID MATERIAL]]="","",IF(Plantilla_SCAN_EQ3_COUNT_2[[#This Row],[No. Empaques]]="",1,Plantilla_SCAN_EQ3_COUNT_2[[#This Row],[No. Empaques]]*1))</f>
        <v/>
      </c>
      <c r="G1779" s="7" t="str">
        <f>IF(Plantilla_SCAN_EQ3_COUNT_2[[#This Row],[ID MATERIAL]]="","","PZ")</f>
        <v/>
      </c>
      <c r="H1779" s="7" t="str">
        <f>IF(Plantilla_SCAN_EQ3_COUNT_2[[#This Row],[ID MATERIAL]]="","",$B$13)</f>
        <v/>
      </c>
      <c r="I1779" s="7" t="str">
        <f>IF(Plantilla_SCAN_EQ3_COUNT_2[[#This Row],[ID MATERIAL]]="","","Segundo Conteo")</f>
        <v/>
      </c>
    </row>
    <row r="1780" spans="1:9" s="7" customFormat="1" ht="15" x14ac:dyDescent="0.2">
      <c r="A1780" s="7" t="str">
        <f>IF(Plantilla_SCAN_EQ3_COUNT_2[[#This Row],[ID MATERIAL]]="","",SIGN(Plantilla_SCAN_EQ3_COUNT_2[[#This Row],[Cantidad]])+A1779)</f>
        <v/>
      </c>
      <c r="B1780" s="21" t="str">
        <f>IF(Plantilla_SCAN_EQ3_COUNT_2[[#This Row],[ID MATERIAL]]="","",B1779)</f>
        <v/>
      </c>
      <c r="C1780" s="21"/>
      <c r="D1780" s="21"/>
      <c r="E1780" s="7" t="str">
        <f>IF(Plantilla_SCAN_EQ3_COUNT_2[[#This Row],[ID MATERIAL]]="","",VLOOKUP(Plantilla_SCAN_EQ3_COUNT_2[[#This Row],[ID MATERIAL]],INVENTARIO!$A:$D,2,FALSE))</f>
        <v/>
      </c>
      <c r="F1780" s="7" t="str">
        <f>IF(Plantilla_SCAN_EQ3_COUNT_2[[#This Row],[ID MATERIAL]]="","",IF(Plantilla_SCAN_EQ3_COUNT_2[[#This Row],[No. Empaques]]="",1,Plantilla_SCAN_EQ3_COUNT_2[[#This Row],[No. Empaques]]*1))</f>
        <v/>
      </c>
      <c r="G1780" s="7" t="str">
        <f>IF(Plantilla_SCAN_EQ3_COUNT_2[[#This Row],[ID MATERIAL]]="","","PZ")</f>
        <v/>
      </c>
      <c r="H1780" s="7" t="str">
        <f>IF(Plantilla_SCAN_EQ3_COUNT_2[[#This Row],[ID MATERIAL]]="","",$B$13)</f>
        <v/>
      </c>
      <c r="I1780" s="7" t="str">
        <f>IF(Plantilla_SCAN_EQ3_COUNT_2[[#This Row],[ID MATERIAL]]="","","Segundo Conteo")</f>
        <v/>
      </c>
    </row>
    <row r="1781" spans="1:9" s="7" customFormat="1" ht="15" x14ac:dyDescent="0.2">
      <c r="A1781" s="7" t="str">
        <f>IF(Plantilla_SCAN_EQ3_COUNT_2[[#This Row],[ID MATERIAL]]="","",SIGN(Plantilla_SCAN_EQ3_COUNT_2[[#This Row],[Cantidad]])+A1780)</f>
        <v/>
      </c>
      <c r="B1781" s="21" t="str">
        <f>IF(Plantilla_SCAN_EQ3_COUNT_2[[#This Row],[ID MATERIAL]]="","",B1780)</f>
        <v/>
      </c>
      <c r="C1781" s="21"/>
      <c r="D1781" s="21"/>
      <c r="E1781" s="7" t="str">
        <f>IF(Plantilla_SCAN_EQ3_COUNT_2[[#This Row],[ID MATERIAL]]="","",VLOOKUP(Plantilla_SCAN_EQ3_COUNT_2[[#This Row],[ID MATERIAL]],INVENTARIO!$A:$D,2,FALSE))</f>
        <v/>
      </c>
      <c r="F1781" s="7" t="str">
        <f>IF(Plantilla_SCAN_EQ3_COUNT_2[[#This Row],[ID MATERIAL]]="","",IF(Plantilla_SCAN_EQ3_COUNT_2[[#This Row],[No. Empaques]]="",1,Plantilla_SCAN_EQ3_COUNT_2[[#This Row],[No. Empaques]]*1))</f>
        <v/>
      </c>
      <c r="G1781" s="7" t="str">
        <f>IF(Plantilla_SCAN_EQ3_COUNT_2[[#This Row],[ID MATERIAL]]="","","PZ")</f>
        <v/>
      </c>
      <c r="H1781" s="7" t="str">
        <f>IF(Plantilla_SCAN_EQ3_COUNT_2[[#This Row],[ID MATERIAL]]="","",$B$13)</f>
        <v/>
      </c>
      <c r="I1781" s="7" t="str">
        <f>IF(Plantilla_SCAN_EQ3_COUNT_2[[#This Row],[ID MATERIAL]]="","","Segundo Conteo")</f>
        <v/>
      </c>
    </row>
    <row r="1782" spans="1:9" s="7" customFormat="1" ht="15" x14ac:dyDescent="0.2">
      <c r="A1782" s="7" t="str">
        <f>IF(Plantilla_SCAN_EQ3_COUNT_2[[#This Row],[ID MATERIAL]]="","",SIGN(Plantilla_SCAN_EQ3_COUNT_2[[#This Row],[Cantidad]])+A1781)</f>
        <v/>
      </c>
      <c r="B1782" s="21" t="str">
        <f>IF(Plantilla_SCAN_EQ3_COUNT_2[[#This Row],[ID MATERIAL]]="","",B1781)</f>
        <v/>
      </c>
      <c r="C1782" s="21"/>
      <c r="D1782" s="21"/>
      <c r="E1782" s="7" t="str">
        <f>IF(Plantilla_SCAN_EQ3_COUNT_2[[#This Row],[ID MATERIAL]]="","",VLOOKUP(Plantilla_SCAN_EQ3_COUNT_2[[#This Row],[ID MATERIAL]],INVENTARIO!$A:$D,2,FALSE))</f>
        <v/>
      </c>
      <c r="F1782" s="7" t="str">
        <f>IF(Plantilla_SCAN_EQ3_COUNT_2[[#This Row],[ID MATERIAL]]="","",IF(Plantilla_SCAN_EQ3_COUNT_2[[#This Row],[No. Empaques]]="",1,Plantilla_SCAN_EQ3_COUNT_2[[#This Row],[No. Empaques]]*1))</f>
        <v/>
      </c>
      <c r="G1782" s="7" t="str">
        <f>IF(Plantilla_SCAN_EQ3_COUNT_2[[#This Row],[ID MATERIAL]]="","","PZ")</f>
        <v/>
      </c>
      <c r="H1782" s="7" t="str">
        <f>IF(Plantilla_SCAN_EQ3_COUNT_2[[#This Row],[ID MATERIAL]]="","",$B$13)</f>
        <v/>
      </c>
      <c r="I1782" s="7" t="str">
        <f>IF(Plantilla_SCAN_EQ3_COUNT_2[[#This Row],[ID MATERIAL]]="","","Segundo Conteo")</f>
        <v/>
      </c>
    </row>
    <row r="1783" spans="1:9" s="7" customFormat="1" ht="15" x14ac:dyDescent="0.2">
      <c r="A1783" s="7" t="str">
        <f>IF(Plantilla_SCAN_EQ3_COUNT_2[[#This Row],[ID MATERIAL]]="","",SIGN(Plantilla_SCAN_EQ3_COUNT_2[[#This Row],[Cantidad]])+A1782)</f>
        <v/>
      </c>
      <c r="B1783" s="21" t="str">
        <f>IF(Plantilla_SCAN_EQ3_COUNT_2[[#This Row],[ID MATERIAL]]="","",B1782)</f>
        <v/>
      </c>
      <c r="C1783" s="21"/>
      <c r="D1783" s="21"/>
      <c r="E1783" s="7" t="str">
        <f>IF(Plantilla_SCAN_EQ3_COUNT_2[[#This Row],[ID MATERIAL]]="","",VLOOKUP(Plantilla_SCAN_EQ3_COUNT_2[[#This Row],[ID MATERIAL]],INVENTARIO!$A:$D,2,FALSE))</f>
        <v/>
      </c>
      <c r="F1783" s="7" t="str">
        <f>IF(Plantilla_SCAN_EQ3_COUNT_2[[#This Row],[ID MATERIAL]]="","",IF(Plantilla_SCAN_EQ3_COUNT_2[[#This Row],[No. Empaques]]="",1,Plantilla_SCAN_EQ3_COUNT_2[[#This Row],[No. Empaques]]*1))</f>
        <v/>
      </c>
      <c r="G1783" s="7" t="str">
        <f>IF(Plantilla_SCAN_EQ3_COUNT_2[[#This Row],[ID MATERIAL]]="","","PZ")</f>
        <v/>
      </c>
      <c r="H1783" s="7" t="str">
        <f>IF(Plantilla_SCAN_EQ3_COUNT_2[[#This Row],[ID MATERIAL]]="","",$B$13)</f>
        <v/>
      </c>
      <c r="I1783" s="7" t="str">
        <f>IF(Plantilla_SCAN_EQ3_COUNT_2[[#This Row],[ID MATERIAL]]="","","Segundo Conteo")</f>
        <v/>
      </c>
    </row>
    <row r="1784" spans="1:9" s="7" customFormat="1" ht="15" x14ac:dyDescent="0.2">
      <c r="A1784" s="7" t="str">
        <f>IF(Plantilla_SCAN_EQ3_COUNT_2[[#This Row],[ID MATERIAL]]="","",SIGN(Plantilla_SCAN_EQ3_COUNT_2[[#This Row],[Cantidad]])+A1783)</f>
        <v/>
      </c>
      <c r="B1784" s="21" t="str">
        <f>IF(Plantilla_SCAN_EQ3_COUNT_2[[#This Row],[ID MATERIAL]]="","",B1783)</f>
        <v/>
      </c>
      <c r="C1784" s="21"/>
      <c r="D1784" s="21"/>
      <c r="E1784" s="7" t="str">
        <f>IF(Plantilla_SCAN_EQ3_COUNT_2[[#This Row],[ID MATERIAL]]="","",VLOOKUP(Plantilla_SCAN_EQ3_COUNT_2[[#This Row],[ID MATERIAL]],INVENTARIO!$A:$D,2,FALSE))</f>
        <v/>
      </c>
      <c r="F1784" s="7" t="str">
        <f>IF(Plantilla_SCAN_EQ3_COUNT_2[[#This Row],[ID MATERIAL]]="","",IF(Plantilla_SCAN_EQ3_COUNT_2[[#This Row],[No. Empaques]]="",1,Plantilla_SCAN_EQ3_COUNT_2[[#This Row],[No. Empaques]]*1))</f>
        <v/>
      </c>
      <c r="G1784" s="7" t="str">
        <f>IF(Plantilla_SCAN_EQ3_COUNT_2[[#This Row],[ID MATERIAL]]="","","PZ")</f>
        <v/>
      </c>
      <c r="H1784" s="7" t="str">
        <f>IF(Plantilla_SCAN_EQ3_COUNT_2[[#This Row],[ID MATERIAL]]="","",$B$13)</f>
        <v/>
      </c>
      <c r="I1784" s="7" t="str">
        <f>IF(Plantilla_SCAN_EQ3_COUNT_2[[#This Row],[ID MATERIAL]]="","","Segundo Conteo")</f>
        <v/>
      </c>
    </row>
    <row r="1785" spans="1:9" s="7" customFormat="1" ht="15" x14ac:dyDescent="0.2">
      <c r="A1785" s="7" t="str">
        <f>IF(Plantilla_SCAN_EQ3_COUNT_2[[#This Row],[ID MATERIAL]]="","",SIGN(Plantilla_SCAN_EQ3_COUNT_2[[#This Row],[Cantidad]])+A1784)</f>
        <v/>
      </c>
      <c r="B1785" s="21" t="str">
        <f>IF(Plantilla_SCAN_EQ3_COUNT_2[[#This Row],[ID MATERIAL]]="","",B1784)</f>
        <v/>
      </c>
      <c r="C1785" s="21"/>
      <c r="D1785" s="21"/>
      <c r="E1785" s="7" t="str">
        <f>IF(Plantilla_SCAN_EQ3_COUNT_2[[#This Row],[ID MATERIAL]]="","",VLOOKUP(Plantilla_SCAN_EQ3_COUNT_2[[#This Row],[ID MATERIAL]],INVENTARIO!$A:$D,2,FALSE))</f>
        <v/>
      </c>
      <c r="F1785" s="7" t="str">
        <f>IF(Plantilla_SCAN_EQ3_COUNT_2[[#This Row],[ID MATERIAL]]="","",IF(Plantilla_SCAN_EQ3_COUNT_2[[#This Row],[No. Empaques]]="",1,Plantilla_SCAN_EQ3_COUNT_2[[#This Row],[No. Empaques]]*1))</f>
        <v/>
      </c>
      <c r="G1785" s="7" t="str">
        <f>IF(Plantilla_SCAN_EQ3_COUNT_2[[#This Row],[ID MATERIAL]]="","","PZ")</f>
        <v/>
      </c>
      <c r="H1785" s="7" t="str">
        <f>IF(Plantilla_SCAN_EQ3_COUNT_2[[#This Row],[ID MATERIAL]]="","",$B$13)</f>
        <v/>
      </c>
      <c r="I1785" s="7" t="str">
        <f>IF(Plantilla_SCAN_EQ3_COUNT_2[[#This Row],[ID MATERIAL]]="","","Segundo Conteo")</f>
        <v/>
      </c>
    </row>
    <row r="1786" spans="1:9" s="7" customFormat="1" ht="15" x14ac:dyDescent="0.2">
      <c r="A1786" s="7" t="str">
        <f>IF(Plantilla_SCAN_EQ3_COUNT_2[[#This Row],[ID MATERIAL]]="","",SIGN(Plantilla_SCAN_EQ3_COUNT_2[[#This Row],[Cantidad]])+A1785)</f>
        <v/>
      </c>
      <c r="B1786" s="21" t="str">
        <f>IF(Plantilla_SCAN_EQ3_COUNT_2[[#This Row],[ID MATERIAL]]="","",B1785)</f>
        <v/>
      </c>
      <c r="C1786" s="21"/>
      <c r="D1786" s="21"/>
      <c r="E1786" s="7" t="str">
        <f>IF(Plantilla_SCAN_EQ3_COUNT_2[[#This Row],[ID MATERIAL]]="","",VLOOKUP(Plantilla_SCAN_EQ3_COUNT_2[[#This Row],[ID MATERIAL]],INVENTARIO!$A:$D,2,FALSE))</f>
        <v/>
      </c>
      <c r="F1786" s="7" t="str">
        <f>IF(Plantilla_SCAN_EQ3_COUNT_2[[#This Row],[ID MATERIAL]]="","",IF(Plantilla_SCAN_EQ3_COUNT_2[[#This Row],[No. Empaques]]="",1,Plantilla_SCAN_EQ3_COUNT_2[[#This Row],[No. Empaques]]*1))</f>
        <v/>
      </c>
      <c r="G1786" s="7" t="str">
        <f>IF(Plantilla_SCAN_EQ3_COUNT_2[[#This Row],[ID MATERIAL]]="","","PZ")</f>
        <v/>
      </c>
      <c r="H1786" s="7" t="str">
        <f>IF(Plantilla_SCAN_EQ3_COUNT_2[[#This Row],[ID MATERIAL]]="","",$B$13)</f>
        <v/>
      </c>
      <c r="I1786" s="7" t="str">
        <f>IF(Plantilla_SCAN_EQ3_COUNT_2[[#This Row],[ID MATERIAL]]="","","Segundo Conteo")</f>
        <v/>
      </c>
    </row>
    <row r="1787" spans="1:9" s="7" customFormat="1" ht="15" x14ac:dyDescent="0.2">
      <c r="A1787" s="7" t="str">
        <f>IF(Plantilla_SCAN_EQ3_COUNT_2[[#This Row],[ID MATERIAL]]="","",SIGN(Plantilla_SCAN_EQ3_COUNT_2[[#This Row],[Cantidad]])+A1786)</f>
        <v/>
      </c>
      <c r="B1787" s="21" t="str">
        <f>IF(Plantilla_SCAN_EQ3_COUNT_2[[#This Row],[ID MATERIAL]]="","",B1786)</f>
        <v/>
      </c>
      <c r="C1787" s="21"/>
      <c r="D1787" s="21"/>
      <c r="E1787" s="7" t="str">
        <f>IF(Plantilla_SCAN_EQ3_COUNT_2[[#This Row],[ID MATERIAL]]="","",VLOOKUP(Plantilla_SCAN_EQ3_COUNT_2[[#This Row],[ID MATERIAL]],INVENTARIO!$A:$D,2,FALSE))</f>
        <v/>
      </c>
      <c r="F1787" s="7" t="str">
        <f>IF(Plantilla_SCAN_EQ3_COUNT_2[[#This Row],[ID MATERIAL]]="","",IF(Plantilla_SCAN_EQ3_COUNT_2[[#This Row],[No. Empaques]]="",1,Plantilla_SCAN_EQ3_COUNT_2[[#This Row],[No. Empaques]]*1))</f>
        <v/>
      </c>
      <c r="G1787" s="7" t="str">
        <f>IF(Plantilla_SCAN_EQ3_COUNT_2[[#This Row],[ID MATERIAL]]="","","PZ")</f>
        <v/>
      </c>
      <c r="H1787" s="7" t="str">
        <f>IF(Plantilla_SCAN_EQ3_COUNT_2[[#This Row],[ID MATERIAL]]="","",$B$13)</f>
        <v/>
      </c>
      <c r="I1787" s="7" t="str">
        <f>IF(Plantilla_SCAN_EQ3_COUNT_2[[#This Row],[ID MATERIAL]]="","","Segundo Conteo")</f>
        <v/>
      </c>
    </row>
    <row r="1788" spans="1:9" s="7" customFormat="1" ht="15" x14ac:dyDescent="0.2">
      <c r="A1788" s="7" t="str">
        <f>IF(Plantilla_SCAN_EQ3_COUNT_2[[#This Row],[ID MATERIAL]]="","",SIGN(Plantilla_SCAN_EQ3_COUNT_2[[#This Row],[Cantidad]])+A1787)</f>
        <v/>
      </c>
      <c r="B1788" s="21" t="str">
        <f>IF(Plantilla_SCAN_EQ3_COUNT_2[[#This Row],[ID MATERIAL]]="","",B1787)</f>
        <v/>
      </c>
      <c r="C1788" s="21"/>
      <c r="D1788" s="21"/>
      <c r="E1788" s="7" t="str">
        <f>IF(Plantilla_SCAN_EQ3_COUNT_2[[#This Row],[ID MATERIAL]]="","",VLOOKUP(Plantilla_SCAN_EQ3_COUNT_2[[#This Row],[ID MATERIAL]],INVENTARIO!$A:$D,2,FALSE))</f>
        <v/>
      </c>
      <c r="F1788" s="7" t="str">
        <f>IF(Plantilla_SCAN_EQ3_COUNT_2[[#This Row],[ID MATERIAL]]="","",IF(Plantilla_SCAN_EQ3_COUNT_2[[#This Row],[No. Empaques]]="",1,Plantilla_SCAN_EQ3_COUNT_2[[#This Row],[No. Empaques]]*1))</f>
        <v/>
      </c>
      <c r="G1788" s="7" t="str">
        <f>IF(Plantilla_SCAN_EQ3_COUNT_2[[#This Row],[ID MATERIAL]]="","","PZ")</f>
        <v/>
      </c>
      <c r="H1788" s="7" t="str">
        <f>IF(Plantilla_SCAN_EQ3_COUNT_2[[#This Row],[ID MATERIAL]]="","",$B$13)</f>
        <v/>
      </c>
      <c r="I1788" s="7" t="str">
        <f>IF(Plantilla_SCAN_EQ3_COUNT_2[[#This Row],[ID MATERIAL]]="","","Segundo Conteo")</f>
        <v/>
      </c>
    </row>
    <row r="1789" spans="1:9" s="7" customFormat="1" ht="15" x14ac:dyDescent="0.2">
      <c r="A1789" s="7" t="str">
        <f>IF(Plantilla_SCAN_EQ3_COUNT_2[[#This Row],[ID MATERIAL]]="","",SIGN(Plantilla_SCAN_EQ3_COUNT_2[[#This Row],[Cantidad]])+A1788)</f>
        <v/>
      </c>
      <c r="B1789" s="21" t="str">
        <f>IF(Plantilla_SCAN_EQ3_COUNT_2[[#This Row],[ID MATERIAL]]="","",B1788)</f>
        <v/>
      </c>
      <c r="C1789" s="21"/>
      <c r="D1789" s="21"/>
      <c r="E1789" s="7" t="str">
        <f>IF(Plantilla_SCAN_EQ3_COUNT_2[[#This Row],[ID MATERIAL]]="","",VLOOKUP(Plantilla_SCAN_EQ3_COUNT_2[[#This Row],[ID MATERIAL]],INVENTARIO!$A:$D,2,FALSE))</f>
        <v/>
      </c>
      <c r="F1789" s="7" t="str">
        <f>IF(Plantilla_SCAN_EQ3_COUNT_2[[#This Row],[ID MATERIAL]]="","",IF(Plantilla_SCAN_EQ3_COUNT_2[[#This Row],[No. Empaques]]="",1,Plantilla_SCAN_EQ3_COUNT_2[[#This Row],[No. Empaques]]*1))</f>
        <v/>
      </c>
      <c r="G1789" s="7" t="str">
        <f>IF(Plantilla_SCAN_EQ3_COUNT_2[[#This Row],[ID MATERIAL]]="","","PZ")</f>
        <v/>
      </c>
      <c r="H1789" s="7" t="str">
        <f>IF(Plantilla_SCAN_EQ3_COUNT_2[[#This Row],[ID MATERIAL]]="","",$B$13)</f>
        <v/>
      </c>
      <c r="I1789" s="7" t="str">
        <f>IF(Plantilla_SCAN_EQ3_COUNT_2[[#This Row],[ID MATERIAL]]="","","Segundo Conteo")</f>
        <v/>
      </c>
    </row>
    <row r="1790" spans="1:9" s="7" customFormat="1" ht="15" x14ac:dyDescent="0.2">
      <c r="A1790" s="7" t="str">
        <f>IF(Plantilla_SCAN_EQ3_COUNT_2[[#This Row],[ID MATERIAL]]="","",SIGN(Plantilla_SCAN_EQ3_COUNT_2[[#This Row],[Cantidad]])+A1789)</f>
        <v/>
      </c>
      <c r="B1790" s="21" t="str">
        <f>IF(Plantilla_SCAN_EQ3_COUNT_2[[#This Row],[ID MATERIAL]]="","",B1789)</f>
        <v/>
      </c>
      <c r="C1790" s="21"/>
      <c r="D1790" s="21"/>
      <c r="E1790" s="7" t="str">
        <f>IF(Plantilla_SCAN_EQ3_COUNT_2[[#This Row],[ID MATERIAL]]="","",VLOOKUP(Plantilla_SCAN_EQ3_COUNT_2[[#This Row],[ID MATERIAL]],INVENTARIO!$A:$D,2,FALSE))</f>
        <v/>
      </c>
      <c r="F1790" s="7" t="str">
        <f>IF(Plantilla_SCAN_EQ3_COUNT_2[[#This Row],[ID MATERIAL]]="","",IF(Plantilla_SCAN_EQ3_COUNT_2[[#This Row],[No. Empaques]]="",1,Plantilla_SCAN_EQ3_COUNT_2[[#This Row],[No. Empaques]]*1))</f>
        <v/>
      </c>
      <c r="G1790" s="7" t="str">
        <f>IF(Plantilla_SCAN_EQ3_COUNT_2[[#This Row],[ID MATERIAL]]="","","PZ")</f>
        <v/>
      </c>
      <c r="H1790" s="7" t="str">
        <f>IF(Plantilla_SCAN_EQ3_COUNT_2[[#This Row],[ID MATERIAL]]="","",$B$13)</f>
        <v/>
      </c>
      <c r="I1790" s="7" t="str">
        <f>IF(Plantilla_SCAN_EQ3_COUNT_2[[#This Row],[ID MATERIAL]]="","","Segundo Conteo")</f>
        <v/>
      </c>
    </row>
    <row r="1791" spans="1:9" s="7" customFormat="1" ht="15" x14ac:dyDescent="0.2">
      <c r="A1791" s="7" t="str">
        <f>IF(Plantilla_SCAN_EQ3_COUNT_2[[#This Row],[ID MATERIAL]]="","",SIGN(Plantilla_SCAN_EQ3_COUNT_2[[#This Row],[Cantidad]])+A1790)</f>
        <v/>
      </c>
      <c r="B1791" s="21" t="str">
        <f>IF(Plantilla_SCAN_EQ3_COUNT_2[[#This Row],[ID MATERIAL]]="","",B1790)</f>
        <v/>
      </c>
      <c r="C1791" s="21"/>
      <c r="D1791" s="21"/>
      <c r="E1791" s="7" t="str">
        <f>IF(Plantilla_SCAN_EQ3_COUNT_2[[#This Row],[ID MATERIAL]]="","",VLOOKUP(Plantilla_SCAN_EQ3_COUNT_2[[#This Row],[ID MATERIAL]],INVENTARIO!$A:$D,2,FALSE))</f>
        <v/>
      </c>
      <c r="F1791" s="7" t="str">
        <f>IF(Plantilla_SCAN_EQ3_COUNT_2[[#This Row],[ID MATERIAL]]="","",IF(Plantilla_SCAN_EQ3_COUNT_2[[#This Row],[No. Empaques]]="",1,Plantilla_SCAN_EQ3_COUNT_2[[#This Row],[No. Empaques]]*1))</f>
        <v/>
      </c>
      <c r="G1791" s="7" t="str">
        <f>IF(Plantilla_SCAN_EQ3_COUNT_2[[#This Row],[ID MATERIAL]]="","","PZ")</f>
        <v/>
      </c>
      <c r="H1791" s="7" t="str">
        <f>IF(Plantilla_SCAN_EQ3_COUNT_2[[#This Row],[ID MATERIAL]]="","",$B$13)</f>
        <v/>
      </c>
      <c r="I1791" s="7" t="str">
        <f>IF(Plantilla_SCAN_EQ3_COUNT_2[[#This Row],[ID MATERIAL]]="","","Segundo Conteo")</f>
        <v/>
      </c>
    </row>
    <row r="1792" spans="1:9" s="7" customFormat="1" ht="15" x14ac:dyDescent="0.2">
      <c r="A1792" s="7" t="str">
        <f>IF(Plantilla_SCAN_EQ3_COUNT_2[[#This Row],[ID MATERIAL]]="","",SIGN(Plantilla_SCAN_EQ3_COUNT_2[[#This Row],[Cantidad]])+A1791)</f>
        <v/>
      </c>
      <c r="B1792" s="21" t="str">
        <f>IF(Plantilla_SCAN_EQ3_COUNT_2[[#This Row],[ID MATERIAL]]="","",B1791)</f>
        <v/>
      </c>
      <c r="C1792" s="21"/>
      <c r="D1792" s="21"/>
      <c r="E1792" s="7" t="str">
        <f>IF(Plantilla_SCAN_EQ3_COUNT_2[[#This Row],[ID MATERIAL]]="","",VLOOKUP(Plantilla_SCAN_EQ3_COUNT_2[[#This Row],[ID MATERIAL]],INVENTARIO!$A:$D,2,FALSE))</f>
        <v/>
      </c>
      <c r="F1792" s="7" t="str">
        <f>IF(Plantilla_SCAN_EQ3_COUNT_2[[#This Row],[ID MATERIAL]]="","",IF(Plantilla_SCAN_EQ3_COUNT_2[[#This Row],[No. Empaques]]="",1,Plantilla_SCAN_EQ3_COUNT_2[[#This Row],[No. Empaques]]*1))</f>
        <v/>
      </c>
      <c r="G1792" s="7" t="str">
        <f>IF(Plantilla_SCAN_EQ3_COUNT_2[[#This Row],[ID MATERIAL]]="","","PZ")</f>
        <v/>
      </c>
      <c r="H1792" s="7" t="str">
        <f>IF(Plantilla_SCAN_EQ3_COUNT_2[[#This Row],[ID MATERIAL]]="","",$B$13)</f>
        <v/>
      </c>
      <c r="I1792" s="7" t="str">
        <f>IF(Plantilla_SCAN_EQ3_COUNT_2[[#This Row],[ID MATERIAL]]="","","Segundo Conteo")</f>
        <v/>
      </c>
    </row>
    <row r="1793" spans="1:9" s="7" customFormat="1" ht="15" x14ac:dyDescent="0.2">
      <c r="A1793" s="7" t="str">
        <f>IF(Plantilla_SCAN_EQ3_COUNT_2[[#This Row],[ID MATERIAL]]="","",SIGN(Plantilla_SCAN_EQ3_COUNT_2[[#This Row],[Cantidad]])+A1792)</f>
        <v/>
      </c>
      <c r="B1793" s="21" t="str">
        <f>IF(Plantilla_SCAN_EQ3_COUNT_2[[#This Row],[ID MATERIAL]]="","",B1792)</f>
        <v/>
      </c>
      <c r="C1793" s="21"/>
      <c r="D1793" s="21"/>
      <c r="E1793" s="7" t="str">
        <f>IF(Plantilla_SCAN_EQ3_COUNT_2[[#This Row],[ID MATERIAL]]="","",VLOOKUP(Plantilla_SCAN_EQ3_COUNT_2[[#This Row],[ID MATERIAL]],INVENTARIO!$A:$D,2,FALSE))</f>
        <v/>
      </c>
      <c r="F1793" s="7" t="str">
        <f>IF(Plantilla_SCAN_EQ3_COUNT_2[[#This Row],[ID MATERIAL]]="","",IF(Plantilla_SCAN_EQ3_COUNT_2[[#This Row],[No. Empaques]]="",1,Plantilla_SCAN_EQ3_COUNT_2[[#This Row],[No. Empaques]]*1))</f>
        <v/>
      </c>
      <c r="G1793" s="7" t="str">
        <f>IF(Plantilla_SCAN_EQ3_COUNT_2[[#This Row],[ID MATERIAL]]="","","PZ")</f>
        <v/>
      </c>
      <c r="H1793" s="7" t="str">
        <f>IF(Plantilla_SCAN_EQ3_COUNT_2[[#This Row],[ID MATERIAL]]="","",$B$13)</f>
        <v/>
      </c>
      <c r="I1793" s="7" t="str">
        <f>IF(Plantilla_SCAN_EQ3_COUNT_2[[#This Row],[ID MATERIAL]]="","","Segundo Conteo")</f>
        <v/>
      </c>
    </row>
    <row r="1794" spans="1:9" s="7" customFormat="1" ht="15" x14ac:dyDescent="0.2">
      <c r="A1794" s="7" t="str">
        <f>IF(Plantilla_SCAN_EQ3_COUNT_2[[#This Row],[ID MATERIAL]]="","",SIGN(Plantilla_SCAN_EQ3_COUNT_2[[#This Row],[Cantidad]])+A1793)</f>
        <v/>
      </c>
      <c r="B1794" s="21" t="str">
        <f>IF(Plantilla_SCAN_EQ3_COUNT_2[[#This Row],[ID MATERIAL]]="","",B1793)</f>
        <v/>
      </c>
      <c r="C1794" s="21"/>
      <c r="D1794" s="21"/>
      <c r="E1794" s="7" t="str">
        <f>IF(Plantilla_SCAN_EQ3_COUNT_2[[#This Row],[ID MATERIAL]]="","",VLOOKUP(Plantilla_SCAN_EQ3_COUNT_2[[#This Row],[ID MATERIAL]],INVENTARIO!$A:$D,2,FALSE))</f>
        <v/>
      </c>
      <c r="F1794" s="7" t="str">
        <f>IF(Plantilla_SCAN_EQ3_COUNT_2[[#This Row],[ID MATERIAL]]="","",IF(Plantilla_SCAN_EQ3_COUNT_2[[#This Row],[No. Empaques]]="",1,Plantilla_SCAN_EQ3_COUNT_2[[#This Row],[No. Empaques]]*1))</f>
        <v/>
      </c>
      <c r="G1794" s="7" t="str">
        <f>IF(Plantilla_SCAN_EQ3_COUNT_2[[#This Row],[ID MATERIAL]]="","","PZ")</f>
        <v/>
      </c>
      <c r="H1794" s="7" t="str">
        <f>IF(Plantilla_SCAN_EQ3_COUNT_2[[#This Row],[ID MATERIAL]]="","",$B$13)</f>
        <v/>
      </c>
      <c r="I1794" s="7" t="str">
        <f>IF(Plantilla_SCAN_EQ3_COUNT_2[[#This Row],[ID MATERIAL]]="","","Segundo Conteo")</f>
        <v/>
      </c>
    </row>
    <row r="1795" spans="1:9" s="7" customFormat="1" ht="15" x14ac:dyDescent="0.2">
      <c r="A1795" s="7" t="str">
        <f>IF(Plantilla_SCAN_EQ3_COUNT_2[[#This Row],[ID MATERIAL]]="","",SIGN(Plantilla_SCAN_EQ3_COUNT_2[[#This Row],[Cantidad]])+A1794)</f>
        <v/>
      </c>
      <c r="B1795" s="21" t="str">
        <f>IF(Plantilla_SCAN_EQ3_COUNT_2[[#This Row],[ID MATERIAL]]="","",B1794)</f>
        <v/>
      </c>
      <c r="C1795" s="21"/>
      <c r="D1795" s="21"/>
      <c r="E1795" s="7" t="str">
        <f>IF(Plantilla_SCAN_EQ3_COUNT_2[[#This Row],[ID MATERIAL]]="","",VLOOKUP(Plantilla_SCAN_EQ3_COUNT_2[[#This Row],[ID MATERIAL]],INVENTARIO!$A:$D,2,FALSE))</f>
        <v/>
      </c>
      <c r="F1795" s="7" t="str">
        <f>IF(Plantilla_SCAN_EQ3_COUNT_2[[#This Row],[ID MATERIAL]]="","",IF(Plantilla_SCAN_EQ3_COUNT_2[[#This Row],[No. Empaques]]="",1,Plantilla_SCAN_EQ3_COUNT_2[[#This Row],[No. Empaques]]*1))</f>
        <v/>
      </c>
      <c r="G1795" s="7" t="str">
        <f>IF(Plantilla_SCAN_EQ3_COUNT_2[[#This Row],[ID MATERIAL]]="","","PZ")</f>
        <v/>
      </c>
      <c r="H1795" s="7" t="str">
        <f>IF(Plantilla_SCAN_EQ3_COUNT_2[[#This Row],[ID MATERIAL]]="","",$B$13)</f>
        <v/>
      </c>
      <c r="I1795" s="7" t="str">
        <f>IF(Plantilla_SCAN_EQ3_COUNT_2[[#This Row],[ID MATERIAL]]="","","Segundo Conteo")</f>
        <v/>
      </c>
    </row>
    <row r="1796" spans="1:9" s="7" customFormat="1" ht="15" x14ac:dyDescent="0.2">
      <c r="A1796" s="7" t="str">
        <f>IF(Plantilla_SCAN_EQ3_COUNT_2[[#This Row],[ID MATERIAL]]="","",SIGN(Plantilla_SCAN_EQ3_COUNT_2[[#This Row],[Cantidad]])+A1795)</f>
        <v/>
      </c>
      <c r="B1796" s="21" t="str">
        <f>IF(Plantilla_SCAN_EQ3_COUNT_2[[#This Row],[ID MATERIAL]]="","",B1795)</f>
        <v/>
      </c>
      <c r="C1796" s="21"/>
      <c r="D1796" s="21"/>
      <c r="E1796" s="7" t="str">
        <f>IF(Plantilla_SCAN_EQ3_COUNT_2[[#This Row],[ID MATERIAL]]="","",VLOOKUP(Plantilla_SCAN_EQ3_COUNT_2[[#This Row],[ID MATERIAL]],INVENTARIO!$A:$D,2,FALSE))</f>
        <v/>
      </c>
      <c r="F1796" s="7" t="str">
        <f>IF(Plantilla_SCAN_EQ3_COUNT_2[[#This Row],[ID MATERIAL]]="","",IF(Plantilla_SCAN_EQ3_COUNT_2[[#This Row],[No. Empaques]]="",1,Plantilla_SCAN_EQ3_COUNT_2[[#This Row],[No. Empaques]]*1))</f>
        <v/>
      </c>
      <c r="G1796" s="7" t="str">
        <f>IF(Plantilla_SCAN_EQ3_COUNT_2[[#This Row],[ID MATERIAL]]="","","PZ")</f>
        <v/>
      </c>
      <c r="H1796" s="7" t="str">
        <f>IF(Plantilla_SCAN_EQ3_COUNT_2[[#This Row],[ID MATERIAL]]="","",$B$13)</f>
        <v/>
      </c>
      <c r="I1796" s="7" t="str">
        <f>IF(Plantilla_SCAN_EQ3_COUNT_2[[#This Row],[ID MATERIAL]]="","","Segundo Conteo")</f>
        <v/>
      </c>
    </row>
    <row r="1797" spans="1:9" s="7" customFormat="1" ht="15" x14ac:dyDescent="0.2">
      <c r="A1797" s="7" t="str">
        <f>IF(Plantilla_SCAN_EQ3_COUNT_2[[#This Row],[ID MATERIAL]]="","",SIGN(Plantilla_SCAN_EQ3_COUNT_2[[#This Row],[Cantidad]])+A1796)</f>
        <v/>
      </c>
      <c r="B1797" s="21" t="str">
        <f>IF(Plantilla_SCAN_EQ3_COUNT_2[[#This Row],[ID MATERIAL]]="","",B1796)</f>
        <v/>
      </c>
      <c r="C1797" s="21"/>
      <c r="D1797" s="21"/>
      <c r="E1797" s="7" t="str">
        <f>IF(Plantilla_SCAN_EQ3_COUNT_2[[#This Row],[ID MATERIAL]]="","",VLOOKUP(Plantilla_SCAN_EQ3_COUNT_2[[#This Row],[ID MATERIAL]],INVENTARIO!$A:$D,2,FALSE))</f>
        <v/>
      </c>
      <c r="F1797" s="7" t="str">
        <f>IF(Plantilla_SCAN_EQ3_COUNT_2[[#This Row],[ID MATERIAL]]="","",IF(Plantilla_SCAN_EQ3_COUNT_2[[#This Row],[No. Empaques]]="",1,Plantilla_SCAN_EQ3_COUNT_2[[#This Row],[No. Empaques]]*1))</f>
        <v/>
      </c>
      <c r="G1797" s="7" t="str">
        <f>IF(Plantilla_SCAN_EQ3_COUNT_2[[#This Row],[ID MATERIAL]]="","","PZ")</f>
        <v/>
      </c>
      <c r="H1797" s="7" t="str">
        <f>IF(Plantilla_SCAN_EQ3_COUNT_2[[#This Row],[ID MATERIAL]]="","",$B$13)</f>
        <v/>
      </c>
      <c r="I1797" s="7" t="str">
        <f>IF(Plantilla_SCAN_EQ3_COUNT_2[[#This Row],[ID MATERIAL]]="","","Segundo Conteo")</f>
        <v/>
      </c>
    </row>
    <row r="1798" spans="1:9" s="7" customFormat="1" ht="15" x14ac:dyDescent="0.2">
      <c r="A1798" s="7" t="str">
        <f>IF(Plantilla_SCAN_EQ3_COUNT_2[[#This Row],[ID MATERIAL]]="","",SIGN(Plantilla_SCAN_EQ3_COUNT_2[[#This Row],[Cantidad]])+A1797)</f>
        <v/>
      </c>
      <c r="B1798" s="21" t="str">
        <f>IF(Plantilla_SCAN_EQ3_COUNT_2[[#This Row],[ID MATERIAL]]="","",B1797)</f>
        <v/>
      </c>
      <c r="C1798" s="21"/>
      <c r="D1798" s="21"/>
      <c r="E1798" s="7" t="str">
        <f>IF(Plantilla_SCAN_EQ3_COUNT_2[[#This Row],[ID MATERIAL]]="","",VLOOKUP(Plantilla_SCAN_EQ3_COUNT_2[[#This Row],[ID MATERIAL]],INVENTARIO!$A:$D,2,FALSE))</f>
        <v/>
      </c>
      <c r="F1798" s="7" t="str">
        <f>IF(Plantilla_SCAN_EQ3_COUNT_2[[#This Row],[ID MATERIAL]]="","",IF(Plantilla_SCAN_EQ3_COUNT_2[[#This Row],[No. Empaques]]="",1,Plantilla_SCAN_EQ3_COUNT_2[[#This Row],[No. Empaques]]*1))</f>
        <v/>
      </c>
      <c r="G1798" s="7" t="str">
        <f>IF(Plantilla_SCAN_EQ3_COUNT_2[[#This Row],[ID MATERIAL]]="","","PZ")</f>
        <v/>
      </c>
      <c r="H1798" s="7" t="str">
        <f>IF(Plantilla_SCAN_EQ3_COUNT_2[[#This Row],[ID MATERIAL]]="","",$B$13)</f>
        <v/>
      </c>
      <c r="I1798" s="7" t="str">
        <f>IF(Plantilla_SCAN_EQ3_COUNT_2[[#This Row],[ID MATERIAL]]="","","Segundo Conteo")</f>
        <v/>
      </c>
    </row>
    <row r="1799" spans="1:9" s="7" customFormat="1" ht="15" x14ac:dyDescent="0.2">
      <c r="A1799" s="7" t="str">
        <f>IF(Plantilla_SCAN_EQ3_COUNT_2[[#This Row],[ID MATERIAL]]="","",SIGN(Plantilla_SCAN_EQ3_COUNT_2[[#This Row],[Cantidad]])+A1798)</f>
        <v/>
      </c>
      <c r="B1799" s="21" t="str">
        <f>IF(Plantilla_SCAN_EQ3_COUNT_2[[#This Row],[ID MATERIAL]]="","",B1798)</f>
        <v/>
      </c>
      <c r="C1799" s="21"/>
      <c r="D1799" s="21"/>
      <c r="E1799" s="7" t="str">
        <f>IF(Plantilla_SCAN_EQ3_COUNT_2[[#This Row],[ID MATERIAL]]="","",VLOOKUP(Plantilla_SCAN_EQ3_COUNT_2[[#This Row],[ID MATERIAL]],INVENTARIO!$A:$D,2,FALSE))</f>
        <v/>
      </c>
      <c r="F1799" s="7" t="str">
        <f>IF(Plantilla_SCAN_EQ3_COUNT_2[[#This Row],[ID MATERIAL]]="","",IF(Plantilla_SCAN_EQ3_COUNT_2[[#This Row],[No. Empaques]]="",1,Plantilla_SCAN_EQ3_COUNT_2[[#This Row],[No. Empaques]]*1))</f>
        <v/>
      </c>
      <c r="G1799" s="7" t="str">
        <f>IF(Plantilla_SCAN_EQ3_COUNT_2[[#This Row],[ID MATERIAL]]="","","PZ")</f>
        <v/>
      </c>
      <c r="H1799" s="7" t="str">
        <f>IF(Plantilla_SCAN_EQ3_COUNT_2[[#This Row],[ID MATERIAL]]="","",$B$13)</f>
        <v/>
      </c>
      <c r="I1799" s="7" t="str">
        <f>IF(Plantilla_SCAN_EQ3_COUNT_2[[#This Row],[ID MATERIAL]]="","","Segundo Conteo")</f>
        <v/>
      </c>
    </row>
    <row r="1800" spans="1:9" s="7" customFormat="1" ht="15" x14ac:dyDescent="0.2">
      <c r="A1800" s="7" t="str">
        <f>IF(Plantilla_SCAN_EQ3_COUNT_2[[#This Row],[ID MATERIAL]]="","",SIGN(Plantilla_SCAN_EQ3_COUNT_2[[#This Row],[Cantidad]])+A1799)</f>
        <v/>
      </c>
      <c r="B1800" s="21" t="str">
        <f>IF(Plantilla_SCAN_EQ3_COUNT_2[[#This Row],[ID MATERIAL]]="","",B1799)</f>
        <v/>
      </c>
      <c r="C1800" s="21"/>
      <c r="D1800" s="21"/>
      <c r="E1800" s="7" t="str">
        <f>IF(Plantilla_SCAN_EQ3_COUNT_2[[#This Row],[ID MATERIAL]]="","",VLOOKUP(Plantilla_SCAN_EQ3_COUNT_2[[#This Row],[ID MATERIAL]],INVENTARIO!$A:$D,2,FALSE))</f>
        <v/>
      </c>
      <c r="F1800" s="7" t="str">
        <f>IF(Plantilla_SCAN_EQ3_COUNT_2[[#This Row],[ID MATERIAL]]="","",IF(Plantilla_SCAN_EQ3_COUNT_2[[#This Row],[No. Empaques]]="",1,Plantilla_SCAN_EQ3_COUNT_2[[#This Row],[No. Empaques]]*1))</f>
        <v/>
      </c>
      <c r="G1800" s="7" t="str">
        <f>IF(Plantilla_SCAN_EQ3_COUNT_2[[#This Row],[ID MATERIAL]]="","","PZ")</f>
        <v/>
      </c>
      <c r="H1800" s="7" t="str">
        <f>IF(Plantilla_SCAN_EQ3_COUNT_2[[#This Row],[ID MATERIAL]]="","",$B$13)</f>
        <v/>
      </c>
      <c r="I1800" s="7" t="str">
        <f>IF(Plantilla_SCAN_EQ3_COUNT_2[[#This Row],[ID MATERIAL]]="","","Segundo Conteo")</f>
        <v/>
      </c>
    </row>
    <row r="1801" spans="1:9" s="7" customFormat="1" ht="15" x14ac:dyDescent="0.2">
      <c r="A1801" s="7" t="str">
        <f>IF(Plantilla_SCAN_EQ3_COUNT_2[[#This Row],[ID MATERIAL]]="","",SIGN(Plantilla_SCAN_EQ3_COUNT_2[[#This Row],[Cantidad]])+A1800)</f>
        <v/>
      </c>
      <c r="B1801" s="21" t="str">
        <f>IF(Plantilla_SCAN_EQ3_COUNT_2[[#This Row],[ID MATERIAL]]="","",B1800)</f>
        <v/>
      </c>
      <c r="C1801" s="21"/>
      <c r="D1801" s="21"/>
      <c r="E1801" s="7" t="str">
        <f>IF(Plantilla_SCAN_EQ3_COUNT_2[[#This Row],[ID MATERIAL]]="","",VLOOKUP(Plantilla_SCAN_EQ3_COUNT_2[[#This Row],[ID MATERIAL]],INVENTARIO!$A:$D,2,FALSE))</f>
        <v/>
      </c>
      <c r="F1801" s="7" t="str">
        <f>IF(Plantilla_SCAN_EQ3_COUNT_2[[#This Row],[ID MATERIAL]]="","",IF(Plantilla_SCAN_EQ3_COUNT_2[[#This Row],[No. Empaques]]="",1,Plantilla_SCAN_EQ3_COUNT_2[[#This Row],[No. Empaques]]*1))</f>
        <v/>
      </c>
      <c r="G1801" s="7" t="str">
        <f>IF(Plantilla_SCAN_EQ3_COUNT_2[[#This Row],[ID MATERIAL]]="","","PZ")</f>
        <v/>
      </c>
      <c r="H1801" s="7" t="str">
        <f>IF(Plantilla_SCAN_EQ3_COUNT_2[[#This Row],[ID MATERIAL]]="","",$B$13)</f>
        <v/>
      </c>
      <c r="I1801" s="7" t="str">
        <f>IF(Plantilla_SCAN_EQ3_COUNT_2[[#This Row],[ID MATERIAL]]="","","Segundo Conteo")</f>
        <v/>
      </c>
    </row>
    <row r="1802" spans="1:9" s="7" customFormat="1" ht="15" x14ac:dyDescent="0.2">
      <c r="A1802" s="7" t="str">
        <f>IF(Plantilla_SCAN_EQ3_COUNT_2[[#This Row],[ID MATERIAL]]="","",SIGN(Plantilla_SCAN_EQ3_COUNT_2[[#This Row],[Cantidad]])+A1801)</f>
        <v/>
      </c>
      <c r="B1802" s="21" t="str">
        <f>IF(Plantilla_SCAN_EQ3_COUNT_2[[#This Row],[ID MATERIAL]]="","",B1801)</f>
        <v/>
      </c>
      <c r="C1802" s="21"/>
      <c r="D1802" s="21"/>
      <c r="E1802" s="7" t="str">
        <f>IF(Plantilla_SCAN_EQ3_COUNT_2[[#This Row],[ID MATERIAL]]="","",VLOOKUP(Plantilla_SCAN_EQ3_COUNT_2[[#This Row],[ID MATERIAL]],INVENTARIO!$A:$D,2,FALSE))</f>
        <v/>
      </c>
      <c r="F1802" s="7" t="str">
        <f>IF(Plantilla_SCAN_EQ3_COUNT_2[[#This Row],[ID MATERIAL]]="","",IF(Plantilla_SCAN_EQ3_COUNT_2[[#This Row],[No. Empaques]]="",1,Plantilla_SCAN_EQ3_COUNT_2[[#This Row],[No. Empaques]]*1))</f>
        <v/>
      </c>
      <c r="G1802" s="7" t="str">
        <f>IF(Plantilla_SCAN_EQ3_COUNT_2[[#This Row],[ID MATERIAL]]="","","PZ")</f>
        <v/>
      </c>
      <c r="H1802" s="7" t="str">
        <f>IF(Plantilla_SCAN_EQ3_COUNT_2[[#This Row],[ID MATERIAL]]="","",$B$13)</f>
        <v/>
      </c>
      <c r="I1802" s="7" t="str">
        <f>IF(Plantilla_SCAN_EQ3_COUNT_2[[#This Row],[ID MATERIAL]]="","","Segundo Conteo")</f>
        <v/>
      </c>
    </row>
    <row r="1803" spans="1:9" s="7" customFormat="1" ht="15" x14ac:dyDescent="0.2">
      <c r="A1803" s="7" t="str">
        <f>IF(Plantilla_SCAN_EQ3_COUNT_2[[#This Row],[ID MATERIAL]]="","",SIGN(Plantilla_SCAN_EQ3_COUNT_2[[#This Row],[Cantidad]])+A1802)</f>
        <v/>
      </c>
      <c r="B1803" s="21" t="str">
        <f>IF(Plantilla_SCAN_EQ3_COUNT_2[[#This Row],[ID MATERIAL]]="","",B1802)</f>
        <v/>
      </c>
      <c r="C1803" s="21"/>
      <c r="D1803" s="21"/>
      <c r="E1803" s="7" t="str">
        <f>IF(Plantilla_SCAN_EQ3_COUNT_2[[#This Row],[ID MATERIAL]]="","",VLOOKUP(Plantilla_SCAN_EQ3_COUNT_2[[#This Row],[ID MATERIAL]],INVENTARIO!$A:$D,2,FALSE))</f>
        <v/>
      </c>
      <c r="F1803" s="7" t="str">
        <f>IF(Plantilla_SCAN_EQ3_COUNT_2[[#This Row],[ID MATERIAL]]="","",IF(Plantilla_SCAN_EQ3_COUNT_2[[#This Row],[No. Empaques]]="",1,Plantilla_SCAN_EQ3_COUNT_2[[#This Row],[No. Empaques]]*1))</f>
        <v/>
      </c>
      <c r="G1803" s="7" t="str">
        <f>IF(Plantilla_SCAN_EQ3_COUNT_2[[#This Row],[ID MATERIAL]]="","","PZ")</f>
        <v/>
      </c>
      <c r="H1803" s="7" t="str">
        <f>IF(Plantilla_SCAN_EQ3_COUNT_2[[#This Row],[ID MATERIAL]]="","",$B$13)</f>
        <v/>
      </c>
      <c r="I1803" s="7" t="str">
        <f>IF(Plantilla_SCAN_EQ3_COUNT_2[[#This Row],[ID MATERIAL]]="","","Segundo Conteo")</f>
        <v/>
      </c>
    </row>
    <row r="1804" spans="1:9" s="7" customFormat="1" ht="15" x14ac:dyDescent="0.2">
      <c r="A1804" s="7" t="str">
        <f>IF(Plantilla_SCAN_EQ3_COUNT_2[[#This Row],[ID MATERIAL]]="","",SIGN(Plantilla_SCAN_EQ3_COUNT_2[[#This Row],[Cantidad]])+A1803)</f>
        <v/>
      </c>
      <c r="B1804" s="21" t="str">
        <f>IF(Plantilla_SCAN_EQ3_COUNT_2[[#This Row],[ID MATERIAL]]="","",B1803)</f>
        <v/>
      </c>
      <c r="C1804" s="21"/>
      <c r="D1804" s="21"/>
      <c r="E1804" s="7" t="str">
        <f>IF(Plantilla_SCAN_EQ3_COUNT_2[[#This Row],[ID MATERIAL]]="","",VLOOKUP(Plantilla_SCAN_EQ3_COUNT_2[[#This Row],[ID MATERIAL]],INVENTARIO!$A:$D,2,FALSE))</f>
        <v/>
      </c>
      <c r="F1804" s="7" t="str">
        <f>IF(Plantilla_SCAN_EQ3_COUNT_2[[#This Row],[ID MATERIAL]]="","",IF(Plantilla_SCAN_EQ3_COUNT_2[[#This Row],[No. Empaques]]="",1,Plantilla_SCAN_EQ3_COUNT_2[[#This Row],[No. Empaques]]*1))</f>
        <v/>
      </c>
      <c r="G1804" s="7" t="str">
        <f>IF(Plantilla_SCAN_EQ3_COUNT_2[[#This Row],[ID MATERIAL]]="","","PZ")</f>
        <v/>
      </c>
      <c r="H1804" s="7" t="str">
        <f>IF(Plantilla_SCAN_EQ3_COUNT_2[[#This Row],[ID MATERIAL]]="","",$B$13)</f>
        <v/>
      </c>
      <c r="I1804" s="7" t="str">
        <f>IF(Plantilla_SCAN_EQ3_COUNT_2[[#This Row],[ID MATERIAL]]="","","Segundo Conteo")</f>
        <v/>
      </c>
    </row>
    <row r="1805" spans="1:9" s="7" customFormat="1" ht="15" x14ac:dyDescent="0.2">
      <c r="A1805" s="7" t="str">
        <f>IF(Plantilla_SCAN_EQ3_COUNT_2[[#This Row],[ID MATERIAL]]="","",SIGN(Plantilla_SCAN_EQ3_COUNT_2[[#This Row],[Cantidad]])+A1804)</f>
        <v/>
      </c>
      <c r="B1805" s="21" t="str">
        <f>IF(Plantilla_SCAN_EQ3_COUNT_2[[#This Row],[ID MATERIAL]]="","",B1804)</f>
        <v/>
      </c>
      <c r="C1805" s="21"/>
      <c r="D1805" s="21"/>
      <c r="E1805" s="7" t="str">
        <f>IF(Plantilla_SCAN_EQ3_COUNT_2[[#This Row],[ID MATERIAL]]="","",VLOOKUP(Plantilla_SCAN_EQ3_COUNT_2[[#This Row],[ID MATERIAL]],INVENTARIO!$A:$D,2,FALSE))</f>
        <v/>
      </c>
      <c r="F1805" s="7" t="str">
        <f>IF(Plantilla_SCAN_EQ3_COUNT_2[[#This Row],[ID MATERIAL]]="","",IF(Plantilla_SCAN_EQ3_COUNT_2[[#This Row],[No. Empaques]]="",1,Plantilla_SCAN_EQ3_COUNT_2[[#This Row],[No. Empaques]]*1))</f>
        <v/>
      </c>
      <c r="G1805" s="7" t="str">
        <f>IF(Plantilla_SCAN_EQ3_COUNT_2[[#This Row],[ID MATERIAL]]="","","PZ")</f>
        <v/>
      </c>
      <c r="H1805" s="7" t="str">
        <f>IF(Plantilla_SCAN_EQ3_COUNT_2[[#This Row],[ID MATERIAL]]="","",$B$13)</f>
        <v/>
      </c>
      <c r="I1805" s="7" t="str">
        <f>IF(Plantilla_SCAN_EQ3_COUNT_2[[#This Row],[ID MATERIAL]]="","","Segundo Conteo")</f>
        <v/>
      </c>
    </row>
    <row r="1806" spans="1:9" s="7" customFormat="1" ht="15" x14ac:dyDescent="0.2">
      <c r="A1806" s="7" t="str">
        <f>IF(Plantilla_SCAN_EQ3_COUNT_2[[#This Row],[ID MATERIAL]]="","",SIGN(Plantilla_SCAN_EQ3_COUNT_2[[#This Row],[Cantidad]])+A1805)</f>
        <v/>
      </c>
      <c r="B1806" s="21" t="str">
        <f>IF(Plantilla_SCAN_EQ3_COUNT_2[[#This Row],[ID MATERIAL]]="","",B1805)</f>
        <v/>
      </c>
      <c r="C1806" s="21"/>
      <c r="D1806" s="21"/>
      <c r="E1806" s="7" t="str">
        <f>IF(Plantilla_SCAN_EQ3_COUNT_2[[#This Row],[ID MATERIAL]]="","",VLOOKUP(Plantilla_SCAN_EQ3_COUNT_2[[#This Row],[ID MATERIAL]],INVENTARIO!$A:$D,2,FALSE))</f>
        <v/>
      </c>
      <c r="F1806" s="7" t="str">
        <f>IF(Plantilla_SCAN_EQ3_COUNT_2[[#This Row],[ID MATERIAL]]="","",IF(Plantilla_SCAN_EQ3_COUNT_2[[#This Row],[No. Empaques]]="",1,Plantilla_SCAN_EQ3_COUNT_2[[#This Row],[No. Empaques]]*1))</f>
        <v/>
      </c>
      <c r="G1806" s="7" t="str">
        <f>IF(Plantilla_SCAN_EQ3_COUNT_2[[#This Row],[ID MATERIAL]]="","","PZ")</f>
        <v/>
      </c>
      <c r="H1806" s="7" t="str">
        <f>IF(Plantilla_SCAN_EQ3_COUNT_2[[#This Row],[ID MATERIAL]]="","",$B$13)</f>
        <v/>
      </c>
      <c r="I1806" s="7" t="str">
        <f>IF(Plantilla_SCAN_EQ3_COUNT_2[[#This Row],[ID MATERIAL]]="","","Segundo Conteo")</f>
        <v/>
      </c>
    </row>
    <row r="1807" spans="1:9" s="7" customFormat="1" ht="15" x14ac:dyDescent="0.2">
      <c r="A1807" s="7" t="str">
        <f>IF(Plantilla_SCAN_EQ3_COUNT_2[[#This Row],[ID MATERIAL]]="","",SIGN(Plantilla_SCAN_EQ3_COUNT_2[[#This Row],[Cantidad]])+A1806)</f>
        <v/>
      </c>
      <c r="B1807" s="21" t="str">
        <f>IF(Plantilla_SCAN_EQ3_COUNT_2[[#This Row],[ID MATERIAL]]="","",B1806)</f>
        <v/>
      </c>
      <c r="C1807" s="21"/>
      <c r="D1807" s="21"/>
      <c r="E1807" s="7" t="str">
        <f>IF(Plantilla_SCAN_EQ3_COUNT_2[[#This Row],[ID MATERIAL]]="","",VLOOKUP(Plantilla_SCAN_EQ3_COUNT_2[[#This Row],[ID MATERIAL]],INVENTARIO!$A:$D,2,FALSE))</f>
        <v/>
      </c>
      <c r="F1807" s="7" t="str">
        <f>IF(Plantilla_SCAN_EQ3_COUNT_2[[#This Row],[ID MATERIAL]]="","",IF(Plantilla_SCAN_EQ3_COUNT_2[[#This Row],[No. Empaques]]="",1,Plantilla_SCAN_EQ3_COUNT_2[[#This Row],[No. Empaques]]*1))</f>
        <v/>
      </c>
      <c r="G1807" s="7" t="str">
        <f>IF(Plantilla_SCAN_EQ3_COUNT_2[[#This Row],[ID MATERIAL]]="","","PZ")</f>
        <v/>
      </c>
      <c r="H1807" s="7" t="str">
        <f>IF(Plantilla_SCAN_EQ3_COUNT_2[[#This Row],[ID MATERIAL]]="","",$B$13)</f>
        <v/>
      </c>
      <c r="I1807" s="7" t="str">
        <f>IF(Plantilla_SCAN_EQ3_COUNT_2[[#This Row],[ID MATERIAL]]="","","Segundo Conteo")</f>
        <v/>
      </c>
    </row>
    <row r="1808" spans="1:9" s="7" customFormat="1" ht="15" x14ac:dyDescent="0.2">
      <c r="A1808" s="7" t="str">
        <f>IF(Plantilla_SCAN_EQ3_COUNT_2[[#This Row],[ID MATERIAL]]="","",SIGN(Plantilla_SCAN_EQ3_COUNT_2[[#This Row],[Cantidad]])+A1807)</f>
        <v/>
      </c>
      <c r="B1808" s="21" t="str">
        <f>IF(Plantilla_SCAN_EQ3_COUNT_2[[#This Row],[ID MATERIAL]]="","",B1807)</f>
        <v/>
      </c>
      <c r="C1808" s="21"/>
      <c r="D1808" s="21"/>
      <c r="E1808" s="7" t="str">
        <f>IF(Plantilla_SCAN_EQ3_COUNT_2[[#This Row],[ID MATERIAL]]="","",VLOOKUP(Plantilla_SCAN_EQ3_COUNT_2[[#This Row],[ID MATERIAL]],INVENTARIO!$A:$D,2,FALSE))</f>
        <v/>
      </c>
      <c r="F1808" s="7" t="str">
        <f>IF(Plantilla_SCAN_EQ3_COUNT_2[[#This Row],[ID MATERIAL]]="","",IF(Plantilla_SCAN_EQ3_COUNT_2[[#This Row],[No. Empaques]]="",1,Plantilla_SCAN_EQ3_COUNT_2[[#This Row],[No. Empaques]]*1))</f>
        <v/>
      </c>
      <c r="G1808" s="7" t="str">
        <f>IF(Plantilla_SCAN_EQ3_COUNT_2[[#This Row],[ID MATERIAL]]="","","PZ")</f>
        <v/>
      </c>
      <c r="H1808" s="7" t="str">
        <f>IF(Plantilla_SCAN_EQ3_COUNT_2[[#This Row],[ID MATERIAL]]="","",$B$13)</f>
        <v/>
      </c>
      <c r="I1808" s="7" t="str">
        <f>IF(Plantilla_SCAN_EQ3_COUNT_2[[#This Row],[ID MATERIAL]]="","","Segundo Conteo")</f>
        <v/>
      </c>
    </row>
    <row r="1809" spans="1:9" s="7" customFormat="1" ht="15" x14ac:dyDescent="0.2">
      <c r="A1809" s="7" t="str">
        <f>IF(Plantilla_SCAN_EQ3_COUNT_2[[#This Row],[ID MATERIAL]]="","",SIGN(Plantilla_SCAN_EQ3_COUNT_2[[#This Row],[Cantidad]])+A1808)</f>
        <v/>
      </c>
      <c r="B1809" s="21" t="str">
        <f>IF(Plantilla_SCAN_EQ3_COUNT_2[[#This Row],[ID MATERIAL]]="","",B1808)</f>
        <v/>
      </c>
      <c r="C1809" s="21"/>
      <c r="D1809" s="21"/>
      <c r="E1809" s="7" t="str">
        <f>IF(Plantilla_SCAN_EQ3_COUNT_2[[#This Row],[ID MATERIAL]]="","",VLOOKUP(Plantilla_SCAN_EQ3_COUNT_2[[#This Row],[ID MATERIAL]],INVENTARIO!$A:$D,2,FALSE))</f>
        <v/>
      </c>
      <c r="F1809" s="7" t="str">
        <f>IF(Plantilla_SCAN_EQ3_COUNT_2[[#This Row],[ID MATERIAL]]="","",IF(Plantilla_SCAN_EQ3_COUNT_2[[#This Row],[No. Empaques]]="",1,Plantilla_SCAN_EQ3_COUNT_2[[#This Row],[No. Empaques]]*1))</f>
        <v/>
      </c>
      <c r="G1809" s="7" t="str">
        <f>IF(Plantilla_SCAN_EQ3_COUNT_2[[#This Row],[ID MATERIAL]]="","","PZ")</f>
        <v/>
      </c>
      <c r="H1809" s="7" t="str">
        <f>IF(Plantilla_SCAN_EQ3_COUNT_2[[#This Row],[ID MATERIAL]]="","",$B$13)</f>
        <v/>
      </c>
      <c r="I1809" s="7" t="str">
        <f>IF(Plantilla_SCAN_EQ3_COUNT_2[[#This Row],[ID MATERIAL]]="","","Segundo Conteo")</f>
        <v/>
      </c>
    </row>
    <row r="1810" spans="1:9" s="7" customFormat="1" ht="15" x14ac:dyDescent="0.2">
      <c r="A1810" s="7" t="str">
        <f>IF(Plantilla_SCAN_EQ3_COUNT_2[[#This Row],[ID MATERIAL]]="","",SIGN(Plantilla_SCAN_EQ3_COUNT_2[[#This Row],[Cantidad]])+A1809)</f>
        <v/>
      </c>
      <c r="B1810" s="21" t="str">
        <f>IF(Plantilla_SCAN_EQ3_COUNT_2[[#This Row],[ID MATERIAL]]="","",B1809)</f>
        <v/>
      </c>
      <c r="C1810" s="21"/>
      <c r="D1810" s="21"/>
      <c r="E1810" s="7" t="str">
        <f>IF(Plantilla_SCAN_EQ3_COUNT_2[[#This Row],[ID MATERIAL]]="","",VLOOKUP(Plantilla_SCAN_EQ3_COUNT_2[[#This Row],[ID MATERIAL]],INVENTARIO!$A:$D,2,FALSE))</f>
        <v/>
      </c>
      <c r="F1810" s="7" t="str">
        <f>IF(Plantilla_SCAN_EQ3_COUNT_2[[#This Row],[ID MATERIAL]]="","",IF(Plantilla_SCAN_EQ3_COUNT_2[[#This Row],[No. Empaques]]="",1,Plantilla_SCAN_EQ3_COUNT_2[[#This Row],[No. Empaques]]*1))</f>
        <v/>
      </c>
      <c r="G1810" s="7" t="str">
        <f>IF(Plantilla_SCAN_EQ3_COUNT_2[[#This Row],[ID MATERIAL]]="","","PZ")</f>
        <v/>
      </c>
      <c r="H1810" s="7" t="str">
        <f>IF(Plantilla_SCAN_EQ3_COUNT_2[[#This Row],[ID MATERIAL]]="","",$B$13)</f>
        <v/>
      </c>
      <c r="I1810" s="7" t="str">
        <f>IF(Plantilla_SCAN_EQ3_COUNT_2[[#This Row],[ID MATERIAL]]="","","Segundo Conteo")</f>
        <v/>
      </c>
    </row>
    <row r="1811" spans="1:9" s="7" customFormat="1" ht="15" x14ac:dyDescent="0.2">
      <c r="A1811" s="7" t="str">
        <f>IF(Plantilla_SCAN_EQ3_COUNT_2[[#This Row],[ID MATERIAL]]="","",SIGN(Plantilla_SCAN_EQ3_COUNT_2[[#This Row],[Cantidad]])+A1810)</f>
        <v/>
      </c>
      <c r="B1811" s="21" t="str">
        <f>IF(Plantilla_SCAN_EQ3_COUNT_2[[#This Row],[ID MATERIAL]]="","",B1810)</f>
        <v/>
      </c>
      <c r="C1811" s="21"/>
      <c r="D1811" s="21"/>
      <c r="E1811" s="7" t="str">
        <f>IF(Plantilla_SCAN_EQ3_COUNT_2[[#This Row],[ID MATERIAL]]="","",VLOOKUP(Plantilla_SCAN_EQ3_COUNT_2[[#This Row],[ID MATERIAL]],INVENTARIO!$A:$D,2,FALSE))</f>
        <v/>
      </c>
      <c r="F1811" s="7" t="str">
        <f>IF(Plantilla_SCAN_EQ3_COUNT_2[[#This Row],[ID MATERIAL]]="","",IF(Plantilla_SCAN_EQ3_COUNT_2[[#This Row],[No. Empaques]]="",1,Plantilla_SCAN_EQ3_COUNT_2[[#This Row],[No. Empaques]]*1))</f>
        <v/>
      </c>
      <c r="G1811" s="7" t="str">
        <f>IF(Plantilla_SCAN_EQ3_COUNT_2[[#This Row],[ID MATERIAL]]="","","PZ")</f>
        <v/>
      </c>
      <c r="H1811" s="7" t="str">
        <f>IF(Plantilla_SCAN_EQ3_COUNT_2[[#This Row],[ID MATERIAL]]="","",$B$13)</f>
        <v/>
      </c>
      <c r="I1811" s="7" t="str">
        <f>IF(Plantilla_SCAN_EQ3_COUNT_2[[#This Row],[ID MATERIAL]]="","","Segundo Conteo")</f>
        <v/>
      </c>
    </row>
    <row r="1812" spans="1:9" s="7" customFormat="1" ht="15" x14ac:dyDescent="0.2">
      <c r="A1812" s="7" t="str">
        <f>IF(Plantilla_SCAN_EQ3_COUNT_2[[#This Row],[ID MATERIAL]]="","",SIGN(Plantilla_SCAN_EQ3_COUNT_2[[#This Row],[Cantidad]])+A1811)</f>
        <v/>
      </c>
      <c r="B1812" s="21" t="str">
        <f>IF(Plantilla_SCAN_EQ3_COUNT_2[[#This Row],[ID MATERIAL]]="","",B1811)</f>
        <v/>
      </c>
      <c r="C1812" s="21"/>
      <c r="D1812" s="21"/>
      <c r="E1812" s="7" t="str">
        <f>IF(Plantilla_SCAN_EQ3_COUNT_2[[#This Row],[ID MATERIAL]]="","",VLOOKUP(Plantilla_SCAN_EQ3_COUNT_2[[#This Row],[ID MATERIAL]],INVENTARIO!$A:$D,2,FALSE))</f>
        <v/>
      </c>
      <c r="F1812" s="7" t="str">
        <f>IF(Plantilla_SCAN_EQ3_COUNT_2[[#This Row],[ID MATERIAL]]="","",IF(Plantilla_SCAN_EQ3_COUNT_2[[#This Row],[No. Empaques]]="",1,Plantilla_SCAN_EQ3_COUNT_2[[#This Row],[No. Empaques]]*1))</f>
        <v/>
      </c>
      <c r="G1812" s="7" t="str">
        <f>IF(Plantilla_SCAN_EQ3_COUNT_2[[#This Row],[ID MATERIAL]]="","","PZ")</f>
        <v/>
      </c>
      <c r="H1812" s="7" t="str">
        <f>IF(Plantilla_SCAN_EQ3_COUNT_2[[#This Row],[ID MATERIAL]]="","",$B$13)</f>
        <v/>
      </c>
      <c r="I1812" s="7" t="str">
        <f>IF(Plantilla_SCAN_EQ3_COUNT_2[[#This Row],[ID MATERIAL]]="","","Segundo Conteo")</f>
        <v/>
      </c>
    </row>
    <row r="1813" spans="1:9" s="7" customFormat="1" ht="15" x14ac:dyDescent="0.2">
      <c r="A1813" s="7" t="str">
        <f>IF(Plantilla_SCAN_EQ3_COUNT_2[[#This Row],[ID MATERIAL]]="","",SIGN(Plantilla_SCAN_EQ3_COUNT_2[[#This Row],[Cantidad]])+A1812)</f>
        <v/>
      </c>
      <c r="B1813" s="21" t="str">
        <f>IF(Plantilla_SCAN_EQ3_COUNT_2[[#This Row],[ID MATERIAL]]="","",B1812)</f>
        <v/>
      </c>
      <c r="C1813" s="21"/>
      <c r="D1813" s="21"/>
      <c r="E1813" s="7" t="str">
        <f>IF(Plantilla_SCAN_EQ3_COUNT_2[[#This Row],[ID MATERIAL]]="","",VLOOKUP(Plantilla_SCAN_EQ3_COUNT_2[[#This Row],[ID MATERIAL]],INVENTARIO!$A:$D,2,FALSE))</f>
        <v/>
      </c>
      <c r="F1813" s="7" t="str">
        <f>IF(Plantilla_SCAN_EQ3_COUNT_2[[#This Row],[ID MATERIAL]]="","",IF(Plantilla_SCAN_EQ3_COUNT_2[[#This Row],[No. Empaques]]="",1,Plantilla_SCAN_EQ3_COUNT_2[[#This Row],[No. Empaques]]*1))</f>
        <v/>
      </c>
      <c r="G1813" s="7" t="str">
        <f>IF(Plantilla_SCAN_EQ3_COUNT_2[[#This Row],[ID MATERIAL]]="","","PZ")</f>
        <v/>
      </c>
      <c r="H1813" s="7" t="str">
        <f>IF(Plantilla_SCAN_EQ3_COUNT_2[[#This Row],[ID MATERIAL]]="","",$B$13)</f>
        <v/>
      </c>
      <c r="I1813" s="7" t="str">
        <f>IF(Plantilla_SCAN_EQ3_COUNT_2[[#This Row],[ID MATERIAL]]="","","Segundo Conteo")</f>
        <v/>
      </c>
    </row>
    <row r="1814" spans="1:9" s="7" customFormat="1" ht="15" x14ac:dyDescent="0.2">
      <c r="A1814" s="7" t="str">
        <f>IF(Plantilla_SCAN_EQ3_COUNT_2[[#This Row],[ID MATERIAL]]="","",SIGN(Plantilla_SCAN_EQ3_COUNT_2[[#This Row],[Cantidad]])+A1813)</f>
        <v/>
      </c>
      <c r="B1814" s="21" t="str">
        <f>IF(Plantilla_SCAN_EQ3_COUNT_2[[#This Row],[ID MATERIAL]]="","",B1813)</f>
        <v/>
      </c>
      <c r="C1814" s="21"/>
      <c r="D1814" s="21"/>
      <c r="E1814" s="7" t="str">
        <f>IF(Plantilla_SCAN_EQ3_COUNT_2[[#This Row],[ID MATERIAL]]="","",VLOOKUP(Plantilla_SCAN_EQ3_COUNT_2[[#This Row],[ID MATERIAL]],INVENTARIO!$A:$D,2,FALSE))</f>
        <v/>
      </c>
      <c r="F1814" s="7" t="str">
        <f>IF(Plantilla_SCAN_EQ3_COUNT_2[[#This Row],[ID MATERIAL]]="","",IF(Plantilla_SCAN_EQ3_COUNT_2[[#This Row],[No. Empaques]]="",1,Plantilla_SCAN_EQ3_COUNT_2[[#This Row],[No. Empaques]]*1))</f>
        <v/>
      </c>
      <c r="G1814" s="7" t="str">
        <f>IF(Plantilla_SCAN_EQ3_COUNT_2[[#This Row],[ID MATERIAL]]="","","PZ")</f>
        <v/>
      </c>
      <c r="H1814" s="7" t="str">
        <f>IF(Plantilla_SCAN_EQ3_COUNT_2[[#This Row],[ID MATERIAL]]="","",$B$13)</f>
        <v/>
      </c>
      <c r="I1814" s="7" t="str">
        <f>IF(Plantilla_SCAN_EQ3_COUNT_2[[#This Row],[ID MATERIAL]]="","","Segundo Conteo")</f>
        <v/>
      </c>
    </row>
    <row r="1815" spans="1:9" s="7" customFormat="1" ht="15" x14ac:dyDescent="0.2">
      <c r="A1815" s="7" t="str">
        <f>IF(Plantilla_SCAN_EQ3_COUNT_2[[#This Row],[ID MATERIAL]]="","",SIGN(Plantilla_SCAN_EQ3_COUNT_2[[#This Row],[Cantidad]])+A1814)</f>
        <v/>
      </c>
      <c r="B1815" s="21" t="str">
        <f>IF(Plantilla_SCAN_EQ3_COUNT_2[[#This Row],[ID MATERIAL]]="","",B1814)</f>
        <v/>
      </c>
      <c r="C1815" s="21"/>
      <c r="D1815" s="21"/>
      <c r="E1815" s="7" t="str">
        <f>IF(Plantilla_SCAN_EQ3_COUNT_2[[#This Row],[ID MATERIAL]]="","",VLOOKUP(Plantilla_SCAN_EQ3_COUNT_2[[#This Row],[ID MATERIAL]],INVENTARIO!$A:$D,2,FALSE))</f>
        <v/>
      </c>
      <c r="F1815" s="7" t="str">
        <f>IF(Plantilla_SCAN_EQ3_COUNT_2[[#This Row],[ID MATERIAL]]="","",IF(Plantilla_SCAN_EQ3_COUNT_2[[#This Row],[No. Empaques]]="",1,Plantilla_SCAN_EQ3_COUNT_2[[#This Row],[No. Empaques]]*1))</f>
        <v/>
      </c>
      <c r="G1815" s="7" t="str">
        <f>IF(Plantilla_SCAN_EQ3_COUNT_2[[#This Row],[ID MATERIAL]]="","","PZ")</f>
        <v/>
      </c>
      <c r="H1815" s="7" t="str">
        <f>IF(Plantilla_SCAN_EQ3_COUNT_2[[#This Row],[ID MATERIAL]]="","",$B$13)</f>
        <v/>
      </c>
      <c r="I1815" s="7" t="str">
        <f>IF(Plantilla_SCAN_EQ3_COUNT_2[[#This Row],[ID MATERIAL]]="","","Segundo Conteo")</f>
        <v/>
      </c>
    </row>
    <row r="1816" spans="1:9" s="7" customFormat="1" ht="15" x14ac:dyDescent="0.2">
      <c r="A1816" s="7" t="str">
        <f>IF(Plantilla_SCAN_EQ3_COUNT_2[[#This Row],[ID MATERIAL]]="","",SIGN(Plantilla_SCAN_EQ3_COUNT_2[[#This Row],[Cantidad]])+A1815)</f>
        <v/>
      </c>
      <c r="B1816" s="21" t="str">
        <f>IF(Plantilla_SCAN_EQ3_COUNT_2[[#This Row],[ID MATERIAL]]="","",B1815)</f>
        <v/>
      </c>
      <c r="C1816" s="21"/>
      <c r="D1816" s="21"/>
      <c r="E1816" s="7" t="str">
        <f>IF(Plantilla_SCAN_EQ3_COUNT_2[[#This Row],[ID MATERIAL]]="","",VLOOKUP(Plantilla_SCAN_EQ3_COUNT_2[[#This Row],[ID MATERIAL]],INVENTARIO!$A:$D,2,FALSE))</f>
        <v/>
      </c>
      <c r="F1816" s="7" t="str">
        <f>IF(Plantilla_SCAN_EQ3_COUNT_2[[#This Row],[ID MATERIAL]]="","",IF(Plantilla_SCAN_EQ3_COUNT_2[[#This Row],[No. Empaques]]="",1,Plantilla_SCAN_EQ3_COUNT_2[[#This Row],[No. Empaques]]*1))</f>
        <v/>
      </c>
      <c r="G1816" s="7" t="str">
        <f>IF(Plantilla_SCAN_EQ3_COUNT_2[[#This Row],[ID MATERIAL]]="","","PZ")</f>
        <v/>
      </c>
      <c r="H1816" s="7" t="str">
        <f>IF(Plantilla_SCAN_EQ3_COUNT_2[[#This Row],[ID MATERIAL]]="","",$B$13)</f>
        <v/>
      </c>
      <c r="I1816" s="7" t="str">
        <f>IF(Plantilla_SCAN_EQ3_COUNT_2[[#This Row],[ID MATERIAL]]="","","Segundo Conteo")</f>
        <v/>
      </c>
    </row>
    <row r="1817" spans="1:9" s="7" customFormat="1" ht="15" x14ac:dyDescent="0.2">
      <c r="A1817" s="7" t="str">
        <f>IF(Plantilla_SCAN_EQ3_COUNT_2[[#This Row],[ID MATERIAL]]="","",SIGN(Plantilla_SCAN_EQ3_COUNT_2[[#This Row],[Cantidad]])+A1816)</f>
        <v/>
      </c>
      <c r="B1817" s="21" t="str">
        <f>IF(Plantilla_SCAN_EQ3_COUNT_2[[#This Row],[ID MATERIAL]]="","",B1816)</f>
        <v/>
      </c>
      <c r="C1817" s="21"/>
      <c r="D1817" s="21"/>
      <c r="E1817" s="7" t="str">
        <f>IF(Plantilla_SCAN_EQ3_COUNT_2[[#This Row],[ID MATERIAL]]="","",VLOOKUP(Plantilla_SCAN_EQ3_COUNT_2[[#This Row],[ID MATERIAL]],INVENTARIO!$A:$D,2,FALSE))</f>
        <v/>
      </c>
      <c r="F1817" s="7" t="str">
        <f>IF(Plantilla_SCAN_EQ3_COUNT_2[[#This Row],[ID MATERIAL]]="","",IF(Plantilla_SCAN_EQ3_COUNT_2[[#This Row],[No. Empaques]]="",1,Plantilla_SCAN_EQ3_COUNT_2[[#This Row],[No. Empaques]]*1))</f>
        <v/>
      </c>
      <c r="G1817" s="7" t="str">
        <f>IF(Plantilla_SCAN_EQ3_COUNT_2[[#This Row],[ID MATERIAL]]="","","PZ")</f>
        <v/>
      </c>
      <c r="H1817" s="7" t="str">
        <f>IF(Plantilla_SCAN_EQ3_COUNT_2[[#This Row],[ID MATERIAL]]="","",$B$13)</f>
        <v/>
      </c>
      <c r="I1817" s="7" t="str">
        <f>IF(Plantilla_SCAN_EQ3_COUNT_2[[#This Row],[ID MATERIAL]]="","","Segundo Conteo")</f>
        <v/>
      </c>
    </row>
    <row r="1818" spans="1:9" s="7" customFormat="1" ht="15" x14ac:dyDescent="0.2">
      <c r="A1818" s="7" t="str">
        <f>IF(Plantilla_SCAN_EQ3_COUNT_2[[#This Row],[ID MATERIAL]]="","",SIGN(Plantilla_SCAN_EQ3_COUNT_2[[#This Row],[Cantidad]])+A1817)</f>
        <v/>
      </c>
      <c r="B1818" s="21" t="str">
        <f>IF(Plantilla_SCAN_EQ3_COUNT_2[[#This Row],[ID MATERIAL]]="","",B1817)</f>
        <v/>
      </c>
      <c r="C1818" s="21"/>
      <c r="D1818" s="21"/>
      <c r="E1818" s="7" t="str">
        <f>IF(Plantilla_SCAN_EQ3_COUNT_2[[#This Row],[ID MATERIAL]]="","",VLOOKUP(Plantilla_SCAN_EQ3_COUNT_2[[#This Row],[ID MATERIAL]],INVENTARIO!$A:$D,2,FALSE))</f>
        <v/>
      </c>
      <c r="F1818" s="7" t="str">
        <f>IF(Plantilla_SCAN_EQ3_COUNT_2[[#This Row],[ID MATERIAL]]="","",IF(Plantilla_SCAN_EQ3_COUNT_2[[#This Row],[No. Empaques]]="",1,Plantilla_SCAN_EQ3_COUNT_2[[#This Row],[No. Empaques]]*1))</f>
        <v/>
      </c>
      <c r="G1818" s="7" t="str">
        <f>IF(Plantilla_SCAN_EQ3_COUNT_2[[#This Row],[ID MATERIAL]]="","","PZ")</f>
        <v/>
      </c>
      <c r="H1818" s="7" t="str">
        <f>IF(Plantilla_SCAN_EQ3_COUNT_2[[#This Row],[ID MATERIAL]]="","",$B$13)</f>
        <v/>
      </c>
      <c r="I1818" s="7" t="str">
        <f>IF(Plantilla_SCAN_EQ3_COUNT_2[[#This Row],[ID MATERIAL]]="","","Segundo Conteo")</f>
        <v/>
      </c>
    </row>
    <row r="1819" spans="1:9" s="7" customFormat="1" ht="15" x14ac:dyDescent="0.2">
      <c r="A1819" s="7" t="str">
        <f>IF(Plantilla_SCAN_EQ3_COUNT_2[[#This Row],[ID MATERIAL]]="","",SIGN(Plantilla_SCAN_EQ3_COUNT_2[[#This Row],[Cantidad]])+A1818)</f>
        <v/>
      </c>
      <c r="B1819" s="21" t="str">
        <f>IF(Plantilla_SCAN_EQ3_COUNT_2[[#This Row],[ID MATERIAL]]="","",B1818)</f>
        <v/>
      </c>
      <c r="C1819" s="21"/>
      <c r="D1819" s="21"/>
      <c r="E1819" s="7" t="str">
        <f>IF(Plantilla_SCAN_EQ3_COUNT_2[[#This Row],[ID MATERIAL]]="","",VLOOKUP(Plantilla_SCAN_EQ3_COUNT_2[[#This Row],[ID MATERIAL]],INVENTARIO!$A:$D,2,FALSE))</f>
        <v/>
      </c>
      <c r="F1819" s="7" t="str">
        <f>IF(Plantilla_SCAN_EQ3_COUNT_2[[#This Row],[ID MATERIAL]]="","",IF(Plantilla_SCAN_EQ3_COUNT_2[[#This Row],[No. Empaques]]="",1,Plantilla_SCAN_EQ3_COUNT_2[[#This Row],[No. Empaques]]*1))</f>
        <v/>
      </c>
      <c r="G1819" s="7" t="str">
        <f>IF(Plantilla_SCAN_EQ3_COUNT_2[[#This Row],[ID MATERIAL]]="","","PZ")</f>
        <v/>
      </c>
      <c r="H1819" s="7" t="str">
        <f>IF(Plantilla_SCAN_EQ3_COUNT_2[[#This Row],[ID MATERIAL]]="","",$B$13)</f>
        <v/>
      </c>
      <c r="I1819" s="7" t="str">
        <f>IF(Plantilla_SCAN_EQ3_COUNT_2[[#This Row],[ID MATERIAL]]="","","Segundo Conteo")</f>
        <v/>
      </c>
    </row>
    <row r="1820" spans="1:9" s="7" customFormat="1" ht="15" x14ac:dyDescent="0.2">
      <c r="A1820" s="7" t="str">
        <f>IF(Plantilla_SCAN_EQ3_COUNT_2[[#This Row],[ID MATERIAL]]="","",SIGN(Plantilla_SCAN_EQ3_COUNT_2[[#This Row],[Cantidad]])+A1819)</f>
        <v/>
      </c>
      <c r="B1820" s="21" t="str">
        <f>IF(Plantilla_SCAN_EQ3_COUNT_2[[#This Row],[ID MATERIAL]]="","",B1819)</f>
        <v/>
      </c>
      <c r="C1820" s="21"/>
      <c r="D1820" s="21"/>
      <c r="E1820" s="7" t="str">
        <f>IF(Plantilla_SCAN_EQ3_COUNT_2[[#This Row],[ID MATERIAL]]="","",VLOOKUP(Plantilla_SCAN_EQ3_COUNT_2[[#This Row],[ID MATERIAL]],INVENTARIO!$A:$D,2,FALSE))</f>
        <v/>
      </c>
      <c r="F1820" s="7" t="str">
        <f>IF(Plantilla_SCAN_EQ3_COUNT_2[[#This Row],[ID MATERIAL]]="","",IF(Plantilla_SCAN_EQ3_COUNT_2[[#This Row],[No. Empaques]]="",1,Plantilla_SCAN_EQ3_COUNT_2[[#This Row],[No. Empaques]]*1))</f>
        <v/>
      </c>
      <c r="G1820" s="7" t="str">
        <f>IF(Plantilla_SCAN_EQ3_COUNT_2[[#This Row],[ID MATERIAL]]="","","PZ")</f>
        <v/>
      </c>
      <c r="H1820" s="7" t="str">
        <f>IF(Plantilla_SCAN_EQ3_COUNT_2[[#This Row],[ID MATERIAL]]="","",$B$13)</f>
        <v/>
      </c>
      <c r="I1820" s="7" t="str">
        <f>IF(Plantilla_SCAN_EQ3_COUNT_2[[#This Row],[ID MATERIAL]]="","","Segundo Conteo")</f>
        <v/>
      </c>
    </row>
    <row r="1821" spans="1:9" s="7" customFormat="1" ht="15" x14ac:dyDescent="0.2">
      <c r="A1821" s="7" t="str">
        <f>IF(Plantilla_SCAN_EQ3_COUNT_2[[#This Row],[ID MATERIAL]]="","",SIGN(Plantilla_SCAN_EQ3_COUNT_2[[#This Row],[Cantidad]])+A1820)</f>
        <v/>
      </c>
      <c r="B1821" s="21" t="str">
        <f>IF(Plantilla_SCAN_EQ3_COUNT_2[[#This Row],[ID MATERIAL]]="","",B1820)</f>
        <v/>
      </c>
      <c r="C1821" s="21"/>
      <c r="D1821" s="21"/>
      <c r="E1821" s="7" t="str">
        <f>IF(Plantilla_SCAN_EQ3_COUNT_2[[#This Row],[ID MATERIAL]]="","",VLOOKUP(Plantilla_SCAN_EQ3_COUNT_2[[#This Row],[ID MATERIAL]],INVENTARIO!$A:$D,2,FALSE))</f>
        <v/>
      </c>
      <c r="F1821" s="7" t="str">
        <f>IF(Plantilla_SCAN_EQ3_COUNT_2[[#This Row],[ID MATERIAL]]="","",IF(Plantilla_SCAN_EQ3_COUNT_2[[#This Row],[No. Empaques]]="",1,Plantilla_SCAN_EQ3_COUNT_2[[#This Row],[No. Empaques]]*1))</f>
        <v/>
      </c>
      <c r="G1821" s="7" t="str">
        <f>IF(Plantilla_SCAN_EQ3_COUNT_2[[#This Row],[ID MATERIAL]]="","","PZ")</f>
        <v/>
      </c>
      <c r="H1821" s="7" t="str">
        <f>IF(Plantilla_SCAN_EQ3_COUNT_2[[#This Row],[ID MATERIAL]]="","",$B$13)</f>
        <v/>
      </c>
      <c r="I1821" s="7" t="str">
        <f>IF(Plantilla_SCAN_EQ3_COUNT_2[[#This Row],[ID MATERIAL]]="","","Segundo Conteo")</f>
        <v/>
      </c>
    </row>
    <row r="1822" spans="1:9" s="7" customFormat="1" ht="15" x14ac:dyDescent="0.2">
      <c r="A1822" s="7" t="str">
        <f>IF(Plantilla_SCAN_EQ3_COUNT_2[[#This Row],[ID MATERIAL]]="","",SIGN(Plantilla_SCAN_EQ3_COUNT_2[[#This Row],[Cantidad]])+A1821)</f>
        <v/>
      </c>
      <c r="B1822" s="21" t="str">
        <f>IF(Plantilla_SCAN_EQ3_COUNT_2[[#This Row],[ID MATERIAL]]="","",B1821)</f>
        <v/>
      </c>
      <c r="C1822" s="21"/>
      <c r="D1822" s="21"/>
      <c r="E1822" s="7" t="str">
        <f>IF(Plantilla_SCAN_EQ3_COUNT_2[[#This Row],[ID MATERIAL]]="","",VLOOKUP(Plantilla_SCAN_EQ3_COUNT_2[[#This Row],[ID MATERIAL]],INVENTARIO!$A:$D,2,FALSE))</f>
        <v/>
      </c>
      <c r="F1822" s="7" t="str">
        <f>IF(Plantilla_SCAN_EQ3_COUNT_2[[#This Row],[ID MATERIAL]]="","",IF(Plantilla_SCAN_EQ3_COUNT_2[[#This Row],[No. Empaques]]="",1,Plantilla_SCAN_EQ3_COUNT_2[[#This Row],[No. Empaques]]*1))</f>
        <v/>
      </c>
      <c r="G1822" s="7" t="str">
        <f>IF(Plantilla_SCAN_EQ3_COUNT_2[[#This Row],[ID MATERIAL]]="","","PZ")</f>
        <v/>
      </c>
      <c r="H1822" s="7" t="str">
        <f>IF(Plantilla_SCAN_EQ3_COUNT_2[[#This Row],[ID MATERIAL]]="","",$B$13)</f>
        <v/>
      </c>
      <c r="I1822" s="7" t="str">
        <f>IF(Plantilla_SCAN_EQ3_COUNT_2[[#This Row],[ID MATERIAL]]="","","Segundo Conteo")</f>
        <v/>
      </c>
    </row>
    <row r="1823" spans="1:9" s="7" customFormat="1" ht="15" x14ac:dyDescent="0.2">
      <c r="A1823" s="7" t="str">
        <f>IF(Plantilla_SCAN_EQ3_COUNT_2[[#This Row],[ID MATERIAL]]="","",SIGN(Plantilla_SCAN_EQ3_COUNT_2[[#This Row],[Cantidad]])+A1822)</f>
        <v/>
      </c>
      <c r="B1823" s="21" t="str">
        <f>IF(Plantilla_SCAN_EQ3_COUNT_2[[#This Row],[ID MATERIAL]]="","",B1822)</f>
        <v/>
      </c>
      <c r="C1823" s="21"/>
      <c r="D1823" s="21"/>
      <c r="E1823" s="7" t="str">
        <f>IF(Plantilla_SCAN_EQ3_COUNT_2[[#This Row],[ID MATERIAL]]="","",VLOOKUP(Plantilla_SCAN_EQ3_COUNT_2[[#This Row],[ID MATERIAL]],INVENTARIO!$A:$D,2,FALSE))</f>
        <v/>
      </c>
      <c r="F1823" s="7" t="str">
        <f>IF(Plantilla_SCAN_EQ3_COUNT_2[[#This Row],[ID MATERIAL]]="","",IF(Plantilla_SCAN_EQ3_COUNT_2[[#This Row],[No. Empaques]]="",1,Plantilla_SCAN_EQ3_COUNT_2[[#This Row],[No. Empaques]]*1))</f>
        <v/>
      </c>
      <c r="G1823" s="7" t="str">
        <f>IF(Plantilla_SCAN_EQ3_COUNT_2[[#This Row],[ID MATERIAL]]="","","PZ")</f>
        <v/>
      </c>
      <c r="H1823" s="7" t="str">
        <f>IF(Plantilla_SCAN_EQ3_COUNT_2[[#This Row],[ID MATERIAL]]="","",$B$13)</f>
        <v/>
      </c>
      <c r="I1823" s="7" t="str">
        <f>IF(Plantilla_SCAN_EQ3_COUNT_2[[#This Row],[ID MATERIAL]]="","","Segundo Conteo")</f>
        <v/>
      </c>
    </row>
    <row r="1824" spans="1:9" s="7" customFormat="1" ht="15" x14ac:dyDescent="0.2">
      <c r="A1824" s="7" t="str">
        <f>IF(Plantilla_SCAN_EQ3_COUNT_2[[#This Row],[ID MATERIAL]]="","",SIGN(Plantilla_SCAN_EQ3_COUNT_2[[#This Row],[Cantidad]])+A1823)</f>
        <v/>
      </c>
      <c r="B1824" s="21" t="str">
        <f>IF(Plantilla_SCAN_EQ3_COUNT_2[[#This Row],[ID MATERIAL]]="","",B1823)</f>
        <v/>
      </c>
      <c r="C1824" s="21"/>
      <c r="D1824" s="21"/>
      <c r="E1824" s="7" t="str">
        <f>IF(Plantilla_SCAN_EQ3_COUNT_2[[#This Row],[ID MATERIAL]]="","",VLOOKUP(Plantilla_SCAN_EQ3_COUNT_2[[#This Row],[ID MATERIAL]],INVENTARIO!$A:$D,2,FALSE))</f>
        <v/>
      </c>
      <c r="F1824" s="7" t="str">
        <f>IF(Plantilla_SCAN_EQ3_COUNT_2[[#This Row],[ID MATERIAL]]="","",IF(Plantilla_SCAN_EQ3_COUNT_2[[#This Row],[No. Empaques]]="",1,Plantilla_SCAN_EQ3_COUNT_2[[#This Row],[No. Empaques]]*1))</f>
        <v/>
      </c>
      <c r="G1824" s="7" t="str">
        <f>IF(Plantilla_SCAN_EQ3_COUNT_2[[#This Row],[ID MATERIAL]]="","","PZ")</f>
        <v/>
      </c>
      <c r="H1824" s="7" t="str">
        <f>IF(Plantilla_SCAN_EQ3_COUNT_2[[#This Row],[ID MATERIAL]]="","",$B$13)</f>
        <v/>
      </c>
      <c r="I1824" s="7" t="str">
        <f>IF(Plantilla_SCAN_EQ3_COUNT_2[[#This Row],[ID MATERIAL]]="","","Segundo Conteo")</f>
        <v/>
      </c>
    </row>
    <row r="1825" spans="1:9" s="7" customFormat="1" ht="15" x14ac:dyDescent="0.2">
      <c r="A1825" s="7" t="str">
        <f>IF(Plantilla_SCAN_EQ3_COUNT_2[[#This Row],[ID MATERIAL]]="","",SIGN(Plantilla_SCAN_EQ3_COUNT_2[[#This Row],[Cantidad]])+A1824)</f>
        <v/>
      </c>
      <c r="B1825" s="21" t="str">
        <f>IF(Plantilla_SCAN_EQ3_COUNT_2[[#This Row],[ID MATERIAL]]="","",B1824)</f>
        <v/>
      </c>
      <c r="C1825" s="21"/>
      <c r="D1825" s="21"/>
      <c r="E1825" s="7" t="str">
        <f>IF(Plantilla_SCAN_EQ3_COUNT_2[[#This Row],[ID MATERIAL]]="","",VLOOKUP(Plantilla_SCAN_EQ3_COUNT_2[[#This Row],[ID MATERIAL]],INVENTARIO!$A:$D,2,FALSE))</f>
        <v/>
      </c>
      <c r="F1825" s="7" t="str">
        <f>IF(Plantilla_SCAN_EQ3_COUNT_2[[#This Row],[ID MATERIAL]]="","",IF(Plantilla_SCAN_EQ3_COUNT_2[[#This Row],[No. Empaques]]="",1,Plantilla_SCAN_EQ3_COUNT_2[[#This Row],[No. Empaques]]*1))</f>
        <v/>
      </c>
      <c r="G1825" s="7" t="str">
        <f>IF(Plantilla_SCAN_EQ3_COUNT_2[[#This Row],[ID MATERIAL]]="","","PZ")</f>
        <v/>
      </c>
      <c r="H1825" s="7" t="str">
        <f>IF(Plantilla_SCAN_EQ3_COUNT_2[[#This Row],[ID MATERIAL]]="","",$B$13)</f>
        <v/>
      </c>
      <c r="I1825" s="7" t="str">
        <f>IF(Plantilla_SCAN_EQ3_COUNT_2[[#This Row],[ID MATERIAL]]="","","Segundo Conteo")</f>
        <v/>
      </c>
    </row>
    <row r="1826" spans="1:9" s="7" customFormat="1" ht="15" x14ac:dyDescent="0.2">
      <c r="A1826" s="7" t="str">
        <f>IF(Plantilla_SCAN_EQ3_COUNT_2[[#This Row],[ID MATERIAL]]="","",SIGN(Plantilla_SCAN_EQ3_COUNT_2[[#This Row],[Cantidad]])+A1825)</f>
        <v/>
      </c>
      <c r="B1826" s="21" t="str">
        <f>IF(Plantilla_SCAN_EQ3_COUNT_2[[#This Row],[ID MATERIAL]]="","",B1825)</f>
        <v/>
      </c>
      <c r="C1826" s="21"/>
      <c r="D1826" s="21"/>
      <c r="E1826" s="7" t="str">
        <f>IF(Plantilla_SCAN_EQ3_COUNT_2[[#This Row],[ID MATERIAL]]="","",VLOOKUP(Plantilla_SCAN_EQ3_COUNT_2[[#This Row],[ID MATERIAL]],INVENTARIO!$A:$D,2,FALSE))</f>
        <v/>
      </c>
      <c r="F1826" s="7" t="str">
        <f>IF(Plantilla_SCAN_EQ3_COUNT_2[[#This Row],[ID MATERIAL]]="","",IF(Plantilla_SCAN_EQ3_COUNT_2[[#This Row],[No. Empaques]]="",1,Plantilla_SCAN_EQ3_COUNT_2[[#This Row],[No. Empaques]]*1))</f>
        <v/>
      </c>
      <c r="G1826" s="7" t="str">
        <f>IF(Plantilla_SCAN_EQ3_COUNT_2[[#This Row],[ID MATERIAL]]="","","PZ")</f>
        <v/>
      </c>
      <c r="H1826" s="7" t="str">
        <f>IF(Plantilla_SCAN_EQ3_COUNT_2[[#This Row],[ID MATERIAL]]="","",$B$13)</f>
        <v/>
      </c>
      <c r="I1826" s="7" t="str">
        <f>IF(Plantilla_SCAN_EQ3_COUNT_2[[#This Row],[ID MATERIAL]]="","","Segundo Conteo")</f>
        <v/>
      </c>
    </row>
    <row r="1827" spans="1:9" s="7" customFormat="1" ht="15" x14ac:dyDescent="0.2">
      <c r="A1827" s="7" t="str">
        <f>IF(Plantilla_SCAN_EQ3_COUNT_2[[#This Row],[ID MATERIAL]]="","",SIGN(Plantilla_SCAN_EQ3_COUNT_2[[#This Row],[Cantidad]])+A1826)</f>
        <v/>
      </c>
      <c r="B1827" s="21" t="str">
        <f>IF(Plantilla_SCAN_EQ3_COUNT_2[[#This Row],[ID MATERIAL]]="","",B1826)</f>
        <v/>
      </c>
      <c r="C1827" s="21"/>
      <c r="D1827" s="21"/>
      <c r="E1827" s="7" t="str">
        <f>IF(Plantilla_SCAN_EQ3_COUNT_2[[#This Row],[ID MATERIAL]]="","",VLOOKUP(Plantilla_SCAN_EQ3_COUNT_2[[#This Row],[ID MATERIAL]],INVENTARIO!$A:$D,2,FALSE))</f>
        <v/>
      </c>
      <c r="F1827" s="7" t="str">
        <f>IF(Plantilla_SCAN_EQ3_COUNT_2[[#This Row],[ID MATERIAL]]="","",IF(Plantilla_SCAN_EQ3_COUNT_2[[#This Row],[No. Empaques]]="",1,Plantilla_SCAN_EQ3_COUNT_2[[#This Row],[No. Empaques]]*1))</f>
        <v/>
      </c>
      <c r="G1827" s="7" t="str">
        <f>IF(Plantilla_SCAN_EQ3_COUNT_2[[#This Row],[ID MATERIAL]]="","","PZ")</f>
        <v/>
      </c>
      <c r="H1827" s="7" t="str">
        <f>IF(Plantilla_SCAN_EQ3_COUNT_2[[#This Row],[ID MATERIAL]]="","",$B$13)</f>
        <v/>
      </c>
      <c r="I1827" s="7" t="str">
        <f>IF(Plantilla_SCAN_EQ3_COUNT_2[[#This Row],[ID MATERIAL]]="","","Segundo Conteo")</f>
        <v/>
      </c>
    </row>
    <row r="1828" spans="1:9" s="7" customFormat="1" ht="15" x14ac:dyDescent="0.2">
      <c r="A1828" s="7" t="str">
        <f>IF(Plantilla_SCAN_EQ3_COUNT_2[[#This Row],[ID MATERIAL]]="","",SIGN(Plantilla_SCAN_EQ3_COUNT_2[[#This Row],[Cantidad]])+A1827)</f>
        <v/>
      </c>
      <c r="B1828" s="21" t="str">
        <f>IF(Plantilla_SCAN_EQ3_COUNT_2[[#This Row],[ID MATERIAL]]="","",B1827)</f>
        <v/>
      </c>
      <c r="C1828" s="21"/>
      <c r="D1828" s="21"/>
      <c r="E1828" s="7" t="str">
        <f>IF(Plantilla_SCAN_EQ3_COUNT_2[[#This Row],[ID MATERIAL]]="","",VLOOKUP(Plantilla_SCAN_EQ3_COUNT_2[[#This Row],[ID MATERIAL]],INVENTARIO!$A:$D,2,FALSE))</f>
        <v/>
      </c>
      <c r="F1828" s="7" t="str">
        <f>IF(Plantilla_SCAN_EQ3_COUNT_2[[#This Row],[ID MATERIAL]]="","",IF(Plantilla_SCAN_EQ3_COUNT_2[[#This Row],[No. Empaques]]="",1,Plantilla_SCAN_EQ3_COUNT_2[[#This Row],[No. Empaques]]*1))</f>
        <v/>
      </c>
      <c r="G1828" s="7" t="str">
        <f>IF(Plantilla_SCAN_EQ3_COUNT_2[[#This Row],[ID MATERIAL]]="","","PZ")</f>
        <v/>
      </c>
      <c r="H1828" s="7" t="str">
        <f>IF(Plantilla_SCAN_EQ3_COUNT_2[[#This Row],[ID MATERIAL]]="","",$B$13)</f>
        <v/>
      </c>
      <c r="I1828" s="7" t="str">
        <f>IF(Plantilla_SCAN_EQ3_COUNT_2[[#This Row],[ID MATERIAL]]="","","Segundo Conteo")</f>
        <v/>
      </c>
    </row>
    <row r="1829" spans="1:9" s="7" customFormat="1" ht="15" x14ac:dyDescent="0.2">
      <c r="A1829" s="7" t="str">
        <f>IF(Plantilla_SCAN_EQ3_COUNT_2[[#This Row],[ID MATERIAL]]="","",SIGN(Plantilla_SCAN_EQ3_COUNT_2[[#This Row],[Cantidad]])+A1828)</f>
        <v/>
      </c>
      <c r="B1829" s="21" t="str">
        <f>IF(Plantilla_SCAN_EQ3_COUNT_2[[#This Row],[ID MATERIAL]]="","",B1828)</f>
        <v/>
      </c>
      <c r="C1829" s="21"/>
      <c r="D1829" s="21"/>
      <c r="E1829" s="7" t="str">
        <f>IF(Plantilla_SCAN_EQ3_COUNT_2[[#This Row],[ID MATERIAL]]="","",VLOOKUP(Plantilla_SCAN_EQ3_COUNT_2[[#This Row],[ID MATERIAL]],INVENTARIO!$A:$D,2,FALSE))</f>
        <v/>
      </c>
      <c r="F1829" s="7" t="str">
        <f>IF(Plantilla_SCAN_EQ3_COUNT_2[[#This Row],[ID MATERIAL]]="","",IF(Plantilla_SCAN_EQ3_COUNT_2[[#This Row],[No. Empaques]]="",1,Plantilla_SCAN_EQ3_COUNT_2[[#This Row],[No. Empaques]]*1))</f>
        <v/>
      </c>
      <c r="G1829" s="7" t="str">
        <f>IF(Plantilla_SCAN_EQ3_COUNT_2[[#This Row],[ID MATERIAL]]="","","PZ")</f>
        <v/>
      </c>
      <c r="H1829" s="7" t="str">
        <f>IF(Plantilla_SCAN_EQ3_COUNT_2[[#This Row],[ID MATERIAL]]="","",$B$13)</f>
        <v/>
      </c>
      <c r="I1829" s="7" t="str">
        <f>IF(Plantilla_SCAN_EQ3_COUNT_2[[#This Row],[ID MATERIAL]]="","","Segundo Conteo")</f>
        <v/>
      </c>
    </row>
    <row r="1830" spans="1:9" s="7" customFormat="1" ht="15" x14ac:dyDescent="0.2">
      <c r="A1830" s="7" t="str">
        <f>IF(Plantilla_SCAN_EQ3_COUNT_2[[#This Row],[ID MATERIAL]]="","",SIGN(Plantilla_SCAN_EQ3_COUNT_2[[#This Row],[Cantidad]])+A1829)</f>
        <v/>
      </c>
      <c r="B1830" s="21" t="str">
        <f>IF(Plantilla_SCAN_EQ3_COUNT_2[[#This Row],[ID MATERIAL]]="","",B1829)</f>
        <v/>
      </c>
      <c r="C1830" s="21"/>
      <c r="D1830" s="21"/>
      <c r="E1830" s="7" t="str">
        <f>IF(Plantilla_SCAN_EQ3_COUNT_2[[#This Row],[ID MATERIAL]]="","",VLOOKUP(Plantilla_SCAN_EQ3_COUNT_2[[#This Row],[ID MATERIAL]],INVENTARIO!$A:$D,2,FALSE))</f>
        <v/>
      </c>
      <c r="F1830" s="7" t="str">
        <f>IF(Plantilla_SCAN_EQ3_COUNT_2[[#This Row],[ID MATERIAL]]="","",IF(Plantilla_SCAN_EQ3_COUNT_2[[#This Row],[No. Empaques]]="",1,Plantilla_SCAN_EQ3_COUNT_2[[#This Row],[No. Empaques]]*1))</f>
        <v/>
      </c>
      <c r="G1830" s="7" t="str">
        <f>IF(Plantilla_SCAN_EQ3_COUNT_2[[#This Row],[ID MATERIAL]]="","","PZ")</f>
        <v/>
      </c>
      <c r="H1830" s="7" t="str">
        <f>IF(Plantilla_SCAN_EQ3_COUNT_2[[#This Row],[ID MATERIAL]]="","",$B$13)</f>
        <v/>
      </c>
      <c r="I1830" s="7" t="str">
        <f>IF(Plantilla_SCAN_EQ3_COUNT_2[[#This Row],[ID MATERIAL]]="","","Segundo Conteo")</f>
        <v/>
      </c>
    </row>
    <row r="1831" spans="1:9" s="7" customFormat="1" ht="15" x14ac:dyDescent="0.2">
      <c r="A1831" s="7" t="str">
        <f>IF(Plantilla_SCAN_EQ3_COUNT_2[[#This Row],[ID MATERIAL]]="","",SIGN(Plantilla_SCAN_EQ3_COUNT_2[[#This Row],[Cantidad]])+A1830)</f>
        <v/>
      </c>
      <c r="B1831" s="21" t="str">
        <f>IF(Plantilla_SCAN_EQ3_COUNT_2[[#This Row],[ID MATERIAL]]="","",B1830)</f>
        <v/>
      </c>
      <c r="C1831" s="21"/>
      <c r="D1831" s="21"/>
      <c r="E1831" s="7" t="str">
        <f>IF(Plantilla_SCAN_EQ3_COUNT_2[[#This Row],[ID MATERIAL]]="","",VLOOKUP(Plantilla_SCAN_EQ3_COUNT_2[[#This Row],[ID MATERIAL]],INVENTARIO!$A:$D,2,FALSE))</f>
        <v/>
      </c>
      <c r="F1831" s="7" t="str">
        <f>IF(Plantilla_SCAN_EQ3_COUNT_2[[#This Row],[ID MATERIAL]]="","",IF(Plantilla_SCAN_EQ3_COUNT_2[[#This Row],[No. Empaques]]="",1,Plantilla_SCAN_EQ3_COUNT_2[[#This Row],[No. Empaques]]*1))</f>
        <v/>
      </c>
      <c r="G1831" s="7" t="str">
        <f>IF(Plantilla_SCAN_EQ3_COUNT_2[[#This Row],[ID MATERIAL]]="","","PZ")</f>
        <v/>
      </c>
      <c r="H1831" s="7" t="str">
        <f>IF(Plantilla_SCAN_EQ3_COUNT_2[[#This Row],[ID MATERIAL]]="","",$B$13)</f>
        <v/>
      </c>
      <c r="I1831" s="7" t="str">
        <f>IF(Plantilla_SCAN_EQ3_COUNT_2[[#This Row],[ID MATERIAL]]="","","Segundo Conteo")</f>
        <v/>
      </c>
    </row>
    <row r="1832" spans="1:9" s="7" customFormat="1" ht="15" x14ac:dyDescent="0.2">
      <c r="A1832" s="7" t="str">
        <f>IF(Plantilla_SCAN_EQ3_COUNT_2[[#This Row],[ID MATERIAL]]="","",SIGN(Plantilla_SCAN_EQ3_COUNT_2[[#This Row],[Cantidad]])+A1831)</f>
        <v/>
      </c>
      <c r="B1832" s="21" t="str">
        <f>IF(Plantilla_SCAN_EQ3_COUNT_2[[#This Row],[ID MATERIAL]]="","",B1831)</f>
        <v/>
      </c>
      <c r="C1832" s="21"/>
      <c r="D1832" s="21"/>
      <c r="E1832" s="7" t="str">
        <f>IF(Plantilla_SCAN_EQ3_COUNT_2[[#This Row],[ID MATERIAL]]="","",VLOOKUP(Plantilla_SCAN_EQ3_COUNT_2[[#This Row],[ID MATERIAL]],INVENTARIO!$A:$D,2,FALSE))</f>
        <v/>
      </c>
      <c r="F1832" s="7" t="str">
        <f>IF(Plantilla_SCAN_EQ3_COUNT_2[[#This Row],[ID MATERIAL]]="","",IF(Plantilla_SCAN_EQ3_COUNT_2[[#This Row],[No. Empaques]]="",1,Plantilla_SCAN_EQ3_COUNT_2[[#This Row],[No. Empaques]]*1))</f>
        <v/>
      </c>
      <c r="G1832" s="7" t="str">
        <f>IF(Plantilla_SCAN_EQ3_COUNT_2[[#This Row],[ID MATERIAL]]="","","PZ")</f>
        <v/>
      </c>
      <c r="H1832" s="7" t="str">
        <f>IF(Plantilla_SCAN_EQ3_COUNT_2[[#This Row],[ID MATERIAL]]="","",$B$13)</f>
        <v/>
      </c>
      <c r="I1832" s="7" t="str">
        <f>IF(Plantilla_SCAN_EQ3_COUNT_2[[#This Row],[ID MATERIAL]]="","","Segundo Conteo")</f>
        <v/>
      </c>
    </row>
    <row r="1833" spans="1:9" s="7" customFormat="1" ht="15" x14ac:dyDescent="0.2">
      <c r="A1833" s="7" t="str">
        <f>IF(Plantilla_SCAN_EQ3_COUNT_2[[#This Row],[ID MATERIAL]]="","",SIGN(Plantilla_SCAN_EQ3_COUNT_2[[#This Row],[Cantidad]])+A1832)</f>
        <v/>
      </c>
      <c r="B1833" s="21" t="str">
        <f>IF(Plantilla_SCAN_EQ3_COUNT_2[[#This Row],[ID MATERIAL]]="","",B1832)</f>
        <v/>
      </c>
      <c r="C1833" s="21"/>
      <c r="D1833" s="21"/>
      <c r="E1833" s="7" t="str">
        <f>IF(Plantilla_SCAN_EQ3_COUNT_2[[#This Row],[ID MATERIAL]]="","",VLOOKUP(Plantilla_SCAN_EQ3_COUNT_2[[#This Row],[ID MATERIAL]],INVENTARIO!$A:$D,2,FALSE))</f>
        <v/>
      </c>
      <c r="F1833" s="7" t="str">
        <f>IF(Plantilla_SCAN_EQ3_COUNT_2[[#This Row],[ID MATERIAL]]="","",IF(Plantilla_SCAN_EQ3_COUNT_2[[#This Row],[No. Empaques]]="",1,Plantilla_SCAN_EQ3_COUNT_2[[#This Row],[No. Empaques]]*1))</f>
        <v/>
      </c>
      <c r="G1833" s="7" t="str">
        <f>IF(Plantilla_SCAN_EQ3_COUNT_2[[#This Row],[ID MATERIAL]]="","","PZ")</f>
        <v/>
      </c>
      <c r="H1833" s="7" t="str">
        <f>IF(Plantilla_SCAN_EQ3_COUNT_2[[#This Row],[ID MATERIAL]]="","",$B$13)</f>
        <v/>
      </c>
      <c r="I1833" s="7" t="str">
        <f>IF(Plantilla_SCAN_EQ3_COUNT_2[[#This Row],[ID MATERIAL]]="","","Segundo Conteo")</f>
        <v/>
      </c>
    </row>
    <row r="1834" spans="1:9" s="7" customFormat="1" ht="15" x14ac:dyDescent="0.2">
      <c r="A1834" s="7" t="str">
        <f>IF(Plantilla_SCAN_EQ3_COUNT_2[[#This Row],[ID MATERIAL]]="","",SIGN(Plantilla_SCAN_EQ3_COUNT_2[[#This Row],[Cantidad]])+A1833)</f>
        <v/>
      </c>
      <c r="B1834" s="21" t="str">
        <f>IF(Plantilla_SCAN_EQ3_COUNT_2[[#This Row],[ID MATERIAL]]="","",B1833)</f>
        <v/>
      </c>
      <c r="C1834" s="21"/>
      <c r="D1834" s="21"/>
      <c r="E1834" s="7" t="str">
        <f>IF(Plantilla_SCAN_EQ3_COUNT_2[[#This Row],[ID MATERIAL]]="","",VLOOKUP(Plantilla_SCAN_EQ3_COUNT_2[[#This Row],[ID MATERIAL]],INVENTARIO!$A:$D,2,FALSE))</f>
        <v/>
      </c>
      <c r="F1834" s="7" t="str">
        <f>IF(Plantilla_SCAN_EQ3_COUNT_2[[#This Row],[ID MATERIAL]]="","",IF(Plantilla_SCAN_EQ3_COUNT_2[[#This Row],[No. Empaques]]="",1,Plantilla_SCAN_EQ3_COUNT_2[[#This Row],[No. Empaques]]*1))</f>
        <v/>
      </c>
      <c r="G1834" s="7" t="str">
        <f>IF(Plantilla_SCAN_EQ3_COUNT_2[[#This Row],[ID MATERIAL]]="","","PZ")</f>
        <v/>
      </c>
      <c r="H1834" s="7" t="str">
        <f>IF(Plantilla_SCAN_EQ3_COUNT_2[[#This Row],[ID MATERIAL]]="","",$B$13)</f>
        <v/>
      </c>
      <c r="I1834" s="7" t="str">
        <f>IF(Plantilla_SCAN_EQ3_COUNT_2[[#This Row],[ID MATERIAL]]="","","Segundo Conteo")</f>
        <v/>
      </c>
    </row>
    <row r="1835" spans="1:9" s="7" customFormat="1" ht="15" x14ac:dyDescent="0.2">
      <c r="A1835" s="7" t="str">
        <f>IF(Plantilla_SCAN_EQ3_COUNT_2[[#This Row],[ID MATERIAL]]="","",SIGN(Plantilla_SCAN_EQ3_COUNT_2[[#This Row],[Cantidad]])+A1834)</f>
        <v/>
      </c>
      <c r="B1835" s="21" t="str">
        <f>IF(Plantilla_SCAN_EQ3_COUNT_2[[#This Row],[ID MATERIAL]]="","",B1834)</f>
        <v/>
      </c>
      <c r="C1835" s="21"/>
      <c r="D1835" s="21"/>
      <c r="E1835" s="7" t="str">
        <f>IF(Plantilla_SCAN_EQ3_COUNT_2[[#This Row],[ID MATERIAL]]="","",VLOOKUP(Plantilla_SCAN_EQ3_COUNT_2[[#This Row],[ID MATERIAL]],INVENTARIO!$A:$D,2,FALSE))</f>
        <v/>
      </c>
      <c r="F1835" s="7" t="str">
        <f>IF(Plantilla_SCAN_EQ3_COUNT_2[[#This Row],[ID MATERIAL]]="","",IF(Plantilla_SCAN_EQ3_COUNT_2[[#This Row],[No. Empaques]]="",1,Plantilla_SCAN_EQ3_COUNT_2[[#This Row],[No. Empaques]]*1))</f>
        <v/>
      </c>
      <c r="G1835" s="7" t="str">
        <f>IF(Plantilla_SCAN_EQ3_COUNT_2[[#This Row],[ID MATERIAL]]="","","PZ")</f>
        <v/>
      </c>
      <c r="H1835" s="7" t="str">
        <f>IF(Plantilla_SCAN_EQ3_COUNT_2[[#This Row],[ID MATERIAL]]="","",$B$13)</f>
        <v/>
      </c>
      <c r="I1835" s="7" t="str">
        <f>IF(Plantilla_SCAN_EQ3_COUNT_2[[#This Row],[ID MATERIAL]]="","","Segundo Conteo")</f>
        <v/>
      </c>
    </row>
    <row r="1836" spans="1:9" s="7" customFormat="1" ht="15" x14ac:dyDescent="0.2">
      <c r="A1836" s="7" t="str">
        <f>IF(Plantilla_SCAN_EQ3_COUNT_2[[#This Row],[ID MATERIAL]]="","",SIGN(Plantilla_SCAN_EQ3_COUNT_2[[#This Row],[Cantidad]])+A1835)</f>
        <v/>
      </c>
      <c r="B1836" s="21" t="str">
        <f>IF(Plantilla_SCAN_EQ3_COUNT_2[[#This Row],[ID MATERIAL]]="","",B1835)</f>
        <v/>
      </c>
      <c r="C1836" s="21"/>
      <c r="D1836" s="21"/>
      <c r="E1836" s="7" t="str">
        <f>IF(Plantilla_SCAN_EQ3_COUNT_2[[#This Row],[ID MATERIAL]]="","",VLOOKUP(Plantilla_SCAN_EQ3_COUNT_2[[#This Row],[ID MATERIAL]],INVENTARIO!$A:$D,2,FALSE))</f>
        <v/>
      </c>
      <c r="F1836" s="7" t="str">
        <f>IF(Plantilla_SCAN_EQ3_COUNT_2[[#This Row],[ID MATERIAL]]="","",IF(Plantilla_SCAN_EQ3_COUNT_2[[#This Row],[No. Empaques]]="",1,Plantilla_SCAN_EQ3_COUNT_2[[#This Row],[No. Empaques]]*1))</f>
        <v/>
      </c>
      <c r="G1836" s="7" t="str">
        <f>IF(Plantilla_SCAN_EQ3_COUNT_2[[#This Row],[ID MATERIAL]]="","","PZ")</f>
        <v/>
      </c>
      <c r="H1836" s="7" t="str">
        <f>IF(Plantilla_SCAN_EQ3_COUNT_2[[#This Row],[ID MATERIAL]]="","",$B$13)</f>
        <v/>
      </c>
      <c r="I1836" s="7" t="str">
        <f>IF(Plantilla_SCAN_EQ3_COUNT_2[[#This Row],[ID MATERIAL]]="","","Segundo Conteo")</f>
        <v/>
      </c>
    </row>
    <row r="1837" spans="1:9" s="7" customFormat="1" ht="15" x14ac:dyDescent="0.2">
      <c r="A1837" s="7" t="str">
        <f>IF(Plantilla_SCAN_EQ3_COUNT_2[[#This Row],[ID MATERIAL]]="","",SIGN(Plantilla_SCAN_EQ3_COUNT_2[[#This Row],[Cantidad]])+A1836)</f>
        <v/>
      </c>
      <c r="B1837" s="21" t="str">
        <f>IF(Plantilla_SCAN_EQ3_COUNT_2[[#This Row],[ID MATERIAL]]="","",B1836)</f>
        <v/>
      </c>
      <c r="C1837" s="21"/>
      <c r="D1837" s="21"/>
      <c r="E1837" s="7" t="str">
        <f>IF(Plantilla_SCAN_EQ3_COUNT_2[[#This Row],[ID MATERIAL]]="","",VLOOKUP(Plantilla_SCAN_EQ3_COUNT_2[[#This Row],[ID MATERIAL]],INVENTARIO!$A:$D,2,FALSE))</f>
        <v/>
      </c>
      <c r="F1837" s="7" t="str">
        <f>IF(Plantilla_SCAN_EQ3_COUNT_2[[#This Row],[ID MATERIAL]]="","",IF(Plantilla_SCAN_EQ3_COUNT_2[[#This Row],[No. Empaques]]="",1,Plantilla_SCAN_EQ3_COUNT_2[[#This Row],[No. Empaques]]*1))</f>
        <v/>
      </c>
      <c r="G1837" s="7" t="str">
        <f>IF(Plantilla_SCAN_EQ3_COUNT_2[[#This Row],[ID MATERIAL]]="","","PZ")</f>
        <v/>
      </c>
      <c r="H1837" s="7" t="str">
        <f>IF(Plantilla_SCAN_EQ3_COUNT_2[[#This Row],[ID MATERIAL]]="","",$B$13)</f>
        <v/>
      </c>
      <c r="I1837" s="7" t="str">
        <f>IF(Plantilla_SCAN_EQ3_COUNT_2[[#This Row],[ID MATERIAL]]="","","Segundo Conteo")</f>
        <v/>
      </c>
    </row>
    <row r="1838" spans="1:9" s="7" customFormat="1" ht="15" x14ac:dyDescent="0.2">
      <c r="A1838" s="7" t="str">
        <f>IF(Plantilla_SCAN_EQ3_COUNT_2[[#This Row],[ID MATERIAL]]="","",SIGN(Plantilla_SCAN_EQ3_COUNT_2[[#This Row],[Cantidad]])+A1837)</f>
        <v/>
      </c>
      <c r="B1838" s="21" t="str">
        <f>IF(Plantilla_SCAN_EQ3_COUNT_2[[#This Row],[ID MATERIAL]]="","",B1837)</f>
        <v/>
      </c>
      <c r="C1838" s="21"/>
      <c r="D1838" s="21"/>
      <c r="E1838" s="7" t="str">
        <f>IF(Plantilla_SCAN_EQ3_COUNT_2[[#This Row],[ID MATERIAL]]="","",VLOOKUP(Plantilla_SCAN_EQ3_COUNT_2[[#This Row],[ID MATERIAL]],INVENTARIO!$A:$D,2,FALSE))</f>
        <v/>
      </c>
      <c r="F1838" s="7" t="str">
        <f>IF(Plantilla_SCAN_EQ3_COUNT_2[[#This Row],[ID MATERIAL]]="","",IF(Plantilla_SCAN_EQ3_COUNT_2[[#This Row],[No. Empaques]]="",1,Plantilla_SCAN_EQ3_COUNT_2[[#This Row],[No. Empaques]]*1))</f>
        <v/>
      </c>
      <c r="G1838" s="7" t="str">
        <f>IF(Plantilla_SCAN_EQ3_COUNT_2[[#This Row],[ID MATERIAL]]="","","PZ")</f>
        <v/>
      </c>
      <c r="H1838" s="7" t="str">
        <f>IF(Plantilla_SCAN_EQ3_COUNT_2[[#This Row],[ID MATERIAL]]="","",$B$13)</f>
        <v/>
      </c>
      <c r="I1838" s="7" t="str">
        <f>IF(Plantilla_SCAN_EQ3_COUNT_2[[#This Row],[ID MATERIAL]]="","","Segundo Conteo")</f>
        <v/>
      </c>
    </row>
    <row r="1839" spans="1:9" s="7" customFormat="1" ht="15" x14ac:dyDescent="0.2">
      <c r="A1839" s="7" t="str">
        <f>IF(Plantilla_SCAN_EQ3_COUNT_2[[#This Row],[ID MATERIAL]]="","",SIGN(Plantilla_SCAN_EQ3_COUNT_2[[#This Row],[Cantidad]])+A1838)</f>
        <v/>
      </c>
      <c r="B1839" s="21" t="str">
        <f>IF(Plantilla_SCAN_EQ3_COUNT_2[[#This Row],[ID MATERIAL]]="","",B1838)</f>
        <v/>
      </c>
      <c r="C1839" s="21"/>
      <c r="D1839" s="21"/>
      <c r="E1839" s="7" t="str">
        <f>IF(Plantilla_SCAN_EQ3_COUNT_2[[#This Row],[ID MATERIAL]]="","",VLOOKUP(Plantilla_SCAN_EQ3_COUNT_2[[#This Row],[ID MATERIAL]],INVENTARIO!$A:$D,2,FALSE))</f>
        <v/>
      </c>
      <c r="F1839" s="7" t="str">
        <f>IF(Plantilla_SCAN_EQ3_COUNT_2[[#This Row],[ID MATERIAL]]="","",IF(Plantilla_SCAN_EQ3_COUNT_2[[#This Row],[No. Empaques]]="",1,Plantilla_SCAN_EQ3_COUNT_2[[#This Row],[No. Empaques]]*1))</f>
        <v/>
      </c>
      <c r="G1839" s="7" t="str">
        <f>IF(Plantilla_SCAN_EQ3_COUNT_2[[#This Row],[ID MATERIAL]]="","","PZ")</f>
        <v/>
      </c>
      <c r="H1839" s="7" t="str">
        <f>IF(Plantilla_SCAN_EQ3_COUNT_2[[#This Row],[ID MATERIAL]]="","",$B$13)</f>
        <v/>
      </c>
      <c r="I1839" s="7" t="str">
        <f>IF(Plantilla_SCAN_EQ3_COUNT_2[[#This Row],[ID MATERIAL]]="","","Segundo Conteo")</f>
        <v/>
      </c>
    </row>
    <row r="1840" spans="1:9" s="7" customFormat="1" ht="15" x14ac:dyDescent="0.2">
      <c r="A1840" s="7" t="str">
        <f>IF(Plantilla_SCAN_EQ3_COUNT_2[[#This Row],[ID MATERIAL]]="","",SIGN(Plantilla_SCAN_EQ3_COUNT_2[[#This Row],[Cantidad]])+A1839)</f>
        <v/>
      </c>
      <c r="B1840" s="21" t="str">
        <f>IF(Plantilla_SCAN_EQ3_COUNT_2[[#This Row],[ID MATERIAL]]="","",B1839)</f>
        <v/>
      </c>
      <c r="C1840" s="21"/>
      <c r="D1840" s="21"/>
      <c r="E1840" s="7" t="str">
        <f>IF(Plantilla_SCAN_EQ3_COUNT_2[[#This Row],[ID MATERIAL]]="","",VLOOKUP(Plantilla_SCAN_EQ3_COUNT_2[[#This Row],[ID MATERIAL]],INVENTARIO!$A:$D,2,FALSE))</f>
        <v/>
      </c>
      <c r="F1840" s="7" t="str">
        <f>IF(Plantilla_SCAN_EQ3_COUNT_2[[#This Row],[ID MATERIAL]]="","",IF(Plantilla_SCAN_EQ3_COUNT_2[[#This Row],[No. Empaques]]="",1,Plantilla_SCAN_EQ3_COUNT_2[[#This Row],[No. Empaques]]*1))</f>
        <v/>
      </c>
      <c r="G1840" s="7" t="str">
        <f>IF(Plantilla_SCAN_EQ3_COUNT_2[[#This Row],[ID MATERIAL]]="","","PZ")</f>
        <v/>
      </c>
      <c r="H1840" s="7" t="str">
        <f>IF(Plantilla_SCAN_EQ3_COUNT_2[[#This Row],[ID MATERIAL]]="","",$B$13)</f>
        <v/>
      </c>
      <c r="I1840" s="7" t="str">
        <f>IF(Plantilla_SCAN_EQ3_COUNT_2[[#This Row],[ID MATERIAL]]="","","Segundo Conteo")</f>
        <v/>
      </c>
    </row>
    <row r="1841" spans="1:9" s="7" customFormat="1" ht="15" x14ac:dyDescent="0.2">
      <c r="A1841" s="7" t="str">
        <f>IF(Plantilla_SCAN_EQ3_COUNT_2[[#This Row],[ID MATERIAL]]="","",SIGN(Plantilla_SCAN_EQ3_COUNT_2[[#This Row],[Cantidad]])+A1840)</f>
        <v/>
      </c>
      <c r="B1841" s="21" t="str">
        <f>IF(Plantilla_SCAN_EQ3_COUNT_2[[#This Row],[ID MATERIAL]]="","",B1840)</f>
        <v/>
      </c>
      <c r="C1841" s="21"/>
      <c r="D1841" s="21"/>
      <c r="E1841" s="7" t="str">
        <f>IF(Plantilla_SCAN_EQ3_COUNT_2[[#This Row],[ID MATERIAL]]="","",VLOOKUP(Plantilla_SCAN_EQ3_COUNT_2[[#This Row],[ID MATERIAL]],INVENTARIO!$A:$D,2,FALSE))</f>
        <v/>
      </c>
      <c r="F1841" s="7" t="str">
        <f>IF(Plantilla_SCAN_EQ3_COUNT_2[[#This Row],[ID MATERIAL]]="","",IF(Plantilla_SCAN_EQ3_COUNT_2[[#This Row],[No. Empaques]]="",1,Plantilla_SCAN_EQ3_COUNT_2[[#This Row],[No. Empaques]]*1))</f>
        <v/>
      </c>
      <c r="G1841" s="7" t="str">
        <f>IF(Plantilla_SCAN_EQ3_COUNT_2[[#This Row],[ID MATERIAL]]="","","PZ")</f>
        <v/>
      </c>
      <c r="H1841" s="7" t="str">
        <f>IF(Plantilla_SCAN_EQ3_COUNT_2[[#This Row],[ID MATERIAL]]="","",$B$13)</f>
        <v/>
      </c>
      <c r="I1841" s="7" t="str">
        <f>IF(Plantilla_SCAN_EQ3_COUNT_2[[#This Row],[ID MATERIAL]]="","","Segundo Conteo")</f>
        <v/>
      </c>
    </row>
    <row r="1842" spans="1:9" s="7" customFormat="1" ht="15" x14ac:dyDescent="0.2">
      <c r="A1842" s="7" t="str">
        <f>IF(Plantilla_SCAN_EQ3_COUNT_2[[#This Row],[ID MATERIAL]]="","",SIGN(Plantilla_SCAN_EQ3_COUNT_2[[#This Row],[Cantidad]])+A1841)</f>
        <v/>
      </c>
      <c r="B1842" s="21" t="str">
        <f>IF(Plantilla_SCAN_EQ3_COUNT_2[[#This Row],[ID MATERIAL]]="","",B1841)</f>
        <v/>
      </c>
      <c r="C1842" s="21"/>
      <c r="D1842" s="21"/>
      <c r="E1842" s="7" t="str">
        <f>IF(Plantilla_SCAN_EQ3_COUNT_2[[#This Row],[ID MATERIAL]]="","",VLOOKUP(Plantilla_SCAN_EQ3_COUNT_2[[#This Row],[ID MATERIAL]],INVENTARIO!$A:$D,2,FALSE))</f>
        <v/>
      </c>
      <c r="F1842" s="7" t="str">
        <f>IF(Plantilla_SCAN_EQ3_COUNT_2[[#This Row],[ID MATERIAL]]="","",IF(Plantilla_SCAN_EQ3_COUNT_2[[#This Row],[No. Empaques]]="",1,Plantilla_SCAN_EQ3_COUNT_2[[#This Row],[No. Empaques]]*1))</f>
        <v/>
      </c>
      <c r="G1842" s="7" t="str">
        <f>IF(Plantilla_SCAN_EQ3_COUNT_2[[#This Row],[ID MATERIAL]]="","","PZ")</f>
        <v/>
      </c>
      <c r="H1842" s="7" t="str">
        <f>IF(Plantilla_SCAN_EQ3_COUNT_2[[#This Row],[ID MATERIAL]]="","",$B$13)</f>
        <v/>
      </c>
      <c r="I1842" s="7" t="str">
        <f>IF(Plantilla_SCAN_EQ3_COUNT_2[[#This Row],[ID MATERIAL]]="","","Segundo Conteo")</f>
        <v/>
      </c>
    </row>
    <row r="1843" spans="1:9" s="7" customFormat="1" ht="15" x14ac:dyDescent="0.2">
      <c r="A1843" s="7" t="str">
        <f>IF(Plantilla_SCAN_EQ3_COUNT_2[[#This Row],[ID MATERIAL]]="","",SIGN(Plantilla_SCAN_EQ3_COUNT_2[[#This Row],[Cantidad]])+A1842)</f>
        <v/>
      </c>
      <c r="B1843" s="21" t="str">
        <f>IF(Plantilla_SCAN_EQ3_COUNT_2[[#This Row],[ID MATERIAL]]="","",B1842)</f>
        <v/>
      </c>
      <c r="C1843" s="21"/>
      <c r="D1843" s="21"/>
      <c r="E1843" s="7" t="str">
        <f>IF(Plantilla_SCAN_EQ3_COUNT_2[[#This Row],[ID MATERIAL]]="","",VLOOKUP(Plantilla_SCAN_EQ3_COUNT_2[[#This Row],[ID MATERIAL]],INVENTARIO!$A:$D,2,FALSE))</f>
        <v/>
      </c>
      <c r="F1843" s="7" t="str">
        <f>IF(Plantilla_SCAN_EQ3_COUNT_2[[#This Row],[ID MATERIAL]]="","",IF(Plantilla_SCAN_EQ3_COUNT_2[[#This Row],[No. Empaques]]="",1,Plantilla_SCAN_EQ3_COUNT_2[[#This Row],[No. Empaques]]*1))</f>
        <v/>
      </c>
      <c r="G1843" s="7" t="str">
        <f>IF(Plantilla_SCAN_EQ3_COUNT_2[[#This Row],[ID MATERIAL]]="","","PZ")</f>
        <v/>
      </c>
      <c r="H1843" s="7" t="str">
        <f>IF(Plantilla_SCAN_EQ3_COUNT_2[[#This Row],[ID MATERIAL]]="","",$B$13)</f>
        <v/>
      </c>
      <c r="I1843" s="7" t="str">
        <f>IF(Plantilla_SCAN_EQ3_COUNT_2[[#This Row],[ID MATERIAL]]="","","Segundo Conteo")</f>
        <v/>
      </c>
    </row>
    <row r="1844" spans="1:9" s="7" customFormat="1" ht="15" x14ac:dyDescent="0.2">
      <c r="A1844" s="7" t="str">
        <f>IF(Plantilla_SCAN_EQ3_COUNT_2[[#This Row],[ID MATERIAL]]="","",SIGN(Plantilla_SCAN_EQ3_COUNT_2[[#This Row],[Cantidad]])+A1843)</f>
        <v/>
      </c>
      <c r="B1844" s="21" t="str">
        <f>IF(Plantilla_SCAN_EQ3_COUNT_2[[#This Row],[ID MATERIAL]]="","",B1843)</f>
        <v/>
      </c>
      <c r="C1844" s="21"/>
      <c r="D1844" s="21"/>
      <c r="E1844" s="7" t="str">
        <f>IF(Plantilla_SCAN_EQ3_COUNT_2[[#This Row],[ID MATERIAL]]="","",VLOOKUP(Plantilla_SCAN_EQ3_COUNT_2[[#This Row],[ID MATERIAL]],INVENTARIO!$A:$D,2,FALSE))</f>
        <v/>
      </c>
      <c r="F1844" s="7" t="str">
        <f>IF(Plantilla_SCAN_EQ3_COUNT_2[[#This Row],[ID MATERIAL]]="","",IF(Plantilla_SCAN_EQ3_COUNT_2[[#This Row],[No. Empaques]]="",1,Plantilla_SCAN_EQ3_COUNT_2[[#This Row],[No. Empaques]]*1))</f>
        <v/>
      </c>
      <c r="G1844" s="7" t="str">
        <f>IF(Plantilla_SCAN_EQ3_COUNT_2[[#This Row],[ID MATERIAL]]="","","PZ")</f>
        <v/>
      </c>
      <c r="H1844" s="7" t="str">
        <f>IF(Plantilla_SCAN_EQ3_COUNT_2[[#This Row],[ID MATERIAL]]="","",$B$13)</f>
        <v/>
      </c>
      <c r="I1844" s="7" t="str">
        <f>IF(Plantilla_SCAN_EQ3_COUNT_2[[#This Row],[ID MATERIAL]]="","","Segundo Conteo")</f>
        <v/>
      </c>
    </row>
    <row r="1845" spans="1:9" s="7" customFormat="1" ht="15" x14ac:dyDescent="0.2">
      <c r="A1845" s="7" t="str">
        <f>IF(Plantilla_SCAN_EQ3_COUNT_2[[#This Row],[ID MATERIAL]]="","",SIGN(Plantilla_SCAN_EQ3_COUNT_2[[#This Row],[Cantidad]])+A1844)</f>
        <v/>
      </c>
      <c r="B1845" s="21" t="str">
        <f>IF(Plantilla_SCAN_EQ3_COUNT_2[[#This Row],[ID MATERIAL]]="","",B1844)</f>
        <v/>
      </c>
      <c r="C1845" s="21"/>
      <c r="D1845" s="21"/>
      <c r="E1845" s="7" t="str">
        <f>IF(Plantilla_SCAN_EQ3_COUNT_2[[#This Row],[ID MATERIAL]]="","",VLOOKUP(Plantilla_SCAN_EQ3_COUNT_2[[#This Row],[ID MATERIAL]],INVENTARIO!$A:$D,2,FALSE))</f>
        <v/>
      </c>
      <c r="F1845" s="7" t="str">
        <f>IF(Plantilla_SCAN_EQ3_COUNT_2[[#This Row],[ID MATERIAL]]="","",IF(Plantilla_SCAN_EQ3_COUNT_2[[#This Row],[No. Empaques]]="",1,Plantilla_SCAN_EQ3_COUNT_2[[#This Row],[No. Empaques]]*1))</f>
        <v/>
      </c>
      <c r="G1845" s="7" t="str">
        <f>IF(Plantilla_SCAN_EQ3_COUNT_2[[#This Row],[ID MATERIAL]]="","","PZ")</f>
        <v/>
      </c>
      <c r="H1845" s="7" t="str">
        <f>IF(Plantilla_SCAN_EQ3_COUNT_2[[#This Row],[ID MATERIAL]]="","",$B$13)</f>
        <v/>
      </c>
      <c r="I1845" s="7" t="str">
        <f>IF(Plantilla_SCAN_EQ3_COUNT_2[[#This Row],[ID MATERIAL]]="","","Segundo Conteo")</f>
        <v/>
      </c>
    </row>
    <row r="1846" spans="1:9" s="7" customFormat="1" ht="15" x14ac:dyDescent="0.2">
      <c r="A1846" s="7" t="str">
        <f>IF(Plantilla_SCAN_EQ3_COUNT_2[[#This Row],[ID MATERIAL]]="","",SIGN(Plantilla_SCAN_EQ3_COUNT_2[[#This Row],[Cantidad]])+A1845)</f>
        <v/>
      </c>
      <c r="B1846" s="21" t="str">
        <f>IF(Plantilla_SCAN_EQ3_COUNT_2[[#This Row],[ID MATERIAL]]="","",B1845)</f>
        <v/>
      </c>
      <c r="C1846" s="21"/>
      <c r="D1846" s="21"/>
      <c r="E1846" s="7" t="str">
        <f>IF(Plantilla_SCAN_EQ3_COUNT_2[[#This Row],[ID MATERIAL]]="","",VLOOKUP(Plantilla_SCAN_EQ3_COUNT_2[[#This Row],[ID MATERIAL]],INVENTARIO!$A:$D,2,FALSE))</f>
        <v/>
      </c>
      <c r="F1846" s="7" t="str">
        <f>IF(Plantilla_SCAN_EQ3_COUNT_2[[#This Row],[ID MATERIAL]]="","",IF(Plantilla_SCAN_EQ3_COUNT_2[[#This Row],[No. Empaques]]="",1,Plantilla_SCAN_EQ3_COUNT_2[[#This Row],[No. Empaques]]*1))</f>
        <v/>
      </c>
      <c r="G1846" s="7" t="str">
        <f>IF(Plantilla_SCAN_EQ3_COUNT_2[[#This Row],[ID MATERIAL]]="","","PZ")</f>
        <v/>
      </c>
      <c r="H1846" s="7" t="str">
        <f>IF(Plantilla_SCAN_EQ3_COUNT_2[[#This Row],[ID MATERIAL]]="","",$B$13)</f>
        <v/>
      </c>
      <c r="I1846" s="7" t="str">
        <f>IF(Plantilla_SCAN_EQ3_COUNT_2[[#This Row],[ID MATERIAL]]="","","Segundo Conteo")</f>
        <v/>
      </c>
    </row>
    <row r="1847" spans="1:9" s="7" customFormat="1" ht="15" x14ac:dyDescent="0.2">
      <c r="A1847" s="7" t="str">
        <f>IF(Plantilla_SCAN_EQ3_COUNT_2[[#This Row],[ID MATERIAL]]="","",SIGN(Plantilla_SCAN_EQ3_COUNT_2[[#This Row],[Cantidad]])+A1846)</f>
        <v/>
      </c>
      <c r="B1847" s="21" t="str">
        <f>IF(Plantilla_SCAN_EQ3_COUNT_2[[#This Row],[ID MATERIAL]]="","",B1846)</f>
        <v/>
      </c>
      <c r="C1847" s="21"/>
      <c r="D1847" s="21"/>
      <c r="E1847" s="7" t="str">
        <f>IF(Plantilla_SCAN_EQ3_COUNT_2[[#This Row],[ID MATERIAL]]="","",VLOOKUP(Plantilla_SCAN_EQ3_COUNT_2[[#This Row],[ID MATERIAL]],INVENTARIO!$A:$D,2,FALSE))</f>
        <v/>
      </c>
      <c r="F1847" s="7" t="str">
        <f>IF(Plantilla_SCAN_EQ3_COUNT_2[[#This Row],[ID MATERIAL]]="","",IF(Plantilla_SCAN_EQ3_COUNT_2[[#This Row],[No. Empaques]]="",1,Plantilla_SCAN_EQ3_COUNT_2[[#This Row],[No. Empaques]]*1))</f>
        <v/>
      </c>
      <c r="G1847" s="7" t="str">
        <f>IF(Plantilla_SCAN_EQ3_COUNT_2[[#This Row],[ID MATERIAL]]="","","PZ")</f>
        <v/>
      </c>
      <c r="H1847" s="7" t="str">
        <f>IF(Plantilla_SCAN_EQ3_COUNT_2[[#This Row],[ID MATERIAL]]="","",$B$13)</f>
        <v/>
      </c>
      <c r="I1847" s="7" t="str">
        <f>IF(Plantilla_SCAN_EQ3_COUNT_2[[#This Row],[ID MATERIAL]]="","","Segundo Conteo")</f>
        <v/>
      </c>
    </row>
    <row r="1848" spans="1:9" s="7" customFormat="1" ht="15" x14ac:dyDescent="0.2">
      <c r="A1848" s="7" t="str">
        <f>IF(Plantilla_SCAN_EQ3_COUNT_2[[#This Row],[ID MATERIAL]]="","",SIGN(Plantilla_SCAN_EQ3_COUNT_2[[#This Row],[Cantidad]])+A1847)</f>
        <v/>
      </c>
      <c r="B1848" s="21" t="str">
        <f>IF(Plantilla_SCAN_EQ3_COUNT_2[[#This Row],[ID MATERIAL]]="","",B1847)</f>
        <v/>
      </c>
      <c r="C1848" s="21"/>
      <c r="D1848" s="21"/>
      <c r="E1848" s="7" t="str">
        <f>IF(Plantilla_SCAN_EQ3_COUNT_2[[#This Row],[ID MATERIAL]]="","",VLOOKUP(Plantilla_SCAN_EQ3_COUNT_2[[#This Row],[ID MATERIAL]],INVENTARIO!$A:$D,2,FALSE))</f>
        <v/>
      </c>
      <c r="F1848" s="7" t="str">
        <f>IF(Plantilla_SCAN_EQ3_COUNT_2[[#This Row],[ID MATERIAL]]="","",IF(Plantilla_SCAN_EQ3_COUNT_2[[#This Row],[No. Empaques]]="",1,Plantilla_SCAN_EQ3_COUNT_2[[#This Row],[No. Empaques]]*1))</f>
        <v/>
      </c>
      <c r="G1848" s="7" t="str">
        <f>IF(Plantilla_SCAN_EQ3_COUNT_2[[#This Row],[ID MATERIAL]]="","","PZ")</f>
        <v/>
      </c>
      <c r="H1848" s="7" t="str">
        <f>IF(Plantilla_SCAN_EQ3_COUNT_2[[#This Row],[ID MATERIAL]]="","",$B$13)</f>
        <v/>
      </c>
      <c r="I1848" s="7" t="str">
        <f>IF(Plantilla_SCAN_EQ3_COUNT_2[[#This Row],[ID MATERIAL]]="","","Segundo Conteo")</f>
        <v/>
      </c>
    </row>
    <row r="1849" spans="1:9" s="7" customFormat="1" ht="15" x14ac:dyDescent="0.2">
      <c r="A1849" s="7" t="str">
        <f>IF(Plantilla_SCAN_EQ3_COUNT_2[[#This Row],[ID MATERIAL]]="","",SIGN(Plantilla_SCAN_EQ3_COUNT_2[[#This Row],[Cantidad]])+A1848)</f>
        <v/>
      </c>
      <c r="B1849" s="21" t="str">
        <f>IF(Plantilla_SCAN_EQ3_COUNT_2[[#This Row],[ID MATERIAL]]="","",B1848)</f>
        <v/>
      </c>
      <c r="C1849" s="21"/>
      <c r="D1849" s="21"/>
      <c r="E1849" s="7" t="str">
        <f>IF(Plantilla_SCAN_EQ3_COUNT_2[[#This Row],[ID MATERIAL]]="","",VLOOKUP(Plantilla_SCAN_EQ3_COUNT_2[[#This Row],[ID MATERIAL]],INVENTARIO!$A:$D,2,FALSE))</f>
        <v/>
      </c>
      <c r="F1849" s="7" t="str">
        <f>IF(Plantilla_SCAN_EQ3_COUNT_2[[#This Row],[ID MATERIAL]]="","",IF(Plantilla_SCAN_EQ3_COUNT_2[[#This Row],[No. Empaques]]="",1,Plantilla_SCAN_EQ3_COUNT_2[[#This Row],[No. Empaques]]*1))</f>
        <v/>
      </c>
      <c r="G1849" s="7" t="str">
        <f>IF(Plantilla_SCAN_EQ3_COUNT_2[[#This Row],[ID MATERIAL]]="","","PZ")</f>
        <v/>
      </c>
      <c r="H1849" s="7" t="str">
        <f>IF(Plantilla_SCAN_EQ3_COUNT_2[[#This Row],[ID MATERIAL]]="","",$B$13)</f>
        <v/>
      </c>
      <c r="I1849" s="7" t="str">
        <f>IF(Plantilla_SCAN_EQ3_COUNT_2[[#This Row],[ID MATERIAL]]="","","Segundo Conteo")</f>
        <v/>
      </c>
    </row>
    <row r="1850" spans="1:9" s="7" customFormat="1" ht="15" x14ac:dyDescent="0.2">
      <c r="A1850" s="7" t="str">
        <f>IF(Plantilla_SCAN_EQ3_COUNT_2[[#This Row],[ID MATERIAL]]="","",SIGN(Plantilla_SCAN_EQ3_COUNT_2[[#This Row],[Cantidad]])+A1849)</f>
        <v/>
      </c>
      <c r="B1850" s="21" t="str">
        <f>IF(Plantilla_SCAN_EQ3_COUNT_2[[#This Row],[ID MATERIAL]]="","",B1849)</f>
        <v/>
      </c>
      <c r="C1850" s="21"/>
      <c r="D1850" s="21"/>
      <c r="E1850" s="7" t="str">
        <f>IF(Plantilla_SCAN_EQ3_COUNT_2[[#This Row],[ID MATERIAL]]="","",VLOOKUP(Plantilla_SCAN_EQ3_COUNT_2[[#This Row],[ID MATERIAL]],INVENTARIO!$A:$D,2,FALSE))</f>
        <v/>
      </c>
      <c r="F1850" s="7" t="str">
        <f>IF(Plantilla_SCAN_EQ3_COUNT_2[[#This Row],[ID MATERIAL]]="","",IF(Plantilla_SCAN_EQ3_COUNT_2[[#This Row],[No. Empaques]]="",1,Plantilla_SCAN_EQ3_COUNT_2[[#This Row],[No. Empaques]]*1))</f>
        <v/>
      </c>
      <c r="G1850" s="7" t="str">
        <f>IF(Plantilla_SCAN_EQ3_COUNT_2[[#This Row],[ID MATERIAL]]="","","PZ")</f>
        <v/>
      </c>
      <c r="H1850" s="7" t="str">
        <f>IF(Plantilla_SCAN_EQ3_COUNT_2[[#This Row],[ID MATERIAL]]="","",$B$13)</f>
        <v/>
      </c>
      <c r="I1850" s="7" t="str">
        <f>IF(Plantilla_SCAN_EQ3_COUNT_2[[#This Row],[ID MATERIAL]]="","","Segundo Conteo")</f>
        <v/>
      </c>
    </row>
    <row r="1851" spans="1:9" s="7" customFormat="1" ht="15" x14ac:dyDescent="0.2">
      <c r="A1851" s="7" t="str">
        <f>IF(Plantilla_SCAN_EQ3_COUNT_2[[#This Row],[ID MATERIAL]]="","",SIGN(Plantilla_SCAN_EQ3_COUNT_2[[#This Row],[Cantidad]])+A1850)</f>
        <v/>
      </c>
      <c r="B1851" s="21" t="str">
        <f>IF(Plantilla_SCAN_EQ3_COUNT_2[[#This Row],[ID MATERIAL]]="","",B1850)</f>
        <v/>
      </c>
      <c r="C1851" s="21"/>
      <c r="D1851" s="21"/>
      <c r="E1851" s="7" t="str">
        <f>IF(Plantilla_SCAN_EQ3_COUNT_2[[#This Row],[ID MATERIAL]]="","",VLOOKUP(Plantilla_SCAN_EQ3_COUNT_2[[#This Row],[ID MATERIAL]],INVENTARIO!$A:$D,2,FALSE))</f>
        <v/>
      </c>
      <c r="F1851" s="7" t="str">
        <f>IF(Plantilla_SCAN_EQ3_COUNT_2[[#This Row],[ID MATERIAL]]="","",IF(Plantilla_SCAN_EQ3_COUNT_2[[#This Row],[No. Empaques]]="",1,Plantilla_SCAN_EQ3_COUNT_2[[#This Row],[No. Empaques]]*1))</f>
        <v/>
      </c>
      <c r="G1851" s="7" t="str">
        <f>IF(Plantilla_SCAN_EQ3_COUNT_2[[#This Row],[ID MATERIAL]]="","","PZ")</f>
        <v/>
      </c>
      <c r="H1851" s="7" t="str">
        <f>IF(Plantilla_SCAN_EQ3_COUNT_2[[#This Row],[ID MATERIAL]]="","",$B$13)</f>
        <v/>
      </c>
      <c r="I1851" s="7" t="str">
        <f>IF(Plantilla_SCAN_EQ3_COUNT_2[[#This Row],[ID MATERIAL]]="","","Segundo Conteo")</f>
        <v/>
      </c>
    </row>
    <row r="1852" spans="1:9" s="7" customFormat="1" ht="15" x14ac:dyDescent="0.2">
      <c r="A1852" s="7" t="str">
        <f>IF(Plantilla_SCAN_EQ3_COUNT_2[[#This Row],[ID MATERIAL]]="","",SIGN(Plantilla_SCAN_EQ3_COUNT_2[[#This Row],[Cantidad]])+A1851)</f>
        <v/>
      </c>
      <c r="B1852" s="21" t="str">
        <f>IF(Plantilla_SCAN_EQ3_COUNT_2[[#This Row],[ID MATERIAL]]="","",B1851)</f>
        <v/>
      </c>
      <c r="C1852" s="21"/>
      <c r="D1852" s="21"/>
      <c r="E1852" s="7" t="str">
        <f>IF(Plantilla_SCAN_EQ3_COUNT_2[[#This Row],[ID MATERIAL]]="","",VLOOKUP(Plantilla_SCAN_EQ3_COUNT_2[[#This Row],[ID MATERIAL]],INVENTARIO!$A:$D,2,FALSE))</f>
        <v/>
      </c>
      <c r="F1852" s="7" t="str">
        <f>IF(Plantilla_SCAN_EQ3_COUNT_2[[#This Row],[ID MATERIAL]]="","",IF(Plantilla_SCAN_EQ3_COUNT_2[[#This Row],[No. Empaques]]="",1,Plantilla_SCAN_EQ3_COUNT_2[[#This Row],[No. Empaques]]*1))</f>
        <v/>
      </c>
      <c r="G1852" s="7" t="str">
        <f>IF(Plantilla_SCAN_EQ3_COUNT_2[[#This Row],[ID MATERIAL]]="","","PZ")</f>
        <v/>
      </c>
      <c r="H1852" s="7" t="str">
        <f>IF(Plantilla_SCAN_EQ3_COUNT_2[[#This Row],[ID MATERIAL]]="","",$B$13)</f>
        <v/>
      </c>
      <c r="I1852" s="7" t="str">
        <f>IF(Plantilla_SCAN_EQ3_COUNT_2[[#This Row],[ID MATERIAL]]="","","Segundo Conteo")</f>
        <v/>
      </c>
    </row>
    <row r="1853" spans="1:9" s="7" customFormat="1" ht="15" x14ac:dyDescent="0.2">
      <c r="A1853" s="7" t="str">
        <f>IF(Plantilla_SCAN_EQ3_COUNT_2[[#This Row],[ID MATERIAL]]="","",SIGN(Plantilla_SCAN_EQ3_COUNT_2[[#This Row],[Cantidad]])+A1852)</f>
        <v/>
      </c>
      <c r="B1853" s="21" t="str">
        <f>IF(Plantilla_SCAN_EQ3_COUNT_2[[#This Row],[ID MATERIAL]]="","",B1852)</f>
        <v/>
      </c>
      <c r="C1853" s="21"/>
      <c r="D1853" s="21"/>
      <c r="E1853" s="7" t="str">
        <f>IF(Plantilla_SCAN_EQ3_COUNT_2[[#This Row],[ID MATERIAL]]="","",VLOOKUP(Plantilla_SCAN_EQ3_COUNT_2[[#This Row],[ID MATERIAL]],INVENTARIO!$A:$D,2,FALSE))</f>
        <v/>
      </c>
      <c r="F1853" s="7" t="str">
        <f>IF(Plantilla_SCAN_EQ3_COUNT_2[[#This Row],[ID MATERIAL]]="","",IF(Plantilla_SCAN_EQ3_COUNT_2[[#This Row],[No. Empaques]]="",1,Plantilla_SCAN_EQ3_COUNT_2[[#This Row],[No. Empaques]]*1))</f>
        <v/>
      </c>
      <c r="G1853" s="7" t="str">
        <f>IF(Plantilla_SCAN_EQ3_COUNT_2[[#This Row],[ID MATERIAL]]="","","PZ")</f>
        <v/>
      </c>
      <c r="H1853" s="7" t="str">
        <f>IF(Plantilla_SCAN_EQ3_COUNT_2[[#This Row],[ID MATERIAL]]="","",$B$13)</f>
        <v/>
      </c>
      <c r="I1853" s="7" t="str">
        <f>IF(Plantilla_SCAN_EQ3_COUNT_2[[#This Row],[ID MATERIAL]]="","","Segundo Conteo")</f>
        <v/>
      </c>
    </row>
    <row r="1854" spans="1:9" s="7" customFormat="1" ht="15" x14ac:dyDescent="0.2">
      <c r="A1854" s="7" t="str">
        <f>IF(Plantilla_SCAN_EQ3_COUNT_2[[#This Row],[ID MATERIAL]]="","",SIGN(Plantilla_SCAN_EQ3_COUNT_2[[#This Row],[Cantidad]])+A1853)</f>
        <v/>
      </c>
      <c r="B1854" s="21" t="str">
        <f>IF(Plantilla_SCAN_EQ3_COUNT_2[[#This Row],[ID MATERIAL]]="","",B1853)</f>
        <v/>
      </c>
      <c r="C1854" s="21"/>
      <c r="D1854" s="21"/>
      <c r="E1854" s="7" t="str">
        <f>IF(Plantilla_SCAN_EQ3_COUNT_2[[#This Row],[ID MATERIAL]]="","",VLOOKUP(Plantilla_SCAN_EQ3_COUNT_2[[#This Row],[ID MATERIAL]],INVENTARIO!$A:$D,2,FALSE))</f>
        <v/>
      </c>
      <c r="F1854" s="7" t="str">
        <f>IF(Plantilla_SCAN_EQ3_COUNT_2[[#This Row],[ID MATERIAL]]="","",IF(Plantilla_SCAN_EQ3_COUNT_2[[#This Row],[No. Empaques]]="",1,Plantilla_SCAN_EQ3_COUNT_2[[#This Row],[No. Empaques]]*1))</f>
        <v/>
      </c>
      <c r="G1854" s="7" t="str">
        <f>IF(Plantilla_SCAN_EQ3_COUNT_2[[#This Row],[ID MATERIAL]]="","","PZ")</f>
        <v/>
      </c>
      <c r="H1854" s="7" t="str">
        <f>IF(Plantilla_SCAN_EQ3_COUNT_2[[#This Row],[ID MATERIAL]]="","",$B$13)</f>
        <v/>
      </c>
      <c r="I1854" s="7" t="str">
        <f>IF(Plantilla_SCAN_EQ3_COUNT_2[[#This Row],[ID MATERIAL]]="","","Segundo Conteo")</f>
        <v/>
      </c>
    </row>
    <row r="1855" spans="1:9" s="7" customFormat="1" ht="15" x14ac:dyDescent="0.2">
      <c r="A1855" s="7" t="str">
        <f>IF(Plantilla_SCAN_EQ3_COUNT_2[[#This Row],[ID MATERIAL]]="","",SIGN(Plantilla_SCAN_EQ3_COUNT_2[[#This Row],[Cantidad]])+A1854)</f>
        <v/>
      </c>
      <c r="B1855" s="21" t="str">
        <f>IF(Plantilla_SCAN_EQ3_COUNT_2[[#This Row],[ID MATERIAL]]="","",B1854)</f>
        <v/>
      </c>
      <c r="C1855" s="21"/>
      <c r="D1855" s="21"/>
      <c r="E1855" s="7" t="str">
        <f>IF(Plantilla_SCAN_EQ3_COUNT_2[[#This Row],[ID MATERIAL]]="","",VLOOKUP(Plantilla_SCAN_EQ3_COUNT_2[[#This Row],[ID MATERIAL]],INVENTARIO!$A:$D,2,FALSE))</f>
        <v/>
      </c>
      <c r="F1855" s="7" t="str">
        <f>IF(Plantilla_SCAN_EQ3_COUNT_2[[#This Row],[ID MATERIAL]]="","",IF(Plantilla_SCAN_EQ3_COUNT_2[[#This Row],[No. Empaques]]="",1,Plantilla_SCAN_EQ3_COUNT_2[[#This Row],[No. Empaques]]*1))</f>
        <v/>
      </c>
      <c r="G1855" s="7" t="str">
        <f>IF(Plantilla_SCAN_EQ3_COUNT_2[[#This Row],[ID MATERIAL]]="","","PZ")</f>
        <v/>
      </c>
      <c r="H1855" s="7" t="str">
        <f>IF(Plantilla_SCAN_EQ3_COUNT_2[[#This Row],[ID MATERIAL]]="","",$B$13)</f>
        <v/>
      </c>
      <c r="I1855" s="7" t="str">
        <f>IF(Plantilla_SCAN_EQ3_COUNT_2[[#This Row],[ID MATERIAL]]="","","Segundo Conteo")</f>
        <v/>
      </c>
    </row>
    <row r="1856" spans="1:9" s="7" customFormat="1" ht="15" x14ac:dyDescent="0.2">
      <c r="A1856" s="7" t="str">
        <f>IF(Plantilla_SCAN_EQ3_COUNT_2[[#This Row],[ID MATERIAL]]="","",SIGN(Plantilla_SCAN_EQ3_COUNT_2[[#This Row],[Cantidad]])+A1855)</f>
        <v/>
      </c>
      <c r="B1856" s="21" t="str">
        <f>IF(Plantilla_SCAN_EQ3_COUNT_2[[#This Row],[ID MATERIAL]]="","",B1855)</f>
        <v/>
      </c>
      <c r="C1856" s="21"/>
      <c r="D1856" s="21"/>
      <c r="E1856" s="7" t="str">
        <f>IF(Plantilla_SCAN_EQ3_COUNT_2[[#This Row],[ID MATERIAL]]="","",VLOOKUP(Plantilla_SCAN_EQ3_COUNT_2[[#This Row],[ID MATERIAL]],INVENTARIO!$A:$D,2,FALSE))</f>
        <v/>
      </c>
      <c r="F1856" s="7" t="str">
        <f>IF(Plantilla_SCAN_EQ3_COUNT_2[[#This Row],[ID MATERIAL]]="","",IF(Plantilla_SCAN_EQ3_COUNT_2[[#This Row],[No. Empaques]]="",1,Plantilla_SCAN_EQ3_COUNT_2[[#This Row],[No. Empaques]]*1))</f>
        <v/>
      </c>
      <c r="G1856" s="7" t="str">
        <f>IF(Plantilla_SCAN_EQ3_COUNT_2[[#This Row],[ID MATERIAL]]="","","PZ")</f>
        <v/>
      </c>
      <c r="H1856" s="7" t="str">
        <f>IF(Plantilla_SCAN_EQ3_COUNT_2[[#This Row],[ID MATERIAL]]="","",$B$13)</f>
        <v/>
      </c>
      <c r="I1856" s="7" t="str">
        <f>IF(Plantilla_SCAN_EQ3_COUNT_2[[#This Row],[ID MATERIAL]]="","","Segundo Conteo")</f>
        <v/>
      </c>
    </row>
    <row r="1857" spans="1:9" s="7" customFormat="1" ht="15" x14ac:dyDescent="0.2">
      <c r="A1857" s="7" t="str">
        <f>IF(Plantilla_SCAN_EQ3_COUNT_2[[#This Row],[ID MATERIAL]]="","",SIGN(Plantilla_SCAN_EQ3_COUNT_2[[#This Row],[Cantidad]])+A1856)</f>
        <v/>
      </c>
      <c r="B1857" s="21" t="str">
        <f>IF(Plantilla_SCAN_EQ3_COUNT_2[[#This Row],[ID MATERIAL]]="","",B1856)</f>
        <v/>
      </c>
      <c r="C1857" s="21"/>
      <c r="D1857" s="21"/>
      <c r="E1857" s="7" t="str">
        <f>IF(Plantilla_SCAN_EQ3_COUNT_2[[#This Row],[ID MATERIAL]]="","",VLOOKUP(Plantilla_SCAN_EQ3_COUNT_2[[#This Row],[ID MATERIAL]],INVENTARIO!$A:$D,2,FALSE))</f>
        <v/>
      </c>
      <c r="F1857" s="7" t="str">
        <f>IF(Plantilla_SCAN_EQ3_COUNT_2[[#This Row],[ID MATERIAL]]="","",IF(Plantilla_SCAN_EQ3_COUNT_2[[#This Row],[No. Empaques]]="",1,Plantilla_SCAN_EQ3_COUNT_2[[#This Row],[No. Empaques]]*1))</f>
        <v/>
      </c>
      <c r="G1857" s="7" t="str">
        <f>IF(Plantilla_SCAN_EQ3_COUNT_2[[#This Row],[ID MATERIAL]]="","","PZ")</f>
        <v/>
      </c>
      <c r="H1857" s="7" t="str">
        <f>IF(Plantilla_SCAN_EQ3_COUNT_2[[#This Row],[ID MATERIAL]]="","",$B$13)</f>
        <v/>
      </c>
      <c r="I1857" s="7" t="str">
        <f>IF(Plantilla_SCAN_EQ3_COUNT_2[[#This Row],[ID MATERIAL]]="","","Segundo Conteo")</f>
        <v/>
      </c>
    </row>
    <row r="1858" spans="1:9" s="7" customFormat="1" ht="15" x14ac:dyDescent="0.2">
      <c r="A1858" s="7" t="str">
        <f>IF(Plantilla_SCAN_EQ3_COUNT_2[[#This Row],[ID MATERIAL]]="","",SIGN(Plantilla_SCAN_EQ3_COUNT_2[[#This Row],[Cantidad]])+A1857)</f>
        <v/>
      </c>
      <c r="B1858" s="21" t="str">
        <f>IF(Plantilla_SCAN_EQ3_COUNT_2[[#This Row],[ID MATERIAL]]="","",B1857)</f>
        <v/>
      </c>
      <c r="C1858" s="21"/>
      <c r="D1858" s="21"/>
      <c r="E1858" s="7" t="str">
        <f>IF(Plantilla_SCAN_EQ3_COUNT_2[[#This Row],[ID MATERIAL]]="","",VLOOKUP(Plantilla_SCAN_EQ3_COUNT_2[[#This Row],[ID MATERIAL]],INVENTARIO!$A:$D,2,FALSE))</f>
        <v/>
      </c>
      <c r="F1858" s="7" t="str">
        <f>IF(Plantilla_SCAN_EQ3_COUNT_2[[#This Row],[ID MATERIAL]]="","",IF(Plantilla_SCAN_EQ3_COUNT_2[[#This Row],[No. Empaques]]="",1,Plantilla_SCAN_EQ3_COUNT_2[[#This Row],[No. Empaques]]*1))</f>
        <v/>
      </c>
      <c r="G1858" s="7" t="str">
        <f>IF(Plantilla_SCAN_EQ3_COUNT_2[[#This Row],[ID MATERIAL]]="","","PZ")</f>
        <v/>
      </c>
      <c r="H1858" s="7" t="str">
        <f>IF(Plantilla_SCAN_EQ3_COUNT_2[[#This Row],[ID MATERIAL]]="","",$B$13)</f>
        <v/>
      </c>
      <c r="I1858" s="7" t="str">
        <f>IF(Plantilla_SCAN_EQ3_COUNT_2[[#This Row],[ID MATERIAL]]="","","Segundo Conteo")</f>
        <v/>
      </c>
    </row>
    <row r="1859" spans="1:9" s="7" customFormat="1" ht="15" x14ac:dyDescent="0.2">
      <c r="A1859" s="7" t="str">
        <f>IF(Plantilla_SCAN_EQ3_COUNT_2[[#This Row],[ID MATERIAL]]="","",SIGN(Plantilla_SCAN_EQ3_COUNT_2[[#This Row],[Cantidad]])+A1858)</f>
        <v/>
      </c>
      <c r="B1859" s="21" t="str">
        <f>IF(Plantilla_SCAN_EQ3_COUNT_2[[#This Row],[ID MATERIAL]]="","",B1858)</f>
        <v/>
      </c>
      <c r="C1859" s="21"/>
      <c r="D1859" s="21"/>
      <c r="E1859" s="7" t="str">
        <f>IF(Plantilla_SCAN_EQ3_COUNT_2[[#This Row],[ID MATERIAL]]="","",VLOOKUP(Plantilla_SCAN_EQ3_COUNT_2[[#This Row],[ID MATERIAL]],INVENTARIO!$A:$D,2,FALSE))</f>
        <v/>
      </c>
      <c r="F1859" s="7" t="str">
        <f>IF(Plantilla_SCAN_EQ3_COUNT_2[[#This Row],[ID MATERIAL]]="","",IF(Plantilla_SCAN_EQ3_COUNT_2[[#This Row],[No. Empaques]]="",1,Plantilla_SCAN_EQ3_COUNT_2[[#This Row],[No. Empaques]]*1))</f>
        <v/>
      </c>
      <c r="G1859" s="7" t="str">
        <f>IF(Plantilla_SCAN_EQ3_COUNT_2[[#This Row],[ID MATERIAL]]="","","PZ")</f>
        <v/>
      </c>
      <c r="H1859" s="7" t="str">
        <f>IF(Plantilla_SCAN_EQ3_COUNT_2[[#This Row],[ID MATERIAL]]="","",$B$13)</f>
        <v/>
      </c>
      <c r="I1859" s="7" t="str">
        <f>IF(Plantilla_SCAN_EQ3_COUNT_2[[#This Row],[ID MATERIAL]]="","","Segundo Conteo")</f>
        <v/>
      </c>
    </row>
    <row r="1860" spans="1:9" s="7" customFormat="1" ht="15" x14ac:dyDescent="0.2">
      <c r="A1860" s="7" t="str">
        <f>IF(Plantilla_SCAN_EQ3_COUNT_2[[#This Row],[ID MATERIAL]]="","",SIGN(Plantilla_SCAN_EQ3_COUNT_2[[#This Row],[Cantidad]])+A1859)</f>
        <v/>
      </c>
      <c r="B1860" s="21" t="str">
        <f>IF(Plantilla_SCAN_EQ3_COUNT_2[[#This Row],[ID MATERIAL]]="","",B1859)</f>
        <v/>
      </c>
      <c r="C1860" s="21"/>
      <c r="D1860" s="21"/>
      <c r="E1860" s="7" t="str">
        <f>IF(Plantilla_SCAN_EQ3_COUNT_2[[#This Row],[ID MATERIAL]]="","",VLOOKUP(Plantilla_SCAN_EQ3_COUNT_2[[#This Row],[ID MATERIAL]],INVENTARIO!$A:$D,2,FALSE))</f>
        <v/>
      </c>
      <c r="F1860" s="7" t="str">
        <f>IF(Plantilla_SCAN_EQ3_COUNT_2[[#This Row],[ID MATERIAL]]="","",IF(Plantilla_SCAN_EQ3_COUNT_2[[#This Row],[No. Empaques]]="",1,Plantilla_SCAN_EQ3_COUNT_2[[#This Row],[No. Empaques]]*1))</f>
        <v/>
      </c>
      <c r="G1860" s="7" t="str">
        <f>IF(Plantilla_SCAN_EQ3_COUNT_2[[#This Row],[ID MATERIAL]]="","","PZ")</f>
        <v/>
      </c>
      <c r="H1860" s="7" t="str">
        <f>IF(Plantilla_SCAN_EQ3_COUNT_2[[#This Row],[ID MATERIAL]]="","",$B$13)</f>
        <v/>
      </c>
      <c r="I1860" s="7" t="str">
        <f>IF(Plantilla_SCAN_EQ3_COUNT_2[[#This Row],[ID MATERIAL]]="","","Segundo Conteo")</f>
        <v/>
      </c>
    </row>
    <row r="1861" spans="1:9" s="7" customFormat="1" ht="15" x14ac:dyDescent="0.2">
      <c r="A1861" s="7" t="str">
        <f>IF(Plantilla_SCAN_EQ3_COUNT_2[[#This Row],[ID MATERIAL]]="","",SIGN(Plantilla_SCAN_EQ3_COUNT_2[[#This Row],[Cantidad]])+A1860)</f>
        <v/>
      </c>
      <c r="B1861" s="21" t="str">
        <f>IF(Plantilla_SCAN_EQ3_COUNT_2[[#This Row],[ID MATERIAL]]="","",B1860)</f>
        <v/>
      </c>
      <c r="C1861" s="21"/>
      <c r="D1861" s="21"/>
      <c r="E1861" s="7" t="str">
        <f>IF(Plantilla_SCAN_EQ3_COUNT_2[[#This Row],[ID MATERIAL]]="","",VLOOKUP(Plantilla_SCAN_EQ3_COUNT_2[[#This Row],[ID MATERIAL]],INVENTARIO!$A:$D,2,FALSE))</f>
        <v/>
      </c>
      <c r="F1861" s="7" t="str">
        <f>IF(Plantilla_SCAN_EQ3_COUNT_2[[#This Row],[ID MATERIAL]]="","",IF(Plantilla_SCAN_EQ3_COUNT_2[[#This Row],[No. Empaques]]="",1,Plantilla_SCAN_EQ3_COUNT_2[[#This Row],[No. Empaques]]*1))</f>
        <v/>
      </c>
      <c r="G1861" s="7" t="str">
        <f>IF(Plantilla_SCAN_EQ3_COUNT_2[[#This Row],[ID MATERIAL]]="","","PZ")</f>
        <v/>
      </c>
      <c r="H1861" s="7" t="str">
        <f>IF(Plantilla_SCAN_EQ3_COUNT_2[[#This Row],[ID MATERIAL]]="","",$B$13)</f>
        <v/>
      </c>
      <c r="I1861" s="7" t="str">
        <f>IF(Plantilla_SCAN_EQ3_COUNT_2[[#This Row],[ID MATERIAL]]="","","Segundo Conteo")</f>
        <v/>
      </c>
    </row>
    <row r="1862" spans="1:9" s="7" customFormat="1" ht="15" x14ac:dyDescent="0.2">
      <c r="A1862" s="7" t="str">
        <f>IF(Plantilla_SCAN_EQ3_COUNT_2[[#This Row],[ID MATERIAL]]="","",SIGN(Plantilla_SCAN_EQ3_COUNT_2[[#This Row],[Cantidad]])+A1861)</f>
        <v/>
      </c>
      <c r="B1862" s="21" t="str">
        <f>IF(Plantilla_SCAN_EQ3_COUNT_2[[#This Row],[ID MATERIAL]]="","",B1861)</f>
        <v/>
      </c>
      <c r="C1862" s="21"/>
      <c r="D1862" s="21"/>
      <c r="E1862" s="7" t="str">
        <f>IF(Plantilla_SCAN_EQ3_COUNT_2[[#This Row],[ID MATERIAL]]="","",VLOOKUP(Plantilla_SCAN_EQ3_COUNT_2[[#This Row],[ID MATERIAL]],INVENTARIO!$A:$D,2,FALSE))</f>
        <v/>
      </c>
      <c r="F1862" s="7" t="str">
        <f>IF(Plantilla_SCAN_EQ3_COUNT_2[[#This Row],[ID MATERIAL]]="","",IF(Plantilla_SCAN_EQ3_COUNT_2[[#This Row],[No. Empaques]]="",1,Plantilla_SCAN_EQ3_COUNT_2[[#This Row],[No. Empaques]]*1))</f>
        <v/>
      </c>
      <c r="G1862" s="7" t="str">
        <f>IF(Plantilla_SCAN_EQ3_COUNT_2[[#This Row],[ID MATERIAL]]="","","PZ")</f>
        <v/>
      </c>
      <c r="H1862" s="7" t="str">
        <f>IF(Plantilla_SCAN_EQ3_COUNT_2[[#This Row],[ID MATERIAL]]="","",$B$13)</f>
        <v/>
      </c>
      <c r="I1862" s="7" t="str">
        <f>IF(Plantilla_SCAN_EQ3_COUNT_2[[#This Row],[ID MATERIAL]]="","","Segundo Conteo")</f>
        <v/>
      </c>
    </row>
    <row r="1863" spans="1:9" s="7" customFormat="1" ht="15" x14ac:dyDescent="0.2">
      <c r="A1863" s="7" t="str">
        <f>IF(Plantilla_SCAN_EQ3_COUNT_2[[#This Row],[ID MATERIAL]]="","",SIGN(Plantilla_SCAN_EQ3_COUNT_2[[#This Row],[Cantidad]])+A1862)</f>
        <v/>
      </c>
      <c r="B1863" s="21" t="str">
        <f>IF(Plantilla_SCAN_EQ3_COUNT_2[[#This Row],[ID MATERIAL]]="","",B1862)</f>
        <v/>
      </c>
      <c r="C1863" s="21"/>
      <c r="D1863" s="21"/>
      <c r="E1863" s="7" t="str">
        <f>IF(Plantilla_SCAN_EQ3_COUNT_2[[#This Row],[ID MATERIAL]]="","",VLOOKUP(Plantilla_SCAN_EQ3_COUNT_2[[#This Row],[ID MATERIAL]],INVENTARIO!$A:$D,2,FALSE))</f>
        <v/>
      </c>
      <c r="F1863" s="7" t="str">
        <f>IF(Plantilla_SCAN_EQ3_COUNT_2[[#This Row],[ID MATERIAL]]="","",IF(Plantilla_SCAN_EQ3_COUNT_2[[#This Row],[No. Empaques]]="",1,Plantilla_SCAN_EQ3_COUNT_2[[#This Row],[No. Empaques]]*1))</f>
        <v/>
      </c>
      <c r="G1863" s="7" t="str">
        <f>IF(Plantilla_SCAN_EQ3_COUNT_2[[#This Row],[ID MATERIAL]]="","","PZ")</f>
        <v/>
      </c>
      <c r="H1863" s="7" t="str">
        <f>IF(Plantilla_SCAN_EQ3_COUNT_2[[#This Row],[ID MATERIAL]]="","",$B$13)</f>
        <v/>
      </c>
      <c r="I1863" s="7" t="str">
        <f>IF(Plantilla_SCAN_EQ3_COUNT_2[[#This Row],[ID MATERIAL]]="","","Segundo Conteo")</f>
        <v/>
      </c>
    </row>
    <row r="1864" spans="1:9" s="7" customFormat="1" ht="15" x14ac:dyDescent="0.2">
      <c r="A1864" s="7" t="str">
        <f>IF(Plantilla_SCAN_EQ3_COUNT_2[[#This Row],[ID MATERIAL]]="","",SIGN(Plantilla_SCAN_EQ3_COUNT_2[[#This Row],[Cantidad]])+A1863)</f>
        <v/>
      </c>
      <c r="B1864" s="21" t="str">
        <f>IF(Plantilla_SCAN_EQ3_COUNT_2[[#This Row],[ID MATERIAL]]="","",B1863)</f>
        <v/>
      </c>
      <c r="C1864" s="21"/>
      <c r="D1864" s="21"/>
      <c r="E1864" s="7" t="str">
        <f>IF(Plantilla_SCAN_EQ3_COUNT_2[[#This Row],[ID MATERIAL]]="","",VLOOKUP(Plantilla_SCAN_EQ3_COUNT_2[[#This Row],[ID MATERIAL]],INVENTARIO!$A:$D,2,FALSE))</f>
        <v/>
      </c>
      <c r="F1864" s="7" t="str">
        <f>IF(Plantilla_SCAN_EQ3_COUNT_2[[#This Row],[ID MATERIAL]]="","",IF(Plantilla_SCAN_EQ3_COUNT_2[[#This Row],[No. Empaques]]="",1,Plantilla_SCAN_EQ3_COUNT_2[[#This Row],[No. Empaques]]*1))</f>
        <v/>
      </c>
      <c r="G1864" s="7" t="str">
        <f>IF(Plantilla_SCAN_EQ3_COUNT_2[[#This Row],[ID MATERIAL]]="","","PZ")</f>
        <v/>
      </c>
      <c r="H1864" s="7" t="str">
        <f>IF(Plantilla_SCAN_EQ3_COUNT_2[[#This Row],[ID MATERIAL]]="","",$B$13)</f>
        <v/>
      </c>
      <c r="I1864" s="7" t="str">
        <f>IF(Plantilla_SCAN_EQ3_COUNT_2[[#This Row],[ID MATERIAL]]="","","Segundo Conteo")</f>
        <v/>
      </c>
    </row>
    <row r="1865" spans="1:9" s="7" customFormat="1" ht="15" x14ac:dyDescent="0.2">
      <c r="A1865" s="7" t="str">
        <f>IF(Plantilla_SCAN_EQ3_COUNT_2[[#This Row],[ID MATERIAL]]="","",SIGN(Plantilla_SCAN_EQ3_COUNT_2[[#This Row],[Cantidad]])+A1864)</f>
        <v/>
      </c>
      <c r="B1865" s="21" t="str">
        <f>IF(Plantilla_SCAN_EQ3_COUNT_2[[#This Row],[ID MATERIAL]]="","",B1864)</f>
        <v/>
      </c>
      <c r="C1865" s="21"/>
      <c r="D1865" s="21"/>
      <c r="E1865" s="7" t="str">
        <f>IF(Plantilla_SCAN_EQ3_COUNT_2[[#This Row],[ID MATERIAL]]="","",VLOOKUP(Plantilla_SCAN_EQ3_COUNT_2[[#This Row],[ID MATERIAL]],INVENTARIO!$A:$D,2,FALSE))</f>
        <v/>
      </c>
      <c r="F1865" s="7" t="str">
        <f>IF(Plantilla_SCAN_EQ3_COUNT_2[[#This Row],[ID MATERIAL]]="","",IF(Plantilla_SCAN_EQ3_COUNT_2[[#This Row],[No. Empaques]]="",1,Plantilla_SCAN_EQ3_COUNT_2[[#This Row],[No. Empaques]]*1))</f>
        <v/>
      </c>
      <c r="G1865" s="7" t="str">
        <f>IF(Plantilla_SCAN_EQ3_COUNT_2[[#This Row],[ID MATERIAL]]="","","PZ")</f>
        <v/>
      </c>
      <c r="H1865" s="7" t="str">
        <f>IF(Plantilla_SCAN_EQ3_COUNT_2[[#This Row],[ID MATERIAL]]="","",$B$13)</f>
        <v/>
      </c>
      <c r="I1865" s="7" t="str">
        <f>IF(Plantilla_SCAN_EQ3_COUNT_2[[#This Row],[ID MATERIAL]]="","","Segundo Conteo")</f>
        <v/>
      </c>
    </row>
    <row r="1866" spans="1:9" s="7" customFormat="1" ht="15" x14ac:dyDescent="0.2">
      <c r="A1866" s="7" t="str">
        <f>IF(Plantilla_SCAN_EQ3_COUNT_2[[#This Row],[ID MATERIAL]]="","",SIGN(Plantilla_SCAN_EQ3_COUNT_2[[#This Row],[Cantidad]])+A1865)</f>
        <v/>
      </c>
      <c r="B1866" s="21" t="str">
        <f>IF(Plantilla_SCAN_EQ3_COUNT_2[[#This Row],[ID MATERIAL]]="","",B1865)</f>
        <v/>
      </c>
      <c r="C1866" s="21"/>
      <c r="D1866" s="21"/>
      <c r="E1866" s="7" t="str">
        <f>IF(Plantilla_SCAN_EQ3_COUNT_2[[#This Row],[ID MATERIAL]]="","",VLOOKUP(Plantilla_SCAN_EQ3_COUNT_2[[#This Row],[ID MATERIAL]],INVENTARIO!$A:$D,2,FALSE))</f>
        <v/>
      </c>
      <c r="F1866" s="7" t="str">
        <f>IF(Plantilla_SCAN_EQ3_COUNT_2[[#This Row],[ID MATERIAL]]="","",IF(Plantilla_SCAN_EQ3_COUNT_2[[#This Row],[No. Empaques]]="",1,Plantilla_SCAN_EQ3_COUNT_2[[#This Row],[No. Empaques]]*1))</f>
        <v/>
      </c>
      <c r="G1866" s="7" t="str">
        <f>IF(Plantilla_SCAN_EQ3_COUNT_2[[#This Row],[ID MATERIAL]]="","","PZ")</f>
        <v/>
      </c>
      <c r="H1866" s="7" t="str">
        <f>IF(Plantilla_SCAN_EQ3_COUNT_2[[#This Row],[ID MATERIAL]]="","",$B$13)</f>
        <v/>
      </c>
      <c r="I1866" s="7" t="str">
        <f>IF(Plantilla_SCAN_EQ3_COUNT_2[[#This Row],[ID MATERIAL]]="","","Segundo Conteo")</f>
        <v/>
      </c>
    </row>
    <row r="1867" spans="1:9" s="7" customFormat="1" ht="15" x14ac:dyDescent="0.2">
      <c r="A1867" s="7" t="str">
        <f>IF(Plantilla_SCAN_EQ3_COUNT_2[[#This Row],[ID MATERIAL]]="","",SIGN(Plantilla_SCAN_EQ3_COUNT_2[[#This Row],[Cantidad]])+A1866)</f>
        <v/>
      </c>
      <c r="B1867" s="21" t="str">
        <f>IF(Plantilla_SCAN_EQ3_COUNT_2[[#This Row],[ID MATERIAL]]="","",B1866)</f>
        <v/>
      </c>
      <c r="C1867" s="21"/>
      <c r="D1867" s="21"/>
      <c r="E1867" s="7" t="str">
        <f>IF(Plantilla_SCAN_EQ3_COUNT_2[[#This Row],[ID MATERIAL]]="","",VLOOKUP(Plantilla_SCAN_EQ3_COUNT_2[[#This Row],[ID MATERIAL]],INVENTARIO!$A:$D,2,FALSE))</f>
        <v/>
      </c>
      <c r="F1867" s="7" t="str">
        <f>IF(Plantilla_SCAN_EQ3_COUNT_2[[#This Row],[ID MATERIAL]]="","",IF(Plantilla_SCAN_EQ3_COUNT_2[[#This Row],[No. Empaques]]="",1,Plantilla_SCAN_EQ3_COUNT_2[[#This Row],[No. Empaques]]*1))</f>
        <v/>
      </c>
      <c r="G1867" s="7" t="str">
        <f>IF(Plantilla_SCAN_EQ3_COUNT_2[[#This Row],[ID MATERIAL]]="","","PZ")</f>
        <v/>
      </c>
      <c r="H1867" s="7" t="str">
        <f>IF(Plantilla_SCAN_EQ3_COUNT_2[[#This Row],[ID MATERIAL]]="","",$B$13)</f>
        <v/>
      </c>
      <c r="I1867" s="7" t="str">
        <f>IF(Plantilla_SCAN_EQ3_COUNT_2[[#This Row],[ID MATERIAL]]="","","Segundo Conteo")</f>
        <v/>
      </c>
    </row>
    <row r="1868" spans="1:9" s="7" customFormat="1" ht="15" x14ac:dyDescent="0.2">
      <c r="A1868" s="7" t="str">
        <f>IF(Plantilla_SCAN_EQ3_COUNT_2[[#This Row],[ID MATERIAL]]="","",SIGN(Plantilla_SCAN_EQ3_COUNT_2[[#This Row],[Cantidad]])+A1867)</f>
        <v/>
      </c>
      <c r="B1868" s="21" t="str">
        <f>IF(Plantilla_SCAN_EQ3_COUNT_2[[#This Row],[ID MATERIAL]]="","",B1867)</f>
        <v/>
      </c>
      <c r="C1868" s="21"/>
      <c r="D1868" s="21"/>
      <c r="E1868" s="7" t="str">
        <f>IF(Plantilla_SCAN_EQ3_COUNT_2[[#This Row],[ID MATERIAL]]="","",VLOOKUP(Plantilla_SCAN_EQ3_COUNT_2[[#This Row],[ID MATERIAL]],INVENTARIO!$A:$D,2,FALSE))</f>
        <v/>
      </c>
      <c r="F1868" s="7" t="str">
        <f>IF(Plantilla_SCAN_EQ3_COUNT_2[[#This Row],[ID MATERIAL]]="","",IF(Plantilla_SCAN_EQ3_COUNT_2[[#This Row],[No. Empaques]]="",1,Plantilla_SCAN_EQ3_COUNT_2[[#This Row],[No. Empaques]]*1))</f>
        <v/>
      </c>
      <c r="G1868" s="7" t="str">
        <f>IF(Plantilla_SCAN_EQ3_COUNT_2[[#This Row],[ID MATERIAL]]="","","PZ")</f>
        <v/>
      </c>
      <c r="H1868" s="7" t="str">
        <f>IF(Plantilla_SCAN_EQ3_COUNT_2[[#This Row],[ID MATERIAL]]="","",$B$13)</f>
        <v/>
      </c>
      <c r="I1868" s="7" t="str">
        <f>IF(Plantilla_SCAN_EQ3_COUNT_2[[#This Row],[ID MATERIAL]]="","","Segundo Conteo")</f>
        <v/>
      </c>
    </row>
    <row r="1869" spans="1:9" s="7" customFormat="1" ht="15" x14ac:dyDescent="0.2">
      <c r="A1869" s="7" t="str">
        <f>IF(Plantilla_SCAN_EQ3_COUNT_2[[#This Row],[ID MATERIAL]]="","",SIGN(Plantilla_SCAN_EQ3_COUNT_2[[#This Row],[Cantidad]])+A1868)</f>
        <v/>
      </c>
      <c r="B1869" s="21" t="str">
        <f>IF(Plantilla_SCAN_EQ3_COUNT_2[[#This Row],[ID MATERIAL]]="","",B1868)</f>
        <v/>
      </c>
      <c r="C1869" s="21"/>
      <c r="D1869" s="21"/>
      <c r="E1869" s="7" t="str">
        <f>IF(Plantilla_SCAN_EQ3_COUNT_2[[#This Row],[ID MATERIAL]]="","",VLOOKUP(Plantilla_SCAN_EQ3_COUNT_2[[#This Row],[ID MATERIAL]],INVENTARIO!$A:$D,2,FALSE))</f>
        <v/>
      </c>
      <c r="F1869" s="7" t="str">
        <f>IF(Plantilla_SCAN_EQ3_COUNT_2[[#This Row],[ID MATERIAL]]="","",IF(Plantilla_SCAN_EQ3_COUNT_2[[#This Row],[No. Empaques]]="",1,Plantilla_SCAN_EQ3_COUNT_2[[#This Row],[No. Empaques]]*1))</f>
        <v/>
      </c>
      <c r="G1869" s="7" t="str">
        <f>IF(Plantilla_SCAN_EQ3_COUNT_2[[#This Row],[ID MATERIAL]]="","","PZ")</f>
        <v/>
      </c>
      <c r="H1869" s="7" t="str">
        <f>IF(Plantilla_SCAN_EQ3_COUNT_2[[#This Row],[ID MATERIAL]]="","",$B$13)</f>
        <v/>
      </c>
      <c r="I1869" s="7" t="str">
        <f>IF(Plantilla_SCAN_EQ3_COUNT_2[[#This Row],[ID MATERIAL]]="","","Segundo Conteo")</f>
        <v/>
      </c>
    </row>
    <row r="1870" spans="1:9" s="7" customFormat="1" ht="15" x14ac:dyDescent="0.2">
      <c r="A1870" s="7" t="str">
        <f>IF(Plantilla_SCAN_EQ3_COUNT_2[[#This Row],[ID MATERIAL]]="","",SIGN(Plantilla_SCAN_EQ3_COUNT_2[[#This Row],[Cantidad]])+A1869)</f>
        <v/>
      </c>
      <c r="B1870" s="21" t="str">
        <f>IF(Plantilla_SCAN_EQ3_COUNT_2[[#This Row],[ID MATERIAL]]="","",B1869)</f>
        <v/>
      </c>
      <c r="C1870" s="21"/>
      <c r="D1870" s="21"/>
      <c r="E1870" s="7" t="str">
        <f>IF(Plantilla_SCAN_EQ3_COUNT_2[[#This Row],[ID MATERIAL]]="","",VLOOKUP(Plantilla_SCAN_EQ3_COUNT_2[[#This Row],[ID MATERIAL]],INVENTARIO!$A:$D,2,FALSE))</f>
        <v/>
      </c>
      <c r="F1870" s="7" t="str">
        <f>IF(Plantilla_SCAN_EQ3_COUNT_2[[#This Row],[ID MATERIAL]]="","",IF(Plantilla_SCAN_EQ3_COUNT_2[[#This Row],[No. Empaques]]="",1,Plantilla_SCAN_EQ3_COUNT_2[[#This Row],[No. Empaques]]*1))</f>
        <v/>
      </c>
      <c r="G1870" s="7" t="str">
        <f>IF(Plantilla_SCAN_EQ3_COUNT_2[[#This Row],[ID MATERIAL]]="","","PZ")</f>
        <v/>
      </c>
      <c r="H1870" s="7" t="str">
        <f>IF(Plantilla_SCAN_EQ3_COUNT_2[[#This Row],[ID MATERIAL]]="","",$B$13)</f>
        <v/>
      </c>
      <c r="I1870" s="7" t="str">
        <f>IF(Plantilla_SCAN_EQ3_COUNT_2[[#This Row],[ID MATERIAL]]="","","Segundo Conteo")</f>
        <v/>
      </c>
    </row>
    <row r="1871" spans="1:9" s="7" customFormat="1" ht="15" x14ac:dyDescent="0.2">
      <c r="A1871" s="7" t="str">
        <f>IF(Plantilla_SCAN_EQ3_COUNT_2[[#This Row],[ID MATERIAL]]="","",SIGN(Plantilla_SCAN_EQ3_COUNT_2[[#This Row],[Cantidad]])+A1870)</f>
        <v/>
      </c>
      <c r="B1871" s="21" t="str">
        <f>IF(Plantilla_SCAN_EQ3_COUNT_2[[#This Row],[ID MATERIAL]]="","",B1870)</f>
        <v/>
      </c>
      <c r="C1871" s="21"/>
      <c r="D1871" s="21"/>
      <c r="E1871" s="7" t="str">
        <f>IF(Plantilla_SCAN_EQ3_COUNT_2[[#This Row],[ID MATERIAL]]="","",VLOOKUP(Plantilla_SCAN_EQ3_COUNT_2[[#This Row],[ID MATERIAL]],INVENTARIO!$A:$D,2,FALSE))</f>
        <v/>
      </c>
      <c r="F1871" s="7" t="str">
        <f>IF(Plantilla_SCAN_EQ3_COUNT_2[[#This Row],[ID MATERIAL]]="","",IF(Plantilla_SCAN_EQ3_COUNT_2[[#This Row],[No. Empaques]]="",1,Plantilla_SCAN_EQ3_COUNT_2[[#This Row],[No. Empaques]]*1))</f>
        <v/>
      </c>
      <c r="G1871" s="7" t="str">
        <f>IF(Plantilla_SCAN_EQ3_COUNT_2[[#This Row],[ID MATERIAL]]="","","PZ")</f>
        <v/>
      </c>
      <c r="H1871" s="7" t="str">
        <f>IF(Plantilla_SCAN_EQ3_COUNT_2[[#This Row],[ID MATERIAL]]="","",$B$13)</f>
        <v/>
      </c>
      <c r="I1871" s="7" t="str">
        <f>IF(Plantilla_SCAN_EQ3_COUNT_2[[#This Row],[ID MATERIAL]]="","","Segundo Conteo")</f>
        <v/>
      </c>
    </row>
    <row r="1872" spans="1:9" s="7" customFormat="1" ht="15" x14ac:dyDescent="0.2">
      <c r="A1872" s="7" t="str">
        <f>IF(Plantilla_SCAN_EQ3_COUNT_2[[#This Row],[ID MATERIAL]]="","",SIGN(Plantilla_SCAN_EQ3_COUNT_2[[#This Row],[Cantidad]])+A1871)</f>
        <v/>
      </c>
      <c r="B1872" s="21" t="str">
        <f>IF(Plantilla_SCAN_EQ3_COUNT_2[[#This Row],[ID MATERIAL]]="","",B1871)</f>
        <v/>
      </c>
      <c r="C1872" s="21"/>
      <c r="D1872" s="21"/>
      <c r="E1872" s="7" t="str">
        <f>IF(Plantilla_SCAN_EQ3_COUNT_2[[#This Row],[ID MATERIAL]]="","",VLOOKUP(Plantilla_SCAN_EQ3_COUNT_2[[#This Row],[ID MATERIAL]],INVENTARIO!$A:$D,2,FALSE))</f>
        <v/>
      </c>
      <c r="F1872" s="7" t="str">
        <f>IF(Plantilla_SCAN_EQ3_COUNT_2[[#This Row],[ID MATERIAL]]="","",IF(Plantilla_SCAN_EQ3_COUNT_2[[#This Row],[No. Empaques]]="",1,Plantilla_SCAN_EQ3_COUNT_2[[#This Row],[No. Empaques]]*1))</f>
        <v/>
      </c>
      <c r="G1872" s="7" t="str">
        <f>IF(Plantilla_SCAN_EQ3_COUNT_2[[#This Row],[ID MATERIAL]]="","","PZ")</f>
        <v/>
      </c>
      <c r="H1872" s="7" t="str">
        <f>IF(Plantilla_SCAN_EQ3_COUNT_2[[#This Row],[ID MATERIAL]]="","",$B$13)</f>
        <v/>
      </c>
      <c r="I1872" s="7" t="str">
        <f>IF(Plantilla_SCAN_EQ3_COUNT_2[[#This Row],[ID MATERIAL]]="","","Segundo Conteo")</f>
        <v/>
      </c>
    </row>
    <row r="1873" spans="1:9" s="7" customFormat="1" ht="15" x14ac:dyDescent="0.2">
      <c r="A1873" s="7" t="str">
        <f>IF(Plantilla_SCAN_EQ3_COUNT_2[[#This Row],[ID MATERIAL]]="","",SIGN(Plantilla_SCAN_EQ3_COUNT_2[[#This Row],[Cantidad]])+A1872)</f>
        <v/>
      </c>
      <c r="B1873" s="21" t="str">
        <f>IF(Plantilla_SCAN_EQ3_COUNT_2[[#This Row],[ID MATERIAL]]="","",B1872)</f>
        <v/>
      </c>
      <c r="C1873" s="21"/>
      <c r="D1873" s="21"/>
      <c r="E1873" s="7" t="str">
        <f>IF(Plantilla_SCAN_EQ3_COUNT_2[[#This Row],[ID MATERIAL]]="","",VLOOKUP(Plantilla_SCAN_EQ3_COUNT_2[[#This Row],[ID MATERIAL]],INVENTARIO!$A:$D,2,FALSE))</f>
        <v/>
      </c>
      <c r="F1873" s="7" t="str">
        <f>IF(Plantilla_SCAN_EQ3_COUNT_2[[#This Row],[ID MATERIAL]]="","",IF(Plantilla_SCAN_EQ3_COUNT_2[[#This Row],[No. Empaques]]="",1,Plantilla_SCAN_EQ3_COUNT_2[[#This Row],[No. Empaques]]*1))</f>
        <v/>
      </c>
      <c r="G1873" s="7" t="str">
        <f>IF(Plantilla_SCAN_EQ3_COUNT_2[[#This Row],[ID MATERIAL]]="","","PZ")</f>
        <v/>
      </c>
      <c r="H1873" s="7" t="str">
        <f>IF(Plantilla_SCAN_EQ3_COUNT_2[[#This Row],[ID MATERIAL]]="","",$B$13)</f>
        <v/>
      </c>
      <c r="I1873" s="7" t="str">
        <f>IF(Plantilla_SCAN_EQ3_COUNT_2[[#This Row],[ID MATERIAL]]="","","Segundo Conteo")</f>
        <v/>
      </c>
    </row>
    <row r="1874" spans="1:9" s="7" customFormat="1" ht="15" x14ac:dyDescent="0.2">
      <c r="A1874" s="7" t="str">
        <f>IF(Plantilla_SCAN_EQ3_COUNT_2[[#This Row],[ID MATERIAL]]="","",SIGN(Plantilla_SCAN_EQ3_COUNT_2[[#This Row],[Cantidad]])+A1873)</f>
        <v/>
      </c>
      <c r="B1874" s="21" t="str">
        <f>IF(Plantilla_SCAN_EQ3_COUNT_2[[#This Row],[ID MATERIAL]]="","",B1873)</f>
        <v/>
      </c>
      <c r="C1874" s="21"/>
      <c r="D1874" s="21"/>
      <c r="E1874" s="7" t="str">
        <f>IF(Plantilla_SCAN_EQ3_COUNT_2[[#This Row],[ID MATERIAL]]="","",VLOOKUP(Plantilla_SCAN_EQ3_COUNT_2[[#This Row],[ID MATERIAL]],INVENTARIO!$A:$D,2,FALSE))</f>
        <v/>
      </c>
      <c r="F1874" s="7" t="str">
        <f>IF(Plantilla_SCAN_EQ3_COUNT_2[[#This Row],[ID MATERIAL]]="","",IF(Plantilla_SCAN_EQ3_COUNT_2[[#This Row],[No. Empaques]]="",1,Plantilla_SCAN_EQ3_COUNT_2[[#This Row],[No. Empaques]]*1))</f>
        <v/>
      </c>
      <c r="G1874" s="7" t="str">
        <f>IF(Plantilla_SCAN_EQ3_COUNT_2[[#This Row],[ID MATERIAL]]="","","PZ")</f>
        <v/>
      </c>
      <c r="H1874" s="7" t="str">
        <f>IF(Plantilla_SCAN_EQ3_COUNT_2[[#This Row],[ID MATERIAL]]="","",$B$13)</f>
        <v/>
      </c>
      <c r="I1874" s="7" t="str">
        <f>IF(Plantilla_SCAN_EQ3_COUNT_2[[#This Row],[ID MATERIAL]]="","","Segundo Conteo")</f>
        <v/>
      </c>
    </row>
    <row r="1875" spans="1:9" s="7" customFormat="1" ht="15" x14ac:dyDescent="0.2">
      <c r="A1875" s="7" t="str">
        <f>IF(Plantilla_SCAN_EQ3_COUNT_2[[#This Row],[ID MATERIAL]]="","",SIGN(Plantilla_SCAN_EQ3_COUNT_2[[#This Row],[Cantidad]])+A1874)</f>
        <v/>
      </c>
      <c r="B1875" s="21" t="str">
        <f>IF(Plantilla_SCAN_EQ3_COUNT_2[[#This Row],[ID MATERIAL]]="","",B1874)</f>
        <v/>
      </c>
      <c r="C1875" s="21"/>
      <c r="D1875" s="21"/>
      <c r="E1875" s="7" t="str">
        <f>IF(Plantilla_SCAN_EQ3_COUNT_2[[#This Row],[ID MATERIAL]]="","",VLOOKUP(Plantilla_SCAN_EQ3_COUNT_2[[#This Row],[ID MATERIAL]],INVENTARIO!$A:$D,2,FALSE))</f>
        <v/>
      </c>
      <c r="F1875" s="7" t="str">
        <f>IF(Plantilla_SCAN_EQ3_COUNT_2[[#This Row],[ID MATERIAL]]="","",IF(Plantilla_SCAN_EQ3_COUNT_2[[#This Row],[No. Empaques]]="",1,Plantilla_SCAN_EQ3_COUNT_2[[#This Row],[No. Empaques]]*1))</f>
        <v/>
      </c>
      <c r="G1875" s="7" t="str">
        <f>IF(Plantilla_SCAN_EQ3_COUNT_2[[#This Row],[ID MATERIAL]]="","","PZ")</f>
        <v/>
      </c>
      <c r="H1875" s="7" t="str">
        <f>IF(Plantilla_SCAN_EQ3_COUNT_2[[#This Row],[ID MATERIAL]]="","",$B$13)</f>
        <v/>
      </c>
      <c r="I1875" s="7" t="str">
        <f>IF(Plantilla_SCAN_EQ3_COUNT_2[[#This Row],[ID MATERIAL]]="","","Segundo Conteo")</f>
        <v/>
      </c>
    </row>
    <row r="1876" spans="1:9" s="7" customFormat="1" ht="15" x14ac:dyDescent="0.2">
      <c r="A1876" s="7" t="str">
        <f>IF(Plantilla_SCAN_EQ3_COUNT_2[[#This Row],[ID MATERIAL]]="","",SIGN(Plantilla_SCAN_EQ3_COUNT_2[[#This Row],[Cantidad]])+A1875)</f>
        <v/>
      </c>
      <c r="B1876" s="21" t="str">
        <f>IF(Plantilla_SCAN_EQ3_COUNT_2[[#This Row],[ID MATERIAL]]="","",B1875)</f>
        <v/>
      </c>
      <c r="C1876" s="21"/>
      <c r="D1876" s="21"/>
      <c r="E1876" s="7" t="str">
        <f>IF(Plantilla_SCAN_EQ3_COUNT_2[[#This Row],[ID MATERIAL]]="","",VLOOKUP(Plantilla_SCAN_EQ3_COUNT_2[[#This Row],[ID MATERIAL]],INVENTARIO!$A:$D,2,FALSE))</f>
        <v/>
      </c>
      <c r="F1876" s="7" t="str">
        <f>IF(Plantilla_SCAN_EQ3_COUNT_2[[#This Row],[ID MATERIAL]]="","",IF(Plantilla_SCAN_EQ3_COUNT_2[[#This Row],[No. Empaques]]="",1,Plantilla_SCAN_EQ3_COUNT_2[[#This Row],[No. Empaques]]*1))</f>
        <v/>
      </c>
      <c r="G1876" s="7" t="str">
        <f>IF(Plantilla_SCAN_EQ3_COUNT_2[[#This Row],[ID MATERIAL]]="","","PZ")</f>
        <v/>
      </c>
      <c r="H1876" s="7" t="str">
        <f>IF(Plantilla_SCAN_EQ3_COUNT_2[[#This Row],[ID MATERIAL]]="","",$B$13)</f>
        <v/>
      </c>
      <c r="I1876" s="7" t="str">
        <f>IF(Plantilla_SCAN_EQ3_COUNT_2[[#This Row],[ID MATERIAL]]="","","Segundo Conteo")</f>
        <v/>
      </c>
    </row>
    <row r="1877" spans="1:9" s="7" customFormat="1" ht="15" x14ac:dyDescent="0.2">
      <c r="A1877" s="7" t="str">
        <f>IF(Plantilla_SCAN_EQ3_COUNT_2[[#This Row],[ID MATERIAL]]="","",SIGN(Plantilla_SCAN_EQ3_COUNT_2[[#This Row],[Cantidad]])+A1876)</f>
        <v/>
      </c>
      <c r="B1877" s="21" t="str">
        <f>IF(Plantilla_SCAN_EQ3_COUNT_2[[#This Row],[ID MATERIAL]]="","",B1876)</f>
        <v/>
      </c>
      <c r="C1877" s="21"/>
      <c r="D1877" s="21"/>
      <c r="E1877" s="7" t="str">
        <f>IF(Plantilla_SCAN_EQ3_COUNT_2[[#This Row],[ID MATERIAL]]="","",VLOOKUP(Plantilla_SCAN_EQ3_COUNT_2[[#This Row],[ID MATERIAL]],INVENTARIO!$A:$D,2,FALSE))</f>
        <v/>
      </c>
      <c r="F1877" s="7" t="str">
        <f>IF(Plantilla_SCAN_EQ3_COUNT_2[[#This Row],[ID MATERIAL]]="","",IF(Plantilla_SCAN_EQ3_COUNT_2[[#This Row],[No. Empaques]]="",1,Plantilla_SCAN_EQ3_COUNT_2[[#This Row],[No. Empaques]]*1))</f>
        <v/>
      </c>
      <c r="G1877" s="7" t="str">
        <f>IF(Plantilla_SCAN_EQ3_COUNT_2[[#This Row],[ID MATERIAL]]="","","PZ")</f>
        <v/>
      </c>
      <c r="H1877" s="7" t="str">
        <f>IF(Plantilla_SCAN_EQ3_COUNT_2[[#This Row],[ID MATERIAL]]="","",$B$13)</f>
        <v/>
      </c>
      <c r="I1877" s="7" t="str">
        <f>IF(Plantilla_SCAN_EQ3_COUNT_2[[#This Row],[ID MATERIAL]]="","","Segundo Conteo")</f>
        <v/>
      </c>
    </row>
    <row r="1878" spans="1:9" s="7" customFormat="1" ht="15" x14ac:dyDescent="0.2">
      <c r="A1878" s="7" t="str">
        <f>IF(Plantilla_SCAN_EQ3_COUNT_2[[#This Row],[ID MATERIAL]]="","",SIGN(Plantilla_SCAN_EQ3_COUNT_2[[#This Row],[Cantidad]])+A1877)</f>
        <v/>
      </c>
      <c r="B1878" s="21" t="str">
        <f>IF(Plantilla_SCAN_EQ3_COUNT_2[[#This Row],[ID MATERIAL]]="","",B1877)</f>
        <v/>
      </c>
      <c r="C1878" s="21"/>
      <c r="D1878" s="21"/>
      <c r="E1878" s="7" t="str">
        <f>IF(Plantilla_SCAN_EQ3_COUNT_2[[#This Row],[ID MATERIAL]]="","",VLOOKUP(Plantilla_SCAN_EQ3_COUNT_2[[#This Row],[ID MATERIAL]],INVENTARIO!$A:$D,2,FALSE))</f>
        <v/>
      </c>
      <c r="F1878" s="7" t="str">
        <f>IF(Plantilla_SCAN_EQ3_COUNT_2[[#This Row],[ID MATERIAL]]="","",IF(Plantilla_SCAN_EQ3_COUNT_2[[#This Row],[No. Empaques]]="",1,Plantilla_SCAN_EQ3_COUNT_2[[#This Row],[No. Empaques]]*1))</f>
        <v/>
      </c>
      <c r="G1878" s="7" t="str">
        <f>IF(Plantilla_SCAN_EQ3_COUNT_2[[#This Row],[ID MATERIAL]]="","","PZ")</f>
        <v/>
      </c>
      <c r="H1878" s="7" t="str">
        <f>IF(Plantilla_SCAN_EQ3_COUNT_2[[#This Row],[ID MATERIAL]]="","",$B$13)</f>
        <v/>
      </c>
      <c r="I1878" s="7" t="str">
        <f>IF(Plantilla_SCAN_EQ3_COUNT_2[[#This Row],[ID MATERIAL]]="","","Segundo Conteo")</f>
        <v/>
      </c>
    </row>
    <row r="1879" spans="1:9" s="7" customFormat="1" ht="15" x14ac:dyDescent="0.2">
      <c r="A1879" s="7" t="str">
        <f>IF(Plantilla_SCAN_EQ3_COUNT_2[[#This Row],[ID MATERIAL]]="","",SIGN(Plantilla_SCAN_EQ3_COUNT_2[[#This Row],[Cantidad]])+A1878)</f>
        <v/>
      </c>
      <c r="B1879" s="21" t="str">
        <f>IF(Plantilla_SCAN_EQ3_COUNT_2[[#This Row],[ID MATERIAL]]="","",B1878)</f>
        <v/>
      </c>
      <c r="C1879" s="21"/>
      <c r="D1879" s="21"/>
      <c r="E1879" s="7" t="str">
        <f>IF(Plantilla_SCAN_EQ3_COUNT_2[[#This Row],[ID MATERIAL]]="","",VLOOKUP(Plantilla_SCAN_EQ3_COUNT_2[[#This Row],[ID MATERIAL]],INVENTARIO!$A:$D,2,FALSE))</f>
        <v/>
      </c>
      <c r="F1879" s="7" t="str">
        <f>IF(Plantilla_SCAN_EQ3_COUNT_2[[#This Row],[ID MATERIAL]]="","",IF(Plantilla_SCAN_EQ3_COUNT_2[[#This Row],[No. Empaques]]="",1,Plantilla_SCAN_EQ3_COUNT_2[[#This Row],[No. Empaques]]*1))</f>
        <v/>
      </c>
      <c r="G1879" s="7" t="str">
        <f>IF(Plantilla_SCAN_EQ3_COUNT_2[[#This Row],[ID MATERIAL]]="","","PZ")</f>
        <v/>
      </c>
      <c r="H1879" s="7" t="str">
        <f>IF(Plantilla_SCAN_EQ3_COUNT_2[[#This Row],[ID MATERIAL]]="","",$B$13)</f>
        <v/>
      </c>
      <c r="I1879" s="7" t="str">
        <f>IF(Plantilla_SCAN_EQ3_COUNT_2[[#This Row],[ID MATERIAL]]="","","Segundo Conteo")</f>
        <v/>
      </c>
    </row>
    <row r="1880" spans="1:9" s="7" customFormat="1" ht="15" x14ac:dyDescent="0.2">
      <c r="A1880" s="7" t="str">
        <f>IF(Plantilla_SCAN_EQ3_COUNT_2[[#This Row],[ID MATERIAL]]="","",SIGN(Plantilla_SCAN_EQ3_COUNT_2[[#This Row],[Cantidad]])+A1879)</f>
        <v/>
      </c>
      <c r="B1880" s="21" t="str">
        <f>IF(Plantilla_SCAN_EQ3_COUNT_2[[#This Row],[ID MATERIAL]]="","",B1879)</f>
        <v/>
      </c>
      <c r="C1880" s="21"/>
      <c r="D1880" s="21"/>
      <c r="E1880" s="7" t="str">
        <f>IF(Plantilla_SCAN_EQ3_COUNT_2[[#This Row],[ID MATERIAL]]="","",VLOOKUP(Plantilla_SCAN_EQ3_COUNT_2[[#This Row],[ID MATERIAL]],INVENTARIO!$A:$D,2,FALSE))</f>
        <v/>
      </c>
      <c r="F1880" s="7" t="str">
        <f>IF(Plantilla_SCAN_EQ3_COUNT_2[[#This Row],[ID MATERIAL]]="","",IF(Plantilla_SCAN_EQ3_COUNT_2[[#This Row],[No. Empaques]]="",1,Plantilla_SCAN_EQ3_COUNT_2[[#This Row],[No. Empaques]]*1))</f>
        <v/>
      </c>
      <c r="G1880" s="7" t="str">
        <f>IF(Plantilla_SCAN_EQ3_COUNT_2[[#This Row],[ID MATERIAL]]="","","PZ")</f>
        <v/>
      </c>
      <c r="H1880" s="7" t="str">
        <f>IF(Plantilla_SCAN_EQ3_COUNT_2[[#This Row],[ID MATERIAL]]="","",$B$13)</f>
        <v/>
      </c>
      <c r="I1880" s="7" t="str">
        <f>IF(Plantilla_SCAN_EQ3_COUNT_2[[#This Row],[ID MATERIAL]]="","","Segundo Conteo")</f>
        <v/>
      </c>
    </row>
    <row r="1881" spans="1:9" s="7" customFormat="1" ht="15" x14ac:dyDescent="0.2">
      <c r="A1881" s="7" t="str">
        <f>IF(Plantilla_SCAN_EQ3_COUNT_2[[#This Row],[ID MATERIAL]]="","",SIGN(Plantilla_SCAN_EQ3_COUNT_2[[#This Row],[Cantidad]])+A1880)</f>
        <v/>
      </c>
      <c r="B1881" s="21" t="str">
        <f>IF(Plantilla_SCAN_EQ3_COUNT_2[[#This Row],[ID MATERIAL]]="","",B1880)</f>
        <v/>
      </c>
      <c r="C1881" s="21"/>
      <c r="D1881" s="21"/>
      <c r="E1881" s="7" t="str">
        <f>IF(Plantilla_SCAN_EQ3_COUNT_2[[#This Row],[ID MATERIAL]]="","",VLOOKUP(Plantilla_SCAN_EQ3_COUNT_2[[#This Row],[ID MATERIAL]],INVENTARIO!$A:$D,2,FALSE))</f>
        <v/>
      </c>
      <c r="F1881" s="7" t="str">
        <f>IF(Plantilla_SCAN_EQ3_COUNT_2[[#This Row],[ID MATERIAL]]="","",IF(Plantilla_SCAN_EQ3_COUNT_2[[#This Row],[No. Empaques]]="",1,Plantilla_SCAN_EQ3_COUNT_2[[#This Row],[No. Empaques]]*1))</f>
        <v/>
      </c>
      <c r="G1881" s="7" t="str">
        <f>IF(Plantilla_SCAN_EQ3_COUNT_2[[#This Row],[ID MATERIAL]]="","","PZ")</f>
        <v/>
      </c>
      <c r="H1881" s="7" t="str">
        <f>IF(Plantilla_SCAN_EQ3_COUNT_2[[#This Row],[ID MATERIAL]]="","",$B$13)</f>
        <v/>
      </c>
      <c r="I1881" s="7" t="str">
        <f>IF(Plantilla_SCAN_EQ3_COUNT_2[[#This Row],[ID MATERIAL]]="","","Segundo Conteo")</f>
        <v/>
      </c>
    </row>
    <row r="1882" spans="1:9" s="7" customFormat="1" ht="15" x14ac:dyDescent="0.2">
      <c r="A1882" s="7" t="str">
        <f>IF(Plantilla_SCAN_EQ3_COUNT_2[[#This Row],[ID MATERIAL]]="","",SIGN(Plantilla_SCAN_EQ3_COUNT_2[[#This Row],[Cantidad]])+A1881)</f>
        <v/>
      </c>
      <c r="B1882" s="21" t="str">
        <f>IF(Plantilla_SCAN_EQ3_COUNT_2[[#This Row],[ID MATERIAL]]="","",B1881)</f>
        <v/>
      </c>
      <c r="C1882" s="21"/>
      <c r="D1882" s="21"/>
      <c r="E1882" s="7" t="str">
        <f>IF(Plantilla_SCAN_EQ3_COUNT_2[[#This Row],[ID MATERIAL]]="","",VLOOKUP(Plantilla_SCAN_EQ3_COUNT_2[[#This Row],[ID MATERIAL]],INVENTARIO!$A:$D,2,FALSE))</f>
        <v/>
      </c>
      <c r="F1882" s="7" t="str">
        <f>IF(Plantilla_SCAN_EQ3_COUNT_2[[#This Row],[ID MATERIAL]]="","",IF(Plantilla_SCAN_EQ3_COUNT_2[[#This Row],[No. Empaques]]="",1,Plantilla_SCAN_EQ3_COUNT_2[[#This Row],[No. Empaques]]*1))</f>
        <v/>
      </c>
      <c r="G1882" s="7" t="str">
        <f>IF(Plantilla_SCAN_EQ3_COUNT_2[[#This Row],[ID MATERIAL]]="","","PZ")</f>
        <v/>
      </c>
      <c r="H1882" s="7" t="str">
        <f>IF(Plantilla_SCAN_EQ3_COUNT_2[[#This Row],[ID MATERIAL]]="","",$B$13)</f>
        <v/>
      </c>
      <c r="I1882" s="7" t="str">
        <f>IF(Plantilla_SCAN_EQ3_COUNT_2[[#This Row],[ID MATERIAL]]="","","Segundo Conteo")</f>
        <v/>
      </c>
    </row>
    <row r="1883" spans="1:9" s="7" customFormat="1" ht="15" x14ac:dyDescent="0.2">
      <c r="A1883" s="7" t="str">
        <f>IF(Plantilla_SCAN_EQ3_COUNT_2[[#This Row],[ID MATERIAL]]="","",SIGN(Plantilla_SCAN_EQ3_COUNT_2[[#This Row],[Cantidad]])+A1882)</f>
        <v/>
      </c>
      <c r="B1883" s="21" t="str">
        <f>IF(Plantilla_SCAN_EQ3_COUNT_2[[#This Row],[ID MATERIAL]]="","",B1882)</f>
        <v/>
      </c>
      <c r="C1883" s="21"/>
      <c r="D1883" s="21"/>
      <c r="E1883" s="7" t="str">
        <f>IF(Plantilla_SCAN_EQ3_COUNT_2[[#This Row],[ID MATERIAL]]="","",VLOOKUP(Plantilla_SCAN_EQ3_COUNT_2[[#This Row],[ID MATERIAL]],INVENTARIO!$A:$D,2,FALSE))</f>
        <v/>
      </c>
      <c r="F1883" s="7" t="str">
        <f>IF(Plantilla_SCAN_EQ3_COUNT_2[[#This Row],[ID MATERIAL]]="","",IF(Plantilla_SCAN_EQ3_COUNT_2[[#This Row],[No. Empaques]]="",1,Plantilla_SCAN_EQ3_COUNT_2[[#This Row],[No. Empaques]]*1))</f>
        <v/>
      </c>
      <c r="G1883" s="7" t="str">
        <f>IF(Plantilla_SCAN_EQ3_COUNT_2[[#This Row],[ID MATERIAL]]="","","PZ")</f>
        <v/>
      </c>
      <c r="H1883" s="7" t="str">
        <f>IF(Plantilla_SCAN_EQ3_COUNT_2[[#This Row],[ID MATERIAL]]="","",$B$13)</f>
        <v/>
      </c>
      <c r="I1883" s="7" t="str">
        <f>IF(Plantilla_SCAN_EQ3_COUNT_2[[#This Row],[ID MATERIAL]]="","","Segundo Conteo")</f>
        <v/>
      </c>
    </row>
    <row r="1884" spans="1:9" s="7" customFormat="1" ht="15" x14ac:dyDescent="0.2">
      <c r="A1884" s="7" t="str">
        <f>IF(Plantilla_SCAN_EQ3_COUNT_2[[#This Row],[ID MATERIAL]]="","",SIGN(Plantilla_SCAN_EQ3_COUNT_2[[#This Row],[Cantidad]])+A1883)</f>
        <v/>
      </c>
      <c r="B1884" s="21" t="str">
        <f>IF(Plantilla_SCAN_EQ3_COUNT_2[[#This Row],[ID MATERIAL]]="","",B1883)</f>
        <v/>
      </c>
      <c r="C1884" s="21"/>
      <c r="D1884" s="21"/>
      <c r="E1884" s="7" t="str">
        <f>IF(Plantilla_SCAN_EQ3_COUNT_2[[#This Row],[ID MATERIAL]]="","",VLOOKUP(Plantilla_SCAN_EQ3_COUNT_2[[#This Row],[ID MATERIAL]],INVENTARIO!$A:$D,2,FALSE))</f>
        <v/>
      </c>
      <c r="F1884" s="7" t="str">
        <f>IF(Plantilla_SCAN_EQ3_COUNT_2[[#This Row],[ID MATERIAL]]="","",IF(Plantilla_SCAN_EQ3_COUNT_2[[#This Row],[No. Empaques]]="",1,Plantilla_SCAN_EQ3_COUNT_2[[#This Row],[No. Empaques]]*1))</f>
        <v/>
      </c>
      <c r="G1884" s="7" t="str">
        <f>IF(Plantilla_SCAN_EQ3_COUNT_2[[#This Row],[ID MATERIAL]]="","","PZ")</f>
        <v/>
      </c>
      <c r="H1884" s="7" t="str">
        <f>IF(Plantilla_SCAN_EQ3_COUNT_2[[#This Row],[ID MATERIAL]]="","",$B$13)</f>
        <v/>
      </c>
      <c r="I1884" s="7" t="str">
        <f>IF(Plantilla_SCAN_EQ3_COUNT_2[[#This Row],[ID MATERIAL]]="","","Segundo Conteo")</f>
        <v/>
      </c>
    </row>
    <row r="1885" spans="1:9" s="7" customFormat="1" ht="15" x14ac:dyDescent="0.2">
      <c r="A1885" s="7" t="str">
        <f>IF(Plantilla_SCAN_EQ3_COUNT_2[[#This Row],[ID MATERIAL]]="","",SIGN(Plantilla_SCAN_EQ3_COUNT_2[[#This Row],[Cantidad]])+A1884)</f>
        <v/>
      </c>
      <c r="B1885" s="21" t="str">
        <f>IF(Plantilla_SCAN_EQ3_COUNT_2[[#This Row],[ID MATERIAL]]="","",B1884)</f>
        <v/>
      </c>
      <c r="C1885" s="21"/>
      <c r="D1885" s="21"/>
      <c r="E1885" s="7" t="str">
        <f>IF(Plantilla_SCAN_EQ3_COUNT_2[[#This Row],[ID MATERIAL]]="","",VLOOKUP(Plantilla_SCAN_EQ3_COUNT_2[[#This Row],[ID MATERIAL]],INVENTARIO!$A:$D,2,FALSE))</f>
        <v/>
      </c>
      <c r="F1885" s="7" t="str">
        <f>IF(Plantilla_SCAN_EQ3_COUNT_2[[#This Row],[ID MATERIAL]]="","",IF(Plantilla_SCAN_EQ3_COUNT_2[[#This Row],[No. Empaques]]="",1,Plantilla_SCAN_EQ3_COUNT_2[[#This Row],[No. Empaques]]*1))</f>
        <v/>
      </c>
      <c r="G1885" s="7" t="str">
        <f>IF(Plantilla_SCAN_EQ3_COUNT_2[[#This Row],[ID MATERIAL]]="","","PZ")</f>
        <v/>
      </c>
      <c r="H1885" s="7" t="str">
        <f>IF(Plantilla_SCAN_EQ3_COUNT_2[[#This Row],[ID MATERIAL]]="","",$B$13)</f>
        <v/>
      </c>
      <c r="I1885" s="7" t="str">
        <f>IF(Plantilla_SCAN_EQ3_COUNT_2[[#This Row],[ID MATERIAL]]="","","Segundo Conteo")</f>
        <v/>
      </c>
    </row>
    <row r="1886" spans="1:9" s="7" customFormat="1" ht="15" x14ac:dyDescent="0.2">
      <c r="A1886" s="7" t="str">
        <f>IF(Plantilla_SCAN_EQ3_COUNT_2[[#This Row],[ID MATERIAL]]="","",SIGN(Plantilla_SCAN_EQ3_COUNT_2[[#This Row],[Cantidad]])+A1885)</f>
        <v/>
      </c>
      <c r="B1886" s="21" t="str">
        <f>IF(Plantilla_SCAN_EQ3_COUNT_2[[#This Row],[ID MATERIAL]]="","",B1885)</f>
        <v/>
      </c>
      <c r="C1886" s="21"/>
      <c r="D1886" s="21"/>
      <c r="E1886" s="7" t="str">
        <f>IF(Plantilla_SCAN_EQ3_COUNT_2[[#This Row],[ID MATERIAL]]="","",VLOOKUP(Plantilla_SCAN_EQ3_COUNT_2[[#This Row],[ID MATERIAL]],INVENTARIO!$A:$D,2,FALSE))</f>
        <v/>
      </c>
      <c r="F1886" s="7" t="str">
        <f>IF(Plantilla_SCAN_EQ3_COUNT_2[[#This Row],[ID MATERIAL]]="","",IF(Plantilla_SCAN_EQ3_COUNT_2[[#This Row],[No. Empaques]]="",1,Plantilla_SCAN_EQ3_COUNT_2[[#This Row],[No. Empaques]]*1))</f>
        <v/>
      </c>
      <c r="G1886" s="7" t="str">
        <f>IF(Plantilla_SCAN_EQ3_COUNT_2[[#This Row],[ID MATERIAL]]="","","PZ")</f>
        <v/>
      </c>
      <c r="H1886" s="7" t="str">
        <f>IF(Plantilla_SCAN_EQ3_COUNT_2[[#This Row],[ID MATERIAL]]="","",$B$13)</f>
        <v/>
      </c>
      <c r="I1886" s="7" t="str">
        <f>IF(Plantilla_SCAN_EQ3_COUNT_2[[#This Row],[ID MATERIAL]]="","","Segundo Conteo")</f>
        <v/>
      </c>
    </row>
    <row r="1887" spans="1:9" s="7" customFormat="1" ht="15" x14ac:dyDescent="0.2">
      <c r="A1887" s="7" t="str">
        <f>IF(Plantilla_SCAN_EQ3_COUNT_2[[#This Row],[ID MATERIAL]]="","",SIGN(Plantilla_SCAN_EQ3_COUNT_2[[#This Row],[Cantidad]])+A1886)</f>
        <v/>
      </c>
      <c r="B1887" s="21" t="str">
        <f>IF(Plantilla_SCAN_EQ3_COUNT_2[[#This Row],[ID MATERIAL]]="","",B1886)</f>
        <v/>
      </c>
      <c r="C1887" s="21"/>
      <c r="D1887" s="21"/>
      <c r="E1887" s="7" t="str">
        <f>IF(Plantilla_SCAN_EQ3_COUNT_2[[#This Row],[ID MATERIAL]]="","",VLOOKUP(Plantilla_SCAN_EQ3_COUNT_2[[#This Row],[ID MATERIAL]],INVENTARIO!$A:$D,2,FALSE))</f>
        <v/>
      </c>
      <c r="F1887" s="7" t="str">
        <f>IF(Plantilla_SCAN_EQ3_COUNT_2[[#This Row],[ID MATERIAL]]="","",IF(Plantilla_SCAN_EQ3_COUNT_2[[#This Row],[No. Empaques]]="",1,Plantilla_SCAN_EQ3_COUNT_2[[#This Row],[No. Empaques]]*1))</f>
        <v/>
      </c>
      <c r="G1887" s="7" t="str">
        <f>IF(Plantilla_SCAN_EQ3_COUNT_2[[#This Row],[ID MATERIAL]]="","","PZ")</f>
        <v/>
      </c>
      <c r="H1887" s="7" t="str">
        <f>IF(Plantilla_SCAN_EQ3_COUNT_2[[#This Row],[ID MATERIAL]]="","",$B$13)</f>
        <v/>
      </c>
      <c r="I1887" s="7" t="str">
        <f>IF(Plantilla_SCAN_EQ3_COUNT_2[[#This Row],[ID MATERIAL]]="","","Segundo Conteo")</f>
        <v/>
      </c>
    </row>
    <row r="1888" spans="1:9" s="7" customFormat="1" ht="15" x14ac:dyDescent="0.2">
      <c r="A1888" s="7" t="str">
        <f>IF(Plantilla_SCAN_EQ3_COUNT_2[[#This Row],[ID MATERIAL]]="","",SIGN(Plantilla_SCAN_EQ3_COUNT_2[[#This Row],[Cantidad]])+A1887)</f>
        <v/>
      </c>
      <c r="B1888" s="21" t="str">
        <f>IF(Plantilla_SCAN_EQ3_COUNT_2[[#This Row],[ID MATERIAL]]="","",B1887)</f>
        <v/>
      </c>
      <c r="C1888" s="21"/>
      <c r="D1888" s="21"/>
      <c r="E1888" s="7" t="str">
        <f>IF(Plantilla_SCAN_EQ3_COUNT_2[[#This Row],[ID MATERIAL]]="","",VLOOKUP(Plantilla_SCAN_EQ3_COUNT_2[[#This Row],[ID MATERIAL]],INVENTARIO!$A:$D,2,FALSE))</f>
        <v/>
      </c>
      <c r="F1888" s="7" t="str">
        <f>IF(Plantilla_SCAN_EQ3_COUNT_2[[#This Row],[ID MATERIAL]]="","",IF(Plantilla_SCAN_EQ3_COUNT_2[[#This Row],[No. Empaques]]="",1,Plantilla_SCAN_EQ3_COUNT_2[[#This Row],[No. Empaques]]*1))</f>
        <v/>
      </c>
      <c r="G1888" s="7" t="str">
        <f>IF(Plantilla_SCAN_EQ3_COUNT_2[[#This Row],[ID MATERIAL]]="","","PZ")</f>
        <v/>
      </c>
      <c r="H1888" s="7" t="str">
        <f>IF(Plantilla_SCAN_EQ3_COUNT_2[[#This Row],[ID MATERIAL]]="","",$B$13)</f>
        <v/>
      </c>
      <c r="I1888" s="7" t="str">
        <f>IF(Plantilla_SCAN_EQ3_COUNT_2[[#This Row],[ID MATERIAL]]="","","Segundo Conteo")</f>
        <v/>
      </c>
    </row>
    <row r="1889" spans="1:9" s="7" customFormat="1" ht="15" x14ac:dyDescent="0.2">
      <c r="A1889" s="7" t="str">
        <f>IF(Plantilla_SCAN_EQ3_COUNT_2[[#This Row],[ID MATERIAL]]="","",SIGN(Plantilla_SCAN_EQ3_COUNT_2[[#This Row],[Cantidad]])+A1888)</f>
        <v/>
      </c>
      <c r="B1889" s="21" t="str">
        <f>IF(Plantilla_SCAN_EQ3_COUNT_2[[#This Row],[ID MATERIAL]]="","",B1888)</f>
        <v/>
      </c>
      <c r="C1889" s="21"/>
      <c r="D1889" s="21"/>
      <c r="E1889" s="7" t="str">
        <f>IF(Plantilla_SCAN_EQ3_COUNT_2[[#This Row],[ID MATERIAL]]="","",VLOOKUP(Plantilla_SCAN_EQ3_COUNT_2[[#This Row],[ID MATERIAL]],INVENTARIO!$A:$D,2,FALSE))</f>
        <v/>
      </c>
      <c r="F1889" s="7" t="str">
        <f>IF(Plantilla_SCAN_EQ3_COUNT_2[[#This Row],[ID MATERIAL]]="","",IF(Plantilla_SCAN_EQ3_COUNT_2[[#This Row],[No. Empaques]]="",1,Plantilla_SCAN_EQ3_COUNT_2[[#This Row],[No. Empaques]]*1))</f>
        <v/>
      </c>
      <c r="G1889" s="7" t="str">
        <f>IF(Plantilla_SCAN_EQ3_COUNT_2[[#This Row],[ID MATERIAL]]="","","PZ")</f>
        <v/>
      </c>
      <c r="H1889" s="7" t="str">
        <f>IF(Plantilla_SCAN_EQ3_COUNT_2[[#This Row],[ID MATERIAL]]="","",$B$13)</f>
        <v/>
      </c>
      <c r="I1889" s="7" t="str">
        <f>IF(Plantilla_SCAN_EQ3_COUNT_2[[#This Row],[ID MATERIAL]]="","","Segundo Conteo")</f>
        <v/>
      </c>
    </row>
    <row r="1890" spans="1:9" s="7" customFormat="1" ht="15" x14ac:dyDescent="0.2">
      <c r="A1890" s="7" t="str">
        <f>IF(Plantilla_SCAN_EQ3_COUNT_2[[#This Row],[ID MATERIAL]]="","",SIGN(Plantilla_SCAN_EQ3_COUNT_2[[#This Row],[Cantidad]])+A1889)</f>
        <v/>
      </c>
      <c r="B1890" s="21" t="str">
        <f>IF(Plantilla_SCAN_EQ3_COUNT_2[[#This Row],[ID MATERIAL]]="","",B1889)</f>
        <v/>
      </c>
      <c r="C1890" s="21"/>
      <c r="D1890" s="21"/>
      <c r="E1890" s="7" t="str">
        <f>IF(Plantilla_SCAN_EQ3_COUNT_2[[#This Row],[ID MATERIAL]]="","",VLOOKUP(Plantilla_SCAN_EQ3_COUNT_2[[#This Row],[ID MATERIAL]],INVENTARIO!$A:$D,2,FALSE))</f>
        <v/>
      </c>
      <c r="F1890" s="7" t="str">
        <f>IF(Plantilla_SCAN_EQ3_COUNT_2[[#This Row],[ID MATERIAL]]="","",IF(Plantilla_SCAN_EQ3_COUNT_2[[#This Row],[No. Empaques]]="",1,Plantilla_SCAN_EQ3_COUNT_2[[#This Row],[No. Empaques]]*1))</f>
        <v/>
      </c>
      <c r="G1890" s="7" t="str">
        <f>IF(Plantilla_SCAN_EQ3_COUNT_2[[#This Row],[ID MATERIAL]]="","","PZ")</f>
        <v/>
      </c>
      <c r="H1890" s="7" t="str">
        <f>IF(Plantilla_SCAN_EQ3_COUNT_2[[#This Row],[ID MATERIAL]]="","",$B$13)</f>
        <v/>
      </c>
      <c r="I1890" s="7" t="str">
        <f>IF(Plantilla_SCAN_EQ3_COUNT_2[[#This Row],[ID MATERIAL]]="","","Segundo Conteo")</f>
        <v/>
      </c>
    </row>
    <row r="1891" spans="1:9" s="7" customFormat="1" ht="15" x14ac:dyDescent="0.2">
      <c r="A1891" s="7" t="str">
        <f>IF(Plantilla_SCAN_EQ3_COUNT_2[[#This Row],[ID MATERIAL]]="","",SIGN(Plantilla_SCAN_EQ3_COUNT_2[[#This Row],[Cantidad]])+A1890)</f>
        <v/>
      </c>
      <c r="B1891" s="21" t="str">
        <f>IF(Plantilla_SCAN_EQ3_COUNT_2[[#This Row],[ID MATERIAL]]="","",B1890)</f>
        <v/>
      </c>
      <c r="C1891" s="21"/>
      <c r="D1891" s="21"/>
      <c r="E1891" s="7" t="str">
        <f>IF(Plantilla_SCAN_EQ3_COUNT_2[[#This Row],[ID MATERIAL]]="","",VLOOKUP(Plantilla_SCAN_EQ3_COUNT_2[[#This Row],[ID MATERIAL]],INVENTARIO!$A:$D,2,FALSE))</f>
        <v/>
      </c>
      <c r="F1891" s="7" t="str">
        <f>IF(Plantilla_SCAN_EQ3_COUNT_2[[#This Row],[ID MATERIAL]]="","",IF(Plantilla_SCAN_EQ3_COUNT_2[[#This Row],[No. Empaques]]="",1,Plantilla_SCAN_EQ3_COUNT_2[[#This Row],[No. Empaques]]*1))</f>
        <v/>
      </c>
      <c r="G1891" s="7" t="str">
        <f>IF(Plantilla_SCAN_EQ3_COUNT_2[[#This Row],[ID MATERIAL]]="","","PZ")</f>
        <v/>
      </c>
      <c r="H1891" s="7" t="str">
        <f>IF(Plantilla_SCAN_EQ3_COUNT_2[[#This Row],[ID MATERIAL]]="","",$B$13)</f>
        <v/>
      </c>
      <c r="I1891" s="7" t="str">
        <f>IF(Plantilla_SCAN_EQ3_COUNT_2[[#This Row],[ID MATERIAL]]="","","Segundo Conteo")</f>
        <v/>
      </c>
    </row>
    <row r="1892" spans="1:9" s="7" customFormat="1" ht="15" x14ac:dyDescent="0.2">
      <c r="A1892" s="7" t="str">
        <f>IF(Plantilla_SCAN_EQ3_COUNT_2[[#This Row],[ID MATERIAL]]="","",SIGN(Plantilla_SCAN_EQ3_COUNT_2[[#This Row],[Cantidad]])+A1891)</f>
        <v/>
      </c>
      <c r="B1892" s="21" t="str">
        <f>IF(Plantilla_SCAN_EQ3_COUNT_2[[#This Row],[ID MATERIAL]]="","",B1891)</f>
        <v/>
      </c>
      <c r="C1892" s="21"/>
      <c r="D1892" s="21"/>
      <c r="E1892" s="7" t="str">
        <f>IF(Plantilla_SCAN_EQ3_COUNT_2[[#This Row],[ID MATERIAL]]="","",VLOOKUP(Plantilla_SCAN_EQ3_COUNT_2[[#This Row],[ID MATERIAL]],INVENTARIO!$A:$D,2,FALSE))</f>
        <v/>
      </c>
      <c r="F1892" s="7" t="str">
        <f>IF(Plantilla_SCAN_EQ3_COUNT_2[[#This Row],[ID MATERIAL]]="","",IF(Plantilla_SCAN_EQ3_COUNT_2[[#This Row],[No. Empaques]]="",1,Plantilla_SCAN_EQ3_COUNT_2[[#This Row],[No. Empaques]]*1))</f>
        <v/>
      </c>
      <c r="G1892" s="7" t="str">
        <f>IF(Plantilla_SCAN_EQ3_COUNT_2[[#This Row],[ID MATERIAL]]="","","PZ")</f>
        <v/>
      </c>
      <c r="H1892" s="7" t="str">
        <f>IF(Plantilla_SCAN_EQ3_COUNT_2[[#This Row],[ID MATERIAL]]="","",$B$13)</f>
        <v/>
      </c>
      <c r="I1892" s="7" t="str">
        <f>IF(Plantilla_SCAN_EQ3_COUNT_2[[#This Row],[ID MATERIAL]]="","","Segundo Conteo")</f>
        <v/>
      </c>
    </row>
    <row r="1893" spans="1:9" s="7" customFormat="1" ht="15" x14ac:dyDescent="0.2">
      <c r="A1893" s="7" t="str">
        <f>IF(Plantilla_SCAN_EQ3_COUNT_2[[#This Row],[ID MATERIAL]]="","",SIGN(Plantilla_SCAN_EQ3_COUNT_2[[#This Row],[Cantidad]])+A1892)</f>
        <v/>
      </c>
      <c r="B1893" s="21" t="str">
        <f>IF(Plantilla_SCAN_EQ3_COUNT_2[[#This Row],[ID MATERIAL]]="","",B1892)</f>
        <v/>
      </c>
      <c r="C1893" s="21"/>
      <c r="D1893" s="21"/>
      <c r="E1893" s="7" t="str">
        <f>IF(Plantilla_SCAN_EQ3_COUNT_2[[#This Row],[ID MATERIAL]]="","",VLOOKUP(Plantilla_SCAN_EQ3_COUNT_2[[#This Row],[ID MATERIAL]],INVENTARIO!$A:$D,2,FALSE))</f>
        <v/>
      </c>
      <c r="F1893" s="7" t="str">
        <f>IF(Plantilla_SCAN_EQ3_COUNT_2[[#This Row],[ID MATERIAL]]="","",IF(Plantilla_SCAN_EQ3_COUNT_2[[#This Row],[No. Empaques]]="",1,Plantilla_SCAN_EQ3_COUNT_2[[#This Row],[No. Empaques]]*1))</f>
        <v/>
      </c>
      <c r="G1893" s="7" t="str">
        <f>IF(Plantilla_SCAN_EQ3_COUNT_2[[#This Row],[ID MATERIAL]]="","","PZ")</f>
        <v/>
      </c>
      <c r="H1893" s="7" t="str">
        <f>IF(Plantilla_SCAN_EQ3_COUNT_2[[#This Row],[ID MATERIAL]]="","",$B$13)</f>
        <v/>
      </c>
      <c r="I1893" s="7" t="str">
        <f>IF(Plantilla_SCAN_EQ3_COUNT_2[[#This Row],[ID MATERIAL]]="","","Segundo Conteo")</f>
        <v/>
      </c>
    </row>
    <row r="1894" spans="1:9" s="7" customFormat="1" ht="15" x14ac:dyDescent="0.2">
      <c r="A1894" s="7" t="str">
        <f>IF(Plantilla_SCAN_EQ3_COUNT_2[[#This Row],[ID MATERIAL]]="","",SIGN(Plantilla_SCAN_EQ3_COUNT_2[[#This Row],[Cantidad]])+A1893)</f>
        <v/>
      </c>
      <c r="B1894" s="21" t="str">
        <f>IF(Plantilla_SCAN_EQ3_COUNT_2[[#This Row],[ID MATERIAL]]="","",B1893)</f>
        <v/>
      </c>
      <c r="C1894" s="21"/>
      <c r="D1894" s="21"/>
      <c r="E1894" s="7" t="str">
        <f>IF(Plantilla_SCAN_EQ3_COUNT_2[[#This Row],[ID MATERIAL]]="","",VLOOKUP(Plantilla_SCAN_EQ3_COUNT_2[[#This Row],[ID MATERIAL]],INVENTARIO!$A:$D,2,FALSE))</f>
        <v/>
      </c>
      <c r="F1894" s="7" t="str">
        <f>IF(Plantilla_SCAN_EQ3_COUNT_2[[#This Row],[ID MATERIAL]]="","",IF(Plantilla_SCAN_EQ3_COUNT_2[[#This Row],[No. Empaques]]="",1,Plantilla_SCAN_EQ3_COUNT_2[[#This Row],[No. Empaques]]*1))</f>
        <v/>
      </c>
      <c r="G1894" s="7" t="str">
        <f>IF(Plantilla_SCAN_EQ3_COUNT_2[[#This Row],[ID MATERIAL]]="","","PZ")</f>
        <v/>
      </c>
      <c r="H1894" s="7" t="str">
        <f>IF(Plantilla_SCAN_EQ3_COUNT_2[[#This Row],[ID MATERIAL]]="","",$B$13)</f>
        <v/>
      </c>
      <c r="I1894" s="7" t="str">
        <f>IF(Plantilla_SCAN_EQ3_COUNT_2[[#This Row],[ID MATERIAL]]="","","Segundo Conteo")</f>
        <v/>
      </c>
    </row>
    <row r="1895" spans="1:9" s="7" customFormat="1" ht="15" x14ac:dyDescent="0.2">
      <c r="A1895" s="7" t="str">
        <f>IF(Plantilla_SCAN_EQ3_COUNT_2[[#This Row],[ID MATERIAL]]="","",SIGN(Plantilla_SCAN_EQ3_COUNT_2[[#This Row],[Cantidad]])+A1894)</f>
        <v/>
      </c>
      <c r="B1895" s="21" t="str">
        <f>IF(Plantilla_SCAN_EQ3_COUNT_2[[#This Row],[ID MATERIAL]]="","",B1894)</f>
        <v/>
      </c>
      <c r="C1895" s="21"/>
      <c r="D1895" s="21"/>
      <c r="E1895" s="7" t="str">
        <f>IF(Plantilla_SCAN_EQ3_COUNT_2[[#This Row],[ID MATERIAL]]="","",VLOOKUP(Plantilla_SCAN_EQ3_COUNT_2[[#This Row],[ID MATERIAL]],INVENTARIO!$A:$D,2,FALSE))</f>
        <v/>
      </c>
      <c r="F1895" s="7" t="str">
        <f>IF(Plantilla_SCAN_EQ3_COUNT_2[[#This Row],[ID MATERIAL]]="","",IF(Plantilla_SCAN_EQ3_COUNT_2[[#This Row],[No. Empaques]]="",1,Plantilla_SCAN_EQ3_COUNT_2[[#This Row],[No. Empaques]]*1))</f>
        <v/>
      </c>
      <c r="G1895" s="7" t="str">
        <f>IF(Plantilla_SCAN_EQ3_COUNT_2[[#This Row],[ID MATERIAL]]="","","PZ")</f>
        <v/>
      </c>
      <c r="H1895" s="7" t="str">
        <f>IF(Plantilla_SCAN_EQ3_COUNT_2[[#This Row],[ID MATERIAL]]="","",$B$13)</f>
        <v/>
      </c>
      <c r="I1895" s="7" t="str">
        <f>IF(Plantilla_SCAN_EQ3_COUNT_2[[#This Row],[ID MATERIAL]]="","","Segundo Conteo")</f>
        <v/>
      </c>
    </row>
    <row r="1896" spans="1:9" s="7" customFormat="1" ht="15" x14ac:dyDescent="0.2">
      <c r="A1896" s="7" t="str">
        <f>IF(Plantilla_SCAN_EQ3_COUNT_2[[#This Row],[ID MATERIAL]]="","",SIGN(Plantilla_SCAN_EQ3_COUNT_2[[#This Row],[Cantidad]])+A1895)</f>
        <v/>
      </c>
      <c r="B1896" s="21" t="str">
        <f>IF(Plantilla_SCAN_EQ3_COUNT_2[[#This Row],[ID MATERIAL]]="","",B1895)</f>
        <v/>
      </c>
      <c r="C1896" s="21"/>
      <c r="D1896" s="21"/>
      <c r="E1896" s="7" t="str">
        <f>IF(Plantilla_SCAN_EQ3_COUNT_2[[#This Row],[ID MATERIAL]]="","",VLOOKUP(Plantilla_SCAN_EQ3_COUNT_2[[#This Row],[ID MATERIAL]],INVENTARIO!$A:$D,2,FALSE))</f>
        <v/>
      </c>
      <c r="F1896" s="7" t="str">
        <f>IF(Plantilla_SCAN_EQ3_COUNT_2[[#This Row],[ID MATERIAL]]="","",IF(Plantilla_SCAN_EQ3_COUNT_2[[#This Row],[No. Empaques]]="",1,Plantilla_SCAN_EQ3_COUNT_2[[#This Row],[No. Empaques]]*1))</f>
        <v/>
      </c>
      <c r="G1896" s="7" t="str">
        <f>IF(Plantilla_SCAN_EQ3_COUNT_2[[#This Row],[ID MATERIAL]]="","","PZ")</f>
        <v/>
      </c>
      <c r="H1896" s="7" t="str">
        <f>IF(Plantilla_SCAN_EQ3_COUNT_2[[#This Row],[ID MATERIAL]]="","",$B$13)</f>
        <v/>
      </c>
      <c r="I1896" s="7" t="str">
        <f>IF(Plantilla_SCAN_EQ3_COUNT_2[[#This Row],[ID MATERIAL]]="","","Segundo Conteo")</f>
        <v/>
      </c>
    </row>
    <row r="1897" spans="1:9" s="7" customFormat="1" ht="15" x14ac:dyDescent="0.2">
      <c r="A1897" s="7" t="str">
        <f>IF(Plantilla_SCAN_EQ3_COUNT_2[[#This Row],[ID MATERIAL]]="","",SIGN(Plantilla_SCAN_EQ3_COUNT_2[[#This Row],[Cantidad]])+A1896)</f>
        <v/>
      </c>
      <c r="B1897" s="21" t="str">
        <f>IF(Plantilla_SCAN_EQ3_COUNT_2[[#This Row],[ID MATERIAL]]="","",B1896)</f>
        <v/>
      </c>
      <c r="C1897" s="21"/>
      <c r="D1897" s="21"/>
      <c r="E1897" s="7" t="str">
        <f>IF(Plantilla_SCAN_EQ3_COUNT_2[[#This Row],[ID MATERIAL]]="","",VLOOKUP(Plantilla_SCAN_EQ3_COUNT_2[[#This Row],[ID MATERIAL]],INVENTARIO!$A:$D,2,FALSE))</f>
        <v/>
      </c>
      <c r="F1897" s="7" t="str">
        <f>IF(Plantilla_SCAN_EQ3_COUNT_2[[#This Row],[ID MATERIAL]]="","",IF(Plantilla_SCAN_EQ3_COUNT_2[[#This Row],[No. Empaques]]="",1,Plantilla_SCAN_EQ3_COUNT_2[[#This Row],[No. Empaques]]*1))</f>
        <v/>
      </c>
      <c r="G1897" s="7" t="str">
        <f>IF(Plantilla_SCAN_EQ3_COUNT_2[[#This Row],[ID MATERIAL]]="","","PZ")</f>
        <v/>
      </c>
      <c r="H1897" s="7" t="str">
        <f>IF(Plantilla_SCAN_EQ3_COUNT_2[[#This Row],[ID MATERIAL]]="","",$B$13)</f>
        <v/>
      </c>
      <c r="I1897" s="7" t="str">
        <f>IF(Plantilla_SCAN_EQ3_COUNT_2[[#This Row],[ID MATERIAL]]="","","Segundo Conteo")</f>
        <v/>
      </c>
    </row>
    <row r="1898" spans="1:9" s="7" customFormat="1" ht="15" x14ac:dyDescent="0.2">
      <c r="A1898" s="7" t="str">
        <f>IF(Plantilla_SCAN_EQ3_COUNT_2[[#This Row],[ID MATERIAL]]="","",SIGN(Plantilla_SCAN_EQ3_COUNT_2[[#This Row],[Cantidad]])+A1897)</f>
        <v/>
      </c>
      <c r="B1898" s="21" t="str">
        <f>IF(Plantilla_SCAN_EQ3_COUNT_2[[#This Row],[ID MATERIAL]]="","",B1897)</f>
        <v/>
      </c>
      <c r="C1898" s="21"/>
      <c r="D1898" s="21"/>
      <c r="E1898" s="7" t="str">
        <f>IF(Plantilla_SCAN_EQ3_COUNT_2[[#This Row],[ID MATERIAL]]="","",VLOOKUP(Plantilla_SCAN_EQ3_COUNT_2[[#This Row],[ID MATERIAL]],INVENTARIO!$A:$D,2,FALSE))</f>
        <v/>
      </c>
      <c r="F1898" s="7" t="str">
        <f>IF(Plantilla_SCAN_EQ3_COUNT_2[[#This Row],[ID MATERIAL]]="","",IF(Plantilla_SCAN_EQ3_COUNT_2[[#This Row],[No. Empaques]]="",1,Plantilla_SCAN_EQ3_COUNT_2[[#This Row],[No. Empaques]]*1))</f>
        <v/>
      </c>
      <c r="G1898" s="7" t="str">
        <f>IF(Plantilla_SCAN_EQ3_COUNT_2[[#This Row],[ID MATERIAL]]="","","PZ")</f>
        <v/>
      </c>
      <c r="H1898" s="7" t="str">
        <f>IF(Plantilla_SCAN_EQ3_COUNT_2[[#This Row],[ID MATERIAL]]="","",$B$13)</f>
        <v/>
      </c>
      <c r="I1898" s="7" t="str">
        <f>IF(Plantilla_SCAN_EQ3_COUNT_2[[#This Row],[ID MATERIAL]]="","","Segundo Conteo")</f>
        <v/>
      </c>
    </row>
    <row r="1899" spans="1:9" s="7" customFormat="1" ht="15" x14ac:dyDescent="0.2">
      <c r="A1899" s="7" t="str">
        <f>IF(Plantilla_SCAN_EQ3_COUNT_2[[#This Row],[ID MATERIAL]]="","",SIGN(Plantilla_SCAN_EQ3_COUNT_2[[#This Row],[Cantidad]])+A1898)</f>
        <v/>
      </c>
      <c r="B1899" s="21" t="str">
        <f>IF(Plantilla_SCAN_EQ3_COUNT_2[[#This Row],[ID MATERIAL]]="","",B1898)</f>
        <v/>
      </c>
      <c r="C1899" s="21"/>
      <c r="D1899" s="21"/>
      <c r="E1899" s="7" t="str">
        <f>IF(Plantilla_SCAN_EQ3_COUNT_2[[#This Row],[ID MATERIAL]]="","",VLOOKUP(Plantilla_SCAN_EQ3_COUNT_2[[#This Row],[ID MATERIAL]],INVENTARIO!$A:$D,2,FALSE))</f>
        <v/>
      </c>
      <c r="F1899" s="7" t="str">
        <f>IF(Plantilla_SCAN_EQ3_COUNT_2[[#This Row],[ID MATERIAL]]="","",IF(Plantilla_SCAN_EQ3_COUNT_2[[#This Row],[No. Empaques]]="",1,Plantilla_SCAN_EQ3_COUNT_2[[#This Row],[No. Empaques]]*1))</f>
        <v/>
      </c>
      <c r="G1899" s="7" t="str">
        <f>IF(Plantilla_SCAN_EQ3_COUNT_2[[#This Row],[ID MATERIAL]]="","","PZ")</f>
        <v/>
      </c>
      <c r="H1899" s="7" t="str">
        <f>IF(Plantilla_SCAN_EQ3_COUNT_2[[#This Row],[ID MATERIAL]]="","",$B$13)</f>
        <v/>
      </c>
      <c r="I1899" s="7" t="str">
        <f>IF(Plantilla_SCAN_EQ3_COUNT_2[[#This Row],[ID MATERIAL]]="","","Segundo Conteo")</f>
        <v/>
      </c>
    </row>
    <row r="1900" spans="1:9" s="7" customFormat="1" ht="15" x14ac:dyDescent="0.2">
      <c r="A1900" s="7" t="str">
        <f>IF(Plantilla_SCAN_EQ3_COUNT_2[[#This Row],[ID MATERIAL]]="","",SIGN(Plantilla_SCAN_EQ3_COUNT_2[[#This Row],[Cantidad]])+A1899)</f>
        <v/>
      </c>
      <c r="B1900" s="21" t="str">
        <f>IF(Plantilla_SCAN_EQ3_COUNT_2[[#This Row],[ID MATERIAL]]="","",B1899)</f>
        <v/>
      </c>
      <c r="C1900" s="21"/>
      <c r="D1900" s="21"/>
      <c r="E1900" s="7" t="str">
        <f>IF(Plantilla_SCAN_EQ3_COUNT_2[[#This Row],[ID MATERIAL]]="","",VLOOKUP(Plantilla_SCAN_EQ3_COUNT_2[[#This Row],[ID MATERIAL]],INVENTARIO!$A:$D,2,FALSE))</f>
        <v/>
      </c>
      <c r="F1900" s="7" t="str">
        <f>IF(Plantilla_SCAN_EQ3_COUNT_2[[#This Row],[ID MATERIAL]]="","",IF(Plantilla_SCAN_EQ3_COUNT_2[[#This Row],[No. Empaques]]="",1,Plantilla_SCAN_EQ3_COUNT_2[[#This Row],[No. Empaques]]*1))</f>
        <v/>
      </c>
      <c r="G1900" s="7" t="str">
        <f>IF(Plantilla_SCAN_EQ3_COUNT_2[[#This Row],[ID MATERIAL]]="","","PZ")</f>
        <v/>
      </c>
      <c r="H1900" s="7" t="str">
        <f>IF(Plantilla_SCAN_EQ3_COUNT_2[[#This Row],[ID MATERIAL]]="","",$B$13)</f>
        <v/>
      </c>
      <c r="I1900" s="7" t="str">
        <f>IF(Plantilla_SCAN_EQ3_COUNT_2[[#This Row],[ID MATERIAL]]="","","Segundo Conteo")</f>
        <v/>
      </c>
    </row>
    <row r="1901" spans="1:9" s="7" customFormat="1" ht="15" x14ac:dyDescent="0.2">
      <c r="A1901" s="7" t="str">
        <f>IF(Plantilla_SCAN_EQ3_COUNT_2[[#This Row],[ID MATERIAL]]="","",SIGN(Plantilla_SCAN_EQ3_COUNT_2[[#This Row],[Cantidad]])+A1900)</f>
        <v/>
      </c>
      <c r="B1901" s="21" t="str">
        <f>IF(Plantilla_SCAN_EQ3_COUNT_2[[#This Row],[ID MATERIAL]]="","",B1900)</f>
        <v/>
      </c>
      <c r="C1901" s="21"/>
      <c r="D1901" s="21"/>
      <c r="E1901" s="7" t="str">
        <f>IF(Plantilla_SCAN_EQ3_COUNT_2[[#This Row],[ID MATERIAL]]="","",VLOOKUP(Plantilla_SCAN_EQ3_COUNT_2[[#This Row],[ID MATERIAL]],INVENTARIO!$A:$D,2,FALSE))</f>
        <v/>
      </c>
      <c r="F1901" s="7" t="str">
        <f>IF(Plantilla_SCAN_EQ3_COUNT_2[[#This Row],[ID MATERIAL]]="","",IF(Plantilla_SCAN_EQ3_COUNT_2[[#This Row],[No. Empaques]]="",1,Plantilla_SCAN_EQ3_COUNT_2[[#This Row],[No. Empaques]]*1))</f>
        <v/>
      </c>
      <c r="G1901" s="7" t="str">
        <f>IF(Plantilla_SCAN_EQ3_COUNT_2[[#This Row],[ID MATERIAL]]="","","PZ")</f>
        <v/>
      </c>
      <c r="H1901" s="7" t="str">
        <f>IF(Plantilla_SCAN_EQ3_COUNT_2[[#This Row],[ID MATERIAL]]="","",$B$13)</f>
        <v/>
      </c>
      <c r="I1901" s="7" t="str">
        <f>IF(Plantilla_SCAN_EQ3_COUNT_2[[#This Row],[ID MATERIAL]]="","","Segundo Conteo")</f>
        <v/>
      </c>
    </row>
    <row r="1902" spans="1:9" s="7" customFormat="1" ht="15" x14ac:dyDescent="0.2">
      <c r="A1902" s="7" t="str">
        <f>IF(Plantilla_SCAN_EQ3_COUNT_2[[#This Row],[ID MATERIAL]]="","",SIGN(Plantilla_SCAN_EQ3_COUNT_2[[#This Row],[Cantidad]])+A1901)</f>
        <v/>
      </c>
      <c r="B1902" s="21" t="str">
        <f>IF(Plantilla_SCAN_EQ3_COUNT_2[[#This Row],[ID MATERIAL]]="","",B1901)</f>
        <v/>
      </c>
      <c r="C1902" s="21"/>
      <c r="D1902" s="21"/>
      <c r="E1902" s="7" t="str">
        <f>IF(Plantilla_SCAN_EQ3_COUNT_2[[#This Row],[ID MATERIAL]]="","",VLOOKUP(Plantilla_SCAN_EQ3_COUNT_2[[#This Row],[ID MATERIAL]],INVENTARIO!$A:$D,2,FALSE))</f>
        <v/>
      </c>
      <c r="F1902" s="7" t="str">
        <f>IF(Plantilla_SCAN_EQ3_COUNT_2[[#This Row],[ID MATERIAL]]="","",IF(Plantilla_SCAN_EQ3_COUNT_2[[#This Row],[No. Empaques]]="",1,Plantilla_SCAN_EQ3_COUNT_2[[#This Row],[No. Empaques]]*1))</f>
        <v/>
      </c>
      <c r="G1902" s="7" t="str">
        <f>IF(Plantilla_SCAN_EQ3_COUNT_2[[#This Row],[ID MATERIAL]]="","","PZ")</f>
        <v/>
      </c>
      <c r="H1902" s="7" t="str">
        <f>IF(Plantilla_SCAN_EQ3_COUNT_2[[#This Row],[ID MATERIAL]]="","",$B$13)</f>
        <v/>
      </c>
      <c r="I1902" s="7" t="str">
        <f>IF(Plantilla_SCAN_EQ3_COUNT_2[[#This Row],[ID MATERIAL]]="","","Segundo Conteo")</f>
        <v/>
      </c>
    </row>
    <row r="1903" spans="1:9" s="7" customFormat="1" ht="15" x14ac:dyDescent="0.2">
      <c r="A1903" s="7" t="str">
        <f>IF(Plantilla_SCAN_EQ3_COUNT_2[[#This Row],[ID MATERIAL]]="","",SIGN(Plantilla_SCAN_EQ3_COUNT_2[[#This Row],[Cantidad]])+A1902)</f>
        <v/>
      </c>
      <c r="B1903" s="21" t="str">
        <f>IF(Plantilla_SCAN_EQ3_COUNT_2[[#This Row],[ID MATERIAL]]="","",B1902)</f>
        <v/>
      </c>
      <c r="C1903" s="21"/>
      <c r="D1903" s="21"/>
      <c r="E1903" s="7" t="str">
        <f>IF(Plantilla_SCAN_EQ3_COUNT_2[[#This Row],[ID MATERIAL]]="","",VLOOKUP(Plantilla_SCAN_EQ3_COUNT_2[[#This Row],[ID MATERIAL]],INVENTARIO!$A:$D,2,FALSE))</f>
        <v/>
      </c>
      <c r="F1903" s="7" t="str">
        <f>IF(Plantilla_SCAN_EQ3_COUNT_2[[#This Row],[ID MATERIAL]]="","",IF(Plantilla_SCAN_EQ3_COUNT_2[[#This Row],[No. Empaques]]="",1,Plantilla_SCAN_EQ3_COUNT_2[[#This Row],[No. Empaques]]*1))</f>
        <v/>
      </c>
      <c r="G1903" s="7" t="str">
        <f>IF(Plantilla_SCAN_EQ3_COUNT_2[[#This Row],[ID MATERIAL]]="","","PZ")</f>
        <v/>
      </c>
      <c r="H1903" s="7" t="str">
        <f>IF(Plantilla_SCAN_EQ3_COUNT_2[[#This Row],[ID MATERIAL]]="","",$B$13)</f>
        <v/>
      </c>
      <c r="I1903" s="7" t="str">
        <f>IF(Plantilla_SCAN_EQ3_COUNT_2[[#This Row],[ID MATERIAL]]="","","Segundo Conteo")</f>
        <v/>
      </c>
    </row>
    <row r="1904" spans="1:9" s="7" customFormat="1" ht="15" x14ac:dyDescent="0.2">
      <c r="A1904" s="7" t="str">
        <f>IF(Plantilla_SCAN_EQ3_COUNT_2[[#This Row],[ID MATERIAL]]="","",SIGN(Plantilla_SCAN_EQ3_COUNT_2[[#This Row],[Cantidad]])+A1903)</f>
        <v/>
      </c>
      <c r="B1904" s="21" t="str">
        <f>IF(Plantilla_SCAN_EQ3_COUNT_2[[#This Row],[ID MATERIAL]]="","",B1903)</f>
        <v/>
      </c>
      <c r="C1904" s="21"/>
      <c r="D1904" s="21"/>
      <c r="E1904" s="7" t="str">
        <f>IF(Plantilla_SCAN_EQ3_COUNT_2[[#This Row],[ID MATERIAL]]="","",VLOOKUP(Plantilla_SCAN_EQ3_COUNT_2[[#This Row],[ID MATERIAL]],INVENTARIO!$A:$D,2,FALSE))</f>
        <v/>
      </c>
      <c r="F1904" s="7" t="str">
        <f>IF(Plantilla_SCAN_EQ3_COUNT_2[[#This Row],[ID MATERIAL]]="","",IF(Plantilla_SCAN_EQ3_COUNT_2[[#This Row],[No. Empaques]]="",1,Plantilla_SCAN_EQ3_COUNT_2[[#This Row],[No. Empaques]]*1))</f>
        <v/>
      </c>
      <c r="G1904" s="7" t="str">
        <f>IF(Plantilla_SCAN_EQ3_COUNT_2[[#This Row],[ID MATERIAL]]="","","PZ")</f>
        <v/>
      </c>
      <c r="H1904" s="7" t="str">
        <f>IF(Plantilla_SCAN_EQ3_COUNT_2[[#This Row],[ID MATERIAL]]="","",$B$13)</f>
        <v/>
      </c>
      <c r="I1904" s="7" t="str">
        <f>IF(Plantilla_SCAN_EQ3_COUNT_2[[#This Row],[ID MATERIAL]]="","","Segundo Conteo")</f>
        <v/>
      </c>
    </row>
    <row r="1905" spans="1:9" s="7" customFormat="1" ht="15" x14ac:dyDescent="0.2">
      <c r="A1905" s="7" t="str">
        <f>IF(Plantilla_SCAN_EQ3_COUNT_2[[#This Row],[ID MATERIAL]]="","",SIGN(Plantilla_SCAN_EQ3_COUNT_2[[#This Row],[Cantidad]])+A1904)</f>
        <v/>
      </c>
      <c r="B1905" s="21" t="str">
        <f>IF(Plantilla_SCAN_EQ3_COUNT_2[[#This Row],[ID MATERIAL]]="","",B1904)</f>
        <v/>
      </c>
      <c r="C1905" s="21"/>
      <c r="D1905" s="21"/>
      <c r="E1905" s="7" t="str">
        <f>IF(Plantilla_SCAN_EQ3_COUNT_2[[#This Row],[ID MATERIAL]]="","",VLOOKUP(Plantilla_SCAN_EQ3_COUNT_2[[#This Row],[ID MATERIAL]],INVENTARIO!$A:$D,2,FALSE))</f>
        <v/>
      </c>
      <c r="F1905" s="7" t="str">
        <f>IF(Plantilla_SCAN_EQ3_COUNT_2[[#This Row],[ID MATERIAL]]="","",IF(Plantilla_SCAN_EQ3_COUNT_2[[#This Row],[No. Empaques]]="",1,Plantilla_SCAN_EQ3_COUNT_2[[#This Row],[No. Empaques]]*1))</f>
        <v/>
      </c>
      <c r="G1905" s="7" t="str">
        <f>IF(Plantilla_SCAN_EQ3_COUNT_2[[#This Row],[ID MATERIAL]]="","","PZ")</f>
        <v/>
      </c>
      <c r="H1905" s="7" t="str">
        <f>IF(Plantilla_SCAN_EQ3_COUNT_2[[#This Row],[ID MATERIAL]]="","",$B$13)</f>
        <v/>
      </c>
      <c r="I1905" s="7" t="str">
        <f>IF(Plantilla_SCAN_EQ3_COUNT_2[[#This Row],[ID MATERIAL]]="","","Segundo Conteo")</f>
        <v/>
      </c>
    </row>
    <row r="1906" spans="1:9" s="7" customFormat="1" ht="15" x14ac:dyDescent="0.2">
      <c r="A1906" s="7" t="str">
        <f>IF(Plantilla_SCAN_EQ3_COUNT_2[[#This Row],[ID MATERIAL]]="","",SIGN(Plantilla_SCAN_EQ3_COUNT_2[[#This Row],[Cantidad]])+A1905)</f>
        <v/>
      </c>
      <c r="B1906" s="21" t="str">
        <f>IF(Plantilla_SCAN_EQ3_COUNT_2[[#This Row],[ID MATERIAL]]="","",B1905)</f>
        <v/>
      </c>
      <c r="C1906" s="21"/>
      <c r="D1906" s="21"/>
      <c r="E1906" s="7" t="str">
        <f>IF(Plantilla_SCAN_EQ3_COUNT_2[[#This Row],[ID MATERIAL]]="","",VLOOKUP(Plantilla_SCAN_EQ3_COUNT_2[[#This Row],[ID MATERIAL]],INVENTARIO!$A:$D,2,FALSE))</f>
        <v/>
      </c>
      <c r="F1906" s="7" t="str">
        <f>IF(Plantilla_SCAN_EQ3_COUNT_2[[#This Row],[ID MATERIAL]]="","",IF(Plantilla_SCAN_EQ3_COUNT_2[[#This Row],[No. Empaques]]="",1,Plantilla_SCAN_EQ3_COUNT_2[[#This Row],[No. Empaques]]*1))</f>
        <v/>
      </c>
      <c r="G1906" s="7" t="str">
        <f>IF(Plantilla_SCAN_EQ3_COUNT_2[[#This Row],[ID MATERIAL]]="","","PZ")</f>
        <v/>
      </c>
      <c r="H1906" s="7" t="str">
        <f>IF(Plantilla_SCAN_EQ3_COUNT_2[[#This Row],[ID MATERIAL]]="","",$B$13)</f>
        <v/>
      </c>
      <c r="I1906" s="7" t="str">
        <f>IF(Plantilla_SCAN_EQ3_COUNT_2[[#This Row],[ID MATERIAL]]="","","Segundo Conteo")</f>
        <v/>
      </c>
    </row>
    <row r="1907" spans="1:9" s="7" customFormat="1" ht="15" x14ac:dyDescent="0.2">
      <c r="A1907" s="7" t="str">
        <f>IF(Plantilla_SCAN_EQ3_COUNT_2[[#This Row],[ID MATERIAL]]="","",SIGN(Plantilla_SCAN_EQ3_COUNT_2[[#This Row],[Cantidad]])+A1906)</f>
        <v/>
      </c>
      <c r="B1907" s="21" t="str">
        <f>IF(Plantilla_SCAN_EQ3_COUNT_2[[#This Row],[ID MATERIAL]]="","",B1906)</f>
        <v/>
      </c>
      <c r="C1907" s="21"/>
      <c r="D1907" s="21"/>
      <c r="E1907" s="7" t="str">
        <f>IF(Plantilla_SCAN_EQ3_COUNT_2[[#This Row],[ID MATERIAL]]="","",VLOOKUP(Plantilla_SCAN_EQ3_COUNT_2[[#This Row],[ID MATERIAL]],INVENTARIO!$A:$D,2,FALSE))</f>
        <v/>
      </c>
      <c r="F1907" s="7" t="str">
        <f>IF(Plantilla_SCAN_EQ3_COUNT_2[[#This Row],[ID MATERIAL]]="","",IF(Plantilla_SCAN_EQ3_COUNT_2[[#This Row],[No. Empaques]]="",1,Plantilla_SCAN_EQ3_COUNT_2[[#This Row],[No. Empaques]]*1))</f>
        <v/>
      </c>
      <c r="G1907" s="7" t="str">
        <f>IF(Plantilla_SCAN_EQ3_COUNT_2[[#This Row],[ID MATERIAL]]="","","PZ")</f>
        <v/>
      </c>
      <c r="H1907" s="7" t="str">
        <f>IF(Plantilla_SCAN_EQ3_COUNT_2[[#This Row],[ID MATERIAL]]="","",$B$13)</f>
        <v/>
      </c>
      <c r="I1907" s="7" t="str">
        <f>IF(Plantilla_SCAN_EQ3_COUNT_2[[#This Row],[ID MATERIAL]]="","","Segundo Conteo")</f>
        <v/>
      </c>
    </row>
    <row r="1908" spans="1:9" s="7" customFormat="1" ht="15" x14ac:dyDescent="0.2">
      <c r="A1908" s="7" t="str">
        <f>IF(Plantilla_SCAN_EQ3_COUNT_2[[#This Row],[ID MATERIAL]]="","",SIGN(Plantilla_SCAN_EQ3_COUNT_2[[#This Row],[Cantidad]])+A1907)</f>
        <v/>
      </c>
      <c r="B1908" s="21" t="str">
        <f>IF(Plantilla_SCAN_EQ3_COUNT_2[[#This Row],[ID MATERIAL]]="","",B1907)</f>
        <v/>
      </c>
      <c r="C1908" s="21"/>
      <c r="D1908" s="21"/>
      <c r="E1908" s="7" t="str">
        <f>IF(Plantilla_SCAN_EQ3_COUNT_2[[#This Row],[ID MATERIAL]]="","",VLOOKUP(Plantilla_SCAN_EQ3_COUNT_2[[#This Row],[ID MATERIAL]],INVENTARIO!$A:$D,2,FALSE))</f>
        <v/>
      </c>
      <c r="F1908" s="7" t="str">
        <f>IF(Plantilla_SCAN_EQ3_COUNT_2[[#This Row],[ID MATERIAL]]="","",IF(Plantilla_SCAN_EQ3_COUNT_2[[#This Row],[No. Empaques]]="",1,Plantilla_SCAN_EQ3_COUNT_2[[#This Row],[No. Empaques]]*1))</f>
        <v/>
      </c>
      <c r="G1908" s="7" t="str">
        <f>IF(Plantilla_SCAN_EQ3_COUNT_2[[#This Row],[ID MATERIAL]]="","","PZ")</f>
        <v/>
      </c>
      <c r="H1908" s="7" t="str">
        <f>IF(Plantilla_SCAN_EQ3_COUNT_2[[#This Row],[ID MATERIAL]]="","",$B$13)</f>
        <v/>
      </c>
      <c r="I1908" s="7" t="str">
        <f>IF(Plantilla_SCAN_EQ3_COUNT_2[[#This Row],[ID MATERIAL]]="","","Segundo Conteo")</f>
        <v/>
      </c>
    </row>
    <row r="1909" spans="1:9" s="7" customFormat="1" ht="15" x14ac:dyDescent="0.2">
      <c r="A1909" s="7" t="str">
        <f>IF(Plantilla_SCAN_EQ3_COUNT_2[[#This Row],[ID MATERIAL]]="","",SIGN(Plantilla_SCAN_EQ3_COUNT_2[[#This Row],[Cantidad]])+A1908)</f>
        <v/>
      </c>
      <c r="B1909" s="21" t="str">
        <f>IF(Plantilla_SCAN_EQ3_COUNT_2[[#This Row],[ID MATERIAL]]="","",B1908)</f>
        <v/>
      </c>
      <c r="C1909" s="21"/>
      <c r="D1909" s="21"/>
      <c r="E1909" s="7" t="str">
        <f>IF(Plantilla_SCAN_EQ3_COUNT_2[[#This Row],[ID MATERIAL]]="","",VLOOKUP(Plantilla_SCAN_EQ3_COUNT_2[[#This Row],[ID MATERIAL]],INVENTARIO!$A:$D,2,FALSE))</f>
        <v/>
      </c>
      <c r="F1909" s="7" t="str">
        <f>IF(Plantilla_SCAN_EQ3_COUNT_2[[#This Row],[ID MATERIAL]]="","",IF(Plantilla_SCAN_EQ3_COUNT_2[[#This Row],[No. Empaques]]="",1,Plantilla_SCAN_EQ3_COUNT_2[[#This Row],[No. Empaques]]*1))</f>
        <v/>
      </c>
      <c r="G1909" s="7" t="str">
        <f>IF(Plantilla_SCAN_EQ3_COUNT_2[[#This Row],[ID MATERIAL]]="","","PZ")</f>
        <v/>
      </c>
      <c r="H1909" s="7" t="str">
        <f>IF(Plantilla_SCAN_EQ3_COUNT_2[[#This Row],[ID MATERIAL]]="","",$B$13)</f>
        <v/>
      </c>
      <c r="I1909" s="7" t="str">
        <f>IF(Plantilla_SCAN_EQ3_COUNT_2[[#This Row],[ID MATERIAL]]="","","Segundo Conteo")</f>
        <v/>
      </c>
    </row>
    <row r="1910" spans="1:9" s="7" customFormat="1" ht="15" x14ac:dyDescent="0.2">
      <c r="A1910" s="7" t="str">
        <f>IF(Plantilla_SCAN_EQ3_COUNT_2[[#This Row],[ID MATERIAL]]="","",SIGN(Plantilla_SCAN_EQ3_COUNT_2[[#This Row],[Cantidad]])+A1909)</f>
        <v/>
      </c>
      <c r="B1910" s="21" t="str">
        <f>IF(Plantilla_SCAN_EQ3_COUNT_2[[#This Row],[ID MATERIAL]]="","",B1909)</f>
        <v/>
      </c>
      <c r="C1910" s="21"/>
      <c r="D1910" s="21"/>
      <c r="E1910" s="7" t="str">
        <f>IF(Plantilla_SCAN_EQ3_COUNT_2[[#This Row],[ID MATERIAL]]="","",VLOOKUP(Plantilla_SCAN_EQ3_COUNT_2[[#This Row],[ID MATERIAL]],INVENTARIO!$A:$D,2,FALSE))</f>
        <v/>
      </c>
      <c r="F1910" s="7" t="str">
        <f>IF(Plantilla_SCAN_EQ3_COUNT_2[[#This Row],[ID MATERIAL]]="","",IF(Plantilla_SCAN_EQ3_COUNT_2[[#This Row],[No. Empaques]]="",1,Plantilla_SCAN_EQ3_COUNT_2[[#This Row],[No. Empaques]]*1))</f>
        <v/>
      </c>
      <c r="G1910" s="7" t="str">
        <f>IF(Plantilla_SCAN_EQ3_COUNT_2[[#This Row],[ID MATERIAL]]="","","PZ")</f>
        <v/>
      </c>
      <c r="H1910" s="7" t="str">
        <f>IF(Plantilla_SCAN_EQ3_COUNT_2[[#This Row],[ID MATERIAL]]="","",$B$13)</f>
        <v/>
      </c>
      <c r="I1910" s="7" t="str">
        <f>IF(Plantilla_SCAN_EQ3_COUNT_2[[#This Row],[ID MATERIAL]]="","","Segundo Conteo")</f>
        <v/>
      </c>
    </row>
    <row r="1911" spans="1:9" s="7" customFormat="1" ht="15" x14ac:dyDescent="0.2">
      <c r="A1911" s="7" t="str">
        <f>IF(Plantilla_SCAN_EQ3_COUNT_2[[#This Row],[ID MATERIAL]]="","",SIGN(Plantilla_SCAN_EQ3_COUNT_2[[#This Row],[Cantidad]])+A1910)</f>
        <v/>
      </c>
      <c r="B1911" s="21" t="str">
        <f>IF(Plantilla_SCAN_EQ3_COUNT_2[[#This Row],[ID MATERIAL]]="","",B1910)</f>
        <v/>
      </c>
      <c r="C1911" s="21"/>
      <c r="D1911" s="21"/>
      <c r="E1911" s="7" t="str">
        <f>IF(Plantilla_SCAN_EQ3_COUNT_2[[#This Row],[ID MATERIAL]]="","",VLOOKUP(Plantilla_SCAN_EQ3_COUNT_2[[#This Row],[ID MATERIAL]],INVENTARIO!$A:$D,2,FALSE))</f>
        <v/>
      </c>
      <c r="F1911" s="7" t="str">
        <f>IF(Plantilla_SCAN_EQ3_COUNT_2[[#This Row],[ID MATERIAL]]="","",IF(Plantilla_SCAN_EQ3_COUNT_2[[#This Row],[No. Empaques]]="",1,Plantilla_SCAN_EQ3_COUNT_2[[#This Row],[No. Empaques]]*1))</f>
        <v/>
      </c>
      <c r="G1911" s="7" t="str">
        <f>IF(Plantilla_SCAN_EQ3_COUNT_2[[#This Row],[ID MATERIAL]]="","","PZ")</f>
        <v/>
      </c>
      <c r="H1911" s="7" t="str">
        <f>IF(Plantilla_SCAN_EQ3_COUNT_2[[#This Row],[ID MATERIAL]]="","",$B$13)</f>
        <v/>
      </c>
      <c r="I1911" s="7" t="str">
        <f>IF(Plantilla_SCAN_EQ3_COUNT_2[[#This Row],[ID MATERIAL]]="","","Segundo Conteo")</f>
        <v/>
      </c>
    </row>
    <row r="1912" spans="1:9" s="7" customFormat="1" ht="15" x14ac:dyDescent="0.2">
      <c r="A1912" s="7" t="str">
        <f>IF(Plantilla_SCAN_EQ3_COUNT_2[[#This Row],[ID MATERIAL]]="","",SIGN(Plantilla_SCAN_EQ3_COUNT_2[[#This Row],[Cantidad]])+A1911)</f>
        <v/>
      </c>
      <c r="B1912" s="21" t="str">
        <f>IF(Plantilla_SCAN_EQ3_COUNT_2[[#This Row],[ID MATERIAL]]="","",B1911)</f>
        <v/>
      </c>
      <c r="C1912" s="21"/>
      <c r="D1912" s="21"/>
      <c r="E1912" s="7" t="str">
        <f>IF(Plantilla_SCAN_EQ3_COUNT_2[[#This Row],[ID MATERIAL]]="","",VLOOKUP(Plantilla_SCAN_EQ3_COUNT_2[[#This Row],[ID MATERIAL]],INVENTARIO!$A:$D,2,FALSE))</f>
        <v/>
      </c>
      <c r="F1912" s="7" t="str">
        <f>IF(Plantilla_SCAN_EQ3_COUNT_2[[#This Row],[ID MATERIAL]]="","",IF(Plantilla_SCAN_EQ3_COUNT_2[[#This Row],[No. Empaques]]="",1,Plantilla_SCAN_EQ3_COUNT_2[[#This Row],[No. Empaques]]*1))</f>
        <v/>
      </c>
      <c r="G1912" s="7" t="str">
        <f>IF(Plantilla_SCAN_EQ3_COUNT_2[[#This Row],[ID MATERIAL]]="","","PZ")</f>
        <v/>
      </c>
      <c r="H1912" s="7" t="str">
        <f>IF(Plantilla_SCAN_EQ3_COUNT_2[[#This Row],[ID MATERIAL]]="","",$B$13)</f>
        <v/>
      </c>
      <c r="I1912" s="7" t="str">
        <f>IF(Plantilla_SCAN_EQ3_COUNT_2[[#This Row],[ID MATERIAL]]="","","Segundo Conteo")</f>
        <v/>
      </c>
    </row>
    <row r="1913" spans="1:9" s="7" customFormat="1" ht="15" x14ac:dyDescent="0.2">
      <c r="A1913" s="7" t="str">
        <f>IF(Plantilla_SCAN_EQ3_COUNT_2[[#This Row],[ID MATERIAL]]="","",SIGN(Plantilla_SCAN_EQ3_COUNT_2[[#This Row],[Cantidad]])+A1912)</f>
        <v/>
      </c>
      <c r="B1913" s="21" t="str">
        <f>IF(Plantilla_SCAN_EQ3_COUNT_2[[#This Row],[ID MATERIAL]]="","",B1912)</f>
        <v/>
      </c>
      <c r="C1913" s="21"/>
      <c r="D1913" s="21"/>
      <c r="E1913" s="7" t="str">
        <f>IF(Plantilla_SCAN_EQ3_COUNT_2[[#This Row],[ID MATERIAL]]="","",VLOOKUP(Plantilla_SCAN_EQ3_COUNT_2[[#This Row],[ID MATERIAL]],INVENTARIO!$A:$D,2,FALSE))</f>
        <v/>
      </c>
      <c r="F1913" s="7" t="str">
        <f>IF(Plantilla_SCAN_EQ3_COUNT_2[[#This Row],[ID MATERIAL]]="","",IF(Plantilla_SCAN_EQ3_COUNT_2[[#This Row],[No. Empaques]]="",1,Plantilla_SCAN_EQ3_COUNT_2[[#This Row],[No. Empaques]]*1))</f>
        <v/>
      </c>
      <c r="G1913" s="7" t="str">
        <f>IF(Plantilla_SCAN_EQ3_COUNT_2[[#This Row],[ID MATERIAL]]="","","PZ")</f>
        <v/>
      </c>
      <c r="H1913" s="7" t="str">
        <f>IF(Plantilla_SCAN_EQ3_COUNT_2[[#This Row],[ID MATERIAL]]="","",$B$13)</f>
        <v/>
      </c>
      <c r="I1913" s="7" t="str">
        <f>IF(Plantilla_SCAN_EQ3_COUNT_2[[#This Row],[ID MATERIAL]]="","","Segundo Conteo")</f>
        <v/>
      </c>
    </row>
    <row r="1914" spans="1:9" s="7" customFormat="1" ht="15" x14ac:dyDescent="0.2">
      <c r="A1914" s="7" t="str">
        <f>IF(Plantilla_SCAN_EQ3_COUNT_2[[#This Row],[ID MATERIAL]]="","",SIGN(Plantilla_SCAN_EQ3_COUNT_2[[#This Row],[Cantidad]])+A1913)</f>
        <v/>
      </c>
      <c r="B1914" s="21" t="str">
        <f>IF(Plantilla_SCAN_EQ3_COUNT_2[[#This Row],[ID MATERIAL]]="","",B1913)</f>
        <v/>
      </c>
      <c r="C1914" s="21"/>
      <c r="D1914" s="21"/>
      <c r="E1914" s="7" t="str">
        <f>IF(Plantilla_SCAN_EQ3_COUNT_2[[#This Row],[ID MATERIAL]]="","",VLOOKUP(Plantilla_SCAN_EQ3_COUNT_2[[#This Row],[ID MATERIAL]],INVENTARIO!$A:$D,2,FALSE))</f>
        <v/>
      </c>
      <c r="F1914" s="7" t="str">
        <f>IF(Plantilla_SCAN_EQ3_COUNT_2[[#This Row],[ID MATERIAL]]="","",IF(Plantilla_SCAN_EQ3_COUNT_2[[#This Row],[No. Empaques]]="",1,Plantilla_SCAN_EQ3_COUNT_2[[#This Row],[No. Empaques]]*1))</f>
        <v/>
      </c>
      <c r="G1914" s="7" t="str">
        <f>IF(Plantilla_SCAN_EQ3_COUNT_2[[#This Row],[ID MATERIAL]]="","","PZ")</f>
        <v/>
      </c>
      <c r="H1914" s="7" t="str">
        <f>IF(Plantilla_SCAN_EQ3_COUNT_2[[#This Row],[ID MATERIAL]]="","",$B$13)</f>
        <v/>
      </c>
      <c r="I1914" s="7" t="str">
        <f>IF(Plantilla_SCAN_EQ3_COUNT_2[[#This Row],[ID MATERIAL]]="","","Segundo Conteo")</f>
        <v/>
      </c>
    </row>
    <row r="1915" spans="1:9" s="7" customFormat="1" ht="15" x14ac:dyDescent="0.2">
      <c r="A1915" s="7" t="str">
        <f>IF(Plantilla_SCAN_EQ3_COUNT_2[[#This Row],[ID MATERIAL]]="","",SIGN(Plantilla_SCAN_EQ3_COUNT_2[[#This Row],[Cantidad]])+A1914)</f>
        <v/>
      </c>
      <c r="B1915" s="21" t="str">
        <f>IF(Plantilla_SCAN_EQ3_COUNT_2[[#This Row],[ID MATERIAL]]="","",B1914)</f>
        <v/>
      </c>
      <c r="C1915" s="21"/>
      <c r="D1915" s="21"/>
      <c r="E1915" s="7" t="str">
        <f>IF(Plantilla_SCAN_EQ3_COUNT_2[[#This Row],[ID MATERIAL]]="","",VLOOKUP(Plantilla_SCAN_EQ3_COUNT_2[[#This Row],[ID MATERIAL]],INVENTARIO!$A:$D,2,FALSE))</f>
        <v/>
      </c>
      <c r="F1915" s="7" t="str">
        <f>IF(Plantilla_SCAN_EQ3_COUNT_2[[#This Row],[ID MATERIAL]]="","",IF(Plantilla_SCAN_EQ3_COUNT_2[[#This Row],[No. Empaques]]="",1,Plantilla_SCAN_EQ3_COUNT_2[[#This Row],[No. Empaques]]*1))</f>
        <v/>
      </c>
      <c r="G1915" s="7" t="str">
        <f>IF(Plantilla_SCAN_EQ3_COUNT_2[[#This Row],[ID MATERIAL]]="","","PZ")</f>
        <v/>
      </c>
      <c r="H1915" s="7" t="str">
        <f>IF(Plantilla_SCAN_EQ3_COUNT_2[[#This Row],[ID MATERIAL]]="","",$B$13)</f>
        <v/>
      </c>
      <c r="I1915" s="7" t="str">
        <f>IF(Plantilla_SCAN_EQ3_COUNT_2[[#This Row],[ID MATERIAL]]="","","Segundo Conteo")</f>
        <v/>
      </c>
    </row>
    <row r="1916" spans="1:9" s="7" customFormat="1" ht="15" x14ac:dyDescent="0.2">
      <c r="A1916" s="7" t="str">
        <f>IF(Plantilla_SCAN_EQ3_COUNT_2[[#This Row],[ID MATERIAL]]="","",SIGN(Plantilla_SCAN_EQ3_COUNT_2[[#This Row],[Cantidad]])+A1915)</f>
        <v/>
      </c>
      <c r="B1916" s="21" t="str">
        <f>IF(Plantilla_SCAN_EQ3_COUNT_2[[#This Row],[ID MATERIAL]]="","",B1915)</f>
        <v/>
      </c>
      <c r="C1916" s="21"/>
      <c r="D1916" s="21"/>
      <c r="E1916" s="7" t="str">
        <f>IF(Plantilla_SCAN_EQ3_COUNT_2[[#This Row],[ID MATERIAL]]="","",VLOOKUP(Plantilla_SCAN_EQ3_COUNT_2[[#This Row],[ID MATERIAL]],INVENTARIO!$A:$D,2,FALSE))</f>
        <v/>
      </c>
      <c r="F1916" s="7" t="str">
        <f>IF(Plantilla_SCAN_EQ3_COUNT_2[[#This Row],[ID MATERIAL]]="","",IF(Plantilla_SCAN_EQ3_COUNT_2[[#This Row],[No. Empaques]]="",1,Plantilla_SCAN_EQ3_COUNT_2[[#This Row],[No. Empaques]]*1))</f>
        <v/>
      </c>
      <c r="G1916" s="7" t="str">
        <f>IF(Plantilla_SCAN_EQ3_COUNT_2[[#This Row],[ID MATERIAL]]="","","PZ")</f>
        <v/>
      </c>
      <c r="H1916" s="7" t="str">
        <f>IF(Plantilla_SCAN_EQ3_COUNT_2[[#This Row],[ID MATERIAL]]="","",$B$13)</f>
        <v/>
      </c>
      <c r="I1916" s="7" t="str">
        <f>IF(Plantilla_SCAN_EQ3_COUNT_2[[#This Row],[ID MATERIAL]]="","","Segundo Conteo")</f>
        <v/>
      </c>
    </row>
    <row r="1917" spans="1:9" s="7" customFormat="1" ht="15" x14ac:dyDescent="0.2">
      <c r="A1917" s="7" t="str">
        <f>IF(Plantilla_SCAN_EQ3_COUNT_2[[#This Row],[ID MATERIAL]]="","",SIGN(Plantilla_SCAN_EQ3_COUNT_2[[#This Row],[Cantidad]])+A1916)</f>
        <v/>
      </c>
      <c r="B1917" s="21" t="str">
        <f>IF(Plantilla_SCAN_EQ3_COUNT_2[[#This Row],[ID MATERIAL]]="","",B1916)</f>
        <v/>
      </c>
      <c r="C1917" s="21"/>
      <c r="D1917" s="21"/>
      <c r="E1917" s="7" t="str">
        <f>IF(Plantilla_SCAN_EQ3_COUNT_2[[#This Row],[ID MATERIAL]]="","",VLOOKUP(Plantilla_SCAN_EQ3_COUNT_2[[#This Row],[ID MATERIAL]],INVENTARIO!$A:$D,2,FALSE))</f>
        <v/>
      </c>
      <c r="F1917" s="7" t="str">
        <f>IF(Plantilla_SCAN_EQ3_COUNT_2[[#This Row],[ID MATERIAL]]="","",IF(Plantilla_SCAN_EQ3_COUNT_2[[#This Row],[No. Empaques]]="",1,Plantilla_SCAN_EQ3_COUNT_2[[#This Row],[No. Empaques]]*1))</f>
        <v/>
      </c>
      <c r="G1917" s="7" t="str">
        <f>IF(Plantilla_SCAN_EQ3_COUNT_2[[#This Row],[ID MATERIAL]]="","","PZ")</f>
        <v/>
      </c>
      <c r="H1917" s="7" t="str">
        <f>IF(Plantilla_SCAN_EQ3_COUNT_2[[#This Row],[ID MATERIAL]]="","",$B$13)</f>
        <v/>
      </c>
      <c r="I1917" s="7" t="str">
        <f>IF(Plantilla_SCAN_EQ3_COUNT_2[[#This Row],[ID MATERIAL]]="","","Segundo Conteo")</f>
        <v/>
      </c>
    </row>
    <row r="1918" spans="1:9" s="7" customFormat="1" ht="15" x14ac:dyDescent="0.2">
      <c r="A1918" s="7" t="str">
        <f>IF(Plantilla_SCAN_EQ3_COUNT_2[[#This Row],[ID MATERIAL]]="","",SIGN(Plantilla_SCAN_EQ3_COUNT_2[[#This Row],[Cantidad]])+A1917)</f>
        <v/>
      </c>
      <c r="B1918" s="21" t="str">
        <f>IF(Plantilla_SCAN_EQ3_COUNT_2[[#This Row],[ID MATERIAL]]="","",B1917)</f>
        <v/>
      </c>
      <c r="C1918" s="21"/>
      <c r="D1918" s="21"/>
      <c r="E1918" s="7" t="str">
        <f>IF(Plantilla_SCAN_EQ3_COUNT_2[[#This Row],[ID MATERIAL]]="","",VLOOKUP(Plantilla_SCAN_EQ3_COUNT_2[[#This Row],[ID MATERIAL]],INVENTARIO!$A:$D,2,FALSE))</f>
        <v/>
      </c>
      <c r="F1918" s="7" t="str">
        <f>IF(Plantilla_SCAN_EQ3_COUNT_2[[#This Row],[ID MATERIAL]]="","",IF(Plantilla_SCAN_EQ3_COUNT_2[[#This Row],[No. Empaques]]="",1,Plantilla_SCAN_EQ3_COUNT_2[[#This Row],[No. Empaques]]*1))</f>
        <v/>
      </c>
      <c r="G1918" s="7" t="str">
        <f>IF(Plantilla_SCAN_EQ3_COUNT_2[[#This Row],[ID MATERIAL]]="","","PZ")</f>
        <v/>
      </c>
      <c r="H1918" s="7" t="str">
        <f>IF(Plantilla_SCAN_EQ3_COUNT_2[[#This Row],[ID MATERIAL]]="","",$B$13)</f>
        <v/>
      </c>
      <c r="I1918" s="7" t="str">
        <f>IF(Plantilla_SCAN_EQ3_COUNT_2[[#This Row],[ID MATERIAL]]="","","Segundo Conteo")</f>
        <v/>
      </c>
    </row>
    <row r="1919" spans="1:9" s="7" customFormat="1" ht="15" x14ac:dyDescent="0.2">
      <c r="A1919" s="7" t="str">
        <f>IF(Plantilla_SCAN_EQ3_COUNT_2[[#This Row],[ID MATERIAL]]="","",SIGN(Plantilla_SCAN_EQ3_COUNT_2[[#This Row],[Cantidad]])+A1918)</f>
        <v/>
      </c>
      <c r="B1919" s="21" t="str">
        <f>IF(Plantilla_SCAN_EQ3_COUNT_2[[#This Row],[ID MATERIAL]]="","",B1918)</f>
        <v/>
      </c>
      <c r="C1919" s="21"/>
      <c r="D1919" s="21"/>
      <c r="E1919" s="7" t="str">
        <f>IF(Plantilla_SCAN_EQ3_COUNT_2[[#This Row],[ID MATERIAL]]="","",VLOOKUP(Plantilla_SCAN_EQ3_COUNT_2[[#This Row],[ID MATERIAL]],INVENTARIO!$A:$D,2,FALSE))</f>
        <v/>
      </c>
      <c r="F1919" s="7" t="str">
        <f>IF(Plantilla_SCAN_EQ3_COUNT_2[[#This Row],[ID MATERIAL]]="","",IF(Plantilla_SCAN_EQ3_COUNT_2[[#This Row],[No. Empaques]]="",1,Plantilla_SCAN_EQ3_COUNT_2[[#This Row],[No. Empaques]]*1))</f>
        <v/>
      </c>
      <c r="G1919" s="7" t="str">
        <f>IF(Plantilla_SCAN_EQ3_COUNT_2[[#This Row],[ID MATERIAL]]="","","PZ")</f>
        <v/>
      </c>
      <c r="H1919" s="7" t="str">
        <f>IF(Plantilla_SCAN_EQ3_COUNT_2[[#This Row],[ID MATERIAL]]="","",$B$13)</f>
        <v/>
      </c>
      <c r="I1919" s="7" t="str">
        <f>IF(Plantilla_SCAN_EQ3_COUNT_2[[#This Row],[ID MATERIAL]]="","","Segundo Conteo")</f>
        <v/>
      </c>
    </row>
    <row r="1920" spans="1:9" s="7" customFormat="1" ht="15" x14ac:dyDescent="0.2">
      <c r="A1920" s="7" t="str">
        <f>IF(Plantilla_SCAN_EQ3_COUNT_2[[#This Row],[ID MATERIAL]]="","",SIGN(Plantilla_SCAN_EQ3_COUNT_2[[#This Row],[Cantidad]])+A1919)</f>
        <v/>
      </c>
      <c r="B1920" s="21" t="str">
        <f>IF(Plantilla_SCAN_EQ3_COUNT_2[[#This Row],[ID MATERIAL]]="","",B1919)</f>
        <v/>
      </c>
      <c r="C1920" s="21"/>
      <c r="D1920" s="21"/>
      <c r="E1920" s="7" t="str">
        <f>IF(Plantilla_SCAN_EQ3_COUNT_2[[#This Row],[ID MATERIAL]]="","",VLOOKUP(Plantilla_SCAN_EQ3_COUNT_2[[#This Row],[ID MATERIAL]],INVENTARIO!$A:$D,2,FALSE))</f>
        <v/>
      </c>
      <c r="F1920" s="7" t="str">
        <f>IF(Plantilla_SCAN_EQ3_COUNT_2[[#This Row],[ID MATERIAL]]="","",IF(Plantilla_SCAN_EQ3_COUNT_2[[#This Row],[No. Empaques]]="",1,Plantilla_SCAN_EQ3_COUNT_2[[#This Row],[No. Empaques]]*1))</f>
        <v/>
      </c>
      <c r="G1920" s="7" t="str">
        <f>IF(Plantilla_SCAN_EQ3_COUNT_2[[#This Row],[ID MATERIAL]]="","","PZ")</f>
        <v/>
      </c>
      <c r="H1920" s="7" t="str">
        <f>IF(Plantilla_SCAN_EQ3_COUNT_2[[#This Row],[ID MATERIAL]]="","",$B$13)</f>
        <v/>
      </c>
      <c r="I1920" s="7" t="str">
        <f>IF(Plantilla_SCAN_EQ3_COUNT_2[[#This Row],[ID MATERIAL]]="","","Segundo Conteo")</f>
        <v/>
      </c>
    </row>
    <row r="1921" spans="1:9" s="7" customFormat="1" ht="15" x14ac:dyDescent="0.2">
      <c r="A1921" s="7" t="str">
        <f>IF(Plantilla_SCAN_EQ3_COUNT_2[[#This Row],[ID MATERIAL]]="","",SIGN(Plantilla_SCAN_EQ3_COUNT_2[[#This Row],[Cantidad]])+A1920)</f>
        <v/>
      </c>
      <c r="B1921" s="21" t="str">
        <f>IF(Plantilla_SCAN_EQ3_COUNT_2[[#This Row],[ID MATERIAL]]="","",B1920)</f>
        <v/>
      </c>
      <c r="C1921" s="21"/>
      <c r="D1921" s="21"/>
      <c r="E1921" s="7" t="str">
        <f>IF(Plantilla_SCAN_EQ3_COUNT_2[[#This Row],[ID MATERIAL]]="","",VLOOKUP(Plantilla_SCAN_EQ3_COUNT_2[[#This Row],[ID MATERIAL]],INVENTARIO!$A:$D,2,FALSE))</f>
        <v/>
      </c>
      <c r="F1921" s="7" t="str">
        <f>IF(Plantilla_SCAN_EQ3_COUNT_2[[#This Row],[ID MATERIAL]]="","",IF(Plantilla_SCAN_EQ3_COUNT_2[[#This Row],[No. Empaques]]="",1,Plantilla_SCAN_EQ3_COUNT_2[[#This Row],[No. Empaques]]*1))</f>
        <v/>
      </c>
      <c r="G1921" s="7" t="str">
        <f>IF(Plantilla_SCAN_EQ3_COUNT_2[[#This Row],[ID MATERIAL]]="","","PZ")</f>
        <v/>
      </c>
      <c r="H1921" s="7" t="str">
        <f>IF(Plantilla_SCAN_EQ3_COUNT_2[[#This Row],[ID MATERIAL]]="","",$B$13)</f>
        <v/>
      </c>
      <c r="I1921" s="7" t="str">
        <f>IF(Plantilla_SCAN_EQ3_COUNT_2[[#This Row],[ID MATERIAL]]="","","Segundo Conteo")</f>
        <v/>
      </c>
    </row>
    <row r="1922" spans="1:9" s="7" customFormat="1" ht="15" x14ac:dyDescent="0.2">
      <c r="A1922" s="7" t="str">
        <f>IF(Plantilla_SCAN_EQ3_COUNT_2[[#This Row],[ID MATERIAL]]="","",SIGN(Plantilla_SCAN_EQ3_COUNT_2[[#This Row],[Cantidad]])+A1921)</f>
        <v/>
      </c>
      <c r="B1922" s="21" t="str">
        <f>IF(Plantilla_SCAN_EQ3_COUNT_2[[#This Row],[ID MATERIAL]]="","",B1921)</f>
        <v/>
      </c>
      <c r="C1922" s="21"/>
      <c r="D1922" s="21"/>
      <c r="E1922" s="7" t="str">
        <f>IF(Plantilla_SCAN_EQ3_COUNT_2[[#This Row],[ID MATERIAL]]="","",VLOOKUP(Plantilla_SCAN_EQ3_COUNT_2[[#This Row],[ID MATERIAL]],INVENTARIO!$A:$D,2,FALSE))</f>
        <v/>
      </c>
      <c r="F1922" s="7" t="str">
        <f>IF(Plantilla_SCAN_EQ3_COUNT_2[[#This Row],[ID MATERIAL]]="","",IF(Plantilla_SCAN_EQ3_COUNT_2[[#This Row],[No. Empaques]]="",1,Plantilla_SCAN_EQ3_COUNT_2[[#This Row],[No. Empaques]]*1))</f>
        <v/>
      </c>
      <c r="G1922" s="7" t="str">
        <f>IF(Plantilla_SCAN_EQ3_COUNT_2[[#This Row],[ID MATERIAL]]="","","PZ")</f>
        <v/>
      </c>
      <c r="H1922" s="7" t="str">
        <f>IF(Plantilla_SCAN_EQ3_COUNT_2[[#This Row],[ID MATERIAL]]="","",$B$13)</f>
        <v/>
      </c>
      <c r="I1922" s="7" t="str">
        <f>IF(Plantilla_SCAN_EQ3_COUNT_2[[#This Row],[ID MATERIAL]]="","","Segundo Conteo")</f>
        <v/>
      </c>
    </row>
    <row r="1923" spans="1:9" s="7" customFormat="1" ht="15" x14ac:dyDescent="0.2">
      <c r="A1923" s="7" t="str">
        <f>IF(Plantilla_SCAN_EQ3_COUNT_2[[#This Row],[ID MATERIAL]]="","",SIGN(Plantilla_SCAN_EQ3_COUNT_2[[#This Row],[Cantidad]])+A1922)</f>
        <v/>
      </c>
      <c r="B1923" s="21" t="str">
        <f>IF(Plantilla_SCAN_EQ3_COUNT_2[[#This Row],[ID MATERIAL]]="","",B1922)</f>
        <v/>
      </c>
      <c r="C1923" s="21"/>
      <c r="D1923" s="21"/>
      <c r="E1923" s="7" t="str">
        <f>IF(Plantilla_SCAN_EQ3_COUNT_2[[#This Row],[ID MATERIAL]]="","",VLOOKUP(Plantilla_SCAN_EQ3_COUNT_2[[#This Row],[ID MATERIAL]],INVENTARIO!$A:$D,2,FALSE))</f>
        <v/>
      </c>
      <c r="F1923" s="7" t="str">
        <f>IF(Plantilla_SCAN_EQ3_COUNT_2[[#This Row],[ID MATERIAL]]="","",IF(Plantilla_SCAN_EQ3_COUNT_2[[#This Row],[No. Empaques]]="",1,Plantilla_SCAN_EQ3_COUNT_2[[#This Row],[No. Empaques]]*1))</f>
        <v/>
      </c>
      <c r="G1923" s="7" t="str">
        <f>IF(Plantilla_SCAN_EQ3_COUNT_2[[#This Row],[ID MATERIAL]]="","","PZ")</f>
        <v/>
      </c>
      <c r="H1923" s="7" t="str">
        <f>IF(Plantilla_SCAN_EQ3_COUNT_2[[#This Row],[ID MATERIAL]]="","",$B$13)</f>
        <v/>
      </c>
      <c r="I1923" s="7" t="str">
        <f>IF(Plantilla_SCAN_EQ3_COUNT_2[[#This Row],[ID MATERIAL]]="","","Segundo Conteo")</f>
        <v/>
      </c>
    </row>
    <row r="1924" spans="1:9" s="7" customFormat="1" ht="15" x14ac:dyDescent="0.2">
      <c r="A1924" s="7" t="str">
        <f>IF(Plantilla_SCAN_EQ3_COUNT_2[[#This Row],[ID MATERIAL]]="","",SIGN(Plantilla_SCAN_EQ3_COUNT_2[[#This Row],[Cantidad]])+A1923)</f>
        <v/>
      </c>
      <c r="B1924" s="21" t="str">
        <f>IF(Plantilla_SCAN_EQ3_COUNT_2[[#This Row],[ID MATERIAL]]="","",B1923)</f>
        <v/>
      </c>
      <c r="C1924" s="21"/>
      <c r="D1924" s="21"/>
      <c r="E1924" s="7" t="str">
        <f>IF(Plantilla_SCAN_EQ3_COUNT_2[[#This Row],[ID MATERIAL]]="","",VLOOKUP(Plantilla_SCAN_EQ3_COUNT_2[[#This Row],[ID MATERIAL]],INVENTARIO!$A:$D,2,FALSE))</f>
        <v/>
      </c>
      <c r="F1924" s="7" t="str">
        <f>IF(Plantilla_SCAN_EQ3_COUNT_2[[#This Row],[ID MATERIAL]]="","",IF(Plantilla_SCAN_EQ3_COUNT_2[[#This Row],[No. Empaques]]="",1,Plantilla_SCAN_EQ3_COUNT_2[[#This Row],[No. Empaques]]*1))</f>
        <v/>
      </c>
      <c r="G1924" s="7" t="str">
        <f>IF(Plantilla_SCAN_EQ3_COUNT_2[[#This Row],[ID MATERIAL]]="","","PZ")</f>
        <v/>
      </c>
      <c r="H1924" s="7" t="str">
        <f>IF(Plantilla_SCAN_EQ3_COUNT_2[[#This Row],[ID MATERIAL]]="","",$B$13)</f>
        <v/>
      </c>
      <c r="I1924" s="7" t="str">
        <f>IF(Plantilla_SCAN_EQ3_COUNT_2[[#This Row],[ID MATERIAL]]="","","Segundo Conteo")</f>
        <v/>
      </c>
    </row>
    <row r="1925" spans="1:9" s="7" customFormat="1" ht="15" x14ac:dyDescent="0.2">
      <c r="A1925" s="7" t="str">
        <f>IF(Plantilla_SCAN_EQ3_COUNT_2[[#This Row],[ID MATERIAL]]="","",SIGN(Plantilla_SCAN_EQ3_COUNT_2[[#This Row],[Cantidad]])+A1924)</f>
        <v/>
      </c>
      <c r="B1925" s="21" t="str">
        <f>IF(Plantilla_SCAN_EQ3_COUNT_2[[#This Row],[ID MATERIAL]]="","",B1924)</f>
        <v/>
      </c>
      <c r="C1925" s="21"/>
      <c r="D1925" s="21"/>
      <c r="E1925" s="7" t="str">
        <f>IF(Plantilla_SCAN_EQ3_COUNT_2[[#This Row],[ID MATERIAL]]="","",VLOOKUP(Plantilla_SCAN_EQ3_COUNT_2[[#This Row],[ID MATERIAL]],INVENTARIO!$A:$D,2,FALSE))</f>
        <v/>
      </c>
      <c r="F1925" s="7" t="str">
        <f>IF(Plantilla_SCAN_EQ3_COUNT_2[[#This Row],[ID MATERIAL]]="","",IF(Plantilla_SCAN_EQ3_COUNT_2[[#This Row],[No. Empaques]]="",1,Plantilla_SCAN_EQ3_COUNT_2[[#This Row],[No. Empaques]]*1))</f>
        <v/>
      </c>
      <c r="G1925" s="7" t="str">
        <f>IF(Plantilla_SCAN_EQ3_COUNT_2[[#This Row],[ID MATERIAL]]="","","PZ")</f>
        <v/>
      </c>
      <c r="H1925" s="7" t="str">
        <f>IF(Plantilla_SCAN_EQ3_COUNT_2[[#This Row],[ID MATERIAL]]="","",$B$13)</f>
        <v/>
      </c>
      <c r="I1925" s="7" t="str">
        <f>IF(Plantilla_SCAN_EQ3_COUNT_2[[#This Row],[ID MATERIAL]]="","","Segundo Conteo")</f>
        <v/>
      </c>
    </row>
    <row r="1926" spans="1:9" s="7" customFormat="1" ht="15" x14ac:dyDescent="0.2">
      <c r="A1926" s="7" t="str">
        <f>IF(Plantilla_SCAN_EQ3_COUNT_2[[#This Row],[ID MATERIAL]]="","",SIGN(Plantilla_SCAN_EQ3_COUNT_2[[#This Row],[Cantidad]])+A1925)</f>
        <v/>
      </c>
      <c r="B1926" s="21" t="str">
        <f>IF(Plantilla_SCAN_EQ3_COUNT_2[[#This Row],[ID MATERIAL]]="","",B1925)</f>
        <v/>
      </c>
      <c r="C1926" s="21"/>
      <c r="D1926" s="21"/>
      <c r="E1926" s="7" t="str">
        <f>IF(Plantilla_SCAN_EQ3_COUNT_2[[#This Row],[ID MATERIAL]]="","",VLOOKUP(Plantilla_SCAN_EQ3_COUNT_2[[#This Row],[ID MATERIAL]],INVENTARIO!$A:$D,2,FALSE))</f>
        <v/>
      </c>
      <c r="F1926" s="7" t="str">
        <f>IF(Plantilla_SCAN_EQ3_COUNT_2[[#This Row],[ID MATERIAL]]="","",IF(Plantilla_SCAN_EQ3_COUNT_2[[#This Row],[No. Empaques]]="",1,Plantilla_SCAN_EQ3_COUNT_2[[#This Row],[No. Empaques]]*1))</f>
        <v/>
      </c>
      <c r="G1926" s="7" t="str">
        <f>IF(Plantilla_SCAN_EQ3_COUNT_2[[#This Row],[ID MATERIAL]]="","","PZ")</f>
        <v/>
      </c>
      <c r="H1926" s="7" t="str">
        <f>IF(Plantilla_SCAN_EQ3_COUNT_2[[#This Row],[ID MATERIAL]]="","",$B$13)</f>
        <v/>
      </c>
      <c r="I1926" s="7" t="str">
        <f>IF(Plantilla_SCAN_EQ3_COUNT_2[[#This Row],[ID MATERIAL]]="","","Segundo Conteo")</f>
        <v/>
      </c>
    </row>
    <row r="1927" spans="1:9" s="7" customFormat="1" ht="15" x14ac:dyDescent="0.2">
      <c r="A1927" s="7" t="str">
        <f>IF(Plantilla_SCAN_EQ3_COUNT_2[[#This Row],[ID MATERIAL]]="","",SIGN(Plantilla_SCAN_EQ3_COUNT_2[[#This Row],[Cantidad]])+A1926)</f>
        <v/>
      </c>
      <c r="B1927" s="21" t="str">
        <f>IF(Plantilla_SCAN_EQ3_COUNT_2[[#This Row],[ID MATERIAL]]="","",B1926)</f>
        <v/>
      </c>
      <c r="C1927" s="21"/>
      <c r="D1927" s="21"/>
      <c r="E1927" s="7" t="str">
        <f>IF(Plantilla_SCAN_EQ3_COUNT_2[[#This Row],[ID MATERIAL]]="","",VLOOKUP(Plantilla_SCAN_EQ3_COUNT_2[[#This Row],[ID MATERIAL]],INVENTARIO!$A:$D,2,FALSE))</f>
        <v/>
      </c>
      <c r="F1927" s="7" t="str">
        <f>IF(Plantilla_SCAN_EQ3_COUNT_2[[#This Row],[ID MATERIAL]]="","",IF(Plantilla_SCAN_EQ3_COUNT_2[[#This Row],[No. Empaques]]="",1,Plantilla_SCAN_EQ3_COUNT_2[[#This Row],[No. Empaques]]*1))</f>
        <v/>
      </c>
      <c r="G1927" s="7" t="str">
        <f>IF(Plantilla_SCAN_EQ3_COUNT_2[[#This Row],[ID MATERIAL]]="","","PZ")</f>
        <v/>
      </c>
      <c r="H1927" s="7" t="str">
        <f>IF(Plantilla_SCAN_EQ3_COUNT_2[[#This Row],[ID MATERIAL]]="","",$B$13)</f>
        <v/>
      </c>
      <c r="I1927" s="7" t="str">
        <f>IF(Plantilla_SCAN_EQ3_COUNT_2[[#This Row],[ID MATERIAL]]="","","Segundo Conteo")</f>
        <v/>
      </c>
    </row>
    <row r="1928" spans="1:9" s="7" customFormat="1" ht="15" x14ac:dyDescent="0.2">
      <c r="A1928" s="7" t="str">
        <f>IF(Plantilla_SCAN_EQ3_COUNT_2[[#This Row],[ID MATERIAL]]="","",SIGN(Plantilla_SCAN_EQ3_COUNT_2[[#This Row],[Cantidad]])+A1927)</f>
        <v/>
      </c>
      <c r="B1928" s="21" t="str">
        <f>IF(Plantilla_SCAN_EQ3_COUNT_2[[#This Row],[ID MATERIAL]]="","",B1927)</f>
        <v/>
      </c>
      <c r="C1928" s="21"/>
      <c r="D1928" s="21"/>
      <c r="E1928" s="7" t="str">
        <f>IF(Plantilla_SCAN_EQ3_COUNT_2[[#This Row],[ID MATERIAL]]="","",VLOOKUP(Plantilla_SCAN_EQ3_COUNT_2[[#This Row],[ID MATERIAL]],INVENTARIO!$A:$D,2,FALSE))</f>
        <v/>
      </c>
      <c r="F1928" s="7" t="str">
        <f>IF(Plantilla_SCAN_EQ3_COUNT_2[[#This Row],[ID MATERIAL]]="","",IF(Plantilla_SCAN_EQ3_COUNT_2[[#This Row],[No. Empaques]]="",1,Plantilla_SCAN_EQ3_COUNT_2[[#This Row],[No. Empaques]]*1))</f>
        <v/>
      </c>
      <c r="G1928" s="7" t="str">
        <f>IF(Plantilla_SCAN_EQ3_COUNT_2[[#This Row],[ID MATERIAL]]="","","PZ")</f>
        <v/>
      </c>
      <c r="H1928" s="7" t="str">
        <f>IF(Plantilla_SCAN_EQ3_COUNT_2[[#This Row],[ID MATERIAL]]="","",$B$13)</f>
        <v/>
      </c>
      <c r="I1928" s="7" t="str">
        <f>IF(Plantilla_SCAN_EQ3_COUNT_2[[#This Row],[ID MATERIAL]]="","","Segundo Conteo")</f>
        <v/>
      </c>
    </row>
    <row r="1929" spans="1:9" s="7" customFormat="1" ht="15" x14ac:dyDescent="0.2">
      <c r="A1929" s="7" t="str">
        <f>IF(Plantilla_SCAN_EQ3_COUNT_2[[#This Row],[ID MATERIAL]]="","",SIGN(Plantilla_SCAN_EQ3_COUNT_2[[#This Row],[Cantidad]])+A1928)</f>
        <v/>
      </c>
      <c r="B1929" s="21" t="str">
        <f>IF(Plantilla_SCAN_EQ3_COUNT_2[[#This Row],[ID MATERIAL]]="","",B1928)</f>
        <v/>
      </c>
      <c r="C1929" s="21"/>
      <c r="D1929" s="21"/>
      <c r="E1929" s="7" t="str">
        <f>IF(Plantilla_SCAN_EQ3_COUNT_2[[#This Row],[ID MATERIAL]]="","",VLOOKUP(Plantilla_SCAN_EQ3_COUNT_2[[#This Row],[ID MATERIAL]],INVENTARIO!$A:$D,2,FALSE))</f>
        <v/>
      </c>
      <c r="F1929" s="7" t="str">
        <f>IF(Plantilla_SCAN_EQ3_COUNT_2[[#This Row],[ID MATERIAL]]="","",IF(Plantilla_SCAN_EQ3_COUNT_2[[#This Row],[No. Empaques]]="",1,Plantilla_SCAN_EQ3_COUNT_2[[#This Row],[No. Empaques]]*1))</f>
        <v/>
      </c>
      <c r="G1929" s="7" t="str">
        <f>IF(Plantilla_SCAN_EQ3_COUNT_2[[#This Row],[ID MATERIAL]]="","","PZ")</f>
        <v/>
      </c>
      <c r="H1929" s="7" t="str">
        <f>IF(Plantilla_SCAN_EQ3_COUNT_2[[#This Row],[ID MATERIAL]]="","",$B$13)</f>
        <v/>
      </c>
      <c r="I1929" s="7" t="str">
        <f>IF(Plantilla_SCAN_EQ3_COUNT_2[[#This Row],[ID MATERIAL]]="","","Segundo Conteo")</f>
        <v/>
      </c>
    </row>
    <row r="1930" spans="1:9" s="7" customFormat="1" ht="15" x14ac:dyDescent="0.2">
      <c r="A1930" s="7" t="str">
        <f>IF(Plantilla_SCAN_EQ3_COUNT_2[[#This Row],[ID MATERIAL]]="","",SIGN(Plantilla_SCAN_EQ3_COUNT_2[[#This Row],[Cantidad]])+A1929)</f>
        <v/>
      </c>
      <c r="B1930" s="21" t="str">
        <f>IF(Plantilla_SCAN_EQ3_COUNT_2[[#This Row],[ID MATERIAL]]="","",B1929)</f>
        <v/>
      </c>
      <c r="C1930" s="21"/>
      <c r="D1930" s="21"/>
      <c r="E1930" s="7" t="str">
        <f>IF(Plantilla_SCAN_EQ3_COUNT_2[[#This Row],[ID MATERIAL]]="","",VLOOKUP(Plantilla_SCAN_EQ3_COUNT_2[[#This Row],[ID MATERIAL]],INVENTARIO!$A:$D,2,FALSE))</f>
        <v/>
      </c>
      <c r="F1930" s="7" t="str">
        <f>IF(Plantilla_SCAN_EQ3_COUNT_2[[#This Row],[ID MATERIAL]]="","",IF(Plantilla_SCAN_EQ3_COUNT_2[[#This Row],[No. Empaques]]="",1,Plantilla_SCAN_EQ3_COUNT_2[[#This Row],[No. Empaques]]*1))</f>
        <v/>
      </c>
      <c r="G1930" s="7" t="str">
        <f>IF(Plantilla_SCAN_EQ3_COUNT_2[[#This Row],[ID MATERIAL]]="","","PZ")</f>
        <v/>
      </c>
      <c r="H1930" s="7" t="str">
        <f>IF(Plantilla_SCAN_EQ3_COUNT_2[[#This Row],[ID MATERIAL]]="","",$B$13)</f>
        <v/>
      </c>
      <c r="I1930" s="7" t="str">
        <f>IF(Plantilla_SCAN_EQ3_COUNT_2[[#This Row],[ID MATERIAL]]="","","Segundo Conteo")</f>
        <v/>
      </c>
    </row>
    <row r="1931" spans="1:9" s="7" customFormat="1" ht="15" x14ac:dyDescent="0.2">
      <c r="A1931" s="7" t="str">
        <f>IF(Plantilla_SCAN_EQ3_COUNT_2[[#This Row],[ID MATERIAL]]="","",SIGN(Plantilla_SCAN_EQ3_COUNT_2[[#This Row],[Cantidad]])+A1930)</f>
        <v/>
      </c>
      <c r="B1931" s="21" t="str">
        <f>IF(Plantilla_SCAN_EQ3_COUNT_2[[#This Row],[ID MATERIAL]]="","",B1930)</f>
        <v/>
      </c>
      <c r="C1931" s="21"/>
      <c r="D1931" s="21"/>
      <c r="E1931" s="7" t="str">
        <f>IF(Plantilla_SCAN_EQ3_COUNT_2[[#This Row],[ID MATERIAL]]="","",VLOOKUP(Plantilla_SCAN_EQ3_COUNT_2[[#This Row],[ID MATERIAL]],INVENTARIO!$A:$D,2,FALSE))</f>
        <v/>
      </c>
      <c r="F1931" s="7" t="str">
        <f>IF(Plantilla_SCAN_EQ3_COUNT_2[[#This Row],[ID MATERIAL]]="","",IF(Plantilla_SCAN_EQ3_COUNT_2[[#This Row],[No. Empaques]]="",1,Plantilla_SCAN_EQ3_COUNT_2[[#This Row],[No. Empaques]]*1))</f>
        <v/>
      </c>
      <c r="G1931" s="7" t="str">
        <f>IF(Plantilla_SCAN_EQ3_COUNT_2[[#This Row],[ID MATERIAL]]="","","PZ")</f>
        <v/>
      </c>
      <c r="H1931" s="7" t="str">
        <f>IF(Plantilla_SCAN_EQ3_COUNT_2[[#This Row],[ID MATERIAL]]="","",$B$13)</f>
        <v/>
      </c>
      <c r="I1931" s="7" t="str">
        <f>IF(Plantilla_SCAN_EQ3_COUNT_2[[#This Row],[ID MATERIAL]]="","","Segundo Conteo")</f>
        <v/>
      </c>
    </row>
    <row r="1932" spans="1:9" s="7" customFormat="1" ht="15" x14ac:dyDescent="0.2">
      <c r="A1932" s="7" t="str">
        <f>IF(Plantilla_SCAN_EQ3_COUNT_2[[#This Row],[ID MATERIAL]]="","",SIGN(Plantilla_SCAN_EQ3_COUNT_2[[#This Row],[Cantidad]])+A1931)</f>
        <v/>
      </c>
      <c r="B1932" s="21" t="str">
        <f>IF(Plantilla_SCAN_EQ3_COUNT_2[[#This Row],[ID MATERIAL]]="","",B1931)</f>
        <v/>
      </c>
      <c r="C1932" s="21"/>
      <c r="D1932" s="21"/>
      <c r="E1932" s="7" t="str">
        <f>IF(Plantilla_SCAN_EQ3_COUNT_2[[#This Row],[ID MATERIAL]]="","",VLOOKUP(Plantilla_SCAN_EQ3_COUNT_2[[#This Row],[ID MATERIAL]],INVENTARIO!$A:$D,2,FALSE))</f>
        <v/>
      </c>
      <c r="F1932" s="7" t="str">
        <f>IF(Plantilla_SCAN_EQ3_COUNT_2[[#This Row],[ID MATERIAL]]="","",IF(Plantilla_SCAN_EQ3_COUNT_2[[#This Row],[No. Empaques]]="",1,Plantilla_SCAN_EQ3_COUNT_2[[#This Row],[No. Empaques]]*1))</f>
        <v/>
      </c>
      <c r="G1932" s="7" t="str">
        <f>IF(Plantilla_SCAN_EQ3_COUNT_2[[#This Row],[ID MATERIAL]]="","","PZ")</f>
        <v/>
      </c>
      <c r="H1932" s="7" t="str">
        <f>IF(Plantilla_SCAN_EQ3_COUNT_2[[#This Row],[ID MATERIAL]]="","",$B$13)</f>
        <v/>
      </c>
      <c r="I1932" s="7" t="str">
        <f>IF(Plantilla_SCAN_EQ3_COUNT_2[[#This Row],[ID MATERIAL]]="","","Segundo Conteo")</f>
        <v/>
      </c>
    </row>
    <row r="1933" spans="1:9" s="7" customFormat="1" ht="15" x14ac:dyDescent="0.2">
      <c r="A1933" s="7" t="str">
        <f>IF(Plantilla_SCAN_EQ3_COUNT_2[[#This Row],[ID MATERIAL]]="","",SIGN(Plantilla_SCAN_EQ3_COUNT_2[[#This Row],[Cantidad]])+A1932)</f>
        <v/>
      </c>
      <c r="B1933" s="21" t="str">
        <f>IF(Plantilla_SCAN_EQ3_COUNT_2[[#This Row],[ID MATERIAL]]="","",B1932)</f>
        <v/>
      </c>
      <c r="C1933" s="21"/>
      <c r="D1933" s="21"/>
      <c r="E1933" s="7" t="str">
        <f>IF(Plantilla_SCAN_EQ3_COUNT_2[[#This Row],[ID MATERIAL]]="","",VLOOKUP(Plantilla_SCAN_EQ3_COUNT_2[[#This Row],[ID MATERIAL]],INVENTARIO!$A:$D,2,FALSE))</f>
        <v/>
      </c>
      <c r="F1933" s="7" t="str">
        <f>IF(Plantilla_SCAN_EQ3_COUNT_2[[#This Row],[ID MATERIAL]]="","",IF(Plantilla_SCAN_EQ3_COUNT_2[[#This Row],[No. Empaques]]="",1,Plantilla_SCAN_EQ3_COUNT_2[[#This Row],[No. Empaques]]*1))</f>
        <v/>
      </c>
      <c r="G1933" s="7" t="str">
        <f>IF(Plantilla_SCAN_EQ3_COUNT_2[[#This Row],[ID MATERIAL]]="","","PZ")</f>
        <v/>
      </c>
      <c r="H1933" s="7" t="str">
        <f>IF(Plantilla_SCAN_EQ3_COUNT_2[[#This Row],[ID MATERIAL]]="","",$B$13)</f>
        <v/>
      </c>
      <c r="I1933" s="7" t="str">
        <f>IF(Plantilla_SCAN_EQ3_COUNT_2[[#This Row],[ID MATERIAL]]="","","Segundo Conteo")</f>
        <v/>
      </c>
    </row>
    <row r="1934" spans="1:9" s="7" customFormat="1" ht="15" x14ac:dyDescent="0.2">
      <c r="A1934" s="7" t="str">
        <f>IF(Plantilla_SCAN_EQ3_COUNT_2[[#This Row],[ID MATERIAL]]="","",SIGN(Plantilla_SCAN_EQ3_COUNT_2[[#This Row],[Cantidad]])+A1933)</f>
        <v/>
      </c>
      <c r="B1934" s="21" t="str">
        <f>IF(Plantilla_SCAN_EQ3_COUNT_2[[#This Row],[ID MATERIAL]]="","",B1933)</f>
        <v/>
      </c>
      <c r="C1934" s="21"/>
      <c r="D1934" s="21"/>
      <c r="E1934" s="7" t="str">
        <f>IF(Plantilla_SCAN_EQ3_COUNT_2[[#This Row],[ID MATERIAL]]="","",VLOOKUP(Plantilla_SCAN_EQ3_COUNT_2[[#This Row],[ID MATERIAL]],INVENTARIO!$A:$D,2,FALSE))</f>
        <v/>
      </c>
      <c r="F1934" s="7" t="str">
        <f>IF(Plantilla_SCAN_EQ3_COUNT_2[[#This Row],[ID MATERIAL]]="","",IF(Plantilla_SCAN_EQ3_COUNT_2[[#This Row],[No. Empaques]]="",1,Plantilla_SCAN_EQ3_COUNT_2[[#This Row],[No. Empaques]]*1))</f>
        <v/>
      </c>
      <c r="G1934" s="7" t="str">
        <f>IF(Plantilla_SCAN_EQ3_COUNT_2[[#This Row],[ID MATERIAL]]="","","PZ")</f>
        <v/>
      </c>
      <c r="H1934" s="7" t="str">
        <f>IF(Plantilla_SCAN_EQ3_COUNT_2[[#This Row],[ID MATERIAL]]="","",$B$13)</f>
        <v/>
      </c>
      <c r="I1934" s="7" t="str">
        <f>IF(Plantilla_SCAN_EQ3_COUNT_2[[#This Row],[ID MATERIAL]]="","","Segundo Conteo")</f>
        <v/>
      </c>
    </row>
    <row r="1935" spans="1:9" s="7" customFormat="1" ht="15" x14ac:dyDescent="0.2">
      <c r="A1935" s="7" t="str">
        <f>IF(Plantilla_SCAN_EQ3_COUNT_2[[#This Row],[ID MATERIAL]]="","",SIGN(Plantilla_SCAN_EQ3_COUNT_2[[#This Row],[Cantidad]])+A1934)</f>
        <v/>
      </c>
      <c r="B1935" s="21" t="str">
        <f>IF(Plantilla_SCAN_EQ3_COUNT_2[[#This Row],[ID MATERIAL]]="","",B1934)</f>
        <v/>
      </c>
      <c r="C1935" s="21"/>
      <c r="D1935" s="21"/>
      <c r="E1935" s="7" t="str">
        <f>IF(Plantilla_SCAN_EQ3_COUNT_2[[#This Row],[ID MATERIAL]]="","",VLOOKUP(Plantilla_SCAN_EQ3_COUNT_2[[#This Row],[ID MATERIAL]],INVENTARIO!$A:$D,2,FALSE))</f>
        <v/>
      </c>
      <c r="F1935" s="7" t="str">
        <f>IF(Plantilla_SCAN_EQ3_COUNT_2[[#This Row],[ID MATERIAL]]="","",IF(Plantilla_SCAN_EQ3_COUNT_2[[#This Row],[No. Empaques]]="",1,Plantilla_SCAN_EQ3_COUNT_2[[#This Row],[No. Empaques]]*1))</f>
        <v/>
      </c>
      <c r="G1935" s="7" t="str">
        <f>IF(Plantilla_SCAN_EQ3_COUNT_2[[#This Row],[ID MATERIAL]]="","","PZ")</f>
        <v/>
      </c>
      <c r="H1935" s="7" t="str">
        <f>IF(Plantilla_SCAN_EQ3_COUNT_2[[#This Row],[ID MATERIAL]]="","",$B$13)</f>
        <v/>
      </c>
      <c r="I1935" s="7" t="str">
        <f>IF(Plantilla_SCAN_EQ3_COUNT_2[[#This Row],[ID MATERIAL]]="","","Segundo Conteo")</f>
        <v/>
      </c>
    </row>
    <row r="1936" spans="1:9" s="7" customFormat="1" ht="15" x14ac:dyDescent="0.2">
      <c r="A1936" s="7" t="str">
        <f>IF(Plantilla_SCAN_EQ3_COUNT_2[[#This Row],[ID MATERIAL]]="","",SIGN(Plantilla_SCAN_EQ3_COUNT_2[[#This Row],[Cantidad]])+A1935)</f>
        <v/>
      </c>
      <c r="B1936" s="21" t="str">
        <f>IF(Plantilla_SCAN_EQ3_COUNT_2[[#This Row],[ID MATERIAL]]="","",B1935)</f>
        <v/>
      </c>
      <c r="C1936" s="21"/>
      <c r="D1936" s="21"/>
      <c r="E1936" s="7" t="str">
        <f>IF(Plantilla_SCAN_EQ3_COUNT_2[[#This Row],[ID MATERIAL]]="","",VLOOKUP(Plantilla_SCAN_EQ3_COUNT_2[[#This Row],[ID MATERIAL]],INVENTARIO!$A:$D,2,FALSE))</f>
        <v/>
      </c>
      <c r="F1936" s="7" t="str">
        <f>IF(Plantilla_SCAN_EQ3_COUNT_2[[#This Row],[ID MATERIAL]]="","",IF(Plantilla_SCAN_EQ3_COUNT_2[[#This Row],[No. Empaques]]="",1,Plantilla_SCAN_EQ3_COUNT_2[[#This Row],[No. Empaques]]*1))</f>
        <v/>
      </c>
      <c r="G1936" s="7" t="str">
        <f>IF(Plantilla_SCAN_EQ3_COUNT_2[[#This Row],[ID MATERIAL]]="","","PZ")</f>
        <v/>
      </c>
      <c r="H1936" s="7" t="str">
        <f>IF(Plantilla_SCAN_EQ3_COUNT_2[[#This Row],[ID MATERIAL]]="","",$B$13)</f>
        <v/>
      </c>
      <c r="I1936" s="7" t="str">
        <f>IF(Plantilla_SCAN_EQ3_COUNT_2[[#This Row],[ID MATERIAL]]="","","Segundo Conteo")</f>
        <v/>
      </c>
    </row>
    <row r="1937" spans="1:9" s="7" customFormat="1" ht="15" x14ac:dyDescent="0.2">
      <c r="A1937" s="7" t="str">
        <f>IF(Plantilla_SCAN_EQ3_COUNT_2[[#This Row],[ID MATERIAL]]="","",SIGN(Plantilla_SCAN_EQ3_COUNT_2[[#This Row],[Cantidad]])+A1936)</f>
        <v/>
      </c>
      <c r="B1937" s="21" t="str">
        <f>IF(Plantilla_SCAN_EQ3_COUNT_2[[#This Row],[ID MATERIAL]]="","",B1936)</f>
        <v/>
      </c>
      <c r="C1937" s="21"/>
      <c r="D1937" s="21"/>
      <c r="E1937" s="7" t="str">
        <f>IF(Plantilla_SCAN_EQ3_COUNT_2[[#This Row],[ID MATERIAL]]="","",VLOOKUP(Plantilla_SCAN_EQ3_COUNT_2[[#This Row],[ID MATERIAL]],INVENTARIO!$A:$D,2,FALSE))</f>
        <v/>
      </c>
      <c r="F1937" s="7" t="str">
        <f>IF(Plantilla_SCAN_EQ3_COUNT_2[[#This Row],[ID MATERIAL]]="","",IF(Plantilla_SCAN_EQ3_COUNT_2[[#This Row],[No. Empaques]]="",1,Plantilla_SCAN_EQ3_COUNT_2[[#This Row],[No. Empaques]]*1))</f>
        <v/>
      </c>
      <c r="G1937" s="7" t="str">
        <f>IF(Plantilla_SCAN_EQ3_COUNT_2[[#This Row],[ID MATERIAL]]="","","PZ")</f>
        <v/>
      </c>
      <c r="H1937" s="7" t="str">
        <f>IF(Plantilla_SCAN_EQ3_COUNT_2[[#This Row],[ID MATERIAL]]="","",$B$13)</f>
        <v/>
      </c>
      <c r="I1937" s="7" t="str">
        <f>IF(Plantilla_SCAN_EQ3_COUNT_2[[#This Row],[ID MATERIAL]]="","","Segundo Conteo")</f>
        <v/>
      </c>
    </row>
    <row r="1938" spans="1:9" s="7" customFormat="1" ht="15" x14ac:dyDescent="0.2">
      <c r="A1938" s="7" t="str">
        <f>IF(Plantilla_SCAN_EQ3_COUNT_2[[#This Row],[ID MATERIAL]]="","",SIGN(Plantilla_SCAN_EQ3_COUNT_2[[#This Row],[Cantidad]])+A1937)</f>
        <v/>
      </c>
      <c r="B1938" s="21" t="str">
        <f>IF(Plantilla_SCAN_EQ3_COUNT_2[[#This Row],[ID MATERIAL]]="","",B1937)</f>
        <v/>
      </c>
      <c r="C1938" s="21"/>
      <c r="D1938" s="21"/>
      <c r="E1938" s="7" t="str">
        <f>IF(Plantilla_SCAN_EQ3_COUNT_2[[#This Row],[ID MATERIAL]]="","",VLOOKUP(Plantilla_SCAN_EQ3_COUNT_2[[#This Row],[ID MATERIAL]],INVENTARIO!$A:$D,2,FALSE))</f>
        <v/>
      </c>
      <c r="F1938" s="7" t="str">
        <f>IF(Plantilla_SCAN_EQ3_COUNT_2[[#This Row],[ID MATERIAL]]="","",IF(Plantilla_SCAN_EQ3_COUNT_2[[#This Row],[No. Empaques]]="",1,Plantilla_SCAN_EQ3_COUNT_2[[#This Row],[No. Empaques]]*1))</f>
        <v/>
      </c>
      <c r="G1938" s="7" t="str">
        <f>IF(Plantilla_SCAN_EQ3_COUNT_2[[#This Row],[ID MATERIAL]]="","","PZ")</f>
        <v/>
      </c>
      <c r="H1938" s="7" t="str">
        <f>IF(Plantilla_SCAN_EQ3_COUNT_2[[#This Row],[ID MATERIAL]]="","",$B$13)</f>
        <v/>
      </c>
      <c r="I1938" s="7" t="str">
        <f>IF(Plantilla_SCAN_EQ3_COUNT_2[[#This Row],[ID MATERIAL]]="","","Segundo Conteo")</f>
        <v/>
      </c>
    </row>
    <row r="1939" spans="1:9" s="7" customFormat="1" ht="15" x14ac:dyDescent="0.2">
      <c r="A1939" s="7" t="str">
        <f>IF(Plantilla_SCAN_EQ3_COUNT_2[[#This Row],[ID MATERIAL]]="","",SIGN(Plantilla_SCAN_EQ3_COUNT_2[[#This Row],[Cantidad]])+A1938)</f>
        <v/>
      </c>
      <c r="B1939" s="21" t="str">
        <f>IF(Plantilla_SCAN_EQ3_COUNT_2[[#This Row],[ID MATERIAL]]="","",B1938)</f>
        <v/>
      </c>
      <c r="C1939" s="21"/>
      <c r="D1939" s="21"/>
      <c r="E1939" s="7" t="str">
        <f>IF(Plantilla_SCAN_EQ3_COUNT_2[[#This Row],[ID MATERIAL]]="","",VLOOKUP(Plantilla_SCAN_EQ3_COUNT_2[[#This Row],[ID MATERIAL]],INVENTARIO!$A:$D,2,FALSE))</f>
        <v/>
      </c>
      <c r="F1939" s="7" t="str">
        <f>IF(Plantilla_SCAN_EQ3_COUNT_2[[#This Row],[ID MATERIAL]]="","",IF(Plantilla_SCAN_EQ3_COUNT_2[[#This Row],[No. Empaques]]="",1,Plantilla_SCAN_EQ3_COUNT_2[[#This Row],[No. Empaques]]*1))</f>
        <v/>
      </c>
      <c r="G1939" s="7" t="str">
        <f>IF(Plantilla_SCAN_EQ3_COUNT_2[[#This Row],[ID MATERIAL]]="","","PZ")</f>
        <v/>
      </c>
      <c r="H1939" s="7" t="str">
        <f>IF(Plantilla_SCAN_EQ3_COUNT_2[[#This Row],[ID MATERIAL]]="","",$B$13)</f>
        <v/>
      </c>
      <c r="I1939" s="7" t="str">
        <f>IF(Plantilla_SCAN_EQ3_COUNT_2[[#This Row],[ID MATERIAL]]="","","Segundo Conteo")</f>
        <v/>
      </c>
    </row>
    <row r="1940" spans="1:9" s="7" customFormat="1" ht="15" x14ac:dyDescent="0.2">
      <c r="A1940" s="7" t="str">
        <f>IF(Plantilla_SCAN_EQ3_COUNT_2[[#This Row],[ID MATERIAL]]="","",SIGN(Plantilla_SCAN_EQ3_COUNT_2[[#This Row],[Cantidad]])+A1939)</f>
        <v/>
      </c>
      <c r="B1940" s="21" t="str">
        <f>IF(Plantilla_SCAN_EQ3_COUNT_2[[#This Row],[ID MATERIAL]]="","",B1939)</f>
        <v/>
      </c>
      <c r="C1940" s="21"/>
      <c r="D1940" s="21"/>
      <c r="E1940" s="7" t="str">
        <f>IF(Plantilla_SCAN_EQ3_COUNT_2[[#This Row],[ID MATERIAL]]="","",VLOOKUP(Plantilla_SCAN_EQ3_COUNT_2[[#This Row],[ID MATERIAL]],INVENTARIO!$A:$D,2,FALSE))</f>
        <v/>
      </c>
      <c r="F1940" s="7" t="str">
        <f>IF(Plantilla_SCAN_EQ3_COUNT_2[[#This Row],[ID MATERIAL]]="","",IF(Plantilla_SCAN_EQ3_COUNT_2[[#This Row],[No. Empaques]]="",1,Plantilla_SCAN_EQ3_COUNT_2[[#This Row],[No. Empaques]]*1))</f>
        <v/>
      </c>
      <c r="G1940" s="7" t="str">
        <f>IF(Plantilla_SCAN_EQ3_COUNT_2[[#This Row],[ID MATERIAL]]="","","PZ")</f>
        <v/>
      </c>
      <c r="H1940" s="7" t="str">
        <f>IF(Plantilla_SCAN_EQ3_COUNT_2[[#This Row],[ID MATERIAL]]="","",$B$13)</f>
        <v/>
      </c>
      <c r="I1940" s="7" t="str">
        <f>IF(Plantilla_SCAN_EQ3_COUNT_2[[#This Row],[ID MATERIAL]]="","","Segundo Conteo")</f>
        <v/>
      </c>
    </row>
    <row r="1941" spans="1:9" s="7" customFormat="1" ht="15" x14ac:dyDescent="0.2">
      <c r="A1941" s="7" t="str">
        <f>IF(Plantilla_SCAN_EQ3_COUNT_2[[#This Row],[ID MATERIAL]]="","",SIGN(Plantilla_SCAN_EQ3_COUNT_2[[#This Row],[Cantidad]])+A1940)</f>
        <v/>
      </c>
      <c r="B1941" s="21" t="str">
        <f>IF(Plantilla_SCAN_EQ3_COUNT_2[[#This Row],[ID MATERIAL]]="","",B1940)</f>
        <v/>
      </c>
      <c r="C1941" s="21"/>
      <c r="D1941" s="21"/>
      <c r="E1941" s="7" t="str">
        <f>IF(Plantilla_SCAN_EQ3_COUNT_2[[#This Row],[ID MATERIAL]]="","",VLOOKUP(Plantilla_SCAN_EQ3_COUNT_2[[#This Row],[ID MATERIAL]],INVENTARIO!$A:$D,2,FALSE))</f>
        <v/>
      </c>
      <c r="F1941" s="7" t="str">
        <f>IF(Plantilla_SCAN_EQ3_COUNT_2[[#This Row],[ID MATERIAL]]="","",IF(Plantilla_SCAN_EQ3_COUNT_2[[#This Row],[No. Empaques]]="",1,Plantilla_SCAN_EQ3_COUNT_2[[#This Row],[No. Empaques]]*1))</f>
        <v/>
      </c>
      <c r="G1941" s="7" t="str">
        <f>IF(Plantilla_SCAN_EQ3_COUNT_2[[#This Row],[ID MATERIAL]]="","","PZ")</f>
        <v/>
      </c>
      <c r="H1941" s="7" t="str">
        <f>IF(Plantilla_SCAN_EQ3_COUNT_2[[#This Row],[ID MATERIAL]]="","",$B$13)</f>
        <v/>
      </c>
      <c r="I1941" s="7" t="str">
        <f>IF(Plantilla_SCAN_EQ3_COUNT_2[[#This Row],[ID MATERIAL]]="","","Segundo Conteo")</f>
        <v/>
      </c>
    </row>
    <row r="1942" spans="1:9" s="7" customFormat="1" ht="15" x14ac:dyDescent="0.2">
      <c r="A1942" s="7" t="str">
        <f>IF(Plantilla_SCAN_EQ3_COUNT_2[[#This Row],[ID MATERIAL]]="","",SIGN(Plantilla_SCAN_EQ3_COUNT_2[[#This Row],[Cantidad]])+A1941)</f>
        <v/>
      </c>
      <c r="B1942" s="21" t="str">
        <f>IF(Plantilla_SCAN_EQ3_COUNT_2[[#This Row],[ID MATERIAL]]="","",B1941)</f>
        <v/>
      </c>
      <c r="C1942" s="21"/>
      <c r="D1942" s="21"/>
      <c r="E1942" s="7" t="str">
        <f>IF(Plantilla_SCAN_EQ3_COUNT_2[[#This Row],[ID MATERIAL]]="","",VLOOKUP(Plantilla_SCAN_EQ3_COUNT_2[[#This Row],[ID MATERIAL]],INVENTARIO!$A:$D,2,FALSE))</f>
        <v/>
      </c>
      <c r="F1942" s="7" t="str">
        <f>IF(Plantilla_SCAN_EQ3_COUNT_2[[#This Row],[ID MATERIAL]]="","",IF(Plantilla_SCAN_EQ3_COUNT_2[[#This Row],[No. Empaques]]="",1,Plantilla_SCAN_EQ3_COUNT_2[[#This Row],[No. Empaques]]*1))</f>
        <v/>
      </c>
      <c r="G1942" s="7" t="str">
        <f>IF(Plantilla_SCAN_EQ3_COUNT_2[[#This Row],[ID MATERIAL]]="","","PZ")</f>
        <v/>
      </c>
      <c r="H1942" s="7" t="str">
        <f>IF(Plantilla_SCAN_EQ3_COUNT_2[[#This Row],[ID MATERIAL]]="","",$B$13)</f>
        <v/>
      </c>
      <c r="I1942" s="7" t="str">
        <f>IF(Plantilla_SCAN_EQ3_COUNT_2[[#This Row],[ID MATERIAL]]="","","Segundo Conteo")</f>
        <v/>
      </c>
    </row>
    <row r="1943" spans="1:9" s="7" customFormat="1" ht="15" x14ac:dyDescent="0.2">
      <c r="A1943" s="7" t="str">
        <f>IF(Plantilla_SCAN_EQ3_COUNT_2[[#This Row],[ID MATERIAL]]="","",SIGN(Plantilla_SCAN_EQ3_COUNT_2[[#This Row],[Cantidad]])+A1942)</f>
        <v/>
      </c>
      <c r="B1943" s="21" t="str">
        <f>IF(Plantilla_SCAN_EQ3_COUNT_2[[#This Row],[ID MATERIAL]]="","",B1942)</f>
        <v/>
      </c>
      <c r="C1943" s="21"/>
      <c r="D1943" s="21"/>
      <c r="E1943" s="7" t="str">
        <f>IF(Plantilla_SCAN_EQ3_COUNT_2[[#This Row],[ID MATERIAL]]="","",VLOOKUP(Plantilla_SCAN_EQ3_COUNT_2[[#This Row],[ID MATERIAL]],INVENTARIO!$A:$D,2,FALSE))</f>
        <v/>
      </c>
      <c r="F1943" s="7" t="str">
        <f>IF(Plantilla_SCAN_EQ3_COUNT_2[[#This Row],[ID MATERIAL]]="","",IF(Plantilla_SCAN_EQ3_COUNT_2[[#This Row],[No. Empaques]]="",1,Plantilla_SCAN_EQ3_COUNT_2[[#This Row],[No. Empaques]]*1))</f>
        <v/>
      </c>
      <c r="G1943" s="7" t="str">
        <f>IF(Plantilla_SCAN_EQ3_COUNT_2[[#This Row],[ID MATERIAL]]="","","PZ")</f>
        <v/>
      </c>
      <c r="H1943" s="7" t="str">
        <f>IF(Plantilla_SCAN_EQ3_COUNT_2[[#This Row],[ID MATERIAL]]="","",$B$13)</f>
        <v/>
      </c>
      <c r="I1943" s="7" t="str">
        <f>IF(Plantilla_SCAN_EQ3_COUNT_2[[#This Row],[ID MATERIAL]]="","","Segundo Conteo")</f>
        <v/>
      </c>
    </row>
    <row r="1944" spans="1:9" s="7" customFormat="1" ht="15" x14ac:dyDescent="0.2">
      <c r="A1944" s="7" t="str">
        <f>IF(Plantilla_SCAN_EQ3_COUNT_2[[#This Row],[ID MATERIAL]]="","",SIGN(Plantilla_SCAN_EQ3_COUNT_2[[#This Row],[Cantidad]])+A1943)</f>
        <v/>
      </c>
      <c r="B1944" s="21" t="str">
        <f>IF(Plantilla_SCAN_EQ3_COUNT_2[[#This Row],[ID MATERIAL]]="","",B1943)</f>
        <v/>
      </c>
      <c r="C1944" s="21"/>
      <c r="D1944" s="21"/>
      <c r="E1944" s="7" t="str">
        <f>IF(Plantilla_SCAN_EQ3_COUNT_2[[#This Row],[ID MATERIAL]]="","",VLOOKUP(Plantilla_SCAN_EQ3_COUNT_2[[#This Row],[ID MATERIAL]],INVENTARIO!$A:$D,2,FALSE))</f>
        <v/>
      </c>
      <c r="F1944" s="7" t="str">
        <f>IF(Plantilla_SCAN_EQ3_COUNT_2[[#This Row],[ID MATERIAL]]="","",IF(Plantilla_SCAN_EQ3_COUNT_2[[#This Row],[No. Empaques]]="",1,Plantilla_SCAN_EQ3_COUNT_2[[#This Row],[No. Empaques]]*1))</f>
        <v/>
      </c>
      <c r="G1944" s="7" t="str">
        <f>IF(Plantilla_SCAN_EQ3_COUNT_2[[#This Row],[ID MATERIAL]]="","","PZ")</f>
        <v/>
      </c>
      <c r="H1944" s="7" t="str">
        <f>IF(Plantilla_SCAN_EQ3_COUNT_2[[#This Row],[ID MATERIAL]]="","",$B$13)</f>
        <v/>
      </c>
      <c r="I1944" s="7" t="str">
        <f>IF(Plantilla_SCAN_EQ3_COUNT_2[[#This Row],[ID MATERIAL]]="","","Segundo Conteo")</f>
        <v/>
      </c>
    </row>
    <row r="1945" spans="1:9" s="7" customFormat="1" ht="15" x14ac:dyDescent="0.2">
      <c r="A1945" s="7" t="str">
        <f>IF(Plantilla_SCAN_EQ3_COUNT_2[[#This Row],[ID MATERIAL]]="","",SIGN(Plantilla_SCAN_EQ3_COUNT_2[[#This Row],[Cantidad]])+A1944)</f>
        <v/>
      </c>
      <c r="B1945" s="21" t="str">
        <f>IF(Plantilla_SCAN_EQ3_COUNT_2[[#This Row],[ID MATERIAL]]="","",B1944)</f>
        <v/>
      </c>
      <c r="C1945" s="21"/>
      <c r="D1945" s="21"/>
      <c r="E1945" s="7" t="str">
        <f>IF(Plantilla_SCAN_EQ3_COUNT_2[[#This Row],[ID MATERIAL]]="","",VLOOKUP(Plantilla_SCAN_EQ3_COUNT_2[[#This Row],[ID MATERIAL]],INVENTARIO!$A:$D,2,FALSE))</f>
        <v/>
      </c>
      <c r="F1945" s="7" t="str">
        <f>IF(Plantilla_SCAN_EQ3_COUNT_2[[#This Row],[ID MATERIAL]]="","",IF(Plantilla_SCAN_EQ3_COUNT_2[[#This Row],[No. Empaques]]="",1,Plantilla_SCAN_EQ3_COUNT_2[[#This Row],[No. Empaques]]*1))</f>
        <v/>
      </c>
      <c r="G1945" s="7" t="str">
        <f>IF(Plantilla_SCAN_EQ3_COUNT_2[[#This Row],[ID MATERIAL]]="","","PZ")</f>
        <v/>
      </c>
      <c r="H1945" s="7" t="str">
        <f>IF(Plantilla_SCAN_EQ3_COUNT_2[[#This Row],[ID MATERIAL]]="","",$B$13)</f>
        <v/>
      </c>
      <c r="I1945" s="7" t="str">
        <f>IF(Plantilla_SCAN_EQ3_COUNT_2[[#This Row],[ID MATERIAL]]="","","Segundo Conteo")</f>
        <v/>
      </c>
    </row>
    <row r="1946" spans="1:9" s="7" customFormat="1" ht="15" x14ac:dyDescent="0.2">
      <c r="A1946" s="7" t="str">
        <f>IF(Plantilla_SCAN_EQ3_COUNT_2[[#This Row],[ID MATERIAL]]="","",SIGN(Plantilla_SCAN_EQ3_COUNT_2[[#This Row],[Cantidad]])+A1945)</f>
        <v/>
      </c>
      <c r="B1946" s="21" t="str">
        <f>IF(Plantilla_SCAN_EQ3_COUNT_2[[#This Row],[ID MATERIAL]]="","",B1945)</f>
        <v/>
      </c>
      <c r="C1946" s="21"/>
      <c r="D1946" s="21"/>
      <c r="E1946" s="7" t="str">
        <f>IF(Plantilla_SCAN_EQ3_COUNT_2[[#This Row],[ID MATERIAL]]="","",VLOOKUP(Plantilla_SCAN_EQ3_COUNT_2[[#This Row],[ID MATERIAL]],INVENTARIO!$A:$D,2,FALSE))</f>
        <v/>
      </c>
      <c r="F1946" s="7" t="str">
        <f>IF(Plantilla_SCAN_EQ3_COUNT_2[[#This Row],[ID MATERIAL]]="","",IF(Plantilla_SCAN_EQ3_COUNT_2[[#This Row],[No. Empaques]]="",1,Plantilla_SCAN_EQ3_COUNT_2[[#This Row],[No. Empaques]]*1))</f>
        <v/>
      </c>
      <c r="G1946" s="7" t="str">
        <f>IF(Plantilla_SCAN_EQ3_COUNT_2[[#This Row],[ID MATERIAL]]="","","PZ")</f>
        <v/>
      </c>
      <c r="H1946" s="7" t="str">
        <f>IF(Plantilla_SCAN_EQ3_COUNT_2[[#This Row],[ID MATERIAL]]="","",$B$13)</f>
        <v/>
      </c>
      <c r="I1946" s="7" t="str">
        <f>IF(Plantilla_SCAN_EQ3_COUNT_2[[#This Row],[ID MATERIAL]]="","","Segundo Conteo")</f>
        <v/>
      </c>
    </row>
    <row r="1947" spans="1:9" s="7" customFormat="1" ht="15" x14ac:dyDescent="0.2">
      <c r="A1947" s="7" t="str">
        <f>IF(Plantilla_SCAN_EQ3_COUNT_2[[#This Row],[ID MATERIAL]]="","",SIGN(Plantilla_SCAN_EQ3_COUNT_2[[#This Row],[Cantidad]])+A1946)</f>
        <v/>
      </c>
      <c r="B1947" s="21" t="str">
        <f>IF(Plantilla_SCAN_EQ3_COUNT_2[[#This Row],[ID MATERIAL]]="","",B1946)</f>
        <v/>
      </c>
      <c r="C1947" s="21"/>
      <c r="D1947" s="21"/>
      <c r="E1947" s="7" t="str">
        <f>IF(Plantilla_SCAN_EQ3_COUNT_2[[#This Row],[ID MATERIAL]]="","",VLOOKUP(Plantilla_SCAN_EQ3_COUNT_2[[#This Row],[ID MATERIAL]],INVENTARIO!$A:$D,2,FALSE))</f>
        <v/>
      </c>
      <c r="F1947" s="7" t="str">
        <f>IF(Plantilla_SCAN_EQ3_COUNT_2[[#This Row],[ID MATERIAL]]="","",IF(Plantilla_SCAN_EQ3_COUNT_2[[#This Row],[No. Empaques]]="",1,Plantilla_SCAN_EQ3_COUNT_2[[#This Row],[No. Empaques]]*1))</f>
        <v/>
      </c>
      <c r="G1947" s="7" t="str">
        <f>IF(Plantilla_SCAN_EQ3_COUNT_2[[#This Row],[ID MATERIAL]]="","","PZ")</f>
        <v/>
      </c>
      <c r="H1947" s="7" t="str">
        <f>IF(Plantilla_SCAN_EQ3_COUNT_2[[#This Row],[ID MATERIAL]]="","",$B$13)</f>
        <v/>
      </c>
      <c r="I1947" s="7" t="str">
        <f>IF(Plantilla_SCAN_EQ3_COUNT_2[[#This Row],[ID MATERIAL]]="","","Segundo Conteo")</f>
        <v/>
      </c>
    </row>
    <row r="1948" spans="1:9" s="7" customFormat="1" ht="15" x14ac:dyDescent="0.2">
      <c r="A1948" s="7" t="str">
        <f>IF(Plantilla_SCAN_EQ3_COUNT_2[[#This Row],[ID MATERIAL]]="","",SIGN(Plantilla_SCAN_EQ3_COUNT_2[[#This Row],[Cantidad]])+A1947)</f>
        <v/>
      </c>
      <c r="B1948" s="21" t="str">
        <f>IF(Plantilla_SCAN_EQ3_COUNT_2[[#This Row],[ID MATERIAL]]="","",B1947)</f>
        <v/>
      </c>
      <c r="C1948" s="21"/>
      <c r="D1948" s="21"/>
      <c r="E1948" s="7" t="str">
        <f>IF(Plantilla_SCAN_EQ3_COUNT_2[[#This Row],[ID MATERIAL]]="","",VLOOKUP(Plantilla_SCAN_EQ3_COUNT_2[[#This Row],[ID MATERIAL]],INVENTARIO!$A:$D,2,FALSE))</f>
        <v/>
      </c>
      <c r="F1948" s="7" t="str">
        <f>IF(Plantilla_SCAN_EQ3_COUNT_2[[#This Row],[ID MATERIAL]]="","",IF(Plantilla_SCAN_EQ3_COUNT_2[[#This Row],[No. Empaques]]="",1,Plantilla_SCAN_EQ3_COUNT_2[[#This Row],[No. Empaques]]*1))</f>
        <v/>
      </c>
      <c r="G1948" s="7" t="str">
        <f>IF(Plantilla_SCAN_EQ3_COUNT_2[[#This Row],[ID MATERIAL]]="","","PZ")</f>
        <v/>
      </c>
      <c r="H1948" s="7" t="str">
        <f>IF(Plantilla_SCAN_EQ3_COUNT_2[[#This Row],[ID MATERIAL]]="","",$B$13)</f>
        <v/>
      </c>
      <c r="I1948" s="7" t="str">
        <f>IF(Plantilla_SCAN_EQ3_COUNT_2[[#This Row],[ID MATERIAL]]="","","Segundo Conteo")</f>
        <v/>
      </c>
    </row>
    <row r="1949" spans="1:9" s="7" customFormat="1" ht="15" x14ac:dyDescent="0.2">
      <c r="A1949" s="7" t="str">
        <f>IF(Plantilla_SCAN_EQ3_COUNT_2[[#This Row],[ID MATERIAL]]="","",SIGN(Plantilla_SCAN_EQ3_COUNT_2[[#This Row],[Cantidad]])+A1948)</f>
        <v/>
      </c>
      <c r="B1949" s="21" t="str">
        <f>IF(Plantilla_SCAN_EQ3_COUNT_2[[#This Row],[ID MATERIAL]]="","",B1948)</f>
        <v/>
      </c>
      <c r="C1949" s="21"/>
      <c r="D1949" s="21"/>
      <c r="E1949" s="7" t="str">
        <f>IF(Plantilla_SCAN_EQ3_COUNT_2[[#This Row],[ID MATERIAL]]="","",VLOOKUP(Plantilla_SCAN_EQ3_COUNT_2[[#This Row],[ID MATERIAL]],INVENTARIO!$A:$D,2,FALSE))</f>
        <v/>
      </c>
      <c r="F1949" s="7" t="str">
        <f>IF(Plantilla_SCAN_EQ3_COUNT_2[[#This Row],[ID MATERIAL]]="","",IF(Plantilla_SCAN_EQ3_COUNT_2[[#This Row],[No. Empaques]]="",1,Plantilla_SCAN_EQ3_COUNT_2[[#This Row],[No. Empaques]]*1))</f>
        <v/>
      </c>
      <c r="G1949" s="7" t="str">
        <f>IF(Plantilla_SCAN_EQ3_COUNT_2[[#This Row],[ID MATERIAL]]="","","PZ")</f>
        <v/>
      </c>
      <c r="H1949" s="7" t="str">
        <f>IF(Plantilla_SCAN_EQ3_COUNT_2[[#This Row],[ID MATERIAL]]="","",$B$13)</f>
        <v/>
      </c>
      <c r="I1949" s="7" t="str">
        <f>IF(Plantilla_SCAN_EQ3_COUNT_2[[#This Row],[ID MATERIAL]]="","","Segundo Conteo")</f>
        <v/>
      </c>
    </row>
    <row r="1950" spans="1:9" s="7" customFormat="1" ht="15" x14ac:dyDescent="0.2">
      <c r="A1950" s="7" t="str">
        <f>IF(Plantilla_SCAN_EQ3_COUNT_2[[#This Row],[ID MATERIAL]]="","",SIGN(Plantilla_SCAN_EQ3_COUNT_2[[#This Row],[Cantidad]])+A1949)</f>
        <v/>
      </c>
      <c r="B1950" s="21" t="str">
        <f>IF(Plantilla_SCAN_EQ3_COUNT_2[[#This Row],[ID MATERIAL]]="","",B1949)</f>
        <v/>
      </c>
      <c r="C1950" s="21"/>
      <c r="D1950" s="21"/>
      <c r="E1950" s="7" t="str">
        <f>IF(Plantilla_SCAN_EQ3_COUNT_2[[#This Row],[ID MATERIAL]]="","",VLOOKUP(Plantilla_SCAN_EQ3_COUNT_2[[#This Row],[ID MATERIAL]],INVENTARIO!$A:$D,2,FALSE))</f>
        <v/>
      </c>
      <c r="F1950" s="7" t="str">
        <f>IF(Plantilla_SCAN_EQ3_COUNT_2[[#This Row],[ID MATERIAL]]="","",IF(Plantilla_SCAN_EQ3_COUNT_2[[#This Row],[No. Empaques]]="",1,Plantilla_SCAN_EQ3_COUNT_2[[#This Row],[No. Empaques]]*1))</f>
        <v/>
      </c>
      <c r="G1950" s="7" t="str">
        <f>IF(Plantilla_SCAN_EQ3_COUNT_2[[#This Row],[ID MATERIAL]]="","","PZ")</f>
        <v/>
      </c>
      <c r="H1950" s="7" t="str">
        <f>IF(Plantilla_SCAN_EQ3_COUNT_2[[#This Row],[ID MATERIAL]]="","",$B$13)</f>
        <v/>
      </c>
      <c r="I1950" s="7" t="str">
        <f>IF(Plantilla_SCAN_EQ3_COUNT_2[[#This Row],[ID MATERIAL]]="","","Segundo Conteo")</f>
        <v/>
      </c>
    </row>
    <row r="1951" spans="1:9" s="7" customFormat="1" ht="15" x14ac:dyDescent="0.2">
      <c r="A1951" s="7" t="str">
        <f>IF(Plantilla_SCAN_EQ3_COUNT_2[[#This Row],[ID MATERIAL]]="","",SIGN(Plantilla_SCAN_EQ3_COUNT_2[[#This Row],[Cantidad]])+A1950)</f>
        <v/>
      </c>
      <c r="B1951" s="21" t="str">
        <f>IF(Plantilla_SCAN_EQ3_COUNT_2[[#This Row],[ID MATERIAL]]="","",B1950)</f>
        <v/>
      </c>
      <c r="C1951" s="21"/>
      <c r="D1951" s="21"/>
      <c r="E1951" s="7" t="str">
        <f>IF(Plantilla_SCAN_EQ3_COUNT_2[[#This Row],[ID MATERIAL]]="","",VLOOKUP(Plantilla_SCAN_EQ3_COUNT_2[[#This Row],[ID MATERIAL]],INVENTARIO!$A:$D,2,FALSE))</f>
        <v/>
      </c>
      <c r="F1951" s="7" t="str">
        <f>IF(Plantilla_SCAN_EQ3_COUNT_2[[#This Row],[ID MATERIAL]]="","",IF(Plantilla_SCAN_EQ3_COUNT_2[[#This Row],[No. Empaques]]="",1,Plantilla_SCAN_EQ3_COUNT_2[[#This Row],[No. Empaques]]*1))</f>
        <v/>
      </c>
      <c r="G1951" s="7" t="str">
        <f>IF(Plantilla_SCAN_EQ3_COUNT_2[[#This Row],[ID MATERIAL]]="","","PZ")</f>
        <v/>
      </c>
      <c r="H1951" s="7" t="str">
        <f>IF(Plantilla_SCAN_EQ3_COUNT_2[[#This Row],[ID MATERIAL]]="","",$B$13)</f>
        <v/>
      </c>
      <c r="I1951" s="7" t="str">
        <f>IF(Plantilla_SCAN_EQ3_COUNT_2[[#This Row],[ID MATERIAL]]="","","Segundo Conteo")</f>
        <v/>
      </c>
    </row>
    <row r="1952" spans="1:9" s="7" customFormat="1" ht="15" x14ac:dyDescent="0.2">
      <c r="A1952" s="7" t="str">
        <f>IF(Plantilla_SCAN_EQ3_COUNT_2[[#This Row],[ID MATERIAL]]="","",SIGN(Plantilla_SCAN_EQ3_COUNT_2[[#This Row],[Cantidad]])+A1951)</f>
        <v/>
      </c>
      <c r="B1952" s="21" t="str">
        <f>IF(Plantilla_SCAN_EQ3_COUNT_2[[#This Row],[ID MATERIAL]]="","",B1951)</f>
        <v/>
      </c>
      <c r="C1952" s="21"/>
      <c r="D1952" s="21"/>
      <c r="E1952" s="7" t="str">
        <f>IF(Plantilla_SCAN_EQ3_COUNT_2[[#This Row],[ID MATERIAL]]="","",VLOOKUP(Plantilla_SCAN_EQ3_COUNT_2[[#This Row],[ID MATERIAL]],INVENTARIO!$A:$D,2,FALSE))</f>
        <v/>
      </c>
      <c r="F1952" s="7" t="str">
        <f>IF(Plantilla_SCAN_EQ3_COUNT_2[[#This Row],[ID MATERIAL]]="","",IF(Plantilla_SCAN_EQ3_COUNT_2[[#This Row],[No. Empaques]]="",1,Plantilla_SCAN_EQ3_COUNT_2[[#This Row],[No. Empaques]]*1))</f>
        <v/>
      </c>
      <c r="G1952" s="7" t="str">
        <f>IF(Plantilla_SCAN_EQ3_COUNT_2[[#This Row],[ID MATERIAL]]="","","PZ")</f>
        <v/>
      </c>
      <c r="H1952" s="7" t="str">
        <f>IF(Plantilla_SCAN_EQ3_COUNT_2[[#This Row],[ID MATERIAL]]="","",$B$13)</f>
        <v/>
      </c>
      <c r="I1952" s="7" t="str">
        <f>IF(Plantilla_SCAN_EQ3_COUNT_2[[#This Row],[ID MATERIAL]]="","","Segundo Conteo")</f>
        <v/>
      </c>
    </row>
    <row r="1953" spans="1:9" s="7" customFormat="1" ht="15" x14ac:dyDescent="0.2">
      <c r="A1953" s="7" t="str">
        <f>IF(Plantilla_SCAN_EQ3_COUNT_2[[#This Row],[ID MATERIAL]]="","",SIGN(Plantilla_SCAN_EQ3_COUNT_2[[#This Row],[Cantidad]])+A1952)</f>
        <v/>
      </c>
      <c r="B1953" s="21" t="str">
        <f>IF(Plantilla_SCAN_EQ3_COUNT_2[[#This Row],[ID MATERIAL]]="","",B1952)</f>
        <v/>
      </c>
      <c r="C1953" s="21"/>
      <c r="D1953" s="21"/>
      <c r="E1953" s="7" t="str">
        <f>IF(Plantilla_SCAN_EQ3_COUNT_2[[#This Row],[ID MATERIAL]]="","",VLOOKUP(Plantilla_SCAN_EQ3_COUNT_2[[#This Row],[ID MATERIAL]],INVENTARIO!$A:$D,2,FALSE))</f>
        <v/>
      </c>
      <c r="F1953" s="7" t="str">
        <f>IF(Plantilla_SCAN_EQ3_COUNT_2[[#This Row],[ID MATERIAL]]="","",IF(Plantilla_SCAN_EQ3_COUNT_2[[#This Row],[No. Empaques]]="",1,Plantilla_SCAN_EQ3_COUNT_2[[#This Row],[No. Empaques]]*1))</f>
        <v/>
      </c>
      <c r="G1953" s="7" t="str">
        <f>IF(Plantilla_SCAN_EQ3_COUNT_2[[#This Row],[ID MATERIAL]]="","","PZ")</f>
        <v/>
      </c>
      <c r="H1953" s="7" t="str">
        <f>IF(Plantilla_SCAN_EQ3_COUNT_2[[#This Row],[ID MATERIAL]]="","",$B$13)</f>
        <v/>
      </c>
      <c r="I1953" s="7" t="str">
        <f>IF(Plantilla_SCAN_EQ3_COUNT_2[[#This Row],[ID MATERIAL]]="","","Segundo Conteo")</f>
        <v/>
      </c>
    </row>
    <row r="1954" spans="1:9" s="7" customFormat="1" ht="15" x14ac:dyDescent="0.2">
      <c r="A1954" s="7" t="str">
        <f>IF(Plantilla_SCAN_EQ3_COUNT_2[[#This Row],[ID MATERIAL]]="","",SIGN(Plantilla_SCAN_EQ3_COUNT_2[[#This Row],[Cantidad]])+A1953)</f>
        <v/>
      </c>
      <c r="B1954" s="21" t="str">
        <f>IF(Plantilla_SCAN_EQ3_COUNT_2[[#This Row],[ID MATERIAL]]="","",B1953)</f>
        <v/>
      </c>
      <c r="C1954" s="21"/>
      <c r="D1954" s="21"/>
      <c r="E1954" s="7" t="str">
        <f>IF(Plantilla_SCAN_EQ3_COUNT_2[[#This Row],[ID MATERIAL]]="","",VLOOKUP(Plantilla_SCAN_EQ3_COUNT_2[[#This Row],[ID MATERIAL]],INVENTARIO!$A:$D,2,FALSE))</f>
        <v/>
      </c>
      <c r="F1954" s="7" t="str">
        <f>IF(Plantilla_SCAN_EQ3_COUNT_2[[#This Row],[ID MATERIAL]]="","",IF(Plantilla_SCAN_EQ3_COUNT_2[[#This Row],[No. Empaques]]="",1,Plantilla_SCAN_EQ3_COUNT_2[[#This Row],[No. Empaques]]*1))</f>
        <v/>
      </c>
      <c r="G1954" s="7" t="str">
        <f>IF(Plantilla_SCAN_EQ3_COUNT_2[[#This Row],[ID MATERIAL]]="","","PZ")</f>
        <v/>
      </c>
      <c r="H1954" s="7" t="str">
        <f>IF(Plantilla_SCAN_EQ3_COUNT_2[[#This Row],[ID MATERIAL]]="","",$B$13)</f>
        <v/>
      </c>
      <c r="I1954" s="7" t="str">
        <f>IF(Plantilla_SCAN_EQ3_COUNT_2[[#This Row],[ID MATERIAL]]="","","Segundo Conteo")</f>
        <v/>
      </c>
    </row>
    <row r="1955" spans="1:9" s="7" customFormat="1" ht="15" x14ac:dyDescent="0.2">
      <c r="A1955" s="7" t="str">
        <f>IF(Plantilla_SCAN_EQ3_COUNT_2[[#This Row],[ID MATERIAL]]="","",SIGN(Plantilla_SCAN_EQ3_COUNT_2[[#This Row],[Cantidad]])+A1954)</f>
        <v/>
      </c>
      <c r="B1955" s="21" t="str">
        <f>IF(Plantilla_SCAN_EQ3_COUNT_2[[#This Row],[ID MATERIAL]]="","",B1954)</f>
        <v/>
      </c>
      <c r="C1955" s="21"/>
      <c r="D1955" s="21"/>
      <c r="E1955" s="7" t="str">
        <f>IF(Plantilla_SCAN_EQ3_COUNT_2[[#This Row],[ID MATERIAL]]="","",VLOOKUP(Plantilla_SCAN_EQ3_COUNT_2[[#This Row],[ID MATERIAL]],INVENTARIO!$A:$D,2,FALSE))</f>
        <v/>
      </c>
      <c r="F1955" s="7" t="str">
        <f>IF(Plantilla_SCAN_EQ3_COUNT_2[[#This Row],[ID MATERIAL]]="","",IF(Plantilla_SCAN_EQ3_COUNT_2[[#This Row],[No. Empaques]]="",1,Plantilla_SCAN_EQ3_COUNT_2[[#This Row],[No. Empaques]]*1))</f>
        <v/>
      </c>
      <c r="G1955" s="7" t="str">
        <f>IF(Plantilla_SCAN_EQ3_COUNT_2[[#This Row],[ID MATERIAL]]="","","PZ")</f>
        <v/>
      </c>
      <c r="H1955" s="7" t="str">
        <f>IF(Plantilla_SCAN_EQ3_COUNT_2[[#This Row],[ID MATERIAL]]="","",$B$13)</f>
        <v/>
      </c>
      <c r="I1955" s="7" t="str">
        <f>IF(Plantilla_SCAN_EQ3_COUNT_2[[#This Row],[ID MATERIAL]]="","","Segundo Conteo")</f>
        <v/>
      </c>
    </row>
    <row r="1956" spans="1:9" s="7" customFormat="1" ht="15" x14ac:dyDescent="0.2">
      <c r="A1956" s="7" t="str">
        <f>IF(Plantilla_SCAN_EQ3_COUNT_2[[#This Row],[ID MATERIAL]]="","",SIGN(Plantilla_SCAN_EQ3_COUNT_2[[#This Row],[Cantidad]])+A1955)</f>
        <v/>
      </c>
      <c r="B1956" s="21" t="str">
        <f>IF(Plantilla_SCAN_EQ3_COUNT_2[[#This Row],[ID MATERIAL]]="","",B1955)</f>
        <v/>
      </c>
      <c r="C1956" s="21"/>
      <c r="D1956" s="21"/>
      <c r="E1956" s="7" t="str">
        <f>IF(Plantilla_SCAN_EQ3_COUNT_2[[#This Row],[ID MATERIAL]]="","",VLOOKUP(Plantilla_SCAN_EQ3_COUNT_2[[#This Row],[ID MATERIAL]],INVENTARIO!$A:$D,2,FALSE))</f>
        <v/>
      </c>
      <c r="F1956" s="7" t="str">
        <f>IF(Plantilla_SCAN_EQ3_COUNT_2[[#This Row],[ID MATERIAL]]="","",IF(Plantilla_SCAN_EQ3_COUNT_2[[#This Row],[No. Empaques]]="",1,Plantilla_SCAN_EQ3_COUNT_2[[#This Row],[No. Empaques]]*1))</f>
        <v/>
      </c>
      <c r="G1956" s="7" t="str">
        <f>IF(Plantilla_SCAN_EQ3_COUNT_2[[#This Row],[ID MATERIAL]]="","","PZ")</f>
        <v/>
      </c>
      <c r="H1956" s="7" t="str">
        <f>IF(Plantilla_SCAN_EQ3_COUNT_2[[#This Row],[ID MATERIAL]]="","",$B$13)</f>
        <v/>
      </c>
      <c r="I1956" s="7" t="str">
        <f>IF(Plantilla_SCAN_EQ3_COUNT_2[[#This Row],[ID MATERIAL]]="","","Segundo Conteo")</f>
        <v/>
      </c>
    </row>
    <row r="1957" spans="1:9" s="7" customFormat="1" ht="15" x14ac:dyDescent="0.2">
      <c r="A1957" s="7" t="str">
        <f>IF(Plantilla_SCAN_EQ3_COUNT_2[[#This Row],[ID MATERIAL]]="","",SIGN(Plantilla_SCAN_EQ3_COUNT_2[[#This Row],[Cantidad]])+A1956)</f>
        <v/>
      </c>
      <c r="B1957" s="21" t="str">
        <f>IF(Plantilla_SCAN_EQ3_COUNT_2[[#This Row],[ID MATERIAL]]="","",B1956)</f>
        <v/>
      </c>
      <c r="C1957" s="21"/>
      <c r="D1957" s="21"/>
      <c r="E1957" s="7" t="str">
        <f>IF(Plantilla_SCAN_EQ3_COUNT_2[[#This Row],[ID MATERIAL]]="","",VLOOKUP(Plantilla_SCAN_EQ3_COUNT_2[[#This Row],[ID MATERIAL]],INVENTARIO!$A:$D,2,FALSE))</f>
        <v/>
      </c>
      <c r="F1957" s="7" t="str">
        <f>IF(Plantilla_SCAN_EQ3_COUNT_2[[#This Row],[ID MATERIAL]]="","",IF(Plantilla_SCAN_EQ3_COUNT_2[[#This Row],[No. Empaques]]="",1,Plantilla_SCAN_EQ3_COUNT_2[[#This Row],[No. Empaques]]*1))</f>
        <v/>
      </c>
      <c r="G1957" s="7" t="str">
        <f>IF(Plantilla_SCAN_EQ3_COUNT_2[[#This Row],[ID MATERIAL]]="","","PZ")</f>
        <v/>
      </c>
      <c r="H1957" s="7" t="str">
        <f>IF(Plantilla_SCAN_EQ3_COUNT_2[[#This Row],[ID MATERIAL]]="","",$B$13)</f>
        <v/>
      </c>
      <c r="I1957" s="7" t="str">
        <f>IF(Plantilla_SCAN_EQ3_COUNT_2[[#This Row],[ID MATERIAL]]="","","Segundo Conteo")</f>
        <v/>
      </c>
    </row>
    <row r="1958" spans="1:9" s="7" customFormat="1" ht="15" x14ac:dyDescent="0.2">
      <c r="A1958" s="7" t="str">
        <f>IF(Plantilla_SCAN_EQ3_COUNT_2[[#This Row],[ID MATERIAL]]="","",SIGN(Plantilla_SCAN_EQ3_COUNT_2[[#This Row],[Cantidad]])+A1957)</f>
        <v/>
      </c>
      <c r="B1958" s="21" t="str">
        <f>IF(Plantilla_SCAN_EQ3_COUNT_2[[#This Row],[ID MATERIAL]]="","",B1957)</f>
        <v/>
      </c>
      <c r="C1958" s="21"/>
      <c r="D1958" s="21"/>
      <c r="E1958" s="7" t="str">
        <f>IF(Plantilla_SCAN_EQ3_COUNT_2[[#This Row],[ID MATERIAL]]="","",VLOOKUP(Plantilla_SCAN_EQ3_COUNT_2[[#This Row],[ID MATERIAL]],INVENTARIO!$A:$D,2,FALSE))</f>
        <v/>
      </c>
      <c r="F1958" s="7" t="str">
        <f>IF(Plantilla_SCAN_EQ3_COUNT_2[[#This Row],[ID MATERIAL]]="","",IF(Plantilla_SCAN_EQ3_COUNT_2[[#This Row],[No. Empaques]]="",1,Plantilla_SCAN_EQ3_COUNT_2[[#This Row],[No. Empaques]]*1))</f>
        <v/>
      </c>
      <c r="G1958" s="7" t="str">
        <f>IF(Plantilla_SCAN_EQ3_COUNT_2[[#This Row],[ID MATERIAL]]="","","PZ")</f>
        <v/>
      </c>
      <c r="H1958" s="7" t="str">
        <f>IF(Plantilla_SCAN_EQ3_COUNT_2[[#This Row],[ID MATERIAL]]="","",$B$13)</f>
        <v/>
      </c>
      <c r="I1958" s="7" t="str">
        <f>IF(Plantilla_SCAN_EQ3_COUNT_2[[#This Row],[ID MATERIAL]]="","","Segundo Conteo")</f>
        <v/>
      </c>
    </row>
    <row r="1959" spans="1:9" s="7" customFormat="1" ht="15" x14ac:dyDescent="0.2">
      <c r="A1959" s="7" t="str">
        <f>IF(Plantilla_SCAN_EQ3_COUNT_2[[#This Row],[ID MATERIAL]]="","",SIGN(Plantilla_SCAN_EQ3_COUNT_2[[#This Row],[Cantidad]])+A1958)</f>
        <v/>
      </c>
      <c r="B1959" s="21" t="str">
        <f>IF(Plantilla_SCAN_EQ3_COUNT_2[[#This Row],[ID MATERIAL]]="","",B1958)</f>
        <v/>
      </c>
      <c r="C1959" s="21"/>
      <c r="D1959" s="21"/>
      <c r="E1959" s="7" t="str">
        <f>IF(Plantilla_SCAN_EQ3_COUNT_2[[#This Row],[ID MATERIAL]]="","",VLOOKUP(Plantilla_SCAN_EQ3_COUNT_2[[#This Row],[ID MATERIAL]],INVENTARIO!$A:$D,2,FALSE))</f>
        <v/>
      </c>
      <c r="F1959" s="7" t="str">
        <f>IF(Plantilla_SCAN_EQ3_COUNT_2[[#This Row],[ID MATERIAL]]="","",IF(Plantilla_SCAN_EQ3_COUNT_2[[#This Row],[No. Empaques]]="",1,Plantilla_SCAN_EQ3_COUNT_2[[#This Row],[No. Empaques]]*1))</f>
        <v/>
      </c>
      <c r="G1959" s="7" t="str">
        <f>IF(Plantilla_SCAN_EQ3_COUNT_2[[#This Row],[ID MATERIAL]]="","","PZ")</f>
        <v/>
      </c>
      <c r="H1959" s="7" t="str">
        <f>IF(Plantilla_SCAN_EQ3_COUNT_2[[#This Row],[ID MATERIAL]]="","",$B$13)</f>
        <v/>
      </c>
      <c r="I1959" s="7" t="str">
        <f>IF(Plantilla_SCAN_EQ3_COUNT_2[[#This Row],[ID MATERIAL]]="","","Segundo Conteo")</f>
        <v/>
      </c>
    </row>
    <row r="1960" spans="1:9" s="7" customFormat="1" ht="15" x14ac:dyDescent="0.2">
      <c r="A1960" s="7" t="str">
        <f>IF(Plantilla_SCAN_EQ3_COUNT_2[[#This Row],[ID MATERIAL]]="","",SIGN(Plantilla_SCAN_EQ3_COUNT_2[[#This Row],[Cantidad]])+A1959)</f>
        <v/>
      </c>
      <c r="B1960" s="21" t="str">
        <f>IF(Plantilla_SCAN_EQ3_COUNT_2[[#This Row],[ID MATERIAL]]="","",B1959)</f>
        <v/>
      </c>
      <c r="C1960" s="21"/>
      <c r="D1960" s="21"/>
      <c r="E1960" s="7" t="str">
        <f>IF(Plantilla_SCAN_EQ3_COUNT_2[[#This Row],[ID MATERIAL]]="","",VLOOKUP(Plantilla_SCAN_EQ3_COUNT_2[[#This Row],[ID MATERIAL]],INVENTARIO!$A:$D,2,FALSE))</f>
        <v/>
      </c>
      <c r="F1960" s="7" t="str">
        <f>IF(Plantilla_SCAN_EQ3_COUNT_2[[#This Row],[ID MATERIAL]]="","",IF(Plantilla_SCAN_EQ3_COUNT_2[[#This Row],[No. Empaques]]="",1,Plantilla_SCAN_EQ3_COUNT_2[[#This Row],[No. Empaques]]*1))</f>
        <v/>
      </c>
      <c r="G1960" s="7" t="str">
        <f>IF(Plantilla_SCAN_EQ3_COUNT_2[[#This Row],[ID MATERIAL]]="","","PZ")</f>
        <v/>
      </c>
      <c r="H1960" s="7" t="str">
        <f>IF(Plantilla_SCAN_EQ3_COUNT_2[[#This Row],[ID MATERIAL]]="","",$B$13)</f>
        <v/>
      </c>
      <c r="I1960" s="7" t="str">
        <f>IF(Plantilla_SCAN_EQ3_COUNT_2[[#This Row],[ID MATERIAL]]="","","Segundo Conteo")</f>
        <v/>
      </c>
    </row>
    <row r="1961" spans="1:9" s="7" customFormat="1" ht="15" x14ac:dyDescent="0.2">
      <c r="A1961" s="7" t="str">
        <f>IF(Plantilla_SCAN_EQ3_COUNT_2[[#This Row],[ID MATERIAL]]="","",SIGN(Plantilla_SCAN_EQ3_COUNT_2[[#This Row],[Cantidad]])+A1960)</f>
        <v/>
      </c>
      <c r="B1961" s="21" t="str">
        <f>IF(Plantilla_SCAN_EQ3_COUNT_2[[#This Row],[ID MATERIAL]]="","",B1960)</f>
        <v/>
      </c>
      <c r="C1961" s="21"/>
      <c r="D1961" s="21"/>
      <c r="E1961" s="7" t="str">
        <f>IF(Plantilla_SCAN_EQ3_COUNT_2[[#This Row],[ID MATERIAL]]="","",VLOOKUP(Plantilla_SCAN_EQ3_COUNT_2[[#This Row],[ID MATERIAL]],INVENTARIO!$A:$D,2,FALSE))</f>
        <v/>
      </c>
      <c r="F1961" s="7" t="str">
        <f>IF(Plantilla_SCAN_EQ3_COUNT_2[[#This Row],[ID MATERIAL]]="","",IF(Plantilla_SCAN_EQ3_COUNT_2[[#This Row],[No. Empaques]]="",1,Plantilla_SCAN_EQ3_COUNT_2[[#This Row],[No. Empaques]]*1))</f>
        <v/>
      </c>
      <c r="G1961" s="7" t="str">
        <f>IF(Plantilla_SCAN_EQ3_COUNT_2[[#This Row],[ID MATERIAL]]="","","PZ")</f>
        <v/>
      </c>
      <c r="H1961" s="7" t="str">
        <f>IF(Plantilla_SCAN_EQ3_COUNT_2[[#This Row],[ID MATERIAL]]="","",$B$13)</f>
        <v/>
      </c>
      <c r="I1961" s="7" t="str">
        <f>IF(Plantilla_SCAN_EQ3_COUNT_2[[#This Row],[ID MATERIAL]]="","","Segundo Conteo")</f>
        <v/>
      </c>
    </row>
    <row r="1962" spans="1:9" s="7" customFormat="1" ht="15" x14ac:dyDescent="0.2">
      <c r="A1962" s="7" t="str">
        <f>IF(Plantilla_SCAN_EQ3_COUNT_2[[#This Row],[ID MATERIAL]]="","",SIGN(Plantilla_SCAN_EQ3_COUNT_2[[#This Row],[Cantidad]])+A1961)</f>
        <v/>
      </c>
      <c r="B1962" s="21" t="str">
        <f>IF(Plantilla_SCAN_EQ3_COUNT_2[[#This Row],[ID MATERIAL]]="","",B1961)</f>
        <v/>
      </c>
      <c r="C1962" s="21"/>
      <c r="D1962" s="21"/>
      <c r="E1962" s="7" t="str">
        <f>IF(Plantilla_SCAN_EQ3_COUNT_2[[#This Row],[ID MATERIAL]]="","",VLOOKUP(Plantilla_SCAN_EQ3_COUNT_2[[#This Row],[ID MATERIAL]],INVENTARIO!$A:$D,2,FALSE))</f>
        <v/>
      </c>
      <c r="F1962" s="7" t="str">
        <f>IF(Plantilla_SCAN_EQ3_COUNT_2[[#This Row],[ID MATERIAL]]="","",IF(Plantilla_SCAN_EQ3_COUNT_2[[#This Row],[No. Empaques]]="",1,Plantilla_SCAN_EQ3_COUNT_2[[#This Row],[No. Empaques]]*1))</f>
        <v/>
      </c>
      <c r="G1962" s="7" t="str">
        <f>IF(Plantilla_SCAN_EQ3_COUNT_2[[#This Row],[ID MATERIAL]]="","","PZ")</f>
        <v/>
      </c>
      <c r="H1962" s="7" t="str">
        <f>IF(Plantilla_SCAN_EQ3_COUNT_2[[#This Row],[ID MATERIAL]]="","",$B$13)</f>
        <v/>
      </c>
      <c r="I1962" s="7" t="str">
        <f>IF(Plantilla_SCAN_EQ3_COUNT_2[[#This Row],[ID MATERIAL]]="","","Segundo Conteo")</f>
        <v/>
      </c>
    </row>
    <row r="1963" spans="1:9" s="7" customFormat="1" ht="15" x14ac:dyDescent="0.2">
      <c r="A1963" s="7" t="str">
        <f>IF(Plantilla_SCAN_EQ3_COUNT_2[[#This Row],[ID MATERIAL]]="","",SIGN(Plantilla_SCAN_EQ3_COUNT_2[[#This Row],[Cantidad]])+A1962)</f>
        <v/>
      </c>
      <c r="B1963" s="21" t="str">
        <f>IF(Plantilla_SCAN_EQ3_COUNT_2[[#This Row],[ID MATERIAL]]="","",B1962)</f>
        <v/>
      </c>
      <c r="C1963" s="21"/>
      <c r="D1963" s="21"/>
      <c r="E1963" s="7" t="str">
        <f>IF(Plantilla_SCAN_EQ3_COUNT_2[[#This Row],[ID MATERIAL]]="","",VLOOKUP(Plantilla_SCAN_EQ3_COUNT_2[[#This Row],[ID MATERIAL]],INVENTARIO!$A:$D,2,FALSE))</f>
        <v/>
      </c>
      <c r="F1963" s="7" t="str">
        <f>IF(Plantilla_SCAN_EQ3_COUNT_2[[#This Row],[ID MATERIAL]]="","",IF(Plantilla_SCAN_EQ3_COUNT_2[[#This Row],[No. Empaques]]="",1,Plantilla_SCAN_EQ3_COUNT_2[[#This Row],[No. Empaques]]*1))</f>
        <v/>
      </c>
      <c r="G1963" s="7" t="str">
        <f>IF(Plantilla_SCAN_EQ3_COUNT_2[[#This Row],[ID MATERIAL]]="","","PZ")</f>
        <v/>
      </c>
      <c r="H1963" s="7" t="str">
        <f>IF(Plantilla_SCAN_EQ3_COUNT_2[[#This Row],[ID MATERIAL]]="","",$B$13)</f>
        <v/>
      </c>
      <c r="I1963" s="7" t="str">
        <f>IF(Plantilla_SCAN_EQ3_COUNT_2[[#This Row],[ID MATERIAL]]="","","Segundo Conteo")</f>
        <v/>
      </c>
    </row>
    <row r="1964" spans="1:9" s="7" customFormat="1" ht="15" x14ac:dyDescent="0.2">
      <c r="A1964" s="7" t="str">
        <f>IF(Plantilla_SCAN_EQ3_COUNT_2[[#This Row],[ID MATERIAL]]="","",SIGN(Plantilla_SCAN_EQ3_COUNT_2[[#This Row],[Cantidad]])+A1963)</f>
        <v/>
      </c>
      <c r="B1964" s="21" t="str">
        <f>IF(Plantilla_SCAN_EQ3_COUNT_2[[#This Row],[ID MATERIAL]]="","",B1963)</f>
        <v/>
      </c>
      <c r="C1964" s="21"/>
      <c r="D1964" s="21"/>
      <c r="E1964" s="7" t="str">
        <f>IF(Plantilla_SCAN_EQ3_COUNT_2[[#This Row],[ID MATERIAL]]="","",VLOOKUP(Plantilla_SCAN_EQ3_COUNT_2[[#This Row],[ID MATERIAL]],INVENTARIO!$A:$D,2,FALSE))</f>
        <v/>
      </c>
      <c r="F1964" s="7" t="str">
        <f>IF(Plantilla_SCAN_EQ3_COUNT_2[[#This Row],[ID MATERIAL]]="","",IF(Plantilla_SCAN_EQ3_COUNT_2[[#This Row],[No. Empaques]]="",1,Plantilla_SCAN_EQ3_COUNT_2[[#This Row],[No. Empaques]]*1))</f>
        <v/>
      </c>
      <c r="G1964" s="7" t="str">
        <f>IF(Plantilla_SCAN_EQ3_COUNT_2[[#This Row],[ID MATERIAL]]="","","PZ")</f>
        <v/>
      </c>
      <c r="H1964" s="7" t="str">
        <f>IF(Plantilla_SCAN_EQ3_COUNT_2[[#This Row],[ID MATERIAL]]="","",$B$13)</f>
        <v/>
      </c>
      <c r="I1964" s="7" t="str">
        <f>IF(Plantilla_SCAN_EQ3_COUNT_2[[#This Row],[ID MATERIAL]]="","","Segundo Conteo")</f>
        <v/>
      </c>
    </row>
    <row r="1965" spans="1:9" s="7" customFormat="1" ht="15" x14ac:dyDescent="0.2">
      <c r="A1965" s="7" t="str">
        <f>IF(Plantilla_SCAN_EQ3_COUNT_2[[#This Row],[ID MATERIAL]]="","",SIGN(Plantilla_SCAN_EQ3_COUNT_2[[#This Row],[Cantidad]])+A1964)</f>
        <v/>
      </c>
      <c r="B1965" s="21" t="str">
        <f>IF(Plantilla_SCAN_EQ3_COUNT_2[[#This Row],[ID MATERIAL]]="","",B1964)</f>
        <v/>
      </c>
      <c r="C1965" s="21"/>
      <c r="D1965" s="21"/>
      <c r="E1965" s="7" t="str">
        <f>IF(Plantilla_SCAN_EQ3_COUNT_2[[#This Row],[ID MATERIAL]]="","",VLOOKUP(Plantilla_SCAN_EQ3_COUNT_2[[#This Row],[ID MATERIAL]],INVENTARIO!$A:$D,2,FALSE))</f>
        <v/>
      </c>
      <c r="F1965" s="7" t="str">
        <f>IF(Plantilla_SCAN_EQ3_COUNT_2[[#This Row],[ID MATERIAL]]="","",IF(Plantilla_SCAN_EQ3_COUNT_2[[#This Row],[No. Empaques]]="",1,Plantilla_SCAN_EQ3_COUNT_2[[#This Row],[No. Empaques]]*1))</f>
        <v/>
      </c>
      <c r="G1965" s="7" t="str">
        <f>IF(Plantilla_SCAN_EQ3_COUNT_2[[#This Row],[ID MATERIAL]]="","","PZ")</f>
        <v/>
      </c>
      <c r="H1965" s="7" t="str">
        <f>IF(Plantilla_SCAN_EQ3_COUNT_2[[#This Row],[ID MATERIAL]]="","",$B$13)</f>
        <v/>
      </c>
      <c r="I1965" s="7" t="str">
        <f>IF(Plantilla_SCAN_EQ3_COUNT_2[[#This Row],[ID MATERIAL]]="","","Segundo Conteo")</f>
        <v/>
      </c>
    </row>
    <row r="1966" spans="1:9" s="7" customFormat="1" ht="15" x14ac:dyDescent="0.2">
      <c r="A1966" s="7" t="str">
        <f>IF(Plantilla_SCAN_EQ3_COUNT_2[[#This Row],[ID MATERIAL]]="","",SIGN(Plantilla_SCAN_EQ3_COUNT_2[[#This Row],[Cantidad]])+A1965)</f>
        <v/>
      </c>
      <c r="B1966" s="21" t="str">
        <f>IF(Plantilla_SCAN_EQ3_COUNT_2[[#This Row],[ID MATERIAL]]="","",B1965)</f>
        <v/>
      </c>
      <c r="C1966" s="21"/>
      <c r="D1966" s="21"/>
      <c r="E1966" s="7" t="str">
        <f>IF(Plantilla_SCAN_EQ3_COUNT_2[[#This Row],[ID MATERIAL]]="","",VLOOKUP(Plantilla_SCAN_EQ3_COUNT_2[[#This Row],[ID MATERIAL]],INVENTARIO!$A:$D,2,FALSE))</f>
        <v/>
      </c>
      <c r="F1966" s="7" t="str">
        <f>IF(Plantilla_SCAN_EQ3_COUNT_2[[#This Row],[ID MATERIAL]]="","",IF(Plantilla_SCAN_EQ3_COUNT_2[[#This Row],[No. Empaques]]="",1,Plantilla_SCAN_EQ3_COUNT_2[[#This Row],[No. Empaques]]*1))</f>
        <v/>
      </c>
      <c r="G1966" s="7" t="str">
        <f>IF(Plantilla_SCAN_EQ3_COUNT_2[[#This Row],[ID MATERIAL]]="","","PZ")</f>
        <v/>
      </c>
      <c r="H1966" s="7" t="str">
        <f>IF(Plantilla_SCAN_EQ3_COUNT_2[[#This Row],[ID MATERIAL]]="","",$B$13)</f>
        <v/>
      </c>
      <c r="I1966" s="7" t="str">
        <f>IF(Plantilla_SCAN_EQ3_COUNT_2[[#This Row],[ID MATERIAL]]="","","Segundo Conteo")</f>
        <v/>
      </c>
    </row>
    <row r="1967" spans="1:9" s="7" customFormat="1" ht="15" x14ac:dyDescent="0.2">
      <c r="A1967" s="7" t="str">
        <f>IF(Plantilla_SCAN_EQ3_COUNT_2[[#This Row],[ID MATERIAL]]="","",SIGN(Plantilla_SCAN_EQ3_COUNT_2[[#This Row],[Cantidad]])+A1966)</f>
        <v/>
      </c>
      <c r="B1967" s="21" t="str">
        <f>IF(Plantilla_SCAN_EQ3_COUNT_2[[#This Row],[ID MATERIAL]]="","",B1966)</f>
        <v/>
      </c>
      <c r="C1967" s="21"/>
      <c r="D1967" s="21"/>
      <c r="E1967" s="7" t="str">
        <f>IF(Plantilla_SCAN_EQ3_COUNT_2[[#This Row],[ID MATERIAL]]="","",VLOOKUP(Plantilla_SCAN_EQ3_COUNT_2[[#This Row],[ID MATERIAL]],INVENTARIO!$A:$D,2,FALSE))</f>
        <v/>
      </c>
      <c r="F1967" s="7" t="str">
        <f>IF(Plantilla_SCAN_EQ3_COUNT_2[[#This Row],[ID MATERIAL]]="","",IF(Plantilla_SCAN_EQ3_COUNT_2[[#This Row],[No. Empaques]]="",1,Plantilla_SCAN_EQ3_COUNT_2[[#This Row],[No. Empaques]]*1))</f>
        <v/>
      </c>
      <c r="G1967" s="7" t="str">
        <f>IF(Plantilla_SCAN_EQ3_COUNT_2[[#This Row],[ID MATERIAL]]="","","PZ")</f>
        <v/>
      </c>
      <c r="H1967" s="7" t="str">
        <f>IF(Plantilla_SCAN_EQ3_COUNT_2[[#This Row],[ID MATERIAL]]="","",$B$13)</f>
        <v/>
      </c>
      <c r="I1967" s="7" t="str">
        <f>IF(Plantilla_SCAN_EQ3_COUNT_2[[#This Row],[ID MATERIAL]]="","","Segundo Conteo")</f>
        <v/>
      </c>
    </row>
    <row r="1968" spans="1:9" s="7" customFormat="1" ht="15" x14ac:dyDescent="0.2">
      <c r="A1968" s="7" t="str">
        <f>IF(Plantilla_SCAN_EQ3_COUNT_2[[#This Row],[ID MATERIAL]]="","",SIGN(Plantilla_SCAN_EQ3_COUNT_2[[#This Row],[Cantidad]])+A1967)</f>
        <v/>
      </c>
      <c r="B1968" s="21" t="str">
        <f>IF(Plantilla_SCAN_EQ3_COUNT_2[[#This Row],[ID MATERIAL]]="","",B1967)</f>
        <v/>
      </c>
      <c r="C1968" s="21"/>
      <c r="D1968" s="21"/>
      <c r="E1968" s="7" t="str">
        <f>IF(Plantilla_SCAN_EQ3_COUNT_2[[#This Row],[ID MATERIAL]]="","",VLOOKUP(Plantilla_SCAN_EQ3_COUNT_2[[#This Row],[ID MATERIAL]],INVENTARIO!$A:$D,2,FALSE))</f>
        <v/>
      </c>
      <c r="F1968" s="7" t="str">
        <f>IF(Plantilla_SCAN_EQ3_COUNT_2[[#This Row],[ID MATERIAL]]="","",IF(Plantilla_SCAN_EQ3_COUNT_2[[#This Row],[No. Empaques]]="",1,Plantilla_SCAN_EQ3_COUNT_2[[#This Row],[No. Empaques]]*1))</f>
        <v/>
      </c>
      <c r="G1968" s="7" t="str">
        <f>IF(Plantilla_SCAN_EQ3_COUNT_2[[#This Row],[ID MATERIAL]]="","","PZ")</f>
        <v/>
      </c>
      <c r="H1968" s="7" t="str">
        <f>IF(Plantilla_SCAN_EQ3_COUNT_2[[#This Row],[ID MATERIAL]]="","",$B$13)</f>
        <v/>
      </c>
      <c r="I1968" s="7" t="str">
        <f>IF(Plantilla_SCAN_EQ3_COUNT_2[[#This Row],[ID MATERIAL]]="","","Segundo Conteo")</f>
        <v/>
      </c>
    </row>
    <row r="1969" spans="1:9" s="7" customFormat="1" ht="15" x14ac:dyDescent="0.2">
      <c r="A1969" s="7" t="str">
        <f>IF(Plantilla_SCAN_EQ3_COUNT_2[[#This Row],[ID MATERIAL]]="","",SIGN(Plantilla_SCAN_EQ3_COUNT_2[[#This Row],[Cantidad]])+A1968)</f>
        <v/>
      </c>
      <c r="B1969" s="21" t="str">
        <f>IF(Plantilla_SCAN_EQ3_COUNT_2[[#This Row],[ID MATERIAL]]="","",B1968)</f>
        <v/>
      </c>
      <c r="C1969" s="21"/>
      <c r="D1969" s="21"/>
      <c r="E1969" s="7" t="str">
        <f>IF(Plantilla_SCAN_EQ3_COUNT_2[[#This Row],[ID MATERIAL]]="","",VLOOKUP(Plantilla_SCAN_EQ3_COUNT_2[[#This Row],[ID MATERIAL]],INVENTARIO!$A:$D,2,FALSE))</f>
        <v/>
      </c>
      <c r="F1969" s="7" t="str">
        <f>IF(Plantilla_SCAN_EQ3_COUNT_2[[#This Row],[ID MATERIAL]]="","",IF(Plantilla_SCAN_EQ3_COUNT_2[[#This Row],[No. Empaques]]="",1,Plantilla_SCAN_EQ3_COUNT_2[[#This Row],[No. Empaques]]*1))</f>
        <v/>
      </c>
      <c r="G1969" s="7" t="str">
        <f>IF(Plantilla_SCAN_EQ3_COUNT_2[[#This Row],[ID MATERIAL]]="","","PZ")</f>
        <v/>
      </c>
      <c r="H1969" s="7" t="str">
        <f>IF(Plantilla_SCAN_EQ3_COUNT_2[[#This Row],[ID MATERIAL]]="","",$B$13)</f>
        <v/>
      </c>
      <c r="I1969" s="7" t="str">
        <f>IF(Plantilla_SCAN_EQ3_COUNT_2[[#This Row],[ID MATERIAL]]="","","Segundo Conteo")</f>
        <v/>
      </c>
    </row>
    <row r="1970" spans="1:9" s="7" customFormat="1" ht="15" x14ac:dyDescent="0.2">
      <c r="A1970" s="7" t="str">
        <f>IF(Plantilla_SCAN_EQ3_COUNT_2[[#This Row],[ID MATERIAL]]="","",SIGN(Plantilla_SCAN_EQ3_COUNT_2[[#This Row],[Cantidad]])+A1969)</f>
        <v/>
      </c>
      <c r="B1970" s="21" t="str">
        <f>IF(Plantilla_SCAN_EQ3_COUNT_2[[#This Row],[ID MATERIAL]]="","",B1969)</f>
        <v/>
      </c>
      <c r="C1970" s="21"/>
      <c r="D1970" s="21"/>
      <c r="E1970" s="7" t="str">
        <f>IF(Plantilla_SCAN_EQ3_COUNT_2[[#This Row],[ID MATERIAL]]="","",VLOOKUP(Plantilla_SCAN_EQ3_COUNT_2[[#This Row],[ID MATERIAL]],INVENTARIO!$A:$D,2,FALSE))</f>
        <v/>
      </c>
      <c r="F1970" s="7" t="str">
        <f>IF(Plantilla_SCAN_EQ3_COUNT_2[[#This Row],[ID MATERIAL]]="","",IF(Plantilla_SCAN_EQ3_COUNT_2[[#This Row],[No. Empaques]]="",1,Plantilla_SCAN_EQ3_COUNT_2[[#This Row],[No. Empaques]]*1))</f>
        <v/>
      </c>
      <c r="G1970" s="7" t="str">
        <f>IF(Plantilla_SCAN_EQ3_COUNT_2[[#This Row],[ID MATERIAL]]="","","PZ")</f>
        <v/>
      </c>
      <c r="H1970" s="7" t="str">
        <f>IF(Plantilla_SCAN_EQ3_COUNT_2[[#This Row],[ID MATERIAL]]="","",$B$13)</f>
        <v/>
      </c>
      <c r="I1970" s="7" t="str">
        <f>IF(Plantilla_SCAN_EQ3_COUNT_2[[#This Row],[ID MATERIAL]]="","","Segundo Conteo")</f>
        <v/>
      </c>
    </row>
    <row r="1971" spans="1:9" s="7" customFormat="1" ht="15" x14ac:dyDescent="0.2">
      <c r="A1971" s="7" t="str">
        <f>IF(Plantilla_SCAN_EQ3_COUNT_2[[#This Row],[ID MATERIAL]]="","",SIGN(Plantilla_SCAN_EQ3_COUNT_2[[#This Row],[Cantidad]])+A1970)</f>
        <v/>
      </c>
      <c r="B1971" s="21" t="str">
        <f>IF(Plantilla_SCAN_EQ3_COUNT_2[[#This Row],[ID MATERIAL]]="","",B1970)</f>
        <v/>
      </c>
      <c r="C1971" s="21"/>
      <c r="D1971" s="21"/>
      <c r="E1971" s="7" t="str">
        <f>IF(Plantilla_SCAN_EQ3_COUNT_2[[#This Row],[ID MATERIAL]]="","",VLOOKUP(Plantilla_SCAN_EQ3_COUNT_2[[#This Row],[ID MATERIAL]],INVENTARIO!$A:$D,2,FALSE))</f>
        <v/>
      </c>
      <c r="F1971" s="7" t="str">
        <f>IF(Plantilla_SCAN_EQ3_COUNT_2[[#This Row],[ID MATERIAL]]="","",IF(Plantilla_SCAN_EQ3_COUNT_2[[#This Row],[No. Empaques]]="",1,Plantilla_SCAN_EQ3_COUNT_2[[#This Row],[No. Empaques]]*1))</f>
        <v/>
      </c>
      <c r="G1971" s="7" t="str">
        <f>IF(Plantilla_SCAN_EQ3_COUNT_2[[#This Row],[ID MATERIAL]]="","","PZ")</f>
        <v/>
      </c>
      <c r="H1971" s="7" t="str">
        <f>IF(Plantilla_SCAN_EQ3_COUNT_2[[#This Row],[ID MATERIAL]]="","",$B$13)</f>
        <v/>
      </c>
      <c r="I1971" s="7" t="str">
        <f>IF(Plantilla_SCAN_EQ3_COUNT_2[[#This Row],[ID MATERIAL]]="","","Segundo Conteo")</f>
        <v/>
      </c>
    </row>
    <row r="1972" spans="1:9" s="7" customFormat="1" ht="15" x14ac:dyDescent="0.2">
      <c r="A1972" s="7" t="str">
        <f>IF(Plantilla_SCAN_EQ3_COUNT_2[[#This Row],[ID MATERIAL]]="","",SIGN(Plantilla_SCAN_EQ3_COUNT_2[[#This Row],[Cantidad]])+A1971)</f>
        <v/>
      </c>
      <c r="B1972" s="21" t="str">
        <f>IF(Plantilla_SCAN_EQ3_COUNT_2[[#This Row],[ID MATERIAL]]="","",B1971)</f>
        <v/>
      </c>
      <c r="C1972" s="21"/>
      <c r="D1972" s="21"/>
      <c r="E1972" s="7" t="str">
        <f>IF(Plantilla_SCAN_EQ3_COUNT_2[[#This Row],[ID MATERIAL]]="","",VLOOKUP(Plantilla_SCAN_EQ3_COUNT_2[[#This Row],[ID MATERIAL]],INVENTARIO!$A:$D,2,FALSE))</f>
        <v/>
      </c>
      <c r="F1972" s="7" t="str">
        <f>IF(Plantilla_SCAN_EQ3_COUNT_2[[#This Row],[ID MATERIAL]]="","",IF(Plantilla_SCAN_EQ3_COUNT_2[[#This Row],[No. Empaques]]="",1,Plantilla_SCAN_EQ3_COUNT_2[[#This Row],[No. Empaques]]*1))</f>
        <v/>
      </c>
      <c r="G1972" s="7" t="str">
        <f>IF(Plantilla_SCAN_EQ3_COUNT_2[[#This Row],[ID MATERIAL]]="","","PZ")</f>
        <v/>
      </c>
      <c r="H1972" s="7" t="str">
        <f>IF(Plantilla_SCAN_EQ3_COUNT_2[[#This Row],[ID MATERIAL]]="","",$B$13)</f>
        <v/>
      </c>
      <c r="I1972" s="7" t="str">
        <f>IF(Plantilla_SCAN_EQ3_COUNT_2[[#This Row],[ID MATERIAL]]="","","Segundo Conteo")</f>
        <v/>
      </c>
    </row>
    <row r="1973" spans="1:9" s="7" customFormat="1" ht="15" x14ac:dyDescent="0.2">
      <c r="A1973" s="7" t="str">
        <f>IF(Plantilla_SCAN_EQ3_COUNT_2[[#This Row],[ID MATERIAL]]="","",SIGN(Plantilla_SCAN_EQ3_COUNT_2[[#This Row],[Cantidad]])+A1972)</f>
        <v/>
      </c>
      <c r="B1973" s="21" t="str">
        <f>IF(Plantilla_SCAN_EQ3_COUNT_2[[#This Row],[ID MATERIAL]]="","",B1972)</f>
        <v/>
      </c>
      <c r="C1973" s="21"/>
      <c r="D1973" s="21"/>
      <c r="E1973" s="7" t="str">
        <f>IF(Plantilla_SCAN_EQ3_COUNT_2[[#This Row],[ID MATERIAL]]="","",VLOOKUP(Plantilla_SCAN_EQ3_COUNT_2[[#This Row],[ID MATERIAL]],INVENTARIO!$A:$D,2,FALSE))</f>
        <v/>
      </c>
      <c r="F1973" s="7" t="str">
        <f>IF(Plantilla_SCAN_EQ3_COUNT_2[[#This Row],[ID MATERIAL]]="","",IF(Plantilla_SCAN_EQ3_COUNT_2[[#This Row],[No. Empaques]]="",1,Plantilla_SCAN_EQ3_COUNT_2[[#This Row],[No. Empaques]]*1))</f>
        <v/>
      </c>
      <c r="G1973" s="7" t="str">
        <f>IF(Plantilla_SCAN_EQ3_COUNT_2[[#This Row],[ID MATERIAL]]="","","PZ")</f>
        <v/>
      </c>
      <c r="H1973" s="7" t="str">
        <f>IF(Plantilla_SCAN_EQ3_COUNT_2[[#This Row],[ID MATERIAL]]="","",$B$13)</f>
        <v/>
      </c>
      <c r="I1973" s="7" t="str">
        <f>IF(Plantilla_SCAN_EQ3_COUNT_2[[#This Row],[ID MATERIAL]]="","","Segundo Conteo")</f>
        <v/>
      </c>
    </row>
    <row r="1974" spans="1:9" s="7" customFormat="1" ht="15" x14ac:dyDescent="0.2">
      <c r="A1974" s="7" t="str">
        <f>IF(Plantilla_SCAN_EQ3_COUNT_2[[#This Row],[ID MATERIAL]]="","",SIGN(Plantilla_SCAN_EQ3_COUNT_2[[#This Row],[Cantidad]])+A1973)</f>
        <v/>
      </c>
      <c r="B1974" s="21" t="str">
        <f>IF(Plantilla_SCAN_EQ3_COUNT_2[[#This Row],[ID MATERIAL]]="","",B1973)</f>
        <v/>
      </c>
      <c r="C1974" s="21"/>
      <c r="D1974" s="21"/>
      <c r="E1974" s="7" t="str">
        <f>IF(Plantilla_SCAN_EQ3_COUNT_2[[#This Row],[ID MATERIAL]]="","",VLOOKUP(Plantilla_SCAN_EQ3_COUNT_2[[#This Row],[ID MATERIAL]],INVENTARIO!$A:$D,2,FALSE))</f>
        <v/>
      </c>
      <c r="F1974" s="7" t="str">
        <f>IF(Plantilla_SCAN_EQ3_COUNT_2[[#This Row],[ID MATERIAL]]="","",IF(Plantilla_SCAN_EQ3_COUNT_2[[#This Row],[No. Empaques]]="",1,Plantilla_SCAN_EQ3_COUNT_2[[#This Row],[No. Empaques]]*1))</f>
        <v/>
      </c>
      <c r="G1974" s="7" t="str">
        <f>IF(Plantilla_SCAN_EQ3_COUNT_2[[#This Row],[ID MATERIAL]]="","","PZ")</f>
        <v/>
      </c>
      <c r="H1974" s="7" t="str">
        <f>IF(Plantilla_SCAN_EQ3_COUNT_2[[#This Row],[ID MATERIAL]]="","",$B$13)</f>
        <v/>
      </c>
      <c r="I1974" s="7" t="str">
        <f>IF(Plantilla_SCAN_EQ3_COUNT_2[[#This Row],[ID MATERIAL]]="","","Segundo Conteo")</f>
        <v/>
      </c>
    </row>
    <row r="1975" spans="1:9" s="7" customFormat="1" ht="15" x14ac:dyDescent="0.2">
      <c r="A1975" s="7" t="str">
        <f>IF(Plantilla_SCAN_EQ3_COUNT_2[[#This Row],[ID MATERIAL]]="","",SIGN(Plantilla_SCAN_EQ3_COUNT_2[[#This Row],[Cantidad]])+A1974)</f>
        <v/>
      </c>
      <c r="B1975" s="21" t="str">
        <f>IF(Plantilla_SCAN_EQ3_COUNT_2[[#This Row],[ID MATERIAL]]="","",B1974)</f>
        <v/>
      </c>
      <c r="C1975" s="21"/>
      <c r="D1975" s="21"/>
      <c r="E1975" s="7" t="str">
        <f>IF(Plantilla_SCAN_EQ3_COUNT_2[[#This Row],[ID MATERIAL]]="","",VLOOKUP(Plantilla_SCAN_EQ3_COUNT_2[[#This Row],[ID MATERIAL]],INVENTARIO!$A:$D,2,FALSE))</f>
        <v/>
      </c>
      <c r="F1975" s="7" t="str">
        <f>IF(Plantilla_SCAN_EQ3_COUNT_2[[#This Row],[ID MATERIAL]]="","",IF(Plantilla_SCAN_EQ3_COUNT_2[[#This Row],[No. Empaques]]="",1,Plantilla_SCAN_EQ3_COUNT_2[[#This Row],[No. Empaques]]*1))</f>
        <v/>
      </c>
      <c r="G1975" s="7" t="str">
        <f>IF(Plantilla_SCAN_EQ3_COUNT_2[[#This Row],[ID MATERIAL]]="","","PZ")</f>
        <v/>
      </c>
      <c r="H1975" s="7" t="str">
        <f>IF(Plantilla_SCAN_EQ3_COUNT_2[[#This Row],[ID MATERIAL]]="","",$B$13)</f>
        <v/>
      </c>
      <c r="I1975" s="7" t="str">
        <f>IF(Plantilla_SCAN_EQ3_COUNT_2[[#This Row],[ID MATERIAL]]="","","Segundo Conteo")</f>
        <v/>
      </c>
    </row>
    <row r="1976" spans="1:9" s="7" customFormat="1" ht="15" x14ac:dyDescent="0.2">
      <c r="A1976" s="7" t="str">
        <f>IF(Plantilla_SCAN_EQ3_COUNT_2[[#This Row],[ID MATERIAL]]="","",SIGN(Plantilla_SCAN_EQ3_COUNT_2[[#This Row],[Cantidad]])+A1975)</f>
        <v/>
      </c>
      <c r="B1976" s="21" t="str">
        <f>IF(Plantilla_SCAN_EQ3_COUNT_2[[#This Row],[ID MATERIAL]]="","",B1975)</f>
        <v/>
      </c>
      <c r="C1976" s="21"/>
      <c r="D1976" s="21"/>
      <c r="E1976" s="7" t="str">
        <f>IF(Plantilla_SCAN_EQ3_COUNT_2[[#This Row],[ID MATERIAL]]="","",VLOOKUP(Plantilla_SCAN_EQ3_COUNT_2[[#This Row],[ID MATERIAL]],INVENTARIO!$A:$D,2,FALSE))</f>
        <v/>
      </c>
      <c r="F1976" s="7" t="str">
        <f>IF(Plantilla_SCAN_EQ3_COUNT_2[[#This Row],[ID MATERIAL]]="","",IF(Plantilla_SCAN_EQ3_COUNT_2[[#This Row],[No. Empaques]]="",1,Plantilla_SCAN_EQ3_COUNT_2[[#This Row],[No. Empaques]]*1))</f>
        <v/>
      </c>
      <c r="G1976" s="7" t="str">
        <f>IF(Plantilla_SCAN_EQ3_COUNT_2[[#This Row],[ID MATERIAL]]="","","PZ")</f>
        <v/>
      </c>
      <c r="H1976" s="7" t="str">
        <f>IF(Plantilla_SCAN_EQ3_COUNT_2[[#This Row],[ID MATERIAL]]="","",$B$13)</f>
        <v/>
      </c>
      <c r="I1976" s="7" t="str">
        <f>IF(Plantilla_SCAN_EQ3_COUNT_2[[#This Row],[ID MATERIAL]]="","","Segundo Conteo")</f>
        <v/>
      </c>
    </row>
    <row r="1977" spans="1:9" s="7" customFormat="1" ht="15" x14ac:dyDescent="0.2">
      <c r="A1977" s="7" t="str">
        <f>IF(Plantilla_SCAN_EQ3_COUNT_2[[#This Row],[ID MATERIAL]]="","",SIGN(Plantilla_SCAN_EQ3_COUNT_2[[#This Row],[Cantidad]])+A1976)</f>
        <v/>
      </c>
      <c r="B1977" s="21" t="str">
        <f>IF(Plantilla_SCAN_EQ3_COUNT_2[[#This Row],[ID MATERIAL]]="","",B1976)</f>
        <v/>
      </c>
      <c r="C1977" s="21"/>
      <c r="D1977" s="21"/>
      <c r="E1977" s="7" t="str">
        <f>IF(Plantilla_SCAN_EQ3_COUNT_2[[#This Row],[ID MATERIAL]]="","",VLOOKUP(Plantilla_SCAN_EQ3_COUNT_2[[#This Row],[ID MATERIAL]],INVENTARIO!$A:$D,2,FALSE))</f>
        <v/>
      </c>
      <c r="F1977" s="7" t="str">
        <f>IF(Plantilla_SCAN_EQ3_COUNT_2[[#This Row],[ID MATERIAL]]="","",IF(Plantilla_SCAN_EQ3_COUNT_2[[#This Row],[No. Empaques]]="",1,Plantilla_SCAN_EQ3_COUNT_2[[#This Row],[No. Empaques]]*1))</f>
        <v/>
      </c>
      <c r="G1977" s="7" t="str">
        <f>IF(Plantilla_SCAN_EQ3_COUNT_2[[#This Row],[ID MATERIAL]]="","","PZ")</f>
        <v/>
      </c>
      <c r="H1977" s="7" t="str">
        <f>IF(Plantilla_SCAN_EQ3_COUNT_2[[#This Row],[ID MATERIAL]]="","",$B$13)</f>
        <v/>
      </c>
      <c r="I1977" s="7" t="str">
        <f>IF(Plantilla_SCAN_EQ3_COUNT_2[[#This Row],[ID MATERIAL]]="","","Segundo Conteo")</f>
        <v/>
      </c>
    </row>
    <row r="1978" spans="1:9" s="7" customFormat="1" ht="15" x14ac:dyDescent="0.2">
      <c r="A1978" s="7" t="str">
        <f>IF(Plantilla_SCAN_EQ3_COUNT_2[[#This Row],[ID MATERIAL]]="","",SIGN(Plantilla_SCAN_EQ3_COUNT_2[[#This Row],[Cantidad]])+A1977)</f>
        <v/>
      </c>
      <c r="B1978" s="21" t="str">
        <f>IF(Plantilla_SCAN_EQ3_COUNT_2[[#This Row],[ID MATERIAL]]="","",B1977)</f>
        <v/>
      </c>
      <c r="C1978" s="21"/>
      <c r="D1978" s="21"/>
      <c r="E1978" s="7" t="str">
        <f>IF(Plantilla_SCAN_EQ3_COUNT_2[[#This Row],[ID MATERIAL]]="","",VLOOKUP(Plantilla_SCAN_EQ3_COUNT_2[[#This Row],[ID MATERIAL]],INVENTARIO!$A:$D,2,FALSE))</f>
        <v/>
      </c>
      <c r="F1978" s="7" t="str">
        <f>IF(Plantilla_SCAN_EQ3_COUNT_2[[#This Row],[ID MATERIAL]]="","",IF(Plantilla_SCAN_EQ3_COUNT_2[[#This Row],[No. Empaques]]="",1,Plantilla_SCAN_EQ3_COUNT_2[[#This Row],[No. Empaques]]*1))</f>
        <v/>
      </c>
      <c r="G1978" s="7" t="str">
        <f>IF(Plantilla_SCAN_EQ3_COUNT_2[[#This Row],[ID MATERIAL]]="","","PZ")</f>
        <v/>
      </c>
      <c r="H1978" s="7" t="str">
        <f>IF(Plantilla_SCAN_EQ3_COUNT_2[[#This Row],[ID MATERIAL]]="","",$B$13)</f>
        <v/>
      </c>
      <c r="I1978" s="7" t="str">
        <f>IF(Plantilla_SCAN_EQ3_COUNT_2[[#This Row],[ID MATERIAL]]="","","Segundo Conteo")</f>
        <v/>
      </c>
    </row>
    <row r="1979" spans="1:9" s="7" customFormat="1" ht="15" x14ac:dyDescent="0.2">
      <c r="A1979" s="7" t="str">
        <f>IF(Plantilla_SCAN_EQ3_COUNT_2[[#This Row],[ID MATERIAL]]="","",SIGN(Plantilla_SCAN_EQ3_COUNT_2[[#This Row],[Cantidad]])+A1978)</f>
        <v/>
      </c>
      <c r="B1979" s="21" t="str">
        <f>IF(Plantilla_SCAN_EQ3_COUNT_2[[#This Row],[ID MATERIAL]]="","",B1978)</f>
        <v/>
      </c>
      <c r="C1979" s="21"/>
      <c r="D1979" s="21"/>
      <c r="E1979" s="7" t="str">
        <f>IF(Plantilla_SCAN_EQ3_COUNT_2[[#This Row],[ID MATERIAL]]="","",VLOOKUP(Plantilla_SCAN_EQ3_COUNT_2[[#This Row],[ID MATERIAL]],INVENTARIO!$A:$D,2,FALSE))</f>
        <v/>
      </c>
      <c r="F1979" s="7" t="str">
        <f>IF(Plantilla_SCAN_EQ3_COUNT_2[[#This Row],[ID MATERIAL]]="","",IF(Plantilla_SCAN_EQ3_COUNT_2[[#This Row],[No. Empaques]]="",1,Plantilla_SCAN_EQ3_COUNT_2[[#This Row],[No. Empaques]]*1))</f>
        <v/>
      </c>
      <c r="G1979" s="7" t="str">
        <f>IF(Plantilla_SCAN_EQ3_COUNT_2[[#This Row],[ID MATERIAL]]="","","PZ")</f>
        <v/>
      </c>
      <c r="H1979" s="7" t="str">
        <f>IF(Plantilla_SCAN_EQ3_COUNT_2[[#This Row],[ID MATERIAL]]="","",$B$13)</f>
        <v/>
      </c>
      <c r="I1979" s="7" t="str">
        <f>IF(Plantilla_SCAN_EQ3_COUNT_2[[#This Row],[ID MATERIAL]]="","","Segundo Conteo")</f>
        <v/>
      </c>
    </row>
    <row r="1980" spans="1:9" s="7" customFormat="1" ht="15" x14ac:dyDescent="0.2">
      <c r="A1980" s="7" t="str">
        <f>IF(Plantilla_SCAN_EQ3_COUNT_2[[#This Row],[ID MATERIAL]]="","",SIGN(Plantilla_SCAN_EQ3_COUNT_2[[#This Row],[Cantidad]])+A1979)</f>
        <v/>
      </c>
      <c r="B1980" s="21" t="str">
        <f>IF(Plantilla_SCAN_EQ3_COUNT_2[[#This Row],[ID MATERIAL]]="","",B1979)</f>
        <v/>
      </c>
      <c r="C1980" s="21"/>
      <c r="D1980" s="21"/>
      <c r="E1980" s="7" t="str">
        <f>IF(Plantilla_SCAN_EQ3_COUNT_2[[#This Row],[ID MATERIAL]]="","",VLOOKUP(Plantilla_SCAN_EQ3_COUNT_2[[#This Row],[ID MATERIAL]],INVENTARIO!$A:$D,2,FALSE))</f>
        <v/>
      </c>
      <c r="F1980" s="7" t="str">
        <f>IF(Plantilla_SCAN_EQ3_COUNT_2[[#This Row],[ID MATERIAL]]="","",IF(Plantilla_SCAN_EQ3_COUNT_2[[#This Row],[No. Empaques]]="",1,Plantilla_SCAN_EQ3_COUNT_2[[#This Row],[No. Empaques]]*1))</f>
        <v/>
      </c>
      <c r="G1980" s="7" t="str">
        <f>IF(Plantilla_SCAN_EQ3_COUNT_2[[#This Row],[ID MATERIAL]]="","","PZ")</f>
        <v/>
      </c>
      <c r="H1980" s="7" t="str">
        <f>IF(Plantilla_SCAN_EQ3_COUNT_2[[#This Row],[ID MATERIAL]]="","",$B$13)</f>
        <v/>
      </c>
      <c r="I1980" s="7" t="str">
        <f>IF(Plantilla_SCAN_EQ3_COUNT_2[[#This Row],[ID MATERIAL]]="","","Segundo Conteo")</f>
        <v/>
      </c>
    </row>
    <row r="1981" spans="1:9" s="7" customFormat="1" ht="15" x14ac:dyDescent="0.2">
      <c r="A1981" s="7" t="str">
        <f>IF(Plantilla_SCAN_EQ3_COUNT_2[[#This Row],[ID MATERIAL]]="","",SIGN(Plantilla_SCAN_EQ3_COUNT_2[[#This Row],[Cantidad]])+A1980)</f>
        <v/>
      </c>
      <c r="B1981" s="21" t="str">
        <f>IF(Plantilla_SCAN_EQ3_COUNT_2[[#This Row],[ID MATERIAL]]="","",B1980)</f>
        <v/>
      </c>
      <c r="C1981" s="21"/>
      <c r="D1981" s="21"/>
      <c r="E1981" s="7" t="str">
        <f>IF(Plantilla_SCAN_EQ3_COUNT_2[[#This Row],[ID MATERIAL]]="","",VLOOKUP(Plantilla_SCAN_EQ3_COUNT_2[[#This Row],[ID MATERIAL]],INVENTARIO!$A:$D,2,FALSE))</f>
        <v/>
      </c>
      <c r="F1981" s="7" t="str">
        <f>IF(Plantilla_SCAN_EQ3_COUNT_2[[#This Row],[ID MATERIAL]]="","",IF(Plantilla_SCAN_EQ3_COUNT_2[[#This Row],[No. Empaques]]="",1,Plantilla_SCAN_EQ3_COUNT_2[[#This Row],[No. Empaques]]*1))</f>
        <v/>
      </c>
      <c r="G1981" s="7" t="str">
        <f>IF(Plantilla_SCAN_EQ3_COUNT_2[[#This Row],[ID MATERIAL]]="","","PZ")</f>
        <v/>
      </c>
      <c r="H1981" s="7" t="str">
        <f>IF(Plantilla_SCAN_EQ3_COUNT_2[[#This Row],[ID MATERIAL]]="","",$B$13)</f>
        <v/>
      </c>
      <c r="I1981" s="7" t="str">
        <f>IF(Plantilla_SCAN_EQ3_COUNT_2[[#This Row],[ID MATERIAL]]="","","Segundo Conteo")</f>
        <v/>
      </c>
    </row>
    <row r="1982" spans="1:9" s="7" customFormat="1" ht="15" x14ac:dyDescent="0.2">
      <c r="A1982" s="7" t="str">
        <f>IF(Plantilla_SCAN_EQ3_COUNT_2[[#This Row],[ID MATERIAL]]="","",SIGN(Plantilla_SCAN_EQ3_COUNT_2[[#This Row],[Cantidad]])+A1981)</f>
        <v/>
      </c>
      <c r="B1982" s="21" t="str">
        <f>IF(Plantilla_SCAN_EQ3_COUNT_2[[#This Row],[ID MATERIAL]]="","",B1981)</f>
        <v/>
      </c>
      <c r="C1982" s="21"/>
      <c r="D1982" s="21"/>
      <c r="E1982" s="7" t="str">
        <f>IF(Plantilla_SCAN_EQ3_COUNT_2[[#This Row],[ID MATERIAL]]="","",VLOOKUP(Plantilla_SCAN_EQ3_COUNT_2[[#This Row],[ID MATERIAL]],INVENTARIO!$A:$D,2,FALSE))</f>
        <v/>
      </c>
      <c r="F1982" s="7" t="str">
        <f>IF(Plantilla_SCAN_EQ3_COUNT_2[[#This Row],[ID MATERIAL]]="","",IF(Plantilla_SCAN_EQ3_COUNT_2[[#This Row],[No. Empaques]]="",1,Plantilla_SCAN_EQ3_COUNT_2[[#This Row],[No. Empaques]]*1))</f>
        <v/>
      </c>
      <c r="G1982" s="7" t="str">
        <f>IF(Plantilla_SCAN_EQ3_COUNT_2[[#This Row],[ID MATERIAL]]="","","PZ")</f>
        <v/>
      </c>
      <c r="H1982" s="7" t="str">
        <f>IF(Plantilla_SCAN_EQ3_COUNT_2[[#This Row],[ID MATERIAL]]="","",$B$13)</f>
        <v/>
      </c>
      <c r="I1982" s="7" t="str">
        <f>IF(Plantilla_SCAN_EQ3_COUNT_2[[#This Row],[ID MATERIAL]]="","","Segundo Conteo")</f>
        <v/>
      </c>
    </row>
    <row r="1983" spans="1:9" s="7" customFormat="1" ht="15" x14ac:dyDescent="0.2">
      <c r="A1983" s="7" t="str">
        <f>IF(Plantilla_SCAN_EQ3_COUNT_2[[#This Row],[ID MATERIAL]]="","",SIGN(Plantilla_SCAN_EQ3_COUNT_2[[#This Row],[Cantidad]])+A1982)</f>
        <v/>
      </c>
      <c r="B1983" s="21" t="str">
        <f>IF(Plantilla_SCAN_EQ3_COUNT_2[[#This Row],[ID MATERIAL]]="","",B1982)</f>
        <v/>
      </c>
      <c r="C1983" s="21"/>
      <c r="D1983" s="21"/>
      <c r="E1983" s="7" t="str">
        <f>IF(Plantilla_SCAN_EQ3_COUNT_2[[#This Row],[ID MATERIAL]]="","",VLOOKUP(Plantilla_SCAN_EQ3_COUNT_2[[#This Row],[ID MATERIAL]],INVENTARIO!$A:$D,2,FALSE))</f>
        <v/>
      </c>
      <c r="F1983" s="7" t="str">
        <f>IF(Plantilla_SCAN_EQ3_COUNT_2[[#This Row],[ID MATERIAL]]="","",IF(Plantilla_SCAN_EQ3_COUNT_2[[#This Row],[No. Empaques]]="",1,Plantilla_SCAN_EQ3_COUNT_2[[#This Row],[No. Empaques]]*1))</f>
        <v/>
      </c>
      <c r="G1983" s="7" t="str">
        <f>IF(Plantilla_SCAN_EQ3_COUNT_2[[#This Row],[ID MATERIAL]]="","","PZ")</f>
        <v/>
      </c>
      <c r="H1983" s="7" t="str">
        <f>IF(Plantilla_SCAN_EQ3_COUNT_2[[#This Row],[ID MATERIAL]]="","",$B$13)</f>
        <v/>
      </c>
      <c r="I1983" s="7" t="str">
        <f>IF(Plantilla_SCAN_EQ3_COUNT_2[[#This Row],[ID MATERIAL]]="","","Segundo Conteo")</f>
        <v/>
      </c>
    </row>
    <row r="1984" spans="1:9" s="7" customFormat="1" ht="15" x14ac:dyDescent="0.2">
      <c r="A1984" s="7" t="str">
        <f>IF(Plantilla_SCAN_EQ3_COUNT_2[[#This Row],[ID MATERIAL]]="","",SIGN(Plantilla_SCAN_EQ3_COUNT_2[[#This Row],[Cantidad]])+A1983)</f>
        <v/>
      </c>
      <c r="B1984" s="21" t="str">
        <f>IF(Plantilla_SCAN_EQ3_COUNT_2[[#This Row],[ID MATERIAL]]="","",B1983)</f>
        <v/>
      </c>
      <c r="C1984" s="21"/>
      <c r="D1984" s="21"/>
      <c r="E1984" s="7" t="str">
        <f>IF(Plantilla_SCAN_EQ3_COUNT_2[[#This Row],[ID MATERIAL]]="","",VLOOKUP(Plantilla_SCAN_EQ3_COUNT_2[[#This Row],[ID MATERIAL]],INVENTARIO!$A:$D,2,FALSE))</f>
        <v/>
      </c>
      <c r="F1984" s="7" t="str">
        <f>IF(Plantilla_SCAN_EQ3_COUNT_2[[#This Row],[ID MATERIAL]]="","",IF(Plantilla_SCAN_EQ3_COUNT_2[[#This Row],[No. Empaques]]="",1,Plantilla_SCAN_EQ3_COUNT_2[[#This Row],[No. Empaques]]*1))</f>
        <v/>
      </c>
      <c r="G1984" s="7" t="str">
        <f>IF(Plantilla_SCAN_EQ3_COUNT_2[[#This Row],[ID MATERIAL]]="","","PZ")</f>
        <v/>
      </c>
      <c r="H1984" s="7" t="str">
        <f>IF(Plantilla_SCAN_EQ3_COUNT_2[[#This Row],[ID MATERIAL]]="","",$B$13)</f>
        <v/>
      </c>
      <c r="I1984" s="7" t="str">
        <f>IF(Plantilla_SCAN_EQ3_COUNT_2[[#This Row],[ID MATERIAL]]="","","Segundo Conteo")</f>
        <v/>
      </c>
    </row>
    <row r="1985" spans="1:9" s="7" customFormat="1" ht="15" x14ac:dyDescent="0.2">
      <c r="A1985" s="7" t="str">
        <f>IF(Plantilla_SCAN_EQ3_COUNT_2[[#This Row],[ID MATERIAL]]="","",SIGN(Plantilla_SCAN_EQ3_COUNT_2[[#This Row],[Cantidad]])+A1984)</f>
        <v/>
      </c>
      <c r="B1985" s="21" t="str">
        <f>IF(Plantilla_SCAN_EQ3_COUNT_2[[#This Row],[ID MATERIAL]]="","",B1984)</f>
        <v/>
      </c>
      <c r="C1985" s="21"/>
      <c r="D1985" s="21"/>
      <c r="E1985" s="7" t="str">
        <f>IF(Plantilla_SCAN_EQ3_COUNT_2[[#This Row],[ID MATERIAL]]="","",VLOOKUP(Plantilla_SCAN_EQ3_COUNT_2[[#This Row],[ID MATERIAL]],INVENTARIO!$A:$D,2,FALSE))</f>
        <v/>
      </c>
      <c r="F1985" s="7" t="str">
        <f>IF(Plantilla_SCAN_EQ3_COUNT_2[[#This Row],[ID MATERIAL]]="","",IF(Plantilla_SCAN_EQ3_COUNT_2[[#This Row],[No. Empaques]]="",1,Plantilla_SCAN_EQ3_COUNT_2[[#This Row],[No. Empaques]]*1))</f>
        <v/>
      </c>
      <c r="G1985" s="7" t="str">
        <f>IF(Plantilla_SCAN_EQ3_COUNT_2[[#This Row],[ID MATERIAL]]="","","PZ")</f>
        <v/>
      </c>
      <c r="H1985" s="7" t="str">
        <f>IF(Plantilla_SCAN_EQ3_COUNT_2[[#This Row],[ID MATERIAL]]="","",$B$13)</f>
        <v/>
      </c>
      <c r="I1985" s="7" t="str">
        <f>IF(Plantilla_SCAN_EQ3_COUNT_2[[#This Row],[ID MATERIAL]]="","","Segundo Conteo")</f>
        <v/>
      </c>
    </row>
    <row r="1986" spans="1:9" s="7" customFormat="1" ht="15" x14ac:dyDescent="0.2">
      <c r="A1986" s="7" t="str">
        <f>IF(Plantilla_SCAN_EQ3_COUNT_2[[#This Row],[ID MATERIAL]]="","",SIGN(Plantilla_SCAN_EQ3_COUNT_2[[#This Row],[Cantidad]])+A1985)</f>
        <v/>
      </c>
      <c r="B1986" s="21" t="str">
        <f>IF(Plantilla_SCAN_EQ3_COUNT_2[[#This Row],[ID MATERIAL]]="","",B1985)</f>
        <v/>
      </c>
      <c r="C1986" s="21"/>
      <c r="D1986" s="21"/>
      <c r="E1986" s="7" t="str">
        <f>IF(Plantilla_SCAN_EQ3_COUNT_2[[#This Row],[ID MATERIAL]]="","",VLOOKUP(Plantilla_SCAN_EQ3_COUNT_2[[#This Row],[ID MATERIAL]],INVENTARIO!$A:$D,2,FALSE))</f>
        <v/>
      </c>
      <c r="F1986" s="7" t="str">
        <f>IF(Plantilla_SCAN_EQ3_COUNT_2[[#This Row],[ID MATERIAL]]="","",IF(Plantilla_SCAN_EQ3_COUNT_2[[#This Row],[No. Empaques]]="",1,Plantilla_SCAN_EQ3_COUNT_2[[#This Row],[No. Empaques]]*1))</f>
        <v/>
      </c>
      <c r="G1986" s="7" t="str">
        <f>IF(Plantilla_SCAN_EQ3_COUNT_2[[#This Row],[ID MATERIAL]]="","","PZ")</f>
        <v/>
      </c>
      <c r="H1986" s="7" t="str">
        <f>IF(Plantilla_SCAN_EQ3_COUNT_2[[#This Row],[ID MATERIAL]]="","",$B$13)</f>
        <v/>
      </c>
      <c r="I1986" s="7" t="str">
        <f>IF(Plantilla_SCAN_EQ3_COUNT_2[[#This Row],[ID MATERIAL]]="","","Segundo Conteo")</f>
        <v/>
      </c>
    </row>
    <row r="1987" spans="1:9" s="7" customFormat="1" ht="15" x14ac:dyDescent="0.2">
      <c r="A1987" s="7" t="str">
        <f>IF(Plantilla_SCAN_EQ3_COUNT_2[[#This Row],[ID MATERIAL]]="","",SIGN(Plantilla_SCAN_EQ3_COUNT_2[[#This Row],[Cantidad]])+A1986)</f>
        <v/>
      </c>
      <c r="B1987" s="21" t="str">
        <f>IF(Plantilla_SCAN_EQ3_COUNT_2[[#This Row],[ID MATERIAL]]="","",B1986)</f>
        <v/>
      </c>
      <c r="C1987" s="21"/>
      <c r="D1987" s="21"/>
      <c r="E1987" s="7" t="str">
        <f>IF(Plantilla_SCAN_EQ3_COUNT_2[[#This Row],[ID MATERIAL]]="","",VLOOKUP(Plantilla_SCAN_EQ3_COUNT_2[[#This Row],[ID MATERIAL]],INVENTARIO!$A:$D,2,FALSE))</f>
        <v/>
      </c>
      <c r="F1987" s="7" t="str">
        <f>IF(Plantilla_SCAN_EQ3_COUNT_2[[#This Row],[ID MATERIAL]]="","",IF(Plantilla_SCAN_EQ3_COUNT_2[[#This Row],[No. Empaques]]="",1,Plantilla_SCAN_EQ3_COUNT_2[[#This Row],[No. Empaques]]*1))</f>
        <v/>
      </c>
      <c r="G1987" s="7" t="str">
        <f>IF(Plantilla_SCAN_EQ3_COUNT_2[[#This Row],[ID MATERIAL]]="","","PZ")</f>
        <v/>
      </c>
      <c r="H1987" s="7" t="str">
        <f>IF(Plantilla_SCAN_EQ3_COUNT_2[[#This Row],[ID MATERIAL]]="","",$B$13)</f>
        <v/>
      </c>
      <c r="I1987" s="7" t="str">
        <f>IF(Plantilla_SCAN_EQ3_COUNT_2[[#This Row],[ID MATERIAL]]="","","Segundo Conteo")</f>
        <v/>
      </c>
    </row>
    <row r="1988" spans="1:9" s="7" customFormat="1" ht="15" x14ac:dyDescent="0.2">
      <c r="A1988" s="7" t="str">
        <f>IF(Plantilla_SCAN_EQ3_COUNT_2[[#This Row],[ID MATERIAL]]="","",SIGN(Plantilla_SCAN_EQ3_COUNT_2[[#This Row],[Cantidad]])+A1987)</f>
        <v/>
      </c>
      <c r="B1988" s="21" t="str">
        <f>IF(Plantilla_SCAN_EQ3_COUNT_2[[#This Row],[ID MATERIAL]]="","",B1987)</f>
        <v/>
      </c>
      <c r="C1988" s="21"/>
      <c r="D1988" s="21"/>
      <c r="E1988" s="7" t="str">
        <f>IF(Plantilla_SCAN_EQ3_COUNT_2[[#This Row],[ID MATERIAL]]="","",VLOOKUP(Plantilla_SCAN_EQ3_COUNT_2[[#This Row],[ID MATERIAL]],INVENTARIO!$A:$D,2,FALSE))</f>
        <v/>
      </c>
      <c r="F1988" s="7" t="str">
        <f>IF(Plantilla_SCAN_EQ3_COUNT_2[[#This Row],[ID MATERIAL]]="","",IF(Plantilla_SCAN_EQ3_COUNT_2[[#This Row],[No. Empaques]]="",1,Plantilla_SCAN_EQ3_COUNT_2[[#This Row],[No. Empaques]]*1))</f>
        <v/>
      </c>
      <c r="G1988" s="7" t="str">
        <f>IF(Plantilla_SCAN_EQ3_COUNT_2[[#This Row],[ID MATERIAL]]="","","PZ")</f>
        <v/>
      </c>
      <c r="H1988" s="7" t="str">
        <f>IF(Plantilla_SCAN_EQ3_COUNT_2[[#This Row],[ID MATERIAL]]="","",$B$13)</f>
        <v/>
      </c>
      <c r="I1988" s="7" t="str">
        <f>IF(Plantilla_SCAN_EQ3_COUNT_2[[#This Row],[ID MATERIAL]]="","","Segundo Conteo")</f>
        <v/>
      </c>
    </row>
    <row r="1989" spans="1:9" s="7" customFormat="1" ht="15" x14ac:dyDescent="0.2">
      <c r="A1989" s="7" t="str">
        <f>IF(Plantilla_SCAN_EQ3_COUNT_2[[#This Row],[ID MATERIAL]]="","",SIGN(Plantilla_SCAN_EQ3_COUNT_2[[#This Row],[Cantidad]])+A1988)</f>
        <v/>
      </c>
      <c r="B1989" s="21" t="str">
        <f>IF(Plantilla_SCAN_EQ3_COUNT_2[[#This Row],[ID MATERIAL]]="","",B1988)</f>
        <v/>
      </c>
      <c r="C1989" s="21"/>
      <c r="D1989" s="21"/>
      <c r="E1989" s="7" t="str">
        <f>IF(Plantilla_SCAN_EQ3_COUNT_2[[#This Row],[ID MATERIAL]]="","",VLOOKUP(Plantilla_SCAN_EQ3_COUNT_2[[#This Row],[ID MATERIAL]],INVENTARIO!$A:$D,2,FALSE))</f>
        <v/>
      </c>
      <c r="F1989" s="7" t="str">
        <f>IF(Plantilla_SCAN_EQ3_COUNT_2[[#This Row],[ID MATERIAL]]="","",IF(Plantilla_SCAN_EQ3_COUNT_2[[#This Row],[No. Empaques]]="",1,Plantilla_SCAN_EQ3_COUNT_2[[#This Row],[No. Empaques]]*1))</f>
        <v/>
      </c>
      <c r="G1989" s="7" t="str">
        <f>IF(Plantilla_SCAN_EQ3_COUNT_2[[#This Row],[ID MATERIAL]]="","","PZ")</f>
        <v/>
      </c>
      <c r="H1989" s="7" t="str">
        <f>IF(Plantilla_SCAN_EQ3_COUNT_2[[#This Row],[ID MATERIAL]]="","",$B$13)</f>
        <v/>
      </c>
      <c r="I1989" s="7" t="str">
        <f>IF(Plantilla_SCAN_EQ3_COUNT_2[[#This Row],[ID MATERIAL]]="","","Segundo Conteo")</f>
        <v/>
      </c>
    </row>
    <row r="1990" spans="1:9" s="7" customFormat="1" ht="15" x14ac:dyDescent="0.2">
      <c r="A1990" s="7" t="str">
        <f>IF(Plantilla_SCAN_EQ3_COUNT_2[[#This Row],[ID MATERIAL]]="","",SIGN(Plantilla_SCAN_EQ3_COUNT_2[[#This Row],[Cantidad]])+A1989)</f>
        <v/>
      </c>
      <c r="B1990" s="21" t="str">
        <f>IF(Plantilla_SCAN_EQ3_COUNT_2[[#This Row],[ID MATERIAL]]="","",B1989)</f>
        <v/>
      </c>
      <c r="C1990" s="21"/>
      <c r="D1990" s="21"/>
      <c r="E1990" s="7" t="str">
        <f>IF(Plantilla_SCAN_EQ3_COUNT_2[[#This Row],[ID MATERIAL]]="","",VLOOKUP(Plantilla_SCAN_EQ3_COUNT_2[[#This Row],[ID MATERIAL]],INVENTARIO!$A:$D,2,FALSE))</f>
        <v/>
      </c>
      <c r="F1990" s="7" t="str">
        <f>IF(Plantilla_SCAN_EQ3_COUNT_2[[#This Row],[ID MATERIAL]]="","",IF(Plantilla_SCAN_EQ3_COUNT_2[[#This Row],[No. Empaques]]="",1,Plantilla_SCAN_EQ3_COUNT_2[[#This Row],[No. Empaques]]*1))</f>
        <v/>
      </c>
      <c r="G1990" s="7" t="str">
        <f>IF(Plantilla_SCAN_EQ3_COUNT_2[[#This Row],[ID MATERIAL]]="","","PZ")</f>
        <v/>
      </c>
      <c r="H1990" s="7" t="str">
        <f>IF(Plantilla_SCAN_EQ3_COUNT_2[[#This Row],[ID MATERIAL]]="","",$B$13)</f>
        <v/>
      </c>
      <c r="I1990" s="7" t="str">
        <f>IF(Plantilla_SCAN_EQ3_COUNT_2[[#This Row],[ID MATERIAL]]="","","Segundo Conteo")</f>
        <v/>
      </c>
    </row>
    <row r="1991" spans="1:9" s="7" customFormat="1" ht="15" x14ac:dyDescent="0.2">
      <c r="A1991" s="7" t="str">
        <f>IF(Plantilla_SCAN_EQ3_COUNT_2[[#This Row],[ID MATERIAL]]="","",SIGN(Plantilla_SCAN_EQ3_COUNT_2[[#This Row],[Cantidad]])+A1990)</f>
        <v/>
      </c>
      <c r="B1991" s="21" t="str">
        <f>IF(Plantilla_SCAN_EQ3_COUNT_2[[#This Row],[ID MATERIAL]]="","",B1990)</f>
        <v/>
      </c>
      <c r="C1991" s="21"/>
      <c r="D1991" s="21"/>
      <c r="E1991" s="7" t="str">
        <f>IF(Plantilla_SCAN_EQ3_COUNT_2[[#This Row],[ID MATERIAL]]="","",VLOOKUP(Plantilla_SCAN_EQ3_COUNT_2[[#This Row],[ID MATERIAL]],INVENTARIO!$A:$D,2,FALSE))</f>
        <v/>
      </c>
      <c r="F1991" s="7" t="str">
        <f>IF(Plantilla_SCAN_EQ3_COUNT_2[[#This Row],[ID MATERIAL]]="","",IF(Plantilla_SCAN_EQ3_COUNT_2[[#This Row],[No. Empaques]]="",1,Plantilla_SCAN_EQ3_COUNT_2[[#This Row],[No. Empaques]]*1))</f>
        <v/>
      </c>
      <c r="G1991" s="7" t="str">
        <f>IF(Plantilla_SCAN_EQ3_COUNT_2[[#This Row],[ID MATERIAL]]="","","PZ")</f>
        <v/>
      </c>
      <c r="H1991" s="7" t="str">
        <f>IF(Plantilla_SCAN_EQ3_COUNT_2[[#This Row],[ID MATERIAL]]="","",$B$13)</f>
        <v/>
      </c>
      <c r="I1991" s="7" t="str">
        <f>IF(Plantilla_SCAN_EQ3_COUNT_2[[#This Row],[ID MATERIAL]]="","","Segundo Conteo")</f>
        <v/>
      </c>
    </row>
    <row r="1992" spans="1:9" s="7" customFormat="1" ht="15" x14ac:dyDescent="0.2">
      <c r="A1992" s="7" t="str">
        <f>IF(Plantilla_SCAN_EQ3_COUNT_2[[#This Row],[ID MATERIAL]]="","",SIGN(Plantilla_SCAN_EQ3_COUNT_2[[#This Row],[Cantidad]])+A1991)</f>
        <v/>
      </c>
      <c r="B1992" s="21" t="str">
        <f>IF(Plantilla_SCAN_EQ3_COUNT_2[[#This Row],[ID MATERIAL]]="","",B1991)</f>
        <v/>
      </c>
      <c r="C1992" s="21"/>
      <c r="D1992" s="21"/>
      <c r="E1992" s="7" t="str">
        <f>IF(Plantilla_SCAN_EQ3_COUNT_2[[#This Row],[ID MATERIAL]]="","",VLOOKUP(Plantilla_SCAN_EQ3_COUNT_2[[#This Row],[ID MATERIAL]],INVENTARIO!$A:$D,2,FALSE))</f>
        <v/>
      </c>
      <c r="F1992" s="7" t="str">
        <f>IF(Plantilla_SCAN_EQ3_COUNT_2[[#This Row],[ID MATERIAL]]="","",IF(Plantilla_SCAN_EQ3_COUNT_2[[#This Row],[No. Empaques]]="",1,Plantilla_SCAN_EQ3_COUNT_2[[#This Row],[No. Empaques]]*1))</f>
        <v/>
      </c>
      <c r="G1992" s="7" t="str">
        <f>IF(Plantilla_SCAN_EQ3_COUNT_2[[#This Row],[ID MATERIAL]]="","","PZ")</f>
        <v/>
      </c>
      <c r="H1992" s="7" t="str">
        <f>IF(Plantilla_SCAN_EQ3_COUNT_2[[#This Row],[ID MATERIAL]]="","",$B$13)</f>
        <v/>
      </c>
      <c r="I1992" s="7" t="str">
        <f>IF(Plantilla_SCAN_EQ3_COUNT_2[[#This Row],[ID MATERIAL]]="","","Segundo Conteo")</f>
        <v/>
      </c>
    </row>
    <row r="1993" spans="1:9" s="7" customFormat="1" ht="15" x14ac:dyDescent="0.2">
      <c r="A1993" s="7" t="str">
        <f>IF(Plantilla_SCAN_EQ3_COUNT_2[[#This Row],[ID MATERIAL]]="","",SIGN(Plantilla_SCAN_EQ3_COUNT_2[[#This Row],[Cantidad]])+A1992)</f>
        <v/>
      </c>
      <c r="B1993" s="21" t="str">
        <f>IF(Plantilla_SCAN_EQ3_COUNT_2[[#This Row],[ID MATERIAL]]="","",B1992)</f>
        <v/>
      </c>
      <c r="C1993" s="21"/>
      <c r="D1993" s="21"/>
      <c r="E1993" s="7" t="str">
        <f>IF(Plantilla_SCAN_EQ3_COUNT_2[[#This Row],[ID MATERIAL]]="","",VLOOKUP(Plantilla_SCAN_EQ3_COUNT_2[[#This Row],[ID MATERIAL]],INVENTARIO!$A:$D,2,FALSE))</f>
        <v/>
      </c>
      <c r="F1993" s="7" t="str">
        <f>IF(Plantilla_SCAN_EQ3_COUNT_2[[#This Row],[ID MATERIAL]]="","",IF(Plantilla_SCAN_EQ3_COUNT_2[[#This Row],[No. Empaques]]="",1,Plantilla_SCAN_EQ3_COUNT_2[[#This Row],[No. Empaques]]*1))</f>
        <v/>
      </c>
      <c r="G1993" s="7" t="str">
        <f>IF(Plantilla_SCAN_EQ3_COUNT_2[[#This Row],[ID MATERIAL]]="","","PZ")</f>
        <v/>
      </c>
      <c r="H1993" s="7" t="str">
        <f>IF(Plantilla_SCAN_EQ3_COUNT_2[[#This Row],[ID MATERIAL]]="","",$B$13)</f>
        <v/>
      </c>
      <c r="I1993" s="7" t="str">
        <f>IF(Plantilla_SCAN_EQ3_COUNT_2[[#This Row],[ID MATERIAL]]="","","Segundo Conteo")</f>
        <v/>
      </c>
    </row>
    <row r="1994" spans="1:9" s="7" customFormat="1" ht="15" x14ac:dyDescent="0.2">
      <c r="A1994" s="7" t="str">
        <f>IF(Plantilla_SCAN_EQ3_COUNT_2[[#This Row],[ID MATERIAL]]="","",SIGN(Plantilla_SCAN_EQ3_COUNT_2[[#This Row],[Cantidad]])+A1993)</f>
        <v/>
      </c>
      <c r="B1994" s="21" t="str">
        <f>IF(Plantilla_SCAN_EQ3_COUNT_2[[#This Row],[ID MATERIAL]]="","",B1993)</f>
        <v/>
      </c>
      <c r="C1994" s="21"/>
      <c r="D1994" s="21"/>
      <c r="E1994" s="7" t="str">
        <f>IF(Plantilla_SCAN_EQ3_COUNT_2[[#This Row],[ID MATERIAL]]="","",VLOOKUP(Plantilla_SCAN_EQ3_COUNT_2[[#This Row],[ID MATERIAL]],INVENTARIO!$A:$D,2,FALSE))</f>
        <v/>
      </c>
      <c r="F1994" s="7" t="str">
        <f>IF(Plantilla_SCAN_EQ3_COUNT_2[[#This Row],[ID MATERIAL]]="","",IF(Plantilla_SCAN_EQ3_COUNT_2[[#This Row],[No. Empaques]]="",1,Plantilla_SCAN_EQ3_COUNT_2[[#This Row],[No. Empaques]]*1))</f>
        <v/>
      </c>
      <c r="G1994" s="7" t="str">
        <f>IF(Plantilla_SCAN_EQ3_COUNT_2[[#This Row],[ID MATERIAL]]="","","PZ")</f>
        <v/>
      </c>
      <c r="H1994" s="7" t="str">
        <f>IF(Plantilla_SCAN_EQ3_COUNT_2[[#This Row],[ID MATERIAL]]="","",$B$13)</f>
        <v/>
      </c>
      <c r="I1994" s="7" t="str">
        <f>IF(Plantilla_SCAN_EQ3_COUNT_2[[#This Row],[ID MATERIAL]]="","","Segundo Conteo")</f>
        <v/>
      </c>
    </row>
    <row r="1995" spans="1:9" s="7" customFormat="1" ht="15" x14ac:dyDescent="0.2">
      <c r="A1995" s="7" t="str">
        <f>IF(Plantilla_SCAN_EQ3_COUNT_2[[#This Row],[ID MATERIAL]]="","",SIGN(Plantilla_SCAN_EQ3_COUNT_2[[#This Row],[Cantidad]])+A1994)</f>
        <v/>
      </c>
      <c r="B1995" s="21" t="str">
        <f>IF(Plantilla_SCAN_EQ3_COUNT_2[[#This Row],[ID MATERIAL]]="","",B1994)</f>
        <v/>
      </c>
      <c r="C1995" s="21"/>
      <c r="D1995" s="21"/>
      <c r="E1995" s="7" t="str">
        <f>IF(Plantilla_SCAN_EQ3_COUNT_2[[#This Row],[ID MATERIAL]]="","",VLOOKUP(Plantilla_SCAN_EQ3_COUNT_2[[#This Row],[ID MATERIAL]],INVENTARIO!$A:$D,2,FALSE))</f>
        <v/>
      </c>
      <c r="F1995" s="7" t="str">
        <f>IF(Plantilla_SCAN_EQ3_COUNT_2[[#This Row],[ID MATERIAL]]="","",IF(Plantilla_SCAN_EQ3_COUNT_2[[#This Row],[No. Empaques]]="",1,Plantilla_SCAN_EQ3_COUNT_2[[#This Row],[No. Empaques]]*1))</f>
        <v/>
      </c>
      <c r="G1995" s="7" t="str">
        <f>IF(Plantilla_SCAN_EQ3_COUNT_2[[#This Row],[ID MATERIAL]]="","","PZ")</f>
        <v/>
      </c>
      <c r="H1995" s="7" t="str">
        <f>IF(Plantilla_SCAN_EQ3_COUNT_2[[#This Row],[ID MATERIAL]]="","",$B$13)</f>
        <v/>
      </c>
      <c r="I1995" s="7" t="str">
        <f>IF(Plantilla_SCAN_EQ3_COUNT_2[[#This Row],[ID MATERIAL]]="","","Segundo Conteo")</f>
        <v/>
      </c>
    </row>
    <row r="1996" spans="1:9" s="7" customFormat="1" ht="15" x14ac:dyDescent="0.2">
      <c r="A1996" s="7" t="str">
        <f>IF(Plantilla_SCAN_EQ3_COUNT_2[[#This Row],[ID MATERIAL]]="","",SIGN(Plantilla_SCAN_EQ3_COUNT_2[[#This Row],[Cantidad]])+A1995)</f>
        <v/>
      </c>
      <c r="B1996" s="21" t="str">
        <f>IF(Plantilla_SCAN_EQ3_COUNT_2[[#This Row],[ID MATERIAL]]="","",B1995)</f>
        <v/>
      </c>
      <c r="C1996" s="21"/>
      <c r="D1996" s="21"/>
      <c r="E1996" s="7" t="str">
        <f>IF(Plantilla_SCAN_EQ3_COUNT_2[[#This Row],[ID MATERIAL]]="","",VLOOKUP(Plantilla_SCAN_EQ3_COUNT_2[[#This Row],[ID MATERIAL]],INVENTARIO!$A:$D,2,FALSE))</f>
        <v/>
      </c>
      <c r="F1996" s="7" t="str">
        <f>IF(Plantilla_SCAN_EQ3_COUNT_2[[#This Row],[ID MATERIAL]]="","",IF(Plantilla_SCAN_EQ3_COUNT_2[[#This Row],[No. Empaques]]="",1,Plantilla_SCAN_EQ3_COUNT_2[[#This Row],[No. Empaques]]*1))</f>
        <v/>
      </c>
      <c r="G1996" s="7" t="str">
        <f>IF(Plantilla_SCAN_EQ3_COUNT_2[[#This Row],[ID MATERIAL]]="","","PZ")</f>
        <v/>
      </c>
      <c r="H1996" s="7" t="str">
        <f>IF(Plantilla_SCAN_EQ3_COUNT_2[[#This Row],[ID MATERIAL]]="","",$B$13)</f>
        <v/>
      </c>
      <c r="I1996" s="7" t="str">
        <f>IF(Plantilla_SCAN_EQ3_COUNT_2[[#This Row],[ID MATERIAL]]="","","Segundo Conteo")</f>
        <v/>
      </c>
    </row>
    <row r="1997" spans="1:9" s="7" customFormat="1" ht="15" x14ac:dyDescent="0.2">
      <c r="A1997" s="7" t="str">
        <f>IF(Plantilla_SCAN_EQ3_COUNT_2[[#This Row],[ID MATERIAL]]="","",SIGN(Plantilla_SCAN_EQ3_COUNT_2[[#This Row],[Cantidad]])+A1996)</f>
        <v/>
      </c>
      <c r="B1997" s="21" t="str">
        <f>IF(Plantilla_SCAN_EQ3_COUNT_2[[#This Row],[ID MATERIAL]]="","",B1996)</f>
        <v/>
      </c>
      <c r="C1997" s="21"/>
      <c r="D1997" s="21"/>
      <c r="E1997" s="7" t="str">
        <f>IF(Plantilla_SCAN_EQ3_COUNT_2[[#This Row],[ID MATERIAL]]="","",VLOOKUP(Plantilla_SCAN_EQ3_COUNT_2[[#This Row],[ID MATERIAL]],INVENTARIO!$A:$D,2,FALSE))</f>
        <v/>
      </c>
      <c r="F1997" s="7" t="str">
        <f>IF(Plantilla_SCAN_EQ3_COUNT_2[[#This Row],[ID MATERIAL]]="","",IF(Plantilla_SCAN_EQ3_COUNT_2[[#This Row],[No. Empaques]]="",1,Plantilla_SCAN_EQ3_COUNT_2[[#This Row],[No. Empaques]]*1))</f>
        <v/>
      </c>
      <c r="G1997" s="7" t="str">
        <f>IF(Plantilla_SCAN_EQ3_COUNT_2[[#This Row],[ID MATERIAL]]="","","PZ")</f>
        <v/>
      </c>
      <c r="H1997" s="7" t="str">
        <f>IF(Plantilla_SCAN_EQ3_COUNT_2[[#This Row],[ID MATERIAL]]="","",$B$13)</f>
        <v/>
      </c>
      <c r="I1997" s="7" t="str">
        <f>IF(Plantilla_SCAN_EQ3_COUNT_2[[#This Row],[ID MATERIAL]]="","","Segundo Conteo")</f>
        <v/>
      </c>
    </row>
    <row r="1998" spans="1:9" s="7" customFormat="1" ht="15" x14ac:dyDescent="0.2">
      <c r="A1998" s="7" t="str">
        <f>IF(Plantilla_SCAN_EQ3_COUNT_2[[#This Row],[ID MATERIAL]]="","",SIGN(Plantilla_SCAN_EQ3_COUNT_2[[#This Row],[Cantidad]])+A1997)</f>
        <v/>
      </c>
      <c r="B1998" s="21" t="str">
        <f>IF(Plantilla_SCAN_EQ3_COUNT_2[[#This Row],[ID MATERIAL]]="","",B1997)</f>
        <v/>
      </c>
      <c r="C1998" s="21"/>
      <c r="D1998" s="21"/>
      <c r="E1998" s="7" t="str">
        <f>IF(Plantilla_SCAN_EQ3_COUNT_2[[#This Row],[ID MATERIAL]]="","",VLOOKUP(Plantilla_SCAN_EQ3_COUNT_2[[#This Row],[ID MATERIAL]],INVENTARIO!$A:$D,2,FALSE))</f>
        <v/>
      </c>
      <c r="F1998" s="7" t="str">
        <f>IF(Plantilla_SCAN_EQ3_COUNT_2[[#This Row],[ID MATERIAL]]="","",IF(Plantilla_SCAN_EQ3_COUNT_2[[#This Row],[No. Empaques]]="",1,Plantilla_SCAN_EQ3_COUNT_2[[#This Row],[No. Empaques]]*1))</f>
        <v/>
      </c>
      <c r="G1998" s="7" t="str">
        <f>IF(Plantilla_SCAN_EQ3_COUNT_2[[#This Row],[ID MATERIAL]]="","","PZ")</f>
        <v/>
      </c>
      <c r="H1998" s="7" t="str">
        <f>IF(Plantilla_SCAN_EQ3_COUNT_2[[#This Row],[ID MATERIAL]]="","",$B$13)</f>
        <v/>
      </c>
      <c r="I1998" s="7" t="str">
        <f>IF(Plantilla_SCAN_EQ3_COUNT_2[[#This Row],[ID MATERIAL]]="","","Segundo Conteo")</f>
        <v/>
      </c>
    </row>
    <row r="1999" spans="1:9" s="7" customFormat="1" ht="15" x14ac:dyDescent="0.2">
      <c r="A1999" s="7" t="str">
        <f>IF(Plantilla_SCAN_EQ3_COUNT_2[[#This Row],[ID MATERIAL]]="","",SIGN(Plantilla_SCAN_EQ3_COUNT_2[[#This Row],[Cantidad]])+A1998)</f>
        <v/>
      </c>
      <c r="B1999" s="21" t="str">
        <f>IF(Plantilla_SCAN_EQ3_COUNT_2[[#This Row],[ID MATERIAL]]="","",B1998)</f>
        <v/>
      </c>
      <c r="C1999" s="21"/>
      <c r="D1999" s="21"/>
      <c r="E1999" s="7" t="str">
        <f>IF(Plantilla_SCAN_EQ3_COUNT_2[[#This Row],[ID MATERIAL]]="","",VLOOKUP(Plantilla_SCAN_EQ3_COUNT_2[[#This Row],[ID MATERIAL]],INVENTARIO!$A:$D,2,FALSE))</f>
        <v/>
      </c>
      <c r="F1999" s="7" t="str">
        <f>IF(Plantilla_SCAN_EQ3_COUNT_2[[#This Row],[ID MATERIAL]]="","",IF(Plantilla_SCAN_EQ3_COUNT_2[[#This Row],[No. Empaques]]="",1,Plantilla_SCAN_EQ3_COUNT_2[[#This Row],[No. Empaques]]*1))</f>
        <v/>
      </c>
      <c r="G1999" s="7" t="str">
        <f>IF(Plantilla_SCAN_EQ3_COUNT_2[[#This Row],[ID MATERIAL]]="","","PZ")</f>
        <v/>
      </c>
      <c r="H1999" s="7" t="str">
        <f>IF(Plantilla_SCAN_EQ3_COUNT_2[[#This Row],[ID MATERIAL]]="","",$B$13)</f>
        <v/>
      </c>
      <c r="I1999" s="7" t="str">
        <f>IF(Plantilla_SCAN_EQ3_COUNT_2[[#This Row],[ID MATERIAL]]="","","Segundo Conteo")</f>
        <v/>
      </c>
    </row>
    <row r="2000" spans="1:9" s="7" customFormat="1" ht="15" x14ac:dyDescent="0.2">
      <c r="A2000" s="7" t="str">
        <f>IF(Plantilla_SCAN_EQ3_COUNT_2[[#This Row],[ID MATERIAL]]="","",SIGN(Plantilla_SCAN_EQ3_COUNT_2[[#This Row],[Cantidad]])+A1999)</f>
        <v/>
      </c>
      <c r="B2000" s="21" t="str">
        <f>IF(Plantilla_SCAN_EQ3_COUNT_2[[#This Row],[ID MATERIAL]]="","",B1999)</f>
        <v/>
      </c>
      <c r="C2000" s="21"/>
      <c r="D2000" s="21"/>
      <c r="E2000" s="7" t="str">
        <f>IF(Plantilla_SCAN_EQ3_COUNT_2[[#This Row],[ID MATERIAL]]="","",VLOOKUP(Plantilla_SCAN_EQ3_COUNT_2[[#This Row],[ID MATERIAL]],INVENTARIO!$A:$D,2,FALSE))</f>
        <v/>
      </c>
      <c r="F2000" s="7" t="str">
        <f>IF(Plantilla_SCAN_EQ3_COUNT_2[[#This Row],[ID MATERIAL]]="","",IF(Plantilla_SCAN_EQ3_COUNT_2[[#This Row],[No. Empaques]]="",1,Plantilla_SCAN_EQ3_COUNT_2[[#This Row],[No. Empaques]]*1))</f>
        <v/>
      </c>
      <c r="G2000" s="7" t="str">
        <f>IF(Plantilla_SCAN_EQ3_COUNT_2[[#This Row],[ID MATERIAL]]="","","PZ")</f>
        <v/>
      </c>
      <c r="H2000" s="7" t="str">
        <f>IF(Plantilla_SCAN_EQ3_COUNT_2[[#This Row],[ID MATERIAL]]="","",$B$13)</f>
        <v/>
      </c>
      <c r="I2000" s="7" t="str">
        <f>IF(Plantilla_SCAN_EQ3_COUNT_2[[#This Row],[ID MATERIAL]]="","","Segundo Conteo")</f>
        <v/>
      </c>
    </row>
    <row r="2001" spans="1:9" s="7" customFormat="1" ht="15" x14ac:dyDescent="0.2">
      <c r="A2001" s="7" t="str">
        <f>IF(Plantilla_SCAN_EQ3_COUNT_2[[#This Row],[ID MATERIAL]]="","",SIGN(Plantilla_SCAN_EQ3_COUNT_2[[#This Row],[Cantidad]])+A2000)</f>
        <v/>
      </c>
      <c r="B2001" s="21" t="str">
        <f>IF(Plantilla_SCAN_EQ3_COUNT_2[[#This Row],[ID MATERIAL]]="","",B2000)</f>
        <v/>
      </c>
      <c r="C2001" s="21"/>
      <c r="D2001" s="21"/>
      <c r="E2001" s="7" t="str">
        <f>IF(Plantilla_SCAN_EQ3_COUNT_2[[#This Row],[ID MATERIAL]]="","",VLOOKUP(Plantilla_SCAN_EQ3_COUNT_2[[#This Row],[ID MATERIAL]],INVENTARIO!$A:$D,2,FALSE))</f>
        <v/>
      </c>
      <c r="F2001" s="7" t="str">
        <f>IF(Plantilla_SCAN_EQ3_COUNT_2[[#This Row],[ID MATERIAL]]="","",IF(Plantilla_SCAN_EQ3_COUNT_2[[#This Row],[No. Empaques]]="",1,Plantilla_SCAN_EQ3_COUNT_2[[#This Row],[No. Empaques]]*1))</f>
        <v/>
      </c>
      <c r="G2001" s="7" t="str">
        <f>IF(Plantilla_SCAN_EQ3_COUNT_2[[#This Row],[ID MATERIAL]]="","","PZ")</f>
        <v/>
      </c>
      <c r="H2001" s="7" t="str">
        <f>IF(Plantilla_SCAN_EQ3_COUNT_2[[#This Row],[ID MATERIAL]]="","",$B$13)</f>
        <v/>
      </c>
      <c r="I2001" s="7" t="str">
        <f>IF(Plantilla_SCAN_EQ3_COUNT_2[[#This Row],[ID MATERIAL]]="","","Segundo Conteo")</f>
        <v/>
      </c>
    </row>
    <row r="2002" spans="1:9" s="7" customFormat="1" ht="15" x14ac:dyDescent="0.2">
      <c r="A2002" s="7" t="str">
        <f>IF(Plantilla_SCAN_EQ3_COUNT_2[[#This Row],[ID MATERIAL]]="","",SIGN(Plantilla_SCAN_EQ3_COUNT_2[[#This Row],[Cantidad]])+A2001)</f>
        <v/>
      </c>
      <c r="B2002" s="21" t="str">
        <f>IF(Plantilla_SCAN_EQ3_COUNT_2[[#This Row],[ID MATERIAL]]="","",B2001)</f>
        <v/>
      </c>
      <c r="C2002" s="21"/>
      <c r="D2002" s="21"/>
      <c r="E2002" s="7" t="str">
        <f>IF(Plantilla_SCAN_EQ3_COUNT_2[[#This Row],[ID MATERIAL]]="","",VLOOKUP(Plantilla_SCAN_EQ3_COUNT_2[[#This Row],[ID MATERIAL]],INVENTARIO!$A:$D,2,FALSE))</f>
        <v/>
      </c>
      <c r="F2002" s="7" t="str">
        <f>IF(Plantilla_SCAN_EQ3_COUNT_2[[#This Row],[ID MATERIAL]]="","",IF(Plantilla_SCAN_EQ3_COUNT_2[[#This Row],[No. Empaques]]="",1,Plantilla_SCAN_EQ3_COUNT_2[[#This Row],[No. Empaques]]*1))</f>
        <v/>
      </c>
      <c r="G2002" s="7" t="str">
        <f>IF(Plantilla_SCAN_EQ3_COUNT_2[[#This Row],[ID MATERIAL]]="","","PZ")</f>
        <v/>
      </c>
      <c r="H2002" s="7" t="str">
        <f>IF(Plantilla_SCAN_EQ3_COUNT_2[[#This Row],[ID MATERIAL]]="","",$B$13)</f>
        <v/>
      </c>
      <c r="I2002" s="7" t="str">
        <f>IF(Plantilla_SCAN_EQ3_COUNT_2[[#This Row],[ID MATERIAL]]="","","Segundo Conteo")</f>
        <v/>
      </c>
    </row>
    <row r="2003" spans="1:9" s="7" customFormat="1" ht="15" x14ac:dyDescent="0.2">
      <c r="A2003" s="7" t="str">
        <f>IF(Plantilla_SCAN_EQ3_COUNT_2[[#This Row],[ID MATERIAL]]="","",SIGN(Plantilla_SCAN_EQ3_COUNT_2[[#This Row],[Cantidad]])+A2002)</f>
        <v/>
      </c>
      <c r="B2003" s="21" t="str">
        <f>IF(Plantilla_SCAN_EQ3_COUNT_2[[#This Row],[ID MATERIAL]]="","",B2002)</f>
        <v/>
      </c>
      <c r="C2003" s="21"/>
      <c r="D2003" s="21"/>
      <c r="E2003" s="7" t="str">
        <f>IF(Plantilla_SCAN_EQ3_COUNT_2[[#This Row],[ID MATERIAL]]="","",VLOOKUP(Plantilla_SCAN_EQ3_COUNT_2[[#This Row],[ID MATERIAL]],INVENTARIO!$A:$D,2,FALSE))</f>
        <v/>
      </c>
      <c r="F2003" s="7" t="str">
        <f>IF(Plantilla_SCAN_EQ3_COUNT_2[[#This Row],[ID MATERIAL]]="","",IF(Plantilla_SCAN_EQ3_COUNT_2[[#This Row],[No. Empaques]]="",1,Plantilla_SCAN_EQ3_COUNT_2[[#This Row],[No. Empaques]]*1))</f>
        <v/>
      </c>
      <c r="G2003" s="7" t="str">
        <f>IF(Plantilla_SCAN_EQ3_COUNT_2[[#This Row],[ID MATERIAL]]="","","PZ")</f>
        <v/>
      </c>
      <c r="H2003" s="7" t="str">
        <f>IF(Plantilla_SCAN_EQ3_COUNT_2[[#This Row],[ID MATERIAL]]="","",$B$13)</f>
        <v/>
      </c>
      <c r="I2003" s="7" t="str">
        <f>IF(Plantilla_SCAN_EQ3_COUNT_2[[#This Row],[ID MATERIAL]]="","","Segundo Conteo")</f>
        <v/>
      </c>
    </row>
    <row r="2004" spans="1:9" s="7" customFormat="1" ht="15" x14ac:dyDescent="0.2">
      <c r="A2004" s="7" t="str">
        <f>IF(Plantilla_SCAN_EQ3_COUNT_2[[#This Row],[ID MATERIAL]]="","",SIGN(Plantilla_SCAN_EQ3_COUNT_2[[#This Row],[Cantidad]])+A2003)</f>
        <v/>
      </c>
      <c r="B2004" s="21" t="str">
        <f>IF(Plantilla_SCAN_EQ3_COUNT_2[[#This Row],[ID MATERIAL]]="","",B2003)</f>
        <v/>
      </c>
      <c r="C2004" s="21"/>
      <c r="D2004" s="21"/>
      <c r="E2004" s="7" t="str">
        <f>IF(Plantilla_SCAN_EQ3_COUNT_2[[#This Row],[ID MATERIAL]]="","",VLOOKUP(Plantilla_SCAN_EQ3_COUNT_2[[#This Row],[ID MATERIAL]],INVENTARIO!$A:$D,2,FALSE))</f>
        <v/>
      </c>
      <c r="F2004" s="7" t="str">
        <f>IF(Plantilla_SCAN_EQ3_COUNT_2[[#This Row],[ID MATERIAL]]="","",IF(Plantilla_SCAN_EQ3_COUNT_2[[#This Row],[No. Empaques]]="",1,Plantilla_SCAN_EQ3_COUNT_2[[#This Row],[No. Empaques]]*1))</f>
        <v/>
      </c>
      <c r="G2004" s="7" t="str">
        <f>IF(Plantilla_SCAN_EQ3_COUNT_2[[#This Row],[ID MATERIAL]]="","","PZ")</f>
        <v/>
      </c>
      <c r="H2004" s="7" t="str">
        <f>IF(Plantilla_SCAN_EQ3_COUNT_2[[#This Row],[ID MATERIAL]]="","",$B$13)</f>
        <v/>
      </c>
      <c r="I2004" s="7" t="str">
        <f>IF(Plantilla_SCAN_EQ3_COUNT_2[[#This Row],[ID MATERIAL]]="","","Segundo Conteo")</f>
        <v/>
      </c>
    </row>
    <row r="2005" spans="1:9" s="7" customFormat="1" ht="15" x14ac:dyDescent="0.2">
      <c r="A2005" s="7" t="str">
        <f>IF(Plantilla_SCAN_EQ3_COUNT_2[[#This Row],[ID MATERIAL]]="","",SIGN(Plantilla_SCAN_EQ3_COUNT_2[[#This Row],[Cantidad]])+A2004)</f>
        <v/>
      </c>
      <c r="B2005" s="21" t="str">
        <f>IF(Plantilla_SCAN_EQ3_COUNT_2[[#This Row],[ID MATERIAL]]="","",B2004)</f>
        <v/>
      </c>
      <c r="C2005" s="21"/>
      <c r="D2005" s="21"/>
      <c r="E2005" s="7" t="str">
        <f>IF(Plantilla_SCAN_EQ3_COUNT_2[[#This Row],[ID MATERIAL]]="","",VLOOKUP(Plantilla_SCAN_EQ3_COUNT_2[[#This Row],[ID MATERIAL]],INVENTARIO!$A:$D,2,FALSE))</f>
        <v/>
      </c>
      <c r="F2005" s="7" t="str">
        <f>IF(Plantilla_SCAN_EQ3_COUNT_2[[#This Row],[ID MATERIAL]]="","",IF(Plantilla_SCAN_EQ3_COUNT_2[[#This Row],[No. Empaques]]="",1,Plantilla_SCAN_EQ3_COUNT_2[[#This Row],[No. Empaques]]*1))</f>
        <v/>
      </c>
      <c r="G2005" s="7" t="str">
        <f>IF(Plantilla_SCAN_EQ3_COUNT_2[[#This Row],[ID MATERIAL]]="","","PZ")</f>
        <v/>
      </c>
      <c r="H2005" s="7" t="str">
        <f>IF(Plantilla_SCAN_EQ3_COUNT_2[[#This Row],[ID MATERIAL]]="","",$B$13)</f>
        <v/>
      </c>
      <c r="I2005" s="7" t="str">
        <f>IF(Plantilla_SCAN_EQ3_COUNT_2[[#This Row],[ID MATERIAL]]="","","Segundo Conteo")</f>
        <v/>
      </c>
    </row>
    <row r="2006" spans="1:9" s="7" customFormat="1" ht="15" x14ac:dyDescent="0.2">
      <c r="A2006" s="7" t="str">
        <f>IF(Plantilla_SCAN_EQ3_COUNT_2[[#This Row],[ID MATERIAL]]="","",SIGN(Plantilla_SCAN_EQ3_COUNT_2[[#This Row],[Cantidad]])+A2005)</f>
        <v/>
      </c>
      <c r="B2006" s="21" t="str">
        <f>IF(Plantilla_SCAN_EQ3_COUNT_2[[#This Row],[ID MATERIAL]]="","",B2005)</f>
        <v/>
      </c>
      <c r="C2006" s="21"/>
      <c r="D2006" s="21"/>
      <c r="E2006" s="7" t="str">
        <f>IF(Plantilla_SCAN_EQ3_COUNT_2[[#This Row],[ID MATERIAL]]="","",VLOOKUP(Plantilla_SCAN_EQ3_COUNT_2[[#This Row],[ID MATERIAL]],INVENTARIO!$A:$D,2,FALSE))</f>
        <v/>
      </c>
      <c r="F2006" s="7" t="str">
        <f>IF(Plantilla_SCAN_EQ3_COUNT_2[[#This Row],[ID MATERIAL]]="","",IF(Plantilla_SCAN_EQ3_COUNT_2[[#This Row],[No. Empaques]]="",1,Plantilla_SCAN_EQ3_COUNT_2[[#This Row],[No. Empaques]]*1))</f>
        <v/>
      </c>
      <c r="G2006" s="7" t="str">
        <f>IF(Plantilla_SCAN_EQ3_COUNT_2[[#This Row],[ID MATERIAL]]="","","PZ")</f>
        <v/>
      </c>
      <c r="H2006" s="7" t="str">
        <f>IF(Plantilla_SCAN_EQ3_COUNT_2[[#This Row],[ID MATERIAL]]="","",$B$13)</f>
        <v/>
      </c>
      <c r="I2006" s="7" t="str">
        <f>IF(Plantilla_SCAN_EQ3_COUNT_2[[#This Row],[ID MATERIAL]]="","","Segundo Conteo")</f>
        <v/>
      </c>
    </row>
    <row r="2007" spans="1:9" s="7" customFormat="1" ht="15" x14ac:dyDescent="0.2">
      <c r="A2007" s="7" t="str">
        <f>IF(Plantilla_SCAN_EQ3_COUNT_2[[#This Row],[ID MATERIAL]]="","",SIGN(Plantilla_SCAN_EQ3_COUNT_2[[#This Row],[Cantidad]])+A2006)</f>
        <v/>
      </c>
      <c r="B2007" s="21" t="str">
        <f>IF(Plantilla_SCAN_EQ3_COUNT_2[[#This Row],[ID MATERIAL]]="","",B2006)</f>
        <v/>
      </c>
      <c r="C2007" s="21"/>
      <c r="D2007" s="21"/>
      <c r="E2007" s="7" t="str">
        <f>IF(Plantilla_SCAN_EQ3_COUNT_2[[#This Row],[ID MATERIAL]]="","",VLOOKUP(Plantilla_SCAN_EQ3_COUNT_2[[#This Row],[ID MATERIAL]],INVENTARIO!$A:$D,2,FALSE))</f>
        <v/>
      </c>
      <c r="F2007" s="7" t="str">
        <f>IF(Plantilla_SCAN_EQ3_COUNT_2[[#This Row],[ID MATERIAL]]="","",IF(Plantilla_SCAN_EQ3_COUNT_2[[#This Row],[No. Empaques]]="",1,Plantilla_SCAN_EQ3_COUNT_2[[#This Row],[No. Empaques]]*1))</f>
        <v/>
      </c>
      <c r="G2007" s="7" t="str">
        <f>IF(Plantilla_SCAN_EQ3_COUNT_2[[#This Row],[ID MATERIAL]]="","","PZ")</f>
        <v/>
      </c>
      <c r="H2007" s="7" t="str">
        <f>IF(Plantilla_SCAN_EQ3_COUNT_2[[#This Row],[ID MATERIAL]]="","",$B$13)</f>
        <v/>
      </c>
      <c r="I2007" s="7" t="str">
        <f>IF(Plantilla_SCAN_EQ3_COUNT_2[[#This Row],[ID MATERIAL]]="","","Segundo Conteo")</f>
        <v/>
      </c>
    </row>
    <row r="2008" spans="1:9" s="7" customFormat="1" ht="15" x14ac:dyDescent="0.2">
      <c r="A2008" s="7" t="str">
        <f>IF(Plantilla_SCAN_EQ3_COUNT_2[[#This Row],[ID MATERIAL]]="","",SIGN(Plantilla_SCAN_EQ3_COUNT_2[[#This Row],[Cantidad]])+A2007)</f>
        <v/>
      </c>
      <c r="B2008" s="21" t="str">
        <f>IF(Plantilla_SCAN_EQ3_COUNT_2[[#This Row],[ID MATERIAL]]="","",B2007)</f>
        <v/>
      </c>
      <c r="C2008" s="21"/>
      <c r="D2008" s="21"/>
      <c r="E2008" s="7" t="str">
        <f>IF(Plantilla_SCAN_EQ3_COUNT_2[[#This Row],[ID MATERIAL]]="","",VLOOKUP(Plantilla_SCAN_EQ3_COUNT_2[[#This Row],[ID MATERIAL]],INVENTARIO!$A:$D,2,FALSE))</f>
        <v/>
      </c>
      <c r="F2008" s="7" t="str">
        <f>IF(Plantilla_SCAN_EQ3_COUNT_2[[#This Row],[ID MATERIAL]]="","",IF(Plantilla_SCAN_EQ3_COUNT_2[[#This Row],[No. Empaques]]="",1,Plantilla_SCAN_EQ3_COUNT_2[[#This Row],[No. Empaques]]*1))</f>
        <v/>
      </c>
      <c r="G2008" s="7" t="str">
        <f>IF(Plantilla_SCAN_EQ3_COUNT_2[[#This Row],[ID MATERIAL]]="","","PZ")</f>
        <v/>
      </c>
      <c r="H2008" s="7" t="str">
        <f>IF(Plantilla_SCAN_EQ3_COUNT_2[[#This Row],[ID MATERIAL]]="","",$B$13)</f>
        <v/>
      </c>
      <c r="I2008" s="7" t="str">
        <f>IF(Plantilla_SCAN_EQ3_COUNT_2[[#This Row],[ID MATERIAL]]="","","Segundo Conteo")</f>
        <v/>
      </c>
    </row>
    <row r="2009" spans="1:9" s="7" customFormat="1" ht="15" x14ac:dyDescent="0.2">
      <c r="A2009" s="7" t="str">
        <f>IF(Plantilla_SCAN_EQ3_COUNT_2[[#This Row],[ID MATERIAL]]="","",SIGN(Plantilla_SCAN_EQ3_COUNT_2[[#This Row],[Cantidad]])+A2008)</f>
        <v/>
      </c>
      <c r="B2009" s="21" t="str">
        <f>IF(Plantilla_SCAN_EQ3_COUNT_2[[#This Row],[ID MATERIAL]]="","",B2008)</f>
        <v/>
      </c>
      <c r="C2009" s="21"/>
      <c r="D2009" s="21"/>
      <c r="E2009" s="7" t="str">
        <f>IF(Plantilla_SCAN_EQ3_COUNT_2[[#This Row],[ID MATERIAL]]="","",VLOOKUP(Plantilla_SCAN_EQ3_COUNT_2[[#This Row],[ID MATERIAL]],INVENTARIO!$A:$D,2,FALSE))</f>
        <v/>
      </c>
      <c r="F2009" s="7" t="str">
        <f>IF(Plantilla_SCAN_EQ3_COUNT_2[[#This Row],[ID MATERIAL]]="","",IF(Plantilla_SCAN_EQ3_COUNT_2[[#This Row],[No. Empaques]]="",1,Plantilla_SCAN_EQ3_COUNT_2[[#This Row],[No. Empaques]]*1))</f>
        <v/>
      </c>
      <c r="G2009" s="7" t="str">
        <f>IF(Plantilla_SCAN_EQ3_COUNT_2[[#This Row],[ID MATERIAL]]="","","PZ")</f>
        <v/>
      </c>
      <c r="H2009" s="7" t="str">
        <f>IF(Plantilla_SCAN_EQ3_COUNT_2[[#This Row],[ID MATERIAL]]="","",$B$13)</f>
        <v/>
      </c>
      <c r="I2009" s="7" t="str">
        <f>IF(Plantilla_SCAN_EQ3_COUNT_2[[#This Row],[ID MATERIAL]]="","","Segundo Conteo")</f>
        <v/>
      </c>
    </row>
    <row r="2010" spans="1:9" s="7" customFormat="1" ht="15" x14ac:dyDescent="0.2">
      <c r="A2010" s="7" t="str">
        <f>IF(Plantilla_SCAN_EQ3_COUNT_2[[#This Row],[ID MATERIAL]]="","",SIGN(Plantilla_SCAN_EQ3_COUNT_2[[#This Row],[Cantidad]])+A2009)</f>
        <v/>
      </c>
      <c r="B2010" s="21" t="str">
        <f>IF(Plantilla_SCAN_EQ3_COUNT_2[[#This Row],[ID MATERIAL]]="","",B2009)</f>
        <v/>
      </c>
      <c r="C2010" s="21"/>
      <c r="D2010" s="21"/>
      <c r="E2010" s="7" t="str">
        <f>IF(Plantilla_SCAN_EQ3_COUNT_2[[#This Row],[ID MATERIAL]]="","",VLOOKUP(Plantilla_SCAN_EQ3_COUNT_2[[#This Row],[ID MATERIAL]],INVENTARIO!$A:$D,2,FALSE))</f>
        <v/>
      </c>
      <c r="F2010" s="7" t="str">
        <f>IF(Plantilla_SCAN_EQ3_COUNT_2[[#This Row],[ID MATERIAL]]="","",IF(Plantilla_SCAN_EQ3_COUNT_2[[#This Row],[No. Empaques]]="",1,Plantilla_SCAN_EQ3_COUNT_2[[#This Row],[No. Empaques]]*1))</f>
        <v/>
      </c>
      <c r="G2010" s="7" t="str">
        <f>IF(Plantilla_SCAN_EQ3_COUNT_2[[#This Row],[ID MATERIAL]]="","","PZ")</f>
        <v/>
      </c>
      <c r="H2010" s="7" t="str">
        <f>IF(Plantilla_SCAN_EQ3_COUNT_2[[#This Row],[ID MATERIAL]]="","",$B$13)</f>
        <v/>
      </c>
      <c r="I2010" s="7" t="str">
        <f>IF(Plantilla_SCAN_EQ3_COUNT_2[[#This Row],[ID MATERIAL]]="","","Segundo Conteo")</f>
        <v/>
      </c>
    </row>
    <row r="2011" spans="1:9" s="7" customFormat="1" ht="15" x14ac:dyDescent="0.2">
      <c r="A2011" s="7" t="str">
        <f>IF(Plantilla_SCAN_EQ3_COUNT_2[[#This Row],[ID MATERIAL]]="","",SIGN(Plantilla_SCAN_EQ3_COUNT_2[[#This Row],[Cantidad]])+A2010)</f>
        <v/>
      </c>
      <c r="B2011" s="21" t="str">
        <f>IF(Plantilla_SCAN_EQ3_COUNT_2[[#This Row],[ID MATERIAL]]="","",B2010)</f>
        <v/>
      </c>
      <c r="C2011" s="21"/>
      <c r="D2011" s="21"/>
      <c r="E2011" s="7" t="str">
        <f>IF(Plantilla_SCAN_EQ3_COUNT_2[[#This Row],[ID MATERIAL]]="","",VLOOKUP(Plantilla_SCAN_EQ3_COUNT_2[[#This Row],[ID MATERIAL]],INVENTARIO!$A:$D,2,FALSE))</f>
        <v/>
      </c>
      <c r="F2011" s="7" t="str">
        <f>IF(Plantilla_SCAN_EQ3_COUNT_2[[#This Row],[ID MATERIAL]]="","",IF(Plantilla_SCAN_EQ3_COUNT_2[[#This Row],[No. Empaques]]="",1,Plantilla_SCAN_EQ3_COUNT_2[[#This Row],[No. Empaques]]*1))</f>
        <v/>
      </c>
      <c r="G2011" s="7" t="str">
        <f>IF(Plantilla_SCAN_EQ3_COUNT_2[[#This Row],[ID MATERIAL]]="","","PZ")</f>
        <v/>
      </c>
      <c r="H2011" s="7" t="str">
        <f>IF(Plantilla_SCAN_EQ3_COUNT_2[[#This Row],[ID MATERIAL]]="","",$B$13)</f>
        <v/>
      </c>
      <c r="I2011" s="7" t="str">
        <f>IF(Plantilla_SCAN_EQ3_COUNT_2[[#This Row],[ID MATERIAL]]="","","Segundo Conteo")</f>
        <v/>
      </c>
    </row>
    <row r="2012" spans="1:9" s="7" customFormat="1" ht="15" x14ac:dyDescent="0.2">
      <c r="A2012" s="7" t="str">
        <f>IF(Plantilla_SCAN_EQ3_COUNT_2[[#This Row],[ID MATERIAL]]="","",SIGN(Plantilla_SCAN_EQ3_COUNT_2[[#This Row],[Cantidad]])+A2011)</f>
        <v/>
      </c>
      <c r="B2012" s="21" t="str">
        <f>IF(Plantilla_SCAN_EQ3_COUNT_2[[#This Row],[ID MATERIAL]]="","",B2011)</f>
        <v/>
      </c>
      <c r="C2012" s="21"/>
      <c r="D2012" s="21"/>
      <c r="E2012" s="7" t="str">
        <f>IF(Plantilla_SCAN_EQ3_COUNT_2[[#This Row],[ID MATERIAL]]="","",VLOOKUP(Plantilla_SCAN_EQ3_COUNT_2[[#This Row],[ID MATERIAL]],INVENTARIO!$A:$D,2,FALSE))</f>
        <v/>
      </c>
      <c r="F2012" s="7" t="str">
        <f>IF(Plantilla_SCAN_EQ3_COUNT_2[[#This Row],[ID MATERIAL]]="","",IF(Plantilla_SCAN_EQ3_COUNT_2[[#This Row],[No. Empaques]]="",1,Plantilla_SCAN_EQ3_COUNT_2[[#This Row],[No. Empaques]]*1))</f>
        <v/>
      </c>
      <c r="G2012" s="7" t="str">
        <f>IF(Plantilla_SCAN_EQ3_COUNT_2[[#This Row],[ID MATERIAL]]="","","PZ")</f>
        <v/>
      </c>
      <c r="H2012" s="7" t="str">
        <f>IF(Plantilla_SCAN_EQ3_COUNT_2[[#This Row],[ID MATERIAL]]="","",$B$13)</f>
        <v/>
      </c>
      <c r="I2012" s="7" t="str">
        <f>IF(Plantilla_SCAN_EQ3_COUNT_2[[#This Row],[ID MATERIAL]]="","","Segundo Conteo")</f>
        <v/>
      </c>
    </row>
    <row r="2013" spans="1:9" s="7" customFormat="1" ht="15" x14ac:dyDescent="0.2">
      <c r="A2013" s="7" t="str">
        <f>IF(Plantilla_SCAN_EQ3_COUNT_2[[#This Row],[ID MATERIAL]]="","",SIGN(Plantilla_SCAN_EQ3_COUNT_2[[#This Row],[Cantidad]])+A2012)</f>
        <v/>
      </c>
      <c r="B2013" s="21" t="str">
        <f>IF(Plantilla_SCAN_EQ3_COUNT_2[[#This Row],[ID MATERIAL]]="","",B2012)</f>
        <v/>
      </c>
      <c r="C2013" s="21"/>
      <c r="D2013" s="21"/>
      <c r="E2013" s="7" t="str">
        <f>IF(Plantilla_SCAN_EQ3_COUNT_2[[#This Row],[ID MATERIAL]]="","",VLOOKUP(Plantilla_SCAN_EQ3_COUNT_2[[#This Row],[ID MATERIAL]],INVENTARIO!$A:$D,2,FALSE))</f>
        <v/>
      </c>
      <c r="F2013" s="7" t="str">
        <f>IF(Plantilla_SCAN_EQ3_COUNT_2[[#This Row],[ID MATERIAL]]="","",IF(Plantilla_SCAN_EQ3_COUNT_2[[#This Row],[No. Empaques]]="",1,Plantilla_SCAN_EQ3_COUNT_2[[#This Row],[No. Empaques]]*1))</f>
        <v/>
      </c>
      <c r="G2013" s="7" t="str">
        <f>IF(Plantilla_SCAN_EQ3_COUNT_2[[#This Row],[ID MATERIAL]]="","","PZ")</f>
        <v/>
      </c>
      <c r="H2013" s="7" t="str">
        <f>IF(Plantilla_SCAN_EQ3_COUNT_2[[#This Row],[ID MATERIAL]]="","",$B$13)</f>
        <v/>
      </c>
      <c r="I2013" s="7" t="str">
        <f>IF(Plantilla_SCAN_EQ3_COUNT_2[[#This Row],[ID MATERIAL]]="","","Segundo Conteo")</f>
        <v/>
      </c>
    </row>
    <row r="2014" spans="1:9" s="7" customFormat="1" ht="15" x14ac:dyDescent="0.2">
      <c r="A2014" s="7" t="str">
        <f>IF(Plantilla_SCAN_EQ3_COUNT_2[[#This Row],[ID MATERIAL]]="","",SIGN(Plantilla_SCAN_EQ3_COUNT_2[[#This Row],[Cantidad]])+A2013)</f>
        <v/>
      </c>
      <c r="B2014" s="21" t="str">
        <f>IF(Plantilla_SCAN_EQ3_COUNT_2[[#This Row],[ID MATERIAL]]="","",B2013)</f>
        <v/>
      </c>
      <c r="C2014" s="21"/>
      <c r="D2014" s="21"/>
      <c r="E2014" s="7" t="str">
        <f>IF(Plantilla_SCAN_EQ3_COUNT_2[[#This Row],[ID MATERIAL]]="","",VLOOKUP(Plantilla_SCAN_EQ3_COUNT_2[[#This Row],[ID MATERIAL]],INVENTARIO!$A:$D,2,FALSE))</f>
        <v/>
      </c>
      <c r="F2014" s="7" t="str">
        <f>IF(Plantilla_SCAN_EQ3_COUNT_2[[#This Row],[ID MATERIAL]]="","",IF(Plantilla_SCAN_EQ3_COUNT_2[[#This Row],[No. Empaques]]="",1,Plantilla_SCAN_EQ3_COUNT_2[[#This Row],[No. Empaques]]*1))</f>
        <v/>
      </c>
      <c r="G2014" s="7" t="str">
        <f>IF(Plantilla_SCAN_EQ3_COUNT_2[[#This Row],[ID MATERIAL]]="","","PZ")</f>
        <v/>
      </c>
      <c r="H2014" s="7" t="str">
        <f>IF(Plantilla_SCAN_EQ3_COUNT_2[[#This Row],[ID MATERIAL]]="","",$B$13)</f>
        <v/>
      </c>
      <c r="I2014" s="7" t="str">
        <f>IF(Plantilla_SCAN_EQ3_COUNT_2[[#This Row],[ID MATERIAL]]="","","Segundo Conteo")</f>
        <v/>
      </c>
    </row>
    <row r="2015" spans="1:9" s="7" customFormat="1" ht="15" x14ac:dyDescent="0.2">
      <c r="A2015" s="7" t="str">
        <f>IF(Plantilla_SCAN_EQ3_COUNT_2[[#This Row],[ID MATERIAL]]="","",SIGN(Plantilla_SCAN_EQ3_COUNT_2[[#This Row],[Cantidad]])+A2014)</f>
        <v/>
      </c>
      <c r="B2015" s="21" t="str">
        <f>IF(Plantilla_SCAN_EQ3_COUNT_2[[#This Row],[ID MATERIAL]]="","",B2014)</f>
        <v/>
      </c>
      <c r="C2015" s="21"/>
      <c r="D2015" s="21"/>
      <c r="E2015" s="7" t="str">
        <f>IF(Plantilla_SCAN_EQ3_COUNT_2[[#This Row],[ID MATERIAL]]="","",VLOOKUP(Plantilla_SCAN_EQ3_COUNT_2[[#This Row],[ID MATERIAL]],INVENTARIO!$A:$D,2,FALSE))</f>
        <v/>
      </c>
      <c r="F2015" s="7" t="str">
        <f>IF(Plantilla_SCAN_EQ3_COUNT_2[[#This Row],[ID MATERIAL]]="","",IF(Plantilla_SCAN_EQ3_COUNT_2[[#This Row],[No. Empaques]]="",1,Plantilla_SCAN_EQ3_COUNT_2[[#This Row],[No. Empaques]]*1))</f>
        <v/>
      </c>
      <c r="G2015" s="7" t="str">
        <f>IF(Plantilla_SCAN_EQ3_COUNT_2[[#This Row],[ID MATERIAL]]="","","PZ")</f>
        <v/>
      </c>
      <c r="H2015" s="7" t="str">
        <f>IF(Plantilla_SCAN_EQ3_COUNT_2[[#This Row],[ID MATERIAL]]="","",$B$13)</f>
        <v/>
      </c>
      <c r="I2015" s="7" t="str">
        <f>IF(Plantilla_SCAN_EQ3_COUNT_2[[#This Row],[ID MATERIAL]]="","","Segundo Conteo")</f>
        <v/>
      </c>
    </row>
    <row r="2016" spans="1:9" s="7" customFormat="1" ht="15" x14ac:dyDescent="0.2">
      <c r="A2016" s="7" t="str">
        <f>IF(Plantilla_SCAN_EQ3_COUNT_2[[#This Row],[ID MATERIAL]]="","",SIGN(Plantilla_SCAN_EQ3_COUNT_2[[#This Row],[Cantidad]])+A2015)</f>
        <v/>
      </c>
      <c r="B2016" s="21" t="str">
        <f>IF(Plantilla_SCAN_EQ3_COUNT_2[[#This Row],[ID MATERIAL]]="","",B2015)</f>
        <v/>
      </c>
      <c r="C2016" s="21"/>
      <c r="D2016" s="21"/>
      <c r="E2016" s="7" t="str">
        <f>IF(Plantilla_SCAN_EQ3_COUNT_2[[#This Row],[ID MATERIAL]]="","",VLOOKUP(Plantilla_SCAN_EQ3_COUNT_2[[#This Row],[ID MATERIAL]],INVENTARIO!$A:$D,2,FALSE))</f>
        <v/>
      </c>
      <c r="F2016" s="7" t="str">
        <f>IF(Plantilla_SCAN_EQ3_COUNT_2[[#This Row],[ID MATERIAL]]="","",IF(Plantilla_SCAN_EQ3_COUNT_2[[#This Row],[No. Empaques]]="",1,Plantilla_SCAN_EQ3_COUNT_2[[#This Row],[No. Empaques]]*1))</f>
        <v/>
      </c>
      <c r="G2016" s="7" t="str">
        <f>IF(Plantilla_SCAN_EQ3_COUNT_2[[#This Row],[ID MATERIAL]]="","","PZ")</f>
        <v/>
      </c>
      <c r="H2016" s="7" t="str">
        <f>IF(Plantilla_SCAN_EQ3_COUNT_2[[#This Row],[ID MATERIAL]]="","",$B$13)</f>
        <v/>
      </c>
      <c r="I2016" s="7" t="str">
        <f>IF(Plantilla_SCAN_EQ3_COUNT_2[[#This Row],[ID MATERIAL]]="","","Segundo Conteo")</f>
        <v/>
      </c>
    </row>
    <row r="2017" spans="1:9" s="7" customFormat="1" ht="15" x14ac:dyDescent="0.2">
      <c r="A2017" s="7" t="str">
        <f>IF(Plantilla_SCAN_EQ3_COUNT_2[[#This Row],[ID MATERIAL]]="","",SIGN(Plantilla_SCAN_EQ3_COUNT_2[[#This Row],[Cantidad]])+A2016)</f>
        <v/>
      </c>
      <c r="B2017" s="21" t="str">
        <f>IF(Plantilla_SCAN_EQ3_COUNT_2[[#This Row],[ID MATERIAL]]="","",B2016)</f>
        <v/>
      </c>
      <c r="C2017" s="21"/>
      <c r="D2017" s="21"/>
      <c r="E2017" s="7" t="str">
        <f>IF(Plantilla_SCAN_EQ3_COUNT_2[[#This Row],[ID MATERIAL]]="","",VLOOKUP(Plantilla_SCAN_EQ3_COUNT_2[[#This Row],[ID MATERIAL]],INVENTARIO!$A:$D,2,FALSE))</f>
        <v/>
      </c>
      <c r="F2017" s="7" t="str">
        <f>IF(Plantilla_SCAN_EQ3_COUNT_2[[#This Row],[ID MATERIAL]]="","",IF(Plantilla_SCAN_EQ3_COUNT_2[[#This Row],[No. Empaques]]="",1,Plantilla_SCAN_EQ3_COUNT_2[[#This Row],[No. Empaques]]*1))</f>
        <v/>
      </c>
      <c r="G2017" s="7" t="str">
        <f>IF(Plantilla_SCAN_EQ3_COUNT_2[[#This Row],[ID MATERIAL]]="","","PZ")</f>
        <v/>
      </c>
      <c r="H2017" s="7" t="str">
        <f>IF(Plantilla_SCAN_EQ3_COUNT_2[[#This Row],[ID MATERIAL]]="","",$B$13)</f>
        <v/>
      </c>
      <c r="I2017" s="7" t="str">
        <f>IF(Plantilla_SCAN_EQ3_COUNT_2[[#This Row],[ID MATERIAL]]="","","Segundo Conteo")</f>
        <v/>
      </c>
    </row>
    <row r="2018" spans="1:9" s="7" customFormat="1" ht="15" x14ac:dyDescent="0.2">
      <c r="A2018" s="7" t="str">
        <f>IF(Plantilla_SCAN_EQ3_COUNT_2[[#This Row],[ID MATERIAL]]="","",SIGN(Plantilla_SCAN_EQ3_COUNT_2[[#This Row],[Cantidad]])+A2017)</f>
        <v/>
      </c>
      <c r="B2018" s="21" t="str">
        <f>IF(Plantilla_SCAN_EQ3_COUNT_2[[#This Row],[ID MATERIAL]]="","",B2017)</f>
        <v/>
      </c>
      <c r="C2018" s="21"/>
      <c r="D2018" s="21"/>
      <c r="E2018" s="7" t="str">
        <f>IF(Plantilla_SCAN_EQ3_COUNT_2[[#This Row],[ID MATERIAL]]="","",VLOOKUP(Plantilla_SCAN_EQ3_COUNT_2[[#This Row],[ID MATERIAL]],INVENTARIO!$A:$D,2,FALSE))</f>
        <v/>
      </c>
      <c r="F2018" s="7" t="str">
        <f>IF(Plantilla_SCAN_EQ3_COUNT_2[[#This Row],[ID MATERIAL]]="","",IF(Plantilla_SCAN_EQ3_COUNT_2[[#This Row],[No. Empaques]]="",1,Plantilla_SCAN_EQ3_COUNT_2[[#This Row],[No. Empaques]]*1))</f>
        <v/>
      </c>
      <c r="G2018" s="7" t="str">
        <f>IF(Plantilla_SCAN_EQ3_COUNT_2[[#This Row],[ID MATERIAL]]="","","PZ")</f>
        <v/>
      </c>
      <c r="H2018" s="7" t="str">
        <f>IF(Plantilla_SCAN_EQ3_COUNT_2[[#This Row],[ID MATERIAL]]="","",$B$13)</f>
        <v/>
      </c>
      <c r="I2018" s="7" t="str">
        <f>IF(Plantilla_SCAN_EQ3_COUNT_2[[#This Row],[ID MATERIAL]]="","","Segundo Conteo")</f>
        <v/>
      </c>
    </row>
    <row r="2019" spans="1:9" s="7" customFormat="1" ht="15" x14ac:dyDescent="0.2">
      <c r="A2019" s="7" t="str">
        <f>IF(Plantilla_SCAN_EQ3_COUNT_2[[#This Row],[ID MATERIAL]]="","",SIGN(Plantilla_SCAN_EQ3_COUNT_2[[#This Row],[Cantidad]])+A2018)</f>
        <v/>
      </c>
      <c r="B2019" s="21" t="str">
        <f>IF(Plantilla_SCAN_EQ3_COUNT_2[[#This Row],[ID MATERIAL]]="","",B2018)</f>
        <v/>
      </c>
      <c r="C2019" s="21"/>
      <c r="D2019" s="21"/>
      <c r="E2019" s="7" t="str">
        <f>IF(Plantilla_SCAN_EQ3_COUNT_2[[#This Row],[ID MATERIAL]]="","",VLOOKUP(Plantilla_SCAN_EQ3_COUNT_2[[#This Row],[ID MATERIAL]],INVENTARIO!$A:$D,2,FALSE))</f>
        <v/>
      </c>
      <c r="F2019" s="7" t="str">
        <f>IF(Plantilla_SCAN_EQ3_COUNT_2[[#This Row],[ID MATERIAL]]="","",IF(Plantilla_SCAN_EQ3_COUNT_2[[#This Row],[No. Empaques]]="",1,Plantilla_SCAN_EQ3_COUNT_2[[#This Row],[No. Empaques]]*1))</f>
        <v/>
      </c>
      <c r="G2019" s="7" t="str">
        <f>IF(Plantilla_SCAN_EQ3_COUNT_2[[#This Row],[ID MATERIAL]]="","","PZ")</f>
        <v/>
      </c>
      <c r="H2019" s="7" t="str">
        <f>IF(Plantilla_SCAN_EQ3_COUNT_2[[#This Row],[ID MATERIAL]]="","",$B$13)</f>
        <v/>
      </c>
      <c r="I2019" s="7" t="str">
        <f>IF(Plantilla_SCAN_EQ3_COUNT_2[[#This Row],[ID MATERIAL]]="","","Segundo Conteo")</f>
        <v/>
      </c>
    </row>
    <row r="2020" spans="1:9" s="7" customFormat="1" ht="15" x14ac:dyDescent="0.2">
      <c r="A2020" s="7" t="str">
        <f>IF(Plantilla_SCAN_EQ3_COUNT_2[[#This Row],[ID MATERIAL]]="","",SIGN(Plantilla_SCAN_EQ3_COUNT_2[[#This Row],[Cantidad]])+A2019)</f>
        <v/>
      </c>
      <c r="B2020" s="21" t="str">
        <f>IF(Plantilla_SCAN_EQ3_COUNT_2[[#This Row],[ID MATERIAL]]="","",B2019)</f>
        <v/>
      </c>
      <c r="C2020" s="21"/>
      <c r="D2020" s="21"/>
      <c r="E2020" s="7" t="str">
        <f>IF(Plantilla_SCAN_EQ3_COUNT_2[[#This Row],[ID MATERIAL]]="","",VLOOKUP(Plantilla_SCAN_EQ3_COUNT_2[[#This Row],[ID MATERIAL]],INVENTARIO!$A:$D,2,FALSE))</f>
        <v/>
      </c>
      <c r="F2020" s="7" t="str">
        <f>IF(Plantilla_SCAN_EQ3_COUNT_2[[#This Row],[ID MATERIAL]]="","",IF(Plantilla_SCAN_EQ3_COUNT_2[[#This Row],[No. Empaques]]="",1,Plantilla_SCAN_EQ3_COUNT_2[[#This Row],[No. Empaques]]*1))</f>
        <v/>
      </c>
      <c r="G2020" s="7" t="str">
        <f>IF(Plantilla_SCAN_EQ3_COUNT_2[[#This Row],[ID MATERIAL]]="","","PZ")</f>
        <v/>
      </c>
      <c r="H2020" s="7" t="str">
        <f>IF(Plantilla_SCAN_EQ3_COUNT_2[[#This Row],[ID MATERIAL]]="","",$B$13)</f>
        <v/>
      </c>
      <c r="I2020" s="7" t="str">
        <f>IF(Plantilla_SCAN_EQ3_COUNT_2[[#This Row],[ID MATERIAL]]="","","Segundo Conteo")</f>
        <v/>
      </c>
    </row>
    <row r="2021" spans="1:9" s="7" customFormat="1" ht="15" x14ac:dyDescent="0.2">
      <c r="A2021" s="7" t="str">
        <f>IF(Plantilla_SCAN_EQ3_COUNT_2[[#This Row],[ID MATERIAL]]="","",SIGN(Plantilla_SCAN_EQ3_COUNT_2[[#This Row],[Cantidad]])+A2020)</f>
        <v/>
      </c>
      <c r="B2021" s="21" t="str">
        <f>IF(Plantilla_SCAN_EQ3_COUNT_2[[#This Row],[ID MATERIAL]]="","",B2020)</f>
        <v/>
      </c>
      <c r="C2021" s="21"/>
      <c r="D2021" s="21"/>
      <c r="E2021" s="7" t="str">
        <f>IF(Plantilla_SCAN_EQ3_COUNT_2[[#This Row],[ID MATERIAL]]="","",VLOOKUP(Plantilla_SCAN_EQ3_COUNT_2[[#This Row],[ID MATERIAL]],INVENTARIO!$A:$D,2,FALSE))</f>
        <v/>
      </c>
      <c r="F2021" s="7" t="str">
        <f>IF(Plantilla_SCAN_EQ3_COUNT_2[[#This Row],[ID MATERIAL]]="","",IF(Plantilla_SCAN_EQ3_COUNT_2[[#This Row],[No. Empaques]]="",1,Plantilla_SCAN_EQ3_COUNT_2[[#This Row],[No. Empaques]]*1))</f>
        <v/>
      </c>
      <c r="G2021" s="7" t="str">
        <f>IF(Plantilla_SCAN_EQ3_COUNT_2[[#This Row],[ID MATERIAL]]="","","PZ")</f>
        <v/>
      </c>
      <c r="H2021" s="7" t="str">
        <f>IF(Plantilla_SCAN_EQ3_COUNT_2[[#This Row],[ID MATERIAL]]="","",$B$13)</f>
        <v/>
      </c>
      <c r="I2021" s="7" t="str">
        <f>IF(Plantilla_SCAN_EQ3_COUNT_2[[#This Row],[ID MATERIAL]]="","","Segundo Conteo")</f>
        <v/>
      </c>
    </row>
    <row r="2022" spans="1:9" s="7" customFormat="1" ht="15" x14ac:dyDescent="0.2">
      <c r="A2022" s="7" t="str">
        <f>IF(Plantilla_SCAN_EQ3_COUNT_2[[#This Row],[ID MATERIAL]]="","",SIGN(Plantilla_SCAN_EQ3_COUNT_2[[#This Row],[Cantidad]])+A2021)</f>
        <v/>
      </c>
      <c r="B2022" s="21" t="str">
        <f>IF(Plantilla_SCAN_EQ3_COUNT_2[[#This Row],[ID MATERIAL]]="","",B2021)</f>
        <v/>
      </c>
      <c r="C2022" s="21"/>
      <c r="D2022" s="21"/>
      <c r="E2022" s="7" t="str">
        <f>IF(Plantilla_SCAN_EQ3_COUNT_2[[#This Row],[ID MATERIAL]]="","",VLOOKUP(Plantilla_SCAN_EQ3_COUNT_2[[#This Row],[ID MATERIAL]],INVENTARIO!$A:$D,2,FALSE))</f>
        <v/>
      </c>
      <c r="F2022" s="7" t="str">
        <f>IF(Plantilla_SCAN_EQ3_COUNT_2[[#This Row],[ID MATERIAL]]="","",IF(Plantilla_SCAN_EQ3_COUNT_2[[#This Row],[No. Empaques]]="",1,Plantilla_SCAN_EQ3_COUNT_2[[#This Row],[No. Empaques]]*1))</f>
        <v/>
      </c>
      <c r="G2022" s="7" t="str">
        <f>IF(Plantilla_SCAN_EQ3_COUNT_2[[#This Row],[ID MATERIAL]]="","","PZ")</f>
        <v/>
      </c>
      <c r="H2022" s="7" t="str">
        <f>IF(Plantilla_SCAN_EQ3_COUNT_2[[#This Row],[ID MATERIAL]]="","",$B$13)</f>
        <v/>
      </c>
      <c r="I2022" s="7" t="str">
        <f>IF(Plantilla_SCAN_EQ3_COUNT_2[[#This Row],[ID MATERIAL]]="","","Segundo Conteo")</f>
        <v/>
      </c>
    </row>
    <row r="2023" spans="1:9" s="7" customFormat="1" ht="15" x14ac:dyDescent="0.2">
      <c r="A2023" s="7" t="str">
        <f>IF(Plantilla_SCAN_EQ3_COUNT_2[[#This Row],[ID MATERIAL]]="","",SIGN(Plantilla_SCAN_EQ3_COUNT_2[[#This Row],[Cantidad]])+A2022)</f>
        <v/>
      </c>
      <c r="B2023" s="21" t="str">
        <f>IF(Plantilla_SCAN_EQ3_COUNT_2[[#This Row],[ID MATERIAL]]="","",B2022)</f>
        <v/>
      </c>
      <c r="C2023" s="21"/>
      <c r="D2023" s="21"/>
      <c r="E2023" s="7" t="str">
        <f>IF(Plantilla_SCAN_EQ3_COUNT_2[[#This Row],[ID MATERIAL]]="","",VLOOKUP(Plantilla_SCAN_EQ3_COUNT_2[[#This Row],[ID MATERIAL]],INVENTARIO!$A:$D,2,FALSE))</f>
        <v/>
      </c>
      <c r="F2023" s="7" t="str">
        <f>IF(Plantilla_SCAN_EQ3_COUNT_2[[#This Row],[ID MATERIAL]]="","",IF(Plantilla_SCAN_EQ3_COUNT_2[[#This Row],[No. Empaques]]="",1,Plantilla_SCAN_EQ3_COUNT_2[[#This Row],[No. Empaques]]*1))</f>
        <v/>
      </c>
      <c r="G2023" s="7" t="str">
        <f>IF(Plantilla_SCAN_EQ3_COUNT_2[[#This Row],[ID MATERIAL]]="","","PZ")</f>
        <v/>
      </c>
      <c r="H2023" s="7" t="str">
        <f>IF(Plantilla_SCAN_EQ3_COUNT_2[[#This Row],[ID MATERIAL]]="","",$B$13)</f>
        <v/>
      </c>
      <c r="I2023" s="7" t="str">
        <f>IF(Plantilla_SCAN_EQ3_COUNT_2[[#This Row],[ID MATERIAL]]="","","Segundo Conteo")</f>
        <v/>
      </c>
    </row>
    <row r="2024" spans="1:9" s="7" customFormat="1" ht="15" x14ac:dyDescent="0.2">
      <c r="A2024" s="7" t="str">
        <f>IF(Plantilla_SCAN_EQ3_COUNT_2[[#This Row],[ID MATERIAL]]="","",SIGN(Plantilla_SCAN_EQ3_COUNT_2[[#This Row],[Cantidad]])+A2023)</f>
        <v/>
      </c>
      <c r="B2024" s="21" t="str">
        <f>IF(Plantilla_SCAN_EQ3_COUNT_2[[#This Row],[ID MATERIAL]]="","",B2023)</f>
        <v/>
      </c>
      <c r="C2024" s="21"/>
      <c r="D2024" s="21"/>
      <c r="E2024" s="7" t="str">
        <f>IF(Plantilla_SCAN_EQ3_COUNT_2[[#This Row],[ID MATERIAL]]="","",VLOOKUP(Plantilla_SCAN_EQ3_COUNT_2[[#This Row],[ID MATERIAL]],INVENTARIO!$A:$D,2,FALSE))</f>
        <v/>
      </c>
      <c r="F2024" s="7" t="str">
        <f>IF(Plantilla_SCAN_EQ3_COUNT_2[[#This Row],[ID MATERIAL]]="","",IF(Plantilla_SCAN_EQ3_COUNT_2[[#This Row],[No. Empaques]]="",1,Plantilla_SCAN_EQ3_COUNT_2[[#This Row],[No. Empaques]]*1))</f>
        <v/>
      </c>
      <c r="G2024" s="7" t="str">
        <f>IF(Plantilla_SCAN_EQ3_COUNT_2[[#This Row],[ID MATERIAL]]="","","PZ")</f>
        <v/>
      </c>
      <c r="H2024" s="7" t="str">
        <f>IF(Plantilla_SCAN_EQ3_COUNT_2[[#This Row],[ID MATERIAL]]="","",$B$13)</f>
        <v/>
      </c>
      <c r="I2024" s="7" t="str">
        <f>IF(Plantilla_SCAN_EQ3_COUNT_2[[#This Row],[ID MATERIAL]]="","","Segundo Conteo")</f>
        <v/>
      </c>
    </row>
    <row r="2025" spans="1:9" s="7" customFormat="1" ht="15" x14ac:dyDescent="0.2">
      <c r="A2025" s="7" t="str">
        <f>IF(Plantilla_SCAN_EQ3_COUNT_2[[#This Row],[ID MATERIAL]]="","",SIGN(Plantilla_SCAN_EQ3_COUNT_2[[#This Row],[Cantidad]])+A2024)</f>
        <v/>
      </c>
      <c r="B2025" s="21" t="str">
        <f>IF(Plantilla_SCAN_EQ3_COUNT_2[[#This Row],[ID MATERIAL]]="","",B2024)</f>
        <v/>
      </c>
      <c r="C2025" s="21"/>
      <c r="D2025" s="21"/>
      <c r="E2025" s="7" t="str">
        <f>IF(Plantilla_SCAN_EQ3_COUNT_2[[#This Row],[ID MATERIAL]]="","",VLOOKUP(Plantilla_SCAN_EQ3_COUNT_2[[#This Row],[ID MATERIAL]],INVENTARIO!$A:$D,2,FALSE))</f>
        <v/>
      </c>
      <c r="F2025" s="7" t="str">
        <f>IF(Plantilla_SCAN_EQ3_COUNT_2[[#This Row],[ID MATERIAL]]="","",IF(Plantilla_SCAN_EQ3_COUNT_2[[#This Row],[No. Empaques]]="",1,Plantilla_SCAN_EQ3_COUNT_2[[#This Row],[No. Empaques]]*1))</f>
        <v/>
      </c>
      <c r="G2025" s="7" t="str">
        <f>IF(Plantilla_SCAN_EQ3_COUNT_2[[#This Row],[ID MATERIAL]]="","","PZ")</f>
        <v/>
      </c>
      <c r="H2025" s="7" t="str">
        <f>IF(Plantilla_SCAN_EQ3_COUNT_2[[#This Row],[ID MATERIAL]]="","",$B$13)</f>
        <v/>
      </c>
      <c r="I2025" s="7" t="str">
        <f>IF(Plantilla_SCAN_EQ3_COUNT_2[[#This Row],[ID MATERIAL]]="","","Segundo Conteo")</f>
        <v/>
      </c>
    </row>
    <row r="2026" spans="1:9" s="7" customFormat="1" ht="15" x14ac:dyDescent="0.2">
      <c r="A2026" s="7" t="str">
        <f>IF(Plantilla_SCAN_EQ3_COUNT_2[[#This Row],[ID MATERIAL]]="","",SIGN(Plantilla_SCAN_EQ3_COUNT_2[[#This Row],[Cantidad]])+A2025)</f>
        <v/>
      </c>
      <c r="B2026" s="21" t="str">
        <f>IF(Plantilla_SCAN_EQ3_COUNT_2[[#This Row],[ID MATERIAL]]="","",B2025)</f>
        <v/>
      </c>
      <c r="C2026" s="21"/>
      <c r="D2026" s="21"/>
      <c r="E2026" s="7" t="str">
        <f>IF(Plantilla_SCAN_EQ3_COUNT_2[[#This Row],[ID MATERIAL]]="","",VLOOKUP(Plantilla_SCAN_EQ3_COUNT_2[[#This Row],[ID MATERIAL]],INVENTARIO!$A:$D,2,FALSE))</f>
        <v/>
      </c>
      <c r="F2026" s="7" t="str">
        <f>IF(Plantilla_SCAN_EQ3_COUNT_2[[#This Row],[ID MATERIAL]]="","",IF(Plantilla_SCAN_EQ3_COUNT_2[[#This Row],[No. Empaques]]="",1,Plantilla_SCAN_EQ3_COUNT_2[[#This Row],[No. Empaques]]*1))</f>
        <v/>
      </c>
      <c r="G2026" s="7" t="str">
        <f>IF(Plantilla_SCAN_EQ3_COUNT_2[[#This Row],[ID MATERIAL]]="","","PZ")</f>
        <v/>
      </c>
      <c r="H2026" s="7" t="str">
        <f>IF(Plantilla_SCAN_EQ3_COUNT_2[[#This Row],[ID MATERIAL]]="","",$B$13)</f>
        <v/>
      </c>
      <c r="I2026" s="7" t="str">
        <f>IF(Plantilla_SCAN_EQ3_COUNT_2[[#This Row],[ID MATERIAL]]="","","Segundo Conteo")</f>
        <v/>
      </c>
    </row>
    <row r="2027" spans="1:9" s="7" customFormat="1" ht="15" x14ac:dyDescent="0.2">
      <c r="A2027" s="7" t="str">
        <f>IF(Plantilla_SCAN_EQ3_COUNT_2[[#This Row],[ID MATERIAL]]="","",SIGN(Plantilla_SCAN_EQ3_COUNT_2[[#This Row],[Cantidad]])+A2026)</f>
        <v/>
      </c>
      <c r="B2027" s="21" t="str">
        <f>IF(Plantilla_SCAN_EQ3_COUNT_2[[#This Row],[ID MATERIAL]]="","",B2026)</f>
        <v/>
      </c>
      <c r="C2027" s="21"/>
      <c r="D2027" s="21"/>
      <c r="E2027" s="7" t="str">
        <f>IF(Plantilla_SCAN_EQ3_COUNT_2[[#This Row],[ID MATERIAL]]="","",VLOOKUP(Plantilla_SCAN_EQ3_COUNT_2[[#This Row],[ID MATERIAL]],INVENTARIO!$A:$D,2,FALSE))</f>
        <v/>
      </c>
      <c r="F2027" s="7" t="str">
        <f>IF(Plantilla_SCAN_EQ3_COUNT_2[[#This Row],[ID MATERIAL]]="","",IF(Plantilla_SCAN_EQ3_COUNT_2[[#This Row],[No. Empaques]]="",1,Plantilla_SCAN_EQ3_COUNT_2[[#This Row],[No. Empaques]]*1))</f>
        <v/>
      </c>
      <c r="G2027" s="7" t="str">
        <f>IF(Plantilla_SCAN_EQ3_COUNT_2[[#This Row],[ID MATERIAL]]="","","PZ")</f>
        <v/>
      </c>
      <c r="H2027" s="7" t="str">
        <f>IF(Plantilla_SCAN_EQ3_COUNT_2[[#This Row],[ID MATERIAL]]="","",$B$13)</f>
        <v/>
      </c>
      <c r="I2027" s="7" t="str">
        <f>IF(Plantilla_SCAN_EQ3_COUNT_2[[#This Row],[ID MATERIAL]]="","","Segundo Conteo")</f>
        <v/>
      </c>
    </row>
    <row r="2028" spans="1:9" s="7" customFormat="1" ht="15" x14ac:dyDescent="0.2">
      <c r="A2028" s="7" t="str">
        <f>IF(Plantilla_SCAN_EQ3_COUNT_2[[#This Row],[ID MATERIAL]]="","",SIGN(Plantilla_SCAN_EQ3_COUNT_2[[#This Row],[Cantidad]])+A2027)</f>
        <v/>
      </c>
      <c r="B2028" s="21" t="str">
        <f>IF(Plantilla_SCAN_EQ3_COUNT_2[[#This Row],[ID MATERIAL]]="","",B2027)</f>
        <v/>
      </c>
      <c r="C2028" s="21"/>
      <c r="D2028" s="21"/>
      <c r="E2028" s="7" t="str">
        <f>IF(Plantilla_SCAN_EQ3_COUNT_2[[#This Row],[ID MATERIAL]]="","",VLOOKUP(Plantilla_SCAN_EQ3_COUNT_2[[#This Row],[ID MATERIAL]],INVENTARIO!$A:$D,2,FALSE))</f>
        <v/>
      </c>
      <c r="F2028" s="7" t="str">
        <f>IF(Plantilla_SCAN_EQ3_COUNT_2[[#This Row],[ID MATERIAL]]="","",IF(Plantilla_SCAN_EQ3_COUNT_2[[#This Row],[No. Empaques]]="",1,Plantilla_SCAN_EQ3_COUNT_2[[#This Row],[No. Empaques]]*1))</f>
        <v/>
      </c>
      <c r="G2028" s="7" t="str">
        <f>IF(Plantilla_SCAN_EQ3_COUNT_2[[#This Row],[ID MATERIAL]]="","","PZ")</f>
        <v/>
      </c>
      <c r="H2028" s="7" t="str">
        <f>IF(Plantilla_SCAN_EQ3_COUNT_2[[#This Row],[ID MATERIAL]]="","",$B$13)</f>
        <v/>
      </c>
      <c r="I2028" s="7" t="str">
        <f>IF(Plantilla_SCAN_EQ3_COUNT_2[[#This Row],[ID MATERIAL]]="","","Segundo Conteo")</f>
        <v/>
      </c>
    </row>
    <row r="2029" spans="1:9" s="7" customFormat="1" ht="15" x14ac:dyDescent="0.2">
      <c r="A2029" s="7" t="str">
        <f>IF(Plantilla_SCAN_EQ3_COUNT_2[[#This Row],[ID MATERIAL]]="","",SIGN(Plantilla_SCAN_EQ3_COUNT_2[[#This Row],[Cantidad]])+A2028)</f>
        <v/>
      </c>
      <c r="B2029" s="21" t="str">
        <f>IF(Plantilla_SCAN_EQ3_COUNT_2[[#This Row],[ID MATERIAL]]="","",B2028)</f>
        <v/>
      </c>
      <c r="C2029" s="21"/>
      <c r="D2029" s="21"/>
      <c r="E2029" s="7" t="str">
        <f>IF(Plantilla_SCAN_EQ3_COUNT_2[[#This Row],[ID MATERIAL]]="","",VLOOKUP(Plantilla_SCAN_EQ3_COUNT_2[[#This Row],[ID MATERIAL]],INVENTARIO!$A:$D,2,FALSE))</f>
        <v/>
      </c>
      <c r="F2029" s="7" t="str">
        <f>IF(Plantilla_SCAN_EQ3_COUNT_2[[#This Row],[ID MATERIAL]]="","",IF(Plantilla_SCAN_EQ3_COUNT_2[[#This Row],[No. Empaques]]="",1,Plantilla_SCAN_EQ3_COUNT_2[[#This Row],[No. Empaques]]*1))</f>
        <v/>
      </c>
      <c r="G2029" s="7" t="str">
        <f>IF(Plantilla_SCAN_EQ3_COUNT_2[[#This Row],[ID MATERIAL]]="","","PZ")</f>
        <v/>
      </c>
      <c r="H2029" s="7" t="str">
        <f>IF(Plantilla_SCAN_EQ3_COUNT_2[[#This Row],[ID MATERIAL]]="","",$B$13)</f>
        <v/>
      </c>
      <c r="I2029" s="7" t="str">
        <f>IF(Plantilla_SCAN_EQ3_COUNT_2[[#This Row],[ID MATERIAL]]="","","Segundo Conteo")</f>
        <v/>
      </c>
    </row>
    <row r="2030" spans="1:9" s="7" customFormat="1" ht="15" x14ac:dyDescent="0.2">
      <c r="A2030" s="7" t="str">
        <f>IF(Plantilla_SCAN_EQ3_COUNT_2[[#This Row],[ID MATERIAL]]="","",SIGN(Plantilla_SCAN_EQ3_COUNT_2[[#This Row],[Cantidad]])+A2029)</f>
        <v/>
      </c>
      <c r="B2030" s="21" t="str">
        <f>IF(Plantilla_SCAN_EQ3_COUNT_2[[#This Row],[ID MATERIAL]]="","",B2029)</f>
        <v/>
      </c>
      <c r="C2030" s="21"/>
      <c r="D2030" s="21"/>
      <c r="E2030" s="7" t="str">
        <f>IF(Plantilla_SCAN_EQ3_COUNT_2[[#This Row],[ID MATERIAL]]="","",VLOOKUP(Plantilla_SCAN_EQ3_COUNT_2[[#This Row],[ID MATERIAL]],INVENTARIO!$A:$D,2,FALSE))</f>
        <v/>
      </c>
      <c r="F2030" s="7" t="str">
        <f>IF(Plantilla_SCAN_EQ3_COUNT_2[[#This Row],[ID MATERIAL]]="","",IF(Plantilla_SCAN_EQ3_COUNT_2[[#This Row],[No. Empaques]]="",1,Plantilla_SCAN_EQ3_COUNT_2[[#This Row],[No. Empaques]]*1))</f>
        <v/>
      </c>
      <c r="G2030" s="7" t="str">
        <f>IF(Plantilla_SCAN_EQ3_COUNT_2[[#This Row],[ID MATERIAL]]="","","PZ")</f>
        <v/>
      </c>
      <c r="H2030" s="7" t="str">
        <f>IF(Plantilla_SCAN_EQ3_COUNT_2[[#This Row],[ID MATERIAL]]="","",$B$13)</f>
        <v/>
      </c>
      <c r="I2030" s="7" t="str">
        <f>IF(Plantilla_SCAN_EQ3_COUNT_2[[#This Row],[ID MATERIAL]]="","","Segundo Conteo")</f>
        <v/>
      </c>
    </row>
    <row r="2031" spans="1:9" s="7" customFormat="1" ht="15" x14ac:dyDescent="0.2">
      <c r="A2031" s="7" t="str">
        <f>IF(Plantilla_SCAN_EQ3_COUNT_2[[#This Row],[ID MATERIAL]]="","",SIGN(Plantilla_SCAN_EQ3_COUNT_2[[#This Row],[Cantidad]])+A2030)</f>
        <v/>
      </c>
      <c r="B2031" s="21" t="str">
        <f>IF(Plantilla_SCAN_EQ3_COUNT_2[[#This Row],[ID MATERIAL]]="","",B2030)</f>
        <v/>
      </c>
      <c r="C2031" s="21"/>
      <c r="D2031" s="21"/>
      <c r="E2031" s="7" t="str">
        <f>IF(Plantilla_SCAN_EQ3_COUNT_2[[#This Row],[ID MATERIAL]]="","",VLOOKUP(Plantilla_SCAN_EQ3_COUNT_2[[#This Row],[ID MATERIAL]],INVENTARIO!$A:$D,2,FALSE))</f>
        <v/>
      </c>
      <c r="F2031" s="7" t="str">
        <f>IF(Plantilla_SCAN_EQ3_COUNT_2[[#This Row],[ID MATERIAL]]="","",IF(Plantilla_SCAN_EQ3_COUNT_2[[#This Row],[No. Empaques]]="",1,Plantilla_SCAN_EQ3_COUNT_2[[#This Row],[No. Empaques]]*1))</f>
        <v/>
      </c>
      <c r="G2031" s="7" t="str">
        <f>IF(Plantilla_SCAN_EQ3_COUNT_2[[#This Row],[ID MATERIAL]]="","","PZ")</f>
        <v/>
      </c>
      <c r="H2031" s="7" t="str">
        <f>IF(Plantilla_SCAN_EQ3_COUNT_2[[#This Row],[ID MATERIAL]]="","",$B$13)</f>
        <v/>
      </c>
      <c r="I2031" s="7" t="str">
        <f>IF(Plantilla_SCAN_EQ3_COUNT_2[[#This Row],[ID MATERIAL]]="","","Segundo Conteo")</f>
        <v/>
      </c>
    </row>
    <row r="2032" spans="1:9" s="7" customFormat="1" ht="15" x14ac:dyDescent="0.2">
      <c r="A2032" s="7" t="str">
        <f>IF(Plantilla_SCAN_EQ3_COUNT_2[[#This Row],[ID MATERIAL]]="","",SIGN(Plantilla_SCAN_EQ3_COUNT_2[[#This Row],[Cantidad]])+A2031)</f>
        <v/>
      </c>
      <c r="B2032" s="21" t="str">
        <f>IF(Plantilla_SCAN_EQ3_COUNT_2[[#This Row],[ID MATERIAL]]="","",B2031)</f>
        <v/>
      </c>
      <c r="C2032" s="21"/>
      <c r="D2032" s="21"/>
      <c r="E2032" s="7" t="str">
        <f>IF(Plantilla_SCAN_EQ3_COUNT_2[[#This Row],[ID MATERIAL]]="","",VLOOKUP(Plantilla_SCAN_EQ3_COUNT_2[[#This Row],[ID MATERIAL]],INVENTARIO!$A:$D,2,FALSE))</f>
        <v/>
      </c>
      <c r="F2032" s="7" t="str">
        <f>IF(Plantilla_SCAN_EQ3_COUNT_2[[#This Row],[ID MATERIAL]]="","",IF(Plantilla_SCAN_EQ3_COUNT_2[[#This Row],[No. Empaques]]="",1,Plantilla_SCAN_EQ3_COUNT_2[[#This Row],[No. Empaques]]*1))</f>
        <v/>
      </c>
      <c r="G2032" s="7" t="str">
        <f>IF(Plantilla_SCAN_EQ3_COUNT_2[[#This Row],[ID MATERIAL]]="","","PZ")</f>
        <v/>
      </c>
      <c r="H2032" s="7" t="str">
        <f>IF(Plantilla_SCAN_EQ3_COUNT_2[[#This Row],[ID MATERIAL]]="","",$B$13)</f>
        <v/>
      </c>
      <c r="I2032" s="7" t="str">
        <f>IF(Plantilla_SCAN_EQ3_COUNT_2[[#This Row],[ID MATERIAL]]="","","Segundo Conteo")</f>
        <v/>
      </c>
    </row>
    <row r="2033" spans="1:9" s="7" customFormat="1" ht="15" x14ac:dyDescent="0.2">
      <c r="A2033" s="7" t="str">
        <f>IF(Plantilla_SCAN_EQ3_COUNT_2[[#This Row],[ID MATERIAL]]="","",SIGN(Plantilla_SCAN_EQ3_COUNT_2[[#This Row],[Cantidad]])+A2032)</f>
        <v/>
      </c>
      <c r="B2033" s="21" t="str">
        <f>IF(Plantilla_SCAN_EQ3_COUNT_2[[#This Row],[ID MATERIAL]]="","",B2032)</f>
        <v/>
      </c>
      <c r="C2033" s="21"/>
      <c r="D2033" s="21"/>
      <c r="E2033" s="7" t="str">
        <f>IF(Plantilla_SCAN_EQ3_COUNT_2[[#This Row],[ID MATERIAL]]="","",VLOOKUP(Plantilla_SCAN_EQ3_COUNT_2[[#This Row],[ID MATERIAL]],INVENTARIO!$A:$D,2,FALSE))</f>
        <v/>
      </c>
      <c r="F2033" s="7" t="str">
        <f>IF(Plantilla_SCAN_EQ3_COUNT_2[[#This Row],[ID MATERIAL]]="","",IF(Plantilla_SCAN_EQ3_COUNT_2[[#This Row],[No. Empaques]]="",1,Plantilla_SCAN_EQ3_COUNT_2[[#This Row],[No. Empaques]]*1))</f>
        <v/>
      </c>
      <c r="G2033" s="7" t="str">
        <f>IF(Plantilla_SCAN_EQ3_COUNT_2[[#This Row],[ID MATERIAL]]="","","PZ")</f>
        <v/>
      </c>
      <c r="H2033" s="7" t="str">
        <f>IF(Plantilla_SCAN_EQ3_COUNT_2[[#This Row],[ID MATERIAL]]="","",$B$13)</f>
        <v/>
      </c>
      <c r="I2033" s="7" t="str">
        <f>IF(Plantilla_SCAN_EQ3_COUNT_2[[#This Row],[ID MATERIAL]]="","","Segundo Conteo")</f>
        <v/>
      </c>
    </row>
    <row r="2034" spans="1:9" s="7" customFormat="1" ht="15" x14ac:dyDescent="0.2">
      <c r="A2034" s="7" t="str">
        <f>IF(Plantilla_SCAN_EQ3_COUNT_2[[#This Row],[ID MATERIAL]]="","",SIGN(Plantilla_SCAN_EQ3_COUNT_2[[#This Row],[Cantidad]])+A2033)</f>
        <v/>
      </c>
      <c r="B2034" s="21" t="str">
        <f>IF(Plantilla_SCAN_EQ3_COUNT_2[[#This Row],[ID MATERIAL]]="","",B2033)</f>
        <v/>
      </c>
      <c r="C2034" s="21"/>
      <c r="D2034" s="21"/>
      <c r="E2034" s="7" t="str">
        <f>IF(Plantilla_SCAN_EQ3_COUNT_2[[#This Row],[ID MATERIAL]]="","",VLOOKUP(Plantilla_SCAN_EQ3_COUNT_2[[#This Row],[ID MATERIAL]],INVENTARIO!$A:$D,2,FALSE))</f>
        <v/>
      </c>
      <c r="F2034" s="7" t="str">
        <f>IF(Plantilla_SCAN_EQ3_COUNT_2[[#This Row],[ID MATERIAL]]="","",IF(Plantilla_SCAN_EQ3_COUNT_2[[#This Row],[No. Empaques]]="",1,Plantilla_SCAN_EQ3_COUNT_2[[#This Row],[No. Empaques]]*1))</f>
        <v/>
      </c>
      <c r="G2034" s="7" t="str">
        <f>IF(Plantilla_SCAN_EQ3_COUNT_2[[#This Row],[ID MATERIAL]]="","","PZ")</f>
        <v/>
      </c>
      <c r="H2034" s="7" t="str">
        <f>IF(Plantilla_SCAN_EQ3_COUNT_2[[#This Row],[ID MATERIAL]]="","",$B$13)</f>
        <v/>
      </c>
      <c r="I2034" s="7" t="str">
        <f>IF(Plantilla_SCAN_EQ3_COUNT_2[[#This Row],[ID MATERIAL]]="","","Segundo Conteo")</f>
        <v/>
      </c>
    </row>
    <row r="2035" spans="1:9" s="7" customFormat="1" ht="15" x14ac:dyDescent="0.2">
      <c r="A2035" s="7" t="str">
        <f>IF(Plantilla_SCAN_EQ3_COUNT_2[[#This Row],[ID MATERIAL]]="","",SIGN(Plantilla_SCAN_EQ3_COUNT_2[[#This Row],[Cantidad]])+A2034)</f>
        <v/>
      </c>
      <c r="B2035" s="21" t="str">
        <f>IF(Plantilla_SCAN_EQ3_COUNT_2[[#This Row],[ID MATERIAL]]="","",B2034)</f>
        <v/>
      </c>
      <c r="C2035" s="21"/>
      <c r="D2035" s="21"/>
      <c r="E2035" s="7" t="str">
        <f>IF(Plantilla_SCAN_EQ3_COUNT_2[[#This Row],[ID MATERIAL]]="","",VLOOKUP(Plantilla_SCAN_EQ3_COUNT_2[[#This Row],[ID MATERIAL]],INVENTARIO!$A:$D,2,FALSE))</f>
        <v/>
      </c>
      <c r="F2035" s="7" t="str">
        <f>IF(Plantilla_SCAN_EQ3_COUNT_2[[#This Row],[ID MATERIAL]]="","",IF(Plantilla_SCAN_EQ3_COUNT_2[[#This Row],[No. Empaques]]="",1,Plantilla_SCAN_EQ3_COUNT_2[[#This Row],[No. Empaques]]*1))</f>
        <v/>
      </c>
      <c r="G2035" s="7" t="str">
        <f>IF(Plantilla_SCAN_EQ3_COUNT_2[[#This Row],[ID MATERIAL]]="","","PZ")</f>
        <v/>
      </c>
      <c r="H2035" s="7" t="str">
        <f>IF(Plantilla_SCAN_EQ3_COUNT_2[[#This Row],[ID MATERIAL]]="","",$B$13)</f>
        <v/>
      </c>
      <c r="I2035" s="7" t="str">
        <f>IF(Plantilla_SCAN_EQ3_COUNT_2[[#This Row],[ID MATERIAL]]="","","Segundo Conteo")</f>
        <v/>
      </c>
    </row>
    <row r="2036" spans="1:9" s="7" customFormat="1" ht="15" x14ac:dyDescent="0.2">
      <c r="A2036" s="7" t="str">
        <f>IF(Plantilla_SCAN_EQ3_COUNT_2[[#This Row],[ID MATERIAL]]="","",SIGN(Plantilla_SCAN_EQ3_COUNT_2[[#This Row],[Cantidad]])+A2035)</f>
        <v/>
      </c>
      <c r="B2036" s="21" t="str">
        <f>IF(Plantilla_SCAN_EQ3_COUNT_2[[#This Row],[ID MATERIAL]]="","",B2035)</f>
        <v/>
      </c>
      <c r="C2036" s="21"/>
      <c r="D2036" s="21"/>
      <c r="E2036" s="7" t="str">
        <f>IF(Plantilla_SCAN_EQ3_COUNT_2[[#This Row],[ID MATERIAL]]="","",VLOOKUP(Plantilla_SCAN_EQ3_COUNT_2[[#This Row],[ID MATERIAL]],INVENTARIO!$A:$D,2,FALSE))</f>
        <v/>
      </c>
      <c r="F2036" s="7" t="str">
        <f>IF(Plantilla_SCAN_EQ3_COUNT_2[[#This Row],[ID MATERIAL]]="","",IF(Plantilla_SCAN_EQ3_COUNT_2[[#This Row],[No. Empaques]]="",1,Plantilla_SCAN_EQ3_COUNT_2[[#This Row],[No. Empaques]]*1))</f>
        <v/>
      </c>
      <c r="G2036" s="7" t="str">
        <f>IF(Plantilla_SCAN_EQ3_COUNT_2[[#This Row],[ID MATERIAL]]="","","PZ")</f>
        <v/>
      </c>
      <c r="H2036" s="7" t="str">
        <f>IF(Plantilla_SCAN_EQ3_COUNT_2[[#This Row],[ID MATERIAL]]="","",$B$13)</f>
        <v/>
      </c>
      <c r="I2036" s="7" t="str">
        <f>IF(Plantilla_SCAN_EQ3_COUNT_2[[#This Row],[ID MATERIAL]]="","","Segundo Conteo")</f>
        <v/>
      </c>
    </row>
    <row r="2037" spans="1:9" s="7" customFormat="1" ht="15" x14ac:dyDescent="0.2">
      <c r="A2037" s="7" t="str">
        <f>IF(Plantilla_SCAN_EQ3_COUNT_2[[#This Row],[ID MATERIAL]]="","",SIGN(Plantilla_SCAN_EQ3_COUNT_2[[#This Row],[Cantidad]])+A2036)</f>
        <v/>
      </c>
      <c r="B2037" s="21" t="str">
        <f>IF(Plantilla_SCAN_EQ3_COUNT_2[[#This Row],[ID MATERIAL]]="","",B2036)</f>
        <v/>
      </c>
      <c r="C2037" s="21"/>
      <c r="D2037" s="21"/>
      <c r="E2037" s="7" t="str">
        <f>IF(Plantilla_SCAN_EQ3_COUNT_2[[#This Row],[ID MATERIAL]]="","",VLOOKUP(Plantilla_SCAN_EQ3_COUNT_2[[#This Row],[ID MATERIAL]],INVENTARIO!$A:$D,2,FALSE))</f>
        <v/>
      </c>
      <c r="F2037" s="7" t="str">
        <f>IF(Plantilla_SCAN_EQ3_COUNT_2[[#This Row],[ID MATERIAL]]="","",IF(Plantilla_SCAN_EQ3_COUNT_2[[#This Row],[No. Empaques]]="",1,Plantilla_SCAN_EQ3_COUNT_2[[#This Row],[No. Empaques]]*1))</f>
        <v/>
      </c>
      <c r="G2037" s="7" t="str">
        <f>IF(Plantilla_SCAN_EQ3_COUNT_2[[#This Row],[ID MATERIAL]]="","","PZ")</f>
        <v/>
      </c>
      <c r="H2037" s="7" t="str">
        <f>IF(Plantilla_SCAN_EQ3_COUNT_2[[#This Row],[ID MATERIAL]]="","",$B$13)</f>
        <v/>
      </c>
      <c r="I2037" s="7" t="str">
        <f>IF(Plantilla_SCAN_EQ3_COUNT_2[[#This Row],[ID MATERIAL]]="","","Segundo Conteo")</f>
        <v/>
      </c>
    </row>
    <row r="2038" spans="1:9" s="7" customFormat="1" ht="15" x14ac:dyDescent="0.2">
      <c r="A2038" s="7" t="str">
        <f>IF(Plantilla_SCAN_EQ3_COUNT_2[[#This Row],[ID MATERIAL]]="","",SIGN(Plantilla_SCAN_EQ3_COUNT_2[[#This Row],[Cantidad]])+A2037)</f>
        <v/>
      </c>
      <c r="B2038" s="21" t="str">
        <f>IF(Plantilla_SCAN_EQ3_COUNT_2[[#This Row],[ID MATERIAL]]="","",B2037)</f>
        <v/>
      </c>
      <c r="C2038" s="21"/>
      <c r="D2038" s="21"/>
      <c r="E2038" s="7" t="str">
        <f>IF(Plantilla_SCAN_EQ3_COUNT_2[[#This Row],[ID MATERIAL]]="","",VLOOKUP(Plantilla_SCAN_EQ3_COUNT_2[[#This Row],[ID MATERIAL]],INVENTARIO!$A:$D,2,FALSE))</f>
        <v/>
      </c>
      <c r="F2038" s="7" t="str">
        <f>IF(Plantilla_SCAN_EQ3_COUNT_2[[#This Row],[ID MATERIAL]]="","",IF(Plantilla_SCAN_EQ3_COUNT_2[[#This Row],[No. Empaques]]="",1,Plantilla_SCAN_EQ3_COUNT_2[[#This Row],[No. Empaques]]*1))</f>
        <v/>
      </c>
      <c r="G2038" s="7" t="str">
        <f>IF(Plantilla_SCAN_EQ3_COUNT_2[[#This Row],[ID MATERIAL]]="","","PZ")</f>
        <v/>
      </c>
      <c r="H2038" s="7" t="str">
        <f>IF(Plantilla_SCAN_EQ3_COUNT_2[[#This Row],[ID MATERIAL]]="","",$B$13)</f>
        <v/>
      </c>
      <c r="I2038" s="7" t="str">
        <f>IF(Plantilla_SCAN_EQ3_COUNT_2[[#This Row],[ID MATERIAL]]="","","Segundo Conteo")</f>
        <v/>
      </c>
    </row>
    <row r="2039" spans="1:9" s="7" customFormat="1" ht="15" x14ac:dyDescent="0.2">
      <c r="A2039" s="7" t="str">
        <f>IF(Plantilla_SCAN_EQ3_COUNT_2[[#This Row],[ID MATERIAL]]="","",SIGN(Plantilla_SCAN_EQ3_COUNT_2[[#This Row],[Cantidad]])+A2038)</f>
        <v/>
      </c>
      <c r="B2039" s="21" t="str">
        <f>IF(Plantilla_SCAN_EQ3_COUNT_2[[#This Row],[ID MATERIAL]]="","",B2038)</f>
        <v/>
      </c>
      <c r="C2039" s="21"/>
      <c r="D2039" s="21"/>
      <c r="E2039" s="7" t="str">
        <f>IF(Plantilla_SCAN_EQ3_COUNT_2[[#This Row],[ID MATERIAL]]="","",VLOOKUP(Plantilla_SCAN_EQ3_COUNT_2[[#This Row],[ID MATERIAL]],INVENTARIO!$A:$D,2,FALSE))</f>
        <v/>
      </c>
      <c r="F2039" s="7" t="str">
        <f>IF(Plantilla_SCAN_EQ3_COUNT_2[[#This Row],[ID MATERIAL]]="","",IF(Plantilla_SCAN_EQ3_COUNT_2[[#This Row],[No. Empaques]]="",1,Plantilla_SCAN_EQ3_COUNT_2[[#This Row],[No. Empaques]]*1))</f>
        <v/>
      </c>
      <c r="G2039" s="7" t="str">
        <f>IF(Plantilla_SCAN_EQ3_COUNT_2[[#This Row],[ID MATERIAL]]="","","PZ")</f>
        <v/>
      </c>
      <c r="H2039" s="7" t="str">
        <f>IF(Plantilla_SCAN_EQ3_COUNT_2[[#This Row],[ID MATERIAL]]="","",$B$13)</f>
        <v/>
      </c>
      <c r="I2039" s="7" t="str">
        <f>IF(Plantilla_SCAN_EQ3_COUNT_2[[#This Row],[ID MATERIAL]]="","","Segundo Conteo")</f>
        <v/>
      </c>
    </row>
    <row r="2040" spans="1:9" s="7" customFormat="1" ht="15" x14ac:dyDescent="0.2">
      <c r="A2040" s="7" t="str">
        <f>IF(Plantilla_SCAN_EQ3_COUNT_2[[#This Row],[ID MATERIAL]]="","",SIGN(Plantilla_SCAN_EQ3_COUNT_2[[#This Row],[Cantidad]])+A2039)</f>
        <v/>
      </c>
      <c r="B2040" s="21" t="str">
        <f>IF(Plantilla_SCAN_EQ3_COUNT_2[[#This Row],[ID MATERIAL]]="","",B2039)</f>
        <v/>
      </c>
      <c r="C2040" s="21"/>
      <c r="D2040" s="21"/>
      <c r="E2040" s="7" t="str">
        <f>IF(Plantilla_SCAN_EQ3_COUNT_2[[#This Row],[ID MATERIAL]]="","",VLOOKUP(Plantilla_SCAN_EQ3_COUNT_2[[#This Row],[ID MATERIAL]],INVENTARIO!$A:$D,2,FALSE))</f>
        <v/>
      </c>
      <c r="F2040" s="7" t="str">
        <f>IF(Plantilla_SCAN_EQ3_COUNT_2[[#This Row],[ID MATERIAL]]="","",IF(Plantilla_SCAN_EQ3_COUNT_2[[#This Row],[No. Empaques]]="",1,Plantilla_SCAN_EQ3_COUNT_2[[#This Row],[No. Empaques]]*1))</f>
        <v/>
      </c>
      <c r="G2040" s="7" t="str">
        <f>IF(Plantilla_SCAN_EQ3_COUNT_2[[#This Row],[ID MATERIAL]]="","","PZ")</f>
        <v/>
      </c>
      <c r="H2040" s="7" t="str">
        <f>IF(Plantilla_SCAN_EQ3_COUNT_2[[#This Row],[ID MATERIAL]]="","",$B$13)</f>
        <v/>
      </c>
      <c r="I2040" s="7" t="str">
        <f>IF(Plantilla_SCAN_EQ3_COUNT_2[[#This Row],[ID MATERIAL]]="","","Segundo Conteo")</f>
        <v/>
      </c>
    </row>
    <row r="2041" spans="1:9" s="7" customFormat="1" ht="15" x14ac:dyDescent="0.2">
      <c r="A2041" s="7" t="str">
        <f>IF(Plantilla_SCAN_EQ3_COUNT_2[[#This Row],[ID MATERIAL]]="","",SIGN(Plantilla_SCAN_EQ3_COUNT_2[[#This Row],[Cantidad]])+A2040)</f>
        <v/>
      </c>
      <c r="B2041" s="21" t="str">
        <f>IF(Plantilla_SCAN_EQ3_COUNT_2[[#This Row],[ID MATERIAL]]="","",B2040)</f>
        <v/>
      </c>
      <c r="C2041" s="21"/>
      <c r="D2041" s="21"/>
      <c r="E2041" s="7" t="str">
        <f>IF(Plantilla_SCAN_EQ3_COUNT_2[[#This Row],[ID MATERIAL]]="","",VLOOKUP(Plantilla_SCAN_EQ3_COUNT_2[[#This Row],[ID MATERIAL]],INVENTARIO!$A:$D,2,FALSE))</f>
        <v/>
      </c>
      <c r="F2041" s="7" t="str">
        <f>IF(Plantilla_SCAN_EQ3_COUNT_2[[#This Row],[ID MATERIAL]]="","",IF(Plantilla_SCAN_EQ3_COUNT_2[[#This Row],[No. Empaques]]="",1,Plantilla_SCAN_EQ3_COUNT_2[[#This Row],[No. Empaques]]*1))</f>
        <v/>
      </c>
      <c r="G2041" s="7" t="str">
        <f>IF(Plantilla_SCAN_EQ3_COUNT_2[[#This Row],[ID MATERIAL]]="","","PZ")</f>
        <v/>
      </c>
      <c r="H2041" s="7" t="str">
        <f>IF(Plantilla_SCAN_EQ3_COUNT_2[[#This Row],[ID MATERIAL]]="","",$B$13)</f>
        <v/>
      </c>
      <c r="I2041" s="7" t="str">
        <f>IF(Plantilla_SCAN_EQ3_COUNT_2[[#This Row],[ID MATERIAL]]="","","Segundo Conteo")</f>
        <v/>
      </c>
    </row>
    <row r="2042" spans="1:9" s="7" customFormat="1" ht="15" x14ac:dyDescent="0.2">
      <c r="A2042" s="7" t="str">
        <f>IF(Plantilla_SCAN_EQ3_COUNT_2[[#This Row],[ID MATERIAL]]="","",SIGN(Plantilla_SCAN_EQ3_COUNT_2[[#This Row],[Cantidad]])+A2041)</f>
        <v/>
      </c>
      <c r="B2042" s="21" t="str">
        <f>IF(Plantilla_SCAN_EQ3_COUNT_2[[#This Row],[ID MATERIAL]]="","",B2041)</f>
        <v/>
      </c>
      <c r="C2042" s="21"/>
      <c r="D2042" s="21"/>
      <c r="E2042" s="7" t="str">
        <f>IF(Plantilla_SCAN_EQ3_COUNT_2[[#This Row],[ID MATERIAL]]="","",VLOOKUP(Plantilla_SCAN_EQ3_COUNT_2[[#This Row],[ID MATERIAL]],INVENTARIO!$A:$D,2,FALSE))</f>
        <v/>
      </c>
      <c r="F2042" s="7" t="str">
        <f>IF(Plantilla_SCAN_EQ3_COUNT_2[[#This Row],[ID MATERIAL]]="","",IF(Plantilla_SCAN_EQ3_COUNT_2[[#This Row],[No. Empaques]]="",1,Plantilla_SCAN_EQ3_COUNT_2[[#This Row],[No. Empaques]]*1))</f>
        <v/>
      </c>
      <c r="G2042" s="7" t="str">
        <f>IF(Plantilla_SCAN_EQ3_COUNT_2[[#This Row],[ID MATERIAL]]="","","PZ")</f>
        <v/>
      </c>
      <c r="H2042" s="7" t="str">
        <f>IF(Plantilla_SCAN_EQ3_COUNT_2[[#This Row],[ID MATERIAL]]="","",$B$13)</f>
        <v/>
      </c>
      <c r="I2042" s="7" t="str">
        <f>IF(Plantilla_SCAN_EQ3_COUNT_2[[#This Row],[ID MATERIAL]]="","","Segundo Conteo")</f>
        <v/>
      </c>
    </row>
    <row r="2043" spans="1:9" s="7" customFormat="1" ht="15" x14ac:dyDescent="0.2">
      <c r="A2043" s="7" t="str">
        <f>IF(Plantilla_SCAN_EQ3_COUNT_2[[#This Row],[ID MATERIAL]]="","",SIGN(Plantilla_SCAN_EQ3_COUNT_2[[#This Row],[Cantidad]])+A2042)</f>
        <v/>
      </c>
      <c r="B2043" s="21" t="str">
        <f>IF(Plantilla_SCAN_EQ3_COUNT_2[[#This Row],[ID MATERIAL]]="","",B2042)</f>
        <v/>
      </c>
      <c r="C2043" s="21"/>
      <c r="D2043" s="21"/>
      <c r="E2043" s="7" t="str">
        <f>IF(Plantilla_SCAN_EQ3_COUNT_2[[#This Row],[ID MATERIAL]]="","",VLOOKUP(Plantilla_SCAN_EQ3_COUNT_2[[#This Row],[ID MATERIAL]],INVENTARIO!$A:$D,2,FALSE))</f>
        <v/>
      </c>
      <c r="F2043" s="7" t="str">
        <f>IF(Plantilla_SCAN_EQ3_COUNT_2[[#This Row],[ID MATERIAL]]="","",IF(Plantilla_SCAN_EQ3_COUNT_2[[#This Row],[No. Empaques]]="",1,Plantilla_SCAN_EQ3_COUNT_2[[#This Row],[No. Empaques]]*1))</f>
        <v/>
      </c>
      <c r="G2043" s="7" t="str">
        <f>IF(Plantilla_SCAN_EQ3_COUNT_2[[#This Row],[ID MATERIAL]]="","","PZ")</f>
        <v/>
      </c>
      <c r="H2043" s="7" t="str">
        <f>IF(Plantilla_SCAN_EQ3_COUNT_2[[#This Row],[ID MATERIAL]]="","",$B$13)</f>
        <v/>
      </c>
      <c r="I2043" s="7" t="str">
        <f>IF(Plantilla_SCAN_EQ3_COUNT_2[[#This Row],[ID MATERIAL]]="","","Segundo Conteo")</f>
        <v/>
      </c>
    </row>
    <row r="2044" spans="1:9" s="7" customFormat="1" ht="15" x14ac:dyDescent="0.2">
      <c r="A2044" s="7" t="str">
        <f>IF(Plantilla_SCAN_EQ3_COUNT_2[[#This Row],[ID MATERIAL]]="","",SIGN(Plantilla_SCAN_EQ3_COUNT_2[[#This Row],[Cantidad]])+A2043)</f>
        <v/>
      </c>
      <c r="B2044" s="21" t="str">
        <f>IF(Plantilla_SCAN_EQ3_COUNT_2[[#This Row],[ID MATERIAL]]="","",B2043)</f>
        <v/>
      </c>
      <c r="C2044" s="21"/>
      <c r="D2044" s="21"/>
      <c r="E2044" s="7" t="str">
        <f>IF(Plantilla_SCAN_EQ3_COUNT_2[[#This Row],[ID MATERIAL]]="","",VLOOKUP(Plantilla_SCAN_EQ3_COUNT_2[[#This Row],[ID MATERIAL]],INVENTARIO!$A:$D,2,FALSE))</f>
        <v/>
      </c>
      <c r="F2044" s="7" t="str">
        <f>IF(Plantilla_SCAN_EQ3_COUNT_2[[#This Row],[ID MATERIAL]]="","",IF(Plantilla_SCAN_EQ3_COUNT_2[[#This Row],[No. Empaques]]="",1,Plantilla_SCAN_EQ3_COUNT_2[[#This Row],[No. Empaques]]*1))</f>
        <v/>
      </c>
      <c r="G2044" s="7" t="str">
        <f>IF(Plantilla_SCAN_EQ3_COUNT_2[[#This Row],[ID MATERIAL]]="","","PZ")</f>
        <v/>
      </c>
      <c r="H2044" s="7" t="str">
        <f>IF(Plantilla_SCAN_EQ3_COUNT_2[[#This Row],[ID MATERIAL]]="","",$B$13)</f>
        <v/>
      </c>
      <c r="I2044" s="7" t="str">
        <f>IF(Plantilla_SCAN_EQ3_COUNT_2[[#This Row],[ID MATERIAL]]="","","Segundo Conteo")</f>
        <v/>
      </c>
    </row>
    <row r="2045" spans="1:9" s="7" customFormat="1" ht="15" x14ac:dyDescent="0.2">
      <c r="A2045" s="7" t="str">
        <f>IF(Plantilla_SCAN_EQ3_COUNT_2[[#This Row],[ID MATERIAL]]="","",SIGN(Plantilla_SCAN_EQ3_COUNT_2[[#This Row],[Cantidad]])+A2044)</f>
        <v/>
      </c>
      <c r="B2045" s="21" t="str">
        <f>IF(Plantilla_SCAN_EQ3_COUNT_2[[#This Row],[ID MATERIAL]]="","",B2044)</f>
        <v/>
      </c>
      <c r="C2045" s="21"/>
      <c r="D2045" s="21"/>
      <c r="E2045" s="7" t="str">
        <f>IF(Plantilla_SCAN_EQ3_COUNT_2[[#This Row],[ID MATERIAL]]="","",VLOOKUP(Plantilla_SCAN_EQ3_COUNT_2[[#This Row],[ID MATERIAL]],INVENTARIO!$A:$D,2,FALSE))</f>
        <v/>
      </c>
      <c r="F2045" s="7" t="str">
        <f>IF(Plantilla_SCAN_EQ3_COUNT_2[[#This Row],[ID MATERIAL]]="","",IF(Plantilla_SCAN_EQ3_COUNT_2[[#This Row],[No. Empaques]]="",1,Plantilla_SCAN_EQ3_COUNT_2[[#This Row],[No. Empaques]]*1))</f>
        <v/>
      </c>
      <c r="G2045" s="7" t="str">
        <f>IF(Plantilla_SCAN_EQ3_COUNT_2[[#This Row],[ID MATERIAL]]="","","PZ")</f>
        <v/>
      </c>
      <c r="H2045" s="7" t="str">
        <f>IF(Plantilla_SCAN_EQ3_COUNT_2[[#This Row],[ID MATERIAL]]="","",$B$13)</f>
        <v/>
      </c>
      <c r="I2045" s="7" t="str">
        <f>IF(Plantilla_SCAN_EQ3_COUNT_2[[#This Row],[ID MATERIAL]]="","","Segundo Conteo")</f>
        <v/>
      </c>
    </row>
    <row r="2046" spans="1:9" s="7" customFormat="1" ht="15" x14ac:dyDescent="0.2">
      <c r="A2046" s="7" t="str">
        <f>IF(Plantilla_SCAN_EQ3_COUNT_2[[#This Row],[ID MATERIAL]]="","",SIGN(Plantilla_SCAN_EQ3_COUNT_2[[#This Row],[Cantidad]])+A2045)</f>
        <v/>
      </c>
      <c r="B2046" s="21" t="str">
        <f>IF(Plantilla_SCAN_EQ3_COUNT_2[[#This Row],[ID MATERIAL]]="","",B2045)</f>
        <v/>
      </c>
      <c r="C2046" s="21"/>
      <c r="D2046" s="21"/>
      <c r="E2046" s="7" t="str">
        <f>IF(Plantilla_SCAN_EQ3_COUNT_2[[#This Row],[ID MATERIAL]]="","",VLOOKUP(Plantilla_SCAN_EQ3_COUNT_2[[#This Row],[ID MATERIAL]],INVENTARIO!$A:$D,2,FALSE))</f>
        <v/>
      </c>
      <c r="F2046" s="7" t="str">
        <f>IF(Plantilla_SCAN_EQ3_COUNT_2[[#This Row],[ID MATERIAL]]="","",IF(Plantilla_SCAN_EQ3_COUNT_2[[#This Row],[No. Empaques]]="",1,Plantilla_SCAN_EQ3_COUNT_2[[#This Row],[No. Empaques]]*1))</f>
        <v/>
      </c>
      <c r="G2046" s="7" t="str">
        <f>IF(Plantilla_SCAN_EQ3_COUNT_2[[#This Row],[ID MATERIAL]]="","","PZ")</f>
        <v/>
      </c>
      <c r="H2046" s="7" t="str">
        <f>IF(Plantilla_SCAN_EQ3_COUNT_2[[#This Row],[ID MATERIAL]]="","",$B$13)</f>
        <v/>
      </c>
      <c r="I2046" s="7" t="str">
        <f>IF(Plantilla_SCAN_EQ3_COUNT_2[[#This Row],[ID MATERIAL]]="","","Segundo Conteo")</f>
        <v/>
      </c>
    </row>
    <row r="2047" spans="1:9" s="7" customFormat="1" ht="15" x14ac:dyDescent="0.2">
      <c r="A2047" s="7" t="str">
        <f>IF(Plantilla_SCAN_EQ3_COUNT_2[[#This Row],[ID MATERIAL]]="","",SIGN(Plantilla_SCAN_EQ3_COUNT_2[[#This Row],[Cantidad]])+A2046)</f>
        <v/>
      </c>
      <c r="B2047" s="21" t="str">
        <f>IF(Plantilla_SCAN_EQ3_COUNT_2[[#This Row],[ID MATERIAL]]="","",B2046)</f>
        <v/>
      </c>
      <c r="C2047" s="21"/>
      <c r="D2047" s="21"/>
      <c r="E2047" s="7" t="str">
        <f>IF(Plantilla_SCAN_EQ3_COUNT_2[[#This Row],[ID MATERIAL]]="","",VLOOKUP(Plantilla_SCAN_EQ3_COUNT_2[[#This Row],[ID MATERIAL]],INVENTARIO!$A:$D,2,FALSE))</f>
        <v/>
      </c>
      <c r="F2047" s="7" t="str">
        <f>IF(Plantilla_SCAN_EQ3_COUNT_2[[#This Row],[ID MATERIAL]]="","",IF(Plantilla_SCAN_EQ3_COUNT_2[[#This Row],[No. Empaques]]="",1,Plantilla_SCAN_EQ3_COUNT_2[[#This Row],[No. Empaques]]*1))</f>
        <v/>
      </c>
      <c r="G2047" s="7" t="str">
        <f>IF(Plantilla_SCAN_EQ3_COUNT_2[[#This Row],[ID MATERIAL]]="","","PZ")</f>
        <v/>
      </c>
      <c r="H2047" s="7" t="str">
        <f>IF(Plantilla_SCAN_EQ3_COUNT_2[[#This Row],[ID MATERIAL]]="","",$B$13)</f>
        <v/>
      </c>
      <c r="I2047" s="7" t="str">
        <f>IF(Plantilla_SCAN_EQ3_COUNT_2[[#This Row],[ID MATERIAL]]="","","Segundo Conteo")</f>
        <v/>
      </c>
    </row>
    <row r="2048" spans="1:9" s="7" customFormat="1" ht="15" x14ac:dyDescent="0.2">
      <c r="A2048" s="7" t="str">
        <f>IF(Plantilla_SCAN_EQ3_COUNT_2[[#This Row],[ID MATERIAL]]="","",SIGN(Plantilla_SCAN_EQ3_COUNT_2[[#This Row],[Cantidad]])+A2047)</f>
        <v/>
      </c>
      <c r="B2048" s="21" t="str">
        <f>IF(Plantilla_SCAN_EQ3_COUNT_2[[#This Row],[ID MATERIAL]]="","",B2047)</f>
        <v/>
      </c>
      <c r="C2048" s="21"/>
      <c r="D2048" s="21"/>
      <c r="E2048" s="7" t="str">
        <f>IF(Plantilla_SCAN_EQ3_COUNT_2[[#This Row],[ID MATERIAL]]="","",VLOOKUP(Plantilla_SCAN_EQ3_COUNT_2[[#This Row],[ID MATERIAL]],INVENTARIO!$A:$D,2,FALSE))</f>
        <v/>
      </c>
      <c r="F2048" s="7" t="str">
        <f>IF(Plantilla_SCAN_EQ3_COUNT_2[[#This Row],[ID MATERIAL]]="","",IF(Plantilla_SCAN_EQ3_COUNT_2[[#This Row],[No. Empaques]]="",1,Plantilla_SCAN_EQ3_COUNT_2[[#This Row],[No. Empaques]]*1))</f>
        <v/>
      </c>
      <c r="G2048" s="7" t="str">
        <f>IF(Plantilla_SCAN_EQ3_COUNT_2[[#This Row],[ID MATERIAL]]="","","PZ")</f>
        <v/>
      </c>
      <c r="H2048" s="7" t="str">
        <f>IF(Plantilla_SCAN_EQ3_COUNT_2[[#This Row],[ID MATERIAL]]="","",$B$13)</f>
        <v/>
      </c>
      <c r="I2048" s="7" t="str">
        <f>IF(Plantilla_SCAN_EQ3_COUNT_2[[#This Row],[ID MATERIAL]]="","","Segundo Conteo")</f>
        <v/>
      </c>
    </row>
    <row r="2049" spans="1:9" s="7" customFormat="1" ht="15" x14ac:dyDescent="0.2">
      <c r="A2049" s="7" t="str">
        <f>IF(Plantilla_SCAN_EQ3_COUNT_2[[#This Row],[ID MATERIAL]]="","",SIGN(Plantilla_SCAN_EQ3_COUNT_2[[#This Row],[Cantidad]])+A2048)</f>
        <v/>
      </c>
      <c r="B2049" s="21" t="str">
        <f>IF(Plantilla_SCAN_EQ3_COUNT_2[[#This Row],[ID MATERIAL]]="","",B2048)</f>
        <v/>
      </c>
      <c r="C2049" s="21"/>
      <c r="D2049" s="21"/>
      <c r="E2049" s="7" t="str">
        <f>IF(Plantilla_SCAN_EQ3_COUNT_2[[#This Row],[ID MATERIAL]]="","",VLOOKUP(Plantilla_SCAN_EQ3_COUNT_2[[#This Row],[ID MATERIAL]],INVENTARIO!$A:$D,2,FALSE))</f>
        <v/>
      </c>
      <c r="F2049" s="7" t="str">
        <f>IF(Plantilla_SCAN_EQ3_COUNT_2[[#This Row],[ID MATERIAL]]="","",IF(Plantilla_SCAN_EQ3_COUNT_2[[#This Row],[No. Empaques]]="",1,Plantilla_SCAN_EQ3_COUNT_2[[#This Row],[No. Empaques]]*1))</f>
        <v/>
      </c>
      <c r="G2049" s="7" t="str">
        <f>IF(Plantilla_SCAN_EQ3_COUNT_2[[#This Row],[ID MATERIAL]]="","","PZ")</f>
        <v/>
      </c>
      <c r="H2049" s="7" t="str">
        <f>IF(Plantilla_SCAN_EQ3_COUNT_2[[#This Row],[ID MATERIAL]]="","",$B$13)</f>
        <v/>
      </c>
      <c r="I2049" s="7" t="str">
        <f>IF(Plantilla_SCAN_EQ3_COUNT_2[[#This Row],[ID MATERIAL]]="","","Segundo Conteo")</f>
        <v/>
      </c>
    </row>
    <row r="2050" spans="1:9" s="7" customFormat="1" ht="15" x14ac:dyDescent="0.2">
      <c r="A2050" s="7" t="str">
        <f>IF(Plantilla_SCAN_EQ3_COUNT_2[[#This Row],[ID MATERIAL]]="","",SIGN(Plantilla_SCAN_EQ3_COUNT_2[[#This Row],[Cantidad]])+A2049)</f>
        <v/>
      </c>
      <c r="B2050" s="21" t="str">
        <f>IF(Plantilla_SCAN_EQ3_COUNT_2[[#This Row],[ID MATERIAL]]="","",B2049)</f>
        <v/>
      </c>
      <c r="C2050" s="21"/>
      <c r="D2050" s="21"/>
      <c r="E2050" s="7" t="str">
        <f>IF(Plantilla_SCAN_EQ3_COUNT_2[[#This Row],[ID MATERIAL]]="","",VLOOKUP(Plantilla_SCAN_EQ3_COUNT_2[[#This Row],[ID MATERIAL]],INVENTARIO!$A:$D,2,FALSE))</f>
        <v/>
      </c>
      <c r="F2050" s="7" t="str">
        <f>IF(Plantilla_SCAN_EQ3_COUNT_2[[#This Row],[ID MATERIAL]]="","",IF(Plantilla_SCAN_EQ3_COUNT_2[[#This Row],[No. Empaques]]="",1,Plantilla_SCAN_EQ3_COUNT_2[[#This Row],[No. Empaques]]*1))</f>
        <v/>
      </c>
      <c r="G2050" s="7" t="str">
        <f>IF(Plantilla_SCAN_EQ3_COUNT_2[[#This Row],[ID MATERIAL]]="","","PZ")</f>
        <v/>
      </c>
      <c r="H2050" s="7" t="str">
        <f>IF(Plantilla_SCAN_EQ3_COUNT_2[[#This Row],[ID MATERIAL]]="","",$B$13)</f>
        <v/>
      </c>
      <c r="I2050" s="7" t="str">
        <f>IF(Plantilla_SCAN_EQ3_COUNT_2[[#This Row],[ID MATERIAL]]="","","Segundo Conteo")</f>
        <v/>
      </c>
    </row>
    <row r="2051" spans="1:9" s="7" customFormat="1" ht="15" x14ac:dyDescent="0.2">
      <c r="A2051" s="7" t="str">
        <f>IF(Plantilla_SCAN_EQ3_COUNT_2[[#This Row],[ID MATERIAL]]="","",SIGN(Plantilla_SCAN_EQ3_COUNT_2[[#This Row],[Cantidad]])+A2050)</f>
        <v/>
      </c>
      <c r="B2051" s="21" t="str">
        <f>IF(Plantilla_SCAN_EQ3_COUNT_2[[#This Row],[ID MATERIAL]]="","",B2050)</f>
        <v/>
      </c>
      <c r="C2051" s="21"/>
      <c r="D2051" s="21"/>
      <c r="E2051" s="7" t="str">
        <f>IF(Plantilla_SCAN_EQ3_COUNT_2[[#This Row],[ID MATERIAL]]="","",VLOOKUP(Plantilla_SCAN_EQ3_COUNT_2[[#This Row],[ID MATERIAL]],INVENTARIO!$A:$D,2,FALSE))</f>
        <v/>
      </c>
      <c r="F2051" s="7" t="str">
        <f>IF(Plantilla_SCAN_EQ3_COUNT_2[[#This Row],[ID MATERIAL]]="","",IF(Plantilla_SCAN_EQ3_COUNT_2[[#This Row],[No. Empaques]]="",1,Plantilla_SCAN_EQ3_COUNT_2[[#This Row],[No. Empaques]]*1))</f>
        <v/>
      </c>
      <c r="G2051" s="7" t="str">
        <f>IF(Plantilla_SCAN_EQ3_COUNT_2[[#This Row],[ID MATERIAL]]="","","PZ")</f>
        <v/>
      </c>
      <c r="H2051" s="7" t="str">
        <f>IF(Plantilla_SCAN_EQ3_COUNT_2[[#This Row],[ID MATERIAL]]="","",$B$13)</f>
        <v/>
      </c>
      <c r="I2051" s="7" t="str">
        <f>IF(Plantilla_SCAN_EQ3_COUNT_2[[#This Row],[ID MATERIAL]]="","","Segundo Conteo")</f>
        <v/>
      </c>
    </row>
    <row r="2052" spans="1:9" s="7" customFormat="1" ht="15" x14ac:dyDescent="0.2">
      <c r="A2052" s="7" t="str">
        <f>IF(Plantilla_SCAN_EQ3_COUNT_2[[#This Row],[ID MATERIAL]]="","",SIGN(Plantilla_SCAN_EQ3_COUNT_2[[#This Row],[Cantidad]])+A2051)</f>
        <v/>
      </c>
      <c r="B2052" s="21" t="str">
        <f>IF(Plantilla_SCAN_EQ3_COUNT_2[[#This Row],[ID MATERIAL]]="","",B2051)</f>
        <v/>
      </c>
      <c r="C2052" s="21"/>
      <c r="D2052" s="21"/>
      <c r="E2052" s="7" t="str">
        <f>IF(Plantilla_SCAN_EQ3_COUNT_2[[#This Row],[ID MATERIAL]]="","",VLOOKUP(Plantilla_SCAN_EQ3_COUNT_2[[#This Row],[ID MATERIAL]],INVENTARIO!$A:$D,2,FALSE))</f>
        <v/>
      </c>
      <c r="F2052" s="7" t="str">
        <f>IF(Plantilla_SCAN_EQ3_COUNT_2[[#This Row],[ID MATERIAL]]="","",IF(Plantilla_SCAN_EQ3_COUNT_2[[#This Row],[No. Empaques]]="",1,Plantilla_SCAN_EQ3_COUNT_2[[#This Row],[No. Empaques]]*1))</f>
        <v/>
      </c>
      <c r="G2052" s="7" t="str">
        <f>IF(Plantilla_SCAN_EQ3_COUNT_2[[#This Row],[ID MATERIAL]]="","","PZ")</f>
        <v/>
      </c>
      <c r="H2052" s="7" t="str">
        <f>IF(Plantilla_SCAN_EQ3_COUNT_2[[#This Row],[ID MATERIAL]]="","",$B$13)</f>
        <v/>
      </c>
      <c r="I2052" s="7" t="str">
        <f>IF(Plantilla_SCAN_EQ3_COUNT_2[[#This Row],[ID MATERIAL]]="","","Segundo Conteo")</f>
        <v/>
      </c>
    </row>
    <row r="2053" spans="1:9" s="7" customFormat="1" ht="15" x14ac:dyDescent="0.2">
      <c r="A2053" s="7" t="str">
        <f>IF(Plantilla_SCAN_EQ3_COUNT_2[[#This Row],[ID MATERIAL]]="","",SIGN(Plantilla_SCAN_EQ3_COUNT_2[[#This Row],[Cantidad]])+A2052)</f>
        <v/>
      </c>
      <c r="B2053" s="21" t="str">
        <f>IF(Plantilla_SCAN_EQ3_COUNT_2[[#This Row],[ID MATERIAL]]="","",B2052)</f>
        <v/>
      </c>
      <c r="C2053" s="21"/>
      <c r="D2053" s="21"/>
      <c r="E2053" s="7" t="str">
        <f>IF(Plantilla_SCAN_EQ3_COUNT_2[[#This Row],[ID MATERIAL]]="","",VLOOKUP(Plantilla_SCAN_EQ3_COUNT_2[[#This Row],[ID MATERIAL]],INVENTARIO!$A:$D,2,FALSE))</f>
        <v/>
      </c>
      <c r="F2053" s="7" t="str">
        <f>IF(Plantilla_SCAN_EQ3_COUNT_2[[#This Row],[ID MATERIAL]]="","",IF(Plantilla_SCAN_EQ3_COUNT_2[[#This Row],[No. Empaques]]="",1,Plantilla_SCAN_EQ3_COUNT_2[[#This Row],[No. Empaques]]*1))</f>
        <v/>
      </c>
      <c r="G2053" s="7" t="str">
        <f>IF(Plantilla_SCAN_EQ3_COUNT_2[[#This Row],[ID MATERIAL]]="","","PZ")</f>
        <v/>
      </c>
      <c r="H2053" s="7" t="str">
        <f>IF(Plantilla_SCAN_EQ3_COUNT_2[[#This Row],[ID MATERIAL]]="","",$B$13)</f>
        <v/>
      </c>
      <c r="I2053" s="7" t="str">
        <f>IF(Plantilla_SCAN_EQ3_COUNT_2[[#This Row],[ID MATERIAL]]="","","Segundo Conteo")</f>
        <v/>
      </c>
    </row>
    <row r="2054" spans="1:9" s="7" customFormat="1" ht="15" x14ac:dyDescent="0.2">
      <c r="A2054" s="7" t="str">
        <f>IF(Plantilla_SCAN_EQ3_COUNT_2[[#This Row],[ID MATERIAL]]="","",SIGN(Plantilla_SCAN_EQ3_COUNT_2[[#This Row],[Cantidad]])+A2053)</f>
        <v/>
      </c>
      <c r="B2054" s="21" t="str">
        <f>IF(Plantilla_SCAN_EQ3_COUNT_2[[#This Row],[ID MATERIAL]]="","",B2053)</f>
        <v/>
      </c>
      <c r="C2054" s="21"/>
      <c r="D2054" s="21"/>
      <c r="E2054" s="7" t="str">
        <f>IF(Plantilla_SCAN_EQ3_COUNT_2[[#This Row],[ID MATERIAL]]="","",VLOOKUP(Plantilla_SCAN_EQ3_COUNT_2[[#This Row],[ID MATERIAL]],INVENTARIO!$A:$D,2,FALSE))</f>
        <v/>
      </c>
      <c r="F2054" s="7" t="str">
        <f>IF(Plantilla_SCAN_EQ3_COUNT_2[[#This Row],[ID MATERIAL]]="","",IF(Plantilla_SCAN_EQ3_COUNT_2[[#This Row],[No. Empaques]]="",1,Plantilla_SCAN_EQ3_COUNT_2[[#This Row],[No. Empaques]]*1))</f>
        <v/>
      </c>
      <c r="G2054" s="7" t="str">
        <f>IF(Plantilla_SCAN_EQ3_COUNT_2[[#This Row],[ID MATERIAL]]="","","PZ")</f>
        <v/>
      </c>
      <c r="H2054" s="7" t="str">
        <f>IF(Plantilla_SCAN_EQ3_COUNT_2[[#This Row],[ID MATERIAL]]="","",$B$13)</f>
        <v/>
      </c>
      <c r="I2054" s="7" t="str">
        <f>IF(Plantilla_SCAN_EQ3_COUNT_2[[#This Row],[ID MATERIAL]]="","","Segundo Conteo")</f>
        <v/>
      </c>
    </row>
    <row r="2055" spans="1:9" s="7" customFormat="1" ht="15" x14ac:dyDescent="0.2">
      <c r="A2055" s="7" t="str">
        <f>IF(Plantilla_SCAN_EQ3_COUNT_2[[#This Row],[ID MATERIAL]]="","",SIGN(Plantilla_SCAN_EQ3_COUNT_2[[#This Row],[Cantidad]])+A2054)</f>
        <v/>
      </c>
      <c r="B2055" s="21" t="str">
        <f>IF(Plantilla_SCAN_EQ3_COUNT_2[[#This Row],[ID MATERIAL]]="","",B2054)</f>
        <v/>
      </c>
      <c r="C2055" s="21"/>
      <c r="D2055" s="21"/>
      <c r="E2055" s="7" t="str">
        <f>IF(Plantilla_SCAN_EQ3_COUNT_2[[#This Row],[ID MATERIAL]]="","",VLOOKUP(Plantilla_SCAN_EQ3_COUNT_2[[#This Row],[ID MATERIAL]],INVENTARIO!$A:$D,2,FALSE))</f>
        <v/>
      </c>
      <c r="F2055" s="7" t="str">
        <f>IF(Plantilla_SCAN_EQ3_COUNT_2[[#This Row],[ID MATERIAL]]="","",IF(Plantilla_SCAN_EQ3_COUNT_2[[#This Row],[No. Empaques]]="",1,Plantilla_SCAN_EQ3_COUNT_2[[#This Row],[No. Empaques]]*1))</f>
        <v/>
      </c>
      <c r="G2055" s="7" t="str">
        <f>IF(Plantilla_SCAN_EQ3_COUNT_2[[#This Row],[ID MATERIAL]]="","","PZ")</f>
        <v/>
      </c>
      <c r="H2055" s="7" t="str">
        <f>IF(Plantilla_SCAN_EQ3_COUNT_2[[#This Row],[ID MATERIAL]]="","",$B$13)</f>
        <v/>
      </c>
      <c r="I2055" s="7" t="str">
        <f>IF(Plantilla_SCAN_EQ3_COUNT_2[[#This Row],[ID MATERIAL]]="","","Segundo Conteo")</f>
        <v/>
      </c>
    </row>
    <row r="2056" spans="1:9" s="7" customFormat="1" ht="15" x14ac:dyDescent="0.2">
      <c r="A2056" s="7" t="str">
        <f>IF(Plantilla_SCAN_EQ3_COUNT_2[[#This Row],[ID MATERIAL]]="","",SIGN(Plantilla_SCAN_EQ3_COUNT_2[[#This Row],[Cantidad]])+A2055)</f>
        <v/>
      </c>
      <c r="B2056" s="21" t="str">
        <f>IF(Plantilla_SCAN_EQ3_COUNT_2[[#This Row],[ID MATERIAL]]="","",B2055)</f>
        <v/>
      </c>
      <c r="C2056" s="21"/>
      <c r="D2056" s="21"/>
      <c r="E2056" s="7" t="str">
        <f>IF(Plantilla_SCAN_EQ3_COUNT_2[[#This Row],[ID MATERIAL]]="","",VLOOKUP(Plantilla_SCAN_EQ3_COUNT_2[[#This Row],[ID MATERIAL]],INVENTARIO!$A:$D,2,FALSE))</f>
        <v/>
      </c>
      <c r="F2056" s="7" t="str">
        <f>IF(Plantilla_SCAN_EQ3_COUNT_2[[#This Row],[ID MATERIAL]]="","",IF(Plantilla_SCAN_EQ3_COUNT_2[[#This Row],[No. Empaques]]="",1,Plantilla_SCAN_EQ3_COUNT_2[[#This Row],[No. Empaques]]*1))</f>
        <v/>
      </c>
      <c r="G2056" s="7" t="str">
        <f>IF(Plantilla_SCAN_EQ3_COUNT_2[[#This Row],[ID MATERIAL]]="","","PZ")</f>
        <v/>
      </c>
      <c r="H2056" s="7" t="str">
        <f>IF(Plantilla_SCAN_EQ3_COUNT_2[[#This Row],[ID MATERIAL]]="","",$B$13)</f>
        <v/>
      </c>
      <c r="I2056" s="7" t="str">
        <f>IF(Plantilla_SCAN_EQ3_COUNT_2[[#This Row],[ID MATERIAL]]="","","Segundo Conteo")</f>
        <v/>
      </c>
    </row>
    <row r="2057" spans="1:9" s="7" customFormat="1" ht="15" x14ac:dyDescent="0.2">
      <c r="A2057" s="7" t="str">
        <f>IF(Plantilla_SCAN_EQ3_COUNT_2[[#This Row],[ID MATERIAL]]="","",SIGN(Plantilla_SCAN_EQ3_COUNT_2[[#This Row],[Cantidad]])+A2056)</f>
        <v/>
      </c>
      <c r="B2057" s="21" t="str">
        <f>IF(Plantilla_SCAN_EQ3_COUNT_2[[#This Row],[ID MATERIAL]]="","",B2056)</f>
        <v/>
      </c>
      <c r="C2057" s="21"/>
      <c r="D2057" s="21"/>
      <c r="E2057" s="7" t="str">
        <f>IF(Plantilla_SCAN_EQ3_COUNT_2[[#This Row],[ID MATERIAL]]="","",VLOOKUP(Plantilla_SCAN_EQ3_COUNT_2[[#This Row],[ID MATERIAL]],INVENTARIO!$A:$D,2,FALSE))</f>
        <v/>
      </c>
      <c r="F2057" s="7" t="str">
        <f>IF(Plantilla_SCAN_EQ3_COUNT_2[[#This Row],[ID MATERIAL]]="","",IF(Plantilla_SCAN_EQ3_COUNT_2[[#This Row],[No. Empaques]]="",1,Plantilla_SCAN_EQ3_COUNT_2[[#This Row],[No. Empaques]]*1))</f>
        <v/>
      </c>
      <c r="G2057" s="7" t="str">
        <f>IF(Plantilla_SCAN_EQ3_COUNT_2[[#This Row],[ID MATERIAL]]="","","PZ")</f>
        <v/>
      </c>
      <c r="H2057" s="7" t="str">
        <f>IF(Plantilla_SCAN_EQ3_COUNT_2[[#This Row],[ID MATERIAL]]="","",$B$13)</f>
        <v/>
      </c>
      <c r="I2057" s="7" t="str">
        <f>IF(Plantilla_SCAN_EQ3_COUNT_2[[#This Row],[ID MATERIAL]]="","","Segundo Conteo")</f>
        <v/>
      </c>
    </row>
    <row r="2058" spans="1:9" s="7" customFormat="1" ht="15" x14ac:dyDescent="0.2">
      <c r="A2058" s="7" t="str">
        <f>IF(Plantilla_SCAN_EQ3_COUNT_2[[#This Row],[ID MATERIAL]]="","",SIGN(Plantilla_SCAN_EQ3_COUNT_2[[#This Row],[Cantidad]])+A2057)</f>
        <v/>
      </c>
      <c r="B2058" s="21" t="str">
        <f>IF(Plantilla_SCAN_EQ3_COUNT_2[[#This Row],[ID MATERIAL]]="","",B2057)</f>
        <v/>
      </c>
      <c r="C2058" s="21"/>
      <c r="D2058" s="21"/>
      <c r="E2058" s="7" t="str">
        <f>IF(Plantilla_SCAN_EQ3_COUNT_2[[#This Row],[ID MATERIAL]]="","",VLOOKUP(Plantilla_SCAN_EQ3_COUNT_2[[#This Row],[ID MATERIAL]],INVENTARIO!$A:$D,2,FALSE))</f>
        <v/>
      </c>
      <c r="F2058" s="7" t="str">
        <f>IF(Plantilla_SCAN_EQ3_COUNT_2[[#This Row],[ID MATERIAL]]="","",IF(Plantilla_SCAN_EQ3_COUNT_2[[#This Row],[No. Empaques]]="",1,Plantilla_SCAN_EQ3_COUNT_2[[#This Row],[No. Empaques]]*1))</f>
        <v/>
      </c>
      <c r="G2058" s="7" t="str">
        <f>IF(Plantilla_SCAN_EQ3_COUNT_2[[#This Row],[ID MATERIAL]]="","","PZ")</f>
        <v/>
      </c>
      <c r="H2058" s="7" t="str">
        <f>IF(Plantilla_SCAN_EQ3_COUNT_2[[#This Row],[ID MATERIAL]]="","",$B$13)</f>
        <v/>
      </c>
      <c r="I2058" s="7" t="str">
        <f>IF(Plantilla_SCAN_EQ3_COUNT_2[[#This Row],[ID MATERIAL]]="","","Segundo Conteo")</f>
        <v/>
      </c>
    </row>
    <row r="2059" spans="1:9" s="7" customFormat="1" ht="15" x14ac:dyDescent="0.2">
      <c r="A2059" s="7" t="str">
        <f>IF(Plantilla_SCAN_EQ3_COUNT_2[[#This Row],[ID MATERIAL]]="","",SIGN(Plantilla_SCAN_EQ3_COUNT_2[[#This Row],[Cantidad]])+A2058)</f>
        <v/>
      </c>
      <c r="B2059" s="21" t="str">
        <f>IF(Plantilla_SCAN_EQ3_COUNT_2[[#This Row],[ID MATERIAL]]="","",B2058)</f>
        <v/>
      </c>
      <c r="C2059" s="21"/>
      <c r="D2059" s="21"/>
      <c r="E2059" s="7" t="str">
        <f>IF(Plantilla_SCAN_EQ3_COUNT_2[[#This Row],[ID MATERIAL]]="","",VLOOKUP(Plantilla_SCAN_EQ3_COUNT_2[[#This Row],[ID MATERIAL]],INVENTARIO!$A:$D,2,FALSE))</f>
        <v/>
      </c>
      <c r="F2059" s="7" t="str">
        <f>IF(Plantilla_SCAN_EQ3_COUNT_2[[#This Row],[ID MATERIAL]]="","",IF(Plantilla_SCAN_EQ3_COUNT_2[[#This Row],[No. Empaques]]="",1,Plantilla_SCAN_EQ3_COUNT_2[[#This Row],[No. Empaques]]*1))</f>
        <v/>
      </c>
      <c r="G2059" s="7" t="str">
        <f>IF(Plantilla_SCAN_EQ3_COUNT_2[[#This Row],[ID MATERIAL]]="","","PZ")</f>
        <v/>
      </c>
      <c r="H2059" s="7" t="str">
        <f>IF(Plantilla_SCAN_EQ3_COUNT_2[[#This Row],[ID MATERIAL]]="","",$B$13)</f>
        <v/>
      </c>
      <c r="I2059" s="7" t="str">
        <f>IF(Plantilla_SCAN_EQ3_COUNT_2[[#This Row],[ID MATERIAL]]="","","Segundo Conteo")</f>
        <v/>
      </c>
    </row>
    <row r="2060" spans="1:9" s="7" customFormat="1" ht="15" x14ac:dyDescent="0.2">
      <c r="A2060" s="7" t="str">
        <f>IF(Plantilla_SCAN_EQ3_COUNT_2[[#This Row],[ID MATERIAL]]="","",SIGN(Plantilla_SCAN_EQ3_COUNT_2[[#This Row],[Cantidad]])+A2059)</f>
        <v/>
      </c>
      <c r="B2060" s="21" t="str">
        <f>IF(Plantilla_SCAN_EQ3_COUNT_2[[#This Row],[ID MATERIAL]]="","",B2059)</f>
        <v/>
      </c>
      <c r="C2060" s="21"/>
      <c r="D2060" s="21"/>
      <c r="E2060" s="7" t="str">
        <f>IF(Plantilla_SCAN_EQ3_COUNT_2[[#This Row],[ID MATERIAL]]="","",VLOOKUP(Plantilla_SCAN_EQ3_COUNT_2[[#This Row],[ID MATERIAL]],INVENTARIO!$A:$D,2,FALSE))</f>
        <v/>
      </c>
      <c r="F2060" s="7" t="str">
        <f>IF(Plantilla_SCAN_EQ3_COUNT_2[[#This Row],[ID MATERIAL]]="","",IF(Plantilla_SCAN_EQ3_COUNT_2[[#This Row],[No. Empaques]]="",1,Plantilla_SCAN_EQ3_COUNT_2[[#This Row],[No. Empaques]]*1))</f>
        <v/>
      </c>
      <c r="G2060" s="7" t="str">
        <f>IF(Plantilla_SCAN_EQ3_COUNT_2[[#This Row],[ID MATERIAL]]="","","PZ")</f>
        <v/>
      </c>
      <c r="H2060" s="7" t="str">
        <f>IF(Plantilla_SCAN_EQ3_COUNT_2[[#This Row],[ID MATERIAL]]="","",$B$13)</f>
        <v/>
      </c>
      <c r="I2060" s="7" t="str">
        <f>IF(Plantilla_SCAN_EQ3_COUNT_2[[#This Row],[ID MATERIAL]]="","","Segundo Conteo")</f>
        <v/>
      </c>
    </row>
    <row r="2061" spans="1:9" s="7" customFormat="1" ht="15" x14ac:dyDescent="0.2">
      <c r="A2061" s="7" t="str">
        <f>IF(Plantilla_SCAN_EQ3_COUNT_2[[#This Row],[ID MATERIAL]]="","",SIGN(Plantilla_SCAN_EQ3_COUNT_2[[#This Row],[Cantidad]])+A2060)</f>
        <v/>
      </c>
      <c r="B2061" s="21" t="str">
        <f>IF(Plantilla_SCAN_EQ3_COUNT_2[[#This Row],[ID MATERIAL]]="","",B2060)</f>
        <v/>
      </c>
      <c r="C2061" s="21"/>
      <c r="D2061" s="21"/>
      <c r="E2061" s="7" t="str">
        <f>IF(Plantilla_SCAN_EQ3_COUNT_2[[#This Row],[ID MATERIAL]]="","",VLOOKUP(Plantilla_SCAN_EQ3_COUNT_2[[#This Row],[ID MATERIAL]],INVENTARIO!$A:$D,2,FALSE))</f>
        <v/>
      </c>
      <c r="F2061" s="7" t="str">
        <f>IF(Plantilla_SCAN_EQ3_COUNT_2[[#This Row],[ID MATERIAL]]="","",IF(Plantilla_SCAN_EQ3_COUNT_2[[#This Row],[No. Empaques]]="",1,Plantilla_SCAN_EQ3_COUNT_2[[#This Row],[No. Empaques]]*1))</f>
        <v/>
      </c>
      <c r="G2061" s="7" t="str">
        <f>IF(Plantilla_SCAN_EQ3_COUNT_2[[#This Row],[ID MATERIAL]]="","","PZ")</f>
        <v/>
      </c>
      <c r="H2061" s="7" t="str">
        <f>IF(Plantilla_SCAN_EQ3_COUNT_2[[#This Row],[ID MATERIAL]]="","",$B$13)</f>
        <v/>
      </c>
      <c r="I2061" s="7" t="str">
        <f>IF(Plantilla_SCAN_EQ3_COUNT_2[[#This Row],[ID MATERIAL]]="","","Segundo Conteo")</f>
        <v/>
      </c>
    </row>
    <row r="2062" spans="1:9" s="7" customFormat="1" ht="15" x14ac:dyDescent="0.2">
      <c r="A2062" s="7" t="str">
        <f>IF(Plantilla_SCAN_EQ3_COUNT_2[[#This Row],[ID MATERIAL]]="","",SIGN(Plantilla_SCAN_EQ3_COUNT_2[[#This Row],[Cantidad]])+A2061)</f>
        <v/>
      </c>
      <c r="B2062" s="21" t="str">
        <f>IF(Plantilla_SCAN_EQ3_COUNT_2[[#This Row],[ID MATERIAL]]="","",B2061)</f>
        <v/>
      </c>
      <c r="C2062" s="21"/>
      <c r="D2062" s="21"/>
      <c r="E2062" s="7" t="str">
        <f>IF(Plantilla_SCAN_EQ3_COUNT_2[[#This Row],[ID MATERIAL]]="","",VLOOKUP(Plantilla_SCAN_EQ3_COUNT_2[[#This Row],[ID MATERIAL]],INVENTARIO!$A:$D,2,FALSE))</f>
        <v/>
      </c>
      <c r="F2062" s="7" t="str">
        <f>IF(Plantilla_SCAN_EQ3_COUNT_2[[#This Row],[ID MATERIAL]]="","",IF(Plantilla_SCAN_EQ3_COUNT_2[[#This Row],[No. Empaques]]="",1,Plantilla_SCAN_EQ3_COUNT_2[[#This Row],[No. Empaques]]*1))</f>
        <v/>
      </c>
      <c r="G2062" s="7" t="str">
        <f>IF(Plantilla_SCAN_EQ3_COUNT_2[[#This Row],[ID MATERIAL]]="","","PZ")</f>
        <v/>
      </c>
      <c r="H2062" s="7" t="str">
        <f>IF(Plantilla_SCAN_EQ3_COUNT_2[[#This Row],[ID MATERIAL]]="","",$B$13)</f>
        <v/>
      </c>
      <c r="I2062" s="7" t="str">
        <f>IF(Plantilla_SCAN_EQ3_COUNT_2[[#This Row],[ID MATERIAL]]="","","Segundo Conteo")</f>
        <v/>
      </c>
    </row>
    <row r="2063" spans="1:9" s="7" customFormat="1" ht="15" x14ac:dyDescent="0.2">
      <c r="A2063" s="7" t="str">
        <f>IF(Plantilla_SCAN_EQ3_COUNT_2[[#This Row],[ID MATERIAL]]="","",SIGN(Plantilla_SCAN_EQ3_COUNT_2[[#This Row],[Cantidad]])+A2062)</f>
        <v/>
      </c>
      <c r="B2063" s="21" t="str">
        <f>IF(Plantilla_SCAN_EQ3_COUNT_2[[#This Row],[ID MATERIAL]]="","",B2062)</f>
        <v/>
      </c>
      <c r="C2063" s="21"/>
      <c r="D2063" s="21"/>
      <c r="E2063" s="7" t="str">
        <f>IF(Plantilla_SCAN_EQ3_COUNT_2[[#This Row],[ID MATERIAL]]="","",VLOOKUP(Plantilla_SCAN_EQ3_COUNT_2[[#This Row],[ID MATERIAL]],INVENTARIO!$A:$D,2,FALSE))</f>
        <v/>
      </c>
      <c r="F2063" s="7" t="str">
        <f>IF(Plantilla_SCAN_EQ3_COUNT_2[[#This Row],[ID MATERIAL]]="","",IF(Plantilla_SCAN_EQ3_COUNT_2[[#This Row],[No. Empaques]]="",1,Plantilla_SCAN_EQ3_COUNT_2[[#This Row],[No. Empaques]]*1))</f>
        <v/>
      </c>
      <c r="G2063" s="7" t="str">
        <f>IF(Plantilla_SCAN_EQ3_COUNT_2[[#This Row],[ID MATERIAL]]="","","PZ")</f>
        <v/>
      </c>
      <c r="H2063" s="7" t="str">
        <f>IF(Plantilla_SCAN_EQ3_COUNT_2[[#This Row],[ID MATERIAL]]="","",$B$13)</f>
        <v/>
      </c>
      <c r="I2063" s="7" t="str">
        <f>IF(Plantilla_SCAN_EQ3_COUNT_2[[#This Row],[ID MATERIAL]]="","","Segundo Conteo")</f>
        <v/>
      </c>
    </row>
    <row r="2064" spans="1:9" s="7" customFormat="1" ht="15" x14ac:dyDescent="0.2">
      <c r="A2064" s="7" t="str">
        <f>IF(Plantilla_SCAN_EQ3_COUNT_2[[#This Row],[ID MATERIAL]]="","",SIGN(Plantilla_SCAN_EQ3_COUNT_2[[#This Row],[Cantidad]])+A2063)</f>
        <v/>
      </c>
      <c r="B2064" s="21" t="str">
        <f>IF(Plantilla_SCAN_EQ3_COUNT_2[[#This Row],[ID MATERIAL]]="","",B2063)</f>
        <v/>
      </c>
      <c r="C2064" s="21"/>
      <c r="D2064" s="21"/>
      <c r="E2064" s="7" t="str">
        <f>IF(Plantilla_SCAN_EQ3_COUNT_2[[#This Row],[ID MATERIAL]]="","",VLOOKUP(Plantilla_SCAN_EQ3_COUNT_2[[#This Row],[ID MATERIAL]],INVENTARIO!$A:$D,2,FALSE))</f>
        <v/>
      </c>
      <c r="F2064" s="7" t="str">
        <f>IF(Plantilla_SCAN_EQ3_COUNT_2[[#This Row],[ID MATERIAL]]="","",IF(Plantilla_SCAN_EQ3_COUNT_2[[#This Row],[No. Empaques]]="",1,Plantilla_SCAN_EQ3_COUNT_2[[#This Row],[No. Empaques]]*1))</f>
        <v/>
      </c>
      <c r="G2064" s="7" t="str">
        <f>IF(Plantilla_SCAN_EQ3_COUNT_2[[#This Row],[ID MATERIAL]]="","","PZ")</f>
        <v/>
      </c>
      <c r="H2064" s="7" t="str">
        <f>IF(Plantilla_SCAN_EQ3_COUNT_2[[#This Row],[ID MATERIAL]]="","",$B$13)</f>
        <v/>
      </c>
      <c r="I2064" s="7" t="str">
        <f>IF(Plantilla_SCAN_EQ3_COUNT_2[[#This Row],[ID MATERIAL]]="","","Segundo Conteo")</f>
        <v/>
      </c>
    </row>
    <row r="2065" spans="1:9" s="7" customFormat="1" ht="15" x14ac:dyDescent="0.2">
      <c r="A2065" s="7" t="str">
        <f>IF(Plantilla_SCAN_EQ3_COUNT_2[[#This Row],[ID MATERIAL]]="","",SIGN(Plantilla_SCAN_EQ3_COUNT_2[[#This Row],[Cantidad]])+A2064)</f>
        <v/>
      </c>
      <c r="B2065" s="21" t="str">
        <f>IF(Plantilla_SCAN_EQ3_COUNT_2[[#This Row],[ID MATERIAL]]="","",B2064)</f>
        <v/>
      </c>
      <c r="C2065" s="21"/>
      <c r="D2065" s="21"/>
      <c r="E2065" s="7" t="str">
        <f>IF(Plantilla_SCAN_EQ3_COUNT_2[[#This Row],[ID MATERIAL]]="","",VLOOKUP(Plantilla_SCAN_EQ3_COUNT_2[[#This Row],[ID MATERIAL]],INVENTARIO!$A:$D,2,FALSE))</f>
        <v/>
      </c>
      <c r="F2065" s="7" t="str">
        <f>IF(Plantilla_SCAN_EQ3_COUNT_2[[#This Row],[ID MATERIAL]]="","",IF(Plantilla_SCAN_EQ3_COUNT_2[[#This Row],[No. Empaques]]="",1,Plantilla_SCAN_EQ3_COUNT_2[[#This Row],[No. Empaques]]*1))</f>
        <v/>
      </c>
      <c r="G2065" s="7" t="str">
        <f>IF(Plantilla_SCAN_EQ3_COUNT_2[[#This Row],[ID MATERIAL]]="","","PZ")</f>
        <v/>
      </c>
      <c r="H2065" s="7" t="str">
        <f>IF(Plantilla_SCAN_EQ3_COUNT_2[[#This Row],[ID MATERIAL]]="","",$B$13)</f>
        <v/>
      </c>
      <c r="I2065" s="7" t="str">
        <f>IF(Plantilla_SCAN_EQ3_COUNT_2[[#This Row],[ID MATERIAL]]="","","Segundo Conteo")</f>
        <v/>
      </c>
    </row>
    <row r="2066" spans="1:9" s="7" customFormat="1" ht="15" x14ac:dyDescent="0.2">
      <c r="A2066" s="7" t="str">
        <f>IF(Plantilla_SCAN_EQ3_COUNT_2[[#This Row],[ID MATERIAL]]="","",SIGN(Plantilla_SCAN_EQ3_COUNT_2[[#This Row],[Cantidad]])+A2065)</f>
        <v/>
      </c>
      <c r="B2066" s="21" t="str">
        <f>IF(Plantilla_SCAN_EQ3_COUNT_2[[#This Row],[ID MATERIAL]]="","",B2065)</f>
        <v/>
      </c>
      <c r="C2066" s="21"/>
      <c r="D2066" s="21"/>
      <c r="E2066" s="7" t="str">
        <f>IF(Plantilla_SCAN_EQ3_COUNT_2[[#This Row],[ID MATERIAL]]="","",VLOOKUP(Plantilla_SCAN_EQ3_COUNT_2[[#This Row],[ID MATERIAL]],INVENTARIO!$A:$D,2,FALSE))</f>
        <v/>
      </c>
      <c r="F2066" s="7" t="str">
        <f>IF(Plantilla_SCAN_EQ3_COUNT_2[[#This Row],[ID MATERIAL]]="","",IF(Plantilla_SCAN_EQ3_COUNT_2[[#This Row],[No. Empaques]]="",1,Plantilla_SCAN_EQ3_COUNT_2[[#This Row],[No. Empaques]]*1))</f>
        <v/>
      </c>
      <c r="G2066" s="7" t="str">
        <f>IF(Plantilla_SCAN_EQ3_COUNT_2[[#This Row],[ID MATERIAL]]="","","PZ")</f>
        <v/>
      </c>
      <c r="H2066" s="7" t="str">
        <f>IF(Plantilla_SCAN_EQ3_COUNT_2[[#This Row],[ID MATERIAL]]="","",$B$13)</f>
        <v/>
      </c>
      <c r="I2066" s="7" t="str">
        <f>IF(Plantilla_SCAN_EQ3_COUNT_2[[#This Row],[ID MATERIAL]]="","","Segundo Conteo")</f>
        <v/>
      </c>
    </row>
    <row r="2067" spans="1:9" s="7" customFormat="1" ht="15" x14ac:dyDescent="0.2">
      <c r="A2067" s="7" t="str">
        <f>IF(Plantilla_SCAN_EQ3_COUNT_2[[#This Row],[ID MATERIAL]]="","",SIGN(Plantilla_SCAN_EQ3_COUNT_2[[#This Row],[Cantidad]])+A2066)</f>
        <v/>
      </c>
      <c r="B2067" s="21" t="str">
        <f>IF(Plantilla_SCAN_EQ3_COUNT_2[[#This Row],[ID MATERIAL]]="","",B2066)</f>
        <v/>
      </c>
      <c r="C2067" s="21"/>
      <c r="D2067" s="21"/>
      <c r="E2067" s="7" t="str">
        <f>IF(Plantilla_SCAN_EQ3_COUNT_2[[#This Row],[ID MATERIAL]]="","",VLOOKUP(Plantilla_SCAN_EQ3_COUNT_2[[#This Row],[ID MATERIAL]],INVENTARIO!$A:$D,2,FALSE))</f>
        <v/>
      </c>
      <c r="F2067" s="7" t="str">
        <f>IF(Plantilla_SCAN_EQ3_COUNT_2[[#This Row],[ID MATERIAL]]="","",IF(Plantilla_SCAN_EQ3_COUNT_2[[#This Row],[No. Empaques]]="",1,Plantilla_SCAN_EQ3_COUNT_2[[#This Row],[No. Empaques]]*1))</f>
        <v/>
      </c>
      <c r="G2067" s="7" t="str">
        <f>IF(Plantilla_SCAN_EQ3_COUNT_2[[#This Row],[ID MATERIAL]]="","","PZ")</f>
        <v/>
      </c>
      <c r="H2067" s="7" t="str">
        <f>IF(Plantilla_SCAN_EQ3_COUNT_2[[#This Row],[ID MATERIAL]]="","",$B$13)</f>
        <v/>
      </c>
      <c r="I2067" s="7" t="str">
        <f>IF(Plantilla_SCAN_EQ3_COUNT_2[[#This Row],[ID MATERIAL]]="","","Segundo Conteo")</f>
        <v/>
      </c>
    </row>
    <row r="2068" spans="1:9" s="7" customFormat="1" ht="15" x14ac:dyDescent="0.2">
      <c r="A2068" s="7" t="str">
        <f>IF(Plantilla_SCAN_EQ3_COUNT_2[[#This Row],[ID MATERIAL]]="","",SIGN(Plantilla_SCAN_EQ3_COUNT_2[[#This Row],[Cantidad]])+A2067)</f>
        <v/>
      </c>
      <c r="B2068" s="21" t="str">
        <f>IF(Plantilla_SCAN_EQ3_COUNT_2[[#This Row],[ID MATERIAL]]="","",B2067)</f>
        <v/>
      </c>
      <c r="C2068" s="21"/>
      <c r="D2068" s="21"/>
      <c r="E2068" s="7" t="str">
        <f>IF(Plantilla_SCAN_EQ3_COUNT_2[[#This Row],[ID MATERIAL]]="","",VLOOKUP(Plantilla_SCAN_EQ3_COUNT_2[[#This Row],[ID MATERIAL]],INVENTARIO!$A:$D,2,FALSE))</f>
        <v/>
      </c>
      <c r="F2068" s="7" t="str">
        <f>IF(Plantilla_SCAN_EQ3_COUNT_2[[#This Row],[ID MATERIAL]]="","",IF(Plantilla_SCAN_EQ3_COUNT_2[[#This Row],[No. Empaques]]="",1,Plantilla_SCAN_EQ3_COUNT_2[[#This Row],[No. Empaques]]*1))</f>
        <v/>
      </c>
      <c r="G2068" s="7" t="str">
        <f>IF(Plantilla_SCAN_EQ3_COUNT_2[[#This Row],[ID MATERIAL]]="","","PZ")</f>
        <v/>
      </c>
      <c r="H2068" s="7" t="str">
        <f>IF(Plantilla_SCAN_EQ3_COUNT_2[[#This Row],[ID MATERIAL]]="","",$B$13)</f>
        <v/>
      </c>
      <c r="I2068" s="7" t="str">
        <f>IF(Plantilla_SCAN_EQ3_COUNT_2[[#This Row],[ID MATERIAL]]="","","Segundo Conteo")</f>
        <v/>
      </c>
    </row>
    <row r="2069" spans="1:9" s="7" customFormat="1" ht="15" x14ac:dyDescent="0.2">
      <c r="A2069" s="7" t="str">
        <f>IF(Plantilla_SCAN_EQ3_COUNT_2[[#This Row],[ID MATERIAL]]="","",SIGN(Plantilla_SCAN_EQ3_COUNT_2[[#This Row],[Cantidad]])+A2068)</f>
        <v/>
      </c>
      <c r="B2069" s="21" t="str">
        <f>IF(Plantilla_SCAN_EQ3_COUNT_2[[#This Row],[ID MATERIAL]]="","",B2068)</f>
        <v/>
      </c>
      <c r="C2069" s="21"/>
      <c r="D2069" s="21"/>
      <c r="E2069" s="7" t="str">
        <f>IF(Plantilla_SCAN_EQ3_COUNT_2[[#This Row],[ID MATERIAL]]="","",VLOOKUP(Plantilla_SCAN_EQ3_COUNT_2[[#This Row],[ID MATERIAL]],INVENTARIO!$A:$D,2,FALSE))</f>
        <v/>
      </c>
      <c r="F2069" s="7" t="str">
        <f>IF(Plantilla_SCAN_EQ3_COUNT_2[[#This Row],[ID MATERIAL]]="","",IF(Plantilla_SCAN_EQ3_COUNT_2[[#This Row],[No. Empaques]]="",1,Plantilla_SCAN_EQ3_COUNT_2[[#This Row],[No. Empaques]]*1))</f>
        <v/>
      </c>
      <c r="G2069" s="7" t="str">
        <f>IF(Plantilla_SCAN_EQ3_COUNT_2[[#This Row],[ID MATERIAL]]="","","PZ")</f>
        <v/>
      </c>
      <c r="H2069" s="7" t="str">
        <f>IF(Plantilla_SCAN_EQ3_COUNT_2[[#This Row],[ID MATERIAL]]="","",$B$13)</f>
        <v/>
      </c>
      <c r="I2069" s="7" t="str">
        <f>IF(Plantilla_SCAN_EQ3_COUNT_2[[#This Row],[ID MATERIAL]]="","","Segundo Conteo")</f>
        <v/>
      </c>
    </row>
    <row r="2070" spans="1:9" s="7" customFormat="1" ht="15" x14ac:dyDescent="0.2">
      <c r="A2070" s="7" t="str">
        <f>IF(Plantilla_SCAN_EQ3_COUNT_2[[#This Row],[ID MATERIAL]]="","",SIGN(Plantilla_SCAN_EQ3_COUNT_2[[#This Row],[Cantidad]])+A2069)</f>
        <v/>
      </c>
      <c r="B2070" s="21" t="str">
        <f>IF(Plantilla_SCAN_EQ3_COUNT_2[[#This Row],[ID MATERIAL]]="","",B2069)</f>
        <v/>
      </c>
      <c r="C2070" s="21"/>
      <c r="D2070" s="21"/>
      <c r="E2070" s="7" t="str">
        <f>IF(Plantilla_SCAN_EQ3_COUNT_2[[#This Row],[ID MATERIAL]]="","",VLOOKUP(Plantilla_SCAN_EQ3_COUNT_2[[#This Row],[ID MATERIAL]],INVENTARIO!$A:$D,2,FALSE))</f>
        <v/>
      </c>
      <c r="F2070" s="7" t="str">
        <f>IF(Plantilla_SCAN_EQ3_COUNT_2[[#This Row],[ID MATERIAL]]="","",IF(Plantilla_SCAN_EQ3_COUNT_2[[#This Row],[No. Empaques]]="",1,Plantilla_SCAN_EQ3_COUNT_2[[#This Row],[No. Empaques]]*1))</f>
        <v/>
      </c>
      <c r="G2070" s="7" t="str">
        <f>IF(Plantilla_SCAN_EQ3_COUNT_2[[#This Row],[ID MATERIAL]]="","","PZ")</f>
        <v/>
      </c>
      <c r="H2070" s="7" t="str">
        <f>IF(Plantilla_SCAN_EQ3_COUNT_2[[#This Row],[ID MATERIAL]]="","",$B$13)</f>
        <v/>
      </c>
      <c r="I2070" s="7" t="str">
        <f>IF(Plantilla_SCAN_EQ3_COUNT_2[[#This Row],[ID MATERIAL]]="","","Segundo Conteo")</f>
        <v/>
      </c>
    </row>
    <row r="2071" spans="1:9" s="7" customFormat="1" ht="15" x14ac:dyDescent="0.2">
      <c r="A2071" s="7" t="str">
        <f>IF(Plantilla_SCAN_EQ3_COUNT_2[[#This Row],[ID MATERIAL]]="","",SIGN(Plantilla_SCAN_EQ3_COUNT_2[[#This Row],[Cantidad]])+A2070)</f>
        <v/>
      </c>
      <c r="B2071" s="21" t="str">
        <f>IF(Plantilla_SCAN_EQ3_COUNT_2[[#This Row],[ID MATERIAL]]="","",B2070)</f>
        <v/>
      </c>
      <c r="C2071" s="21"/>
      <c r="D2071" s="21"/>
      <c r="E2071" s="7" t="str">
        <f>IF(Plantilla_SCAN_EQ3_COUNT_2[[#This Row],[ID MATERIAL]]="","",VLOOKUP(Plantilla_SCAN_EQ3_COUNT_2[[#This Row],[ID MATERIAL]],INVENTARIO!$A:$D,2,FALSE))</f>
        <v/>
      </c>
      <c r="F2071" s="7" t="str">
        <f>IF(Plantilla_SCAN_EQ3_COUNT_2[[#This Row],[ID MATERIAL]]="","",IF(Plantilla_SCAN_EQ3_COUNT_2[[#This Row],[No. Empaques]]="",1,Plantilla_SCAN_EQ3_COUNT_2[[#This Row],[No. Empaques]]*1))</f>
        <v/>
      </c>
      <c r="G2071" s="7" t="str">
        <f>IF(Plantilla_SCAN_EQ3_COUNT_2[[#This Row],[ID MATERIAL]]="","","PZ")</f>
        <v/>
      </c>
      <c r="H2071" s="7" t="str">
        <f>IF(Plantilla_SCAN_EQ3_COUNT_2[[#This Row],[ID MATERIAL]]="","",$B$13)</f>
        <v/>
      </c>
      <c r="I2071" s="7" t="str">
        <f>IF(Plantilla_SCAN_EQ3_COUNT_2[[#This Row],[ID MATERIAL]]="","","Segundo Conteo")</f>
        <v/>
      </c>
    </row>
    <row r="2072" spans="1:9" s="7" customFormat="1" ht="15" x14ac:dyDescent="0.2">
      <c r="A2072" s="7" t="str">
        <f>IF(Plantilla_SCAN_EQ3_COUNT_2[[#This Row],[ID MATERIAL]]="","",SIGN(Plantilla_SCAN_EQ3_COUNT_2[[#This Row],[Cantidad]])+A2071)</f>
        <v/>
      </c>
      <c r="B2072" s="21" t="str">
        <f>IF(Plantilla_SCAN_EQ3_COUNT_2[[#This Row],[ID MATERIAL]]="","",B2071)</f>
        <v/>
      </c>
      <c r="C2072" s="21"/>
      <c r="D2072" s="21"/>
      <c r="E2072" s="7" t="str">
        <f>IF(Plantilla_SCAN_EQ3_COUNT_2[[#This Row],[ID MATERIAL]]="","",VLOOKUP(Plantilla_SCAN_EQ3_COUNT_2[[#This Row],[ID MATERIAL]],INVENTARIO!$A:$D,2,FALSE))</f>
        <v/>
      </c>
      <c r="F2072" s="7" t="str">
        <f>IF(Plantilla_SCAN_EQ3_COUNT_2[[#This Row],[ID MATERIAL]]="","",IF(Plantilla_SCAN_EQ3_COUNT_2[[#This Row],[No. Empaques]]="",1,Plantilla_SCAN_EQ3_COUNT_2[[#This Row],[No. Empaques]]*1))</f>
        <v/>
      </c>
      <c r="G2072" s="7" t="str">
        <f>IF(Plantilla_SCAN_EQ3_COUNT_2[[#This Row],[ID MATERIAL]]="","","PZ")</f>
        <v/>
      </c>
      <c r="H2072" s="7" t="str">
        <f>IF(Plantilla_SCAN_EQ3_COUNT_2[[#This Row],[ID MATERIAL]]="","",$B$13)</f>
        <v/>
      </c>
      <c r="I2072" s="7" t="str">
        <f>IF(Plantilla_SCAN_EQ3_COUNT_2[[#This Row],[ID MATERIAL]]="","","Segundo Conteo")</f>
        <v/>
      </c>
    </row>
    <row r="2073" spans="1:9" s="7" customFormat="1" ht="15" x14ac:dyDescent="0.2">
      <c r="A2073" s="7" t="str">
        <f>IF(Plantilla_SCAN_EQ3_COUNT_2[[#This Row],[ID MATERIAL]]="","",SIGN(Plantilla_SCAN_EQ3_COUNT_2[[#This Row],[Cantidad]])+A2072)</f>
        <v/>
      </c>
      <c r="B2073" s="21" t="str">
        <f>IF(Plantilla_SCAN_EQ3_COUNT_2[[#This Row],[ID MATERIAL]]="","",B2072)</f>
        <v/>
      </c>
      <c r="C2073" s="21"/>
      <c r="D2073" s="21"/>
      <c r="E2073" s="7" t="str">
        <f>IF(Plantilla_SCAN_EQ3_COUNT_2[[#This Row],[ID MATERIAL]]="","",VLOOKUP(Plantilla_SCAN_EQ3_COUNT_2[[#This Row],[ID MATERIAL]],INVENTARIO!$A:$D,2,FALSE))</f>
        <v/>
      </c>
      <c r="F2073" s="7" t="str">
        <f>IF(Plantilla_SCAN_EQ3_COUNT_2[[#This Row],[ID MATERIAL]]="","",IF(Plantilla_SCAN_EQ3_COUNT_2[[#This Row],[No. Empaques]]="",1,Plantilla_SCAN_EQ3_COUNT_2[[#This Row],[No. Empaques]]*1))</f>
        <v/>
      </c>
      <c r="G2073" s="7" t="str">
        <f>IF(Plantilla_SCAN_EQ3_COUNT_2[[#This Row],[ID MATERIAL]]="","","PZ")</f>
        <v/>
      </c>
      <c r="H2073" s="7" t="str">
        <f>IF(Plantilla_SCAN_EQ3_COUNT_2[[#This Row],[ID MATERIAL]]="","",$B$13)</f>
        <v/>
      </c>
      <c r="I2073" s="7" t="str">
        <f>IF(Plantilla_SCAN_EQ3_COUNT_2[[#This Row],[ID MATERIAL]]="","","Segundo Conteo")</f>
        <v/>
      </c>
    </row>
    <row r="2074" spans="1:9" s="7" customFormat="1" ht="15" x14ac:dyDescent="0.2">
      <c r="A2074" s="7" t="str">
        <f>IF(Plantilla_SCAN_EQ3_COUNT_2[[#This Row],[ID MATERIAL]]="","",SIGN(Plantilla_SCAN_EQ3_COUNT_2[[#This Row],[Cantidad]])+A2073)</f>
        <v/>
      </c>
      <c r="B2074" s="21" t="str">
        <f>IF(Plantilla_SCAN_EQ3_COUNT_2[[#This Row],[ID MATERIAL]]="","",B2073)</f>
        <v/>
      </c>
      <c r="C2074" s="21"/>
      <c r="D2074" s="21"/>
      <c r="E2074" s="7" t="str">
        <f>IF(Plantilla_SCAN_EQ3_COUNT_2[[#This Row],[ID MATERIAL]]="","",VLOOKUP(Plantilla_SCAN_EQ3_COUNT_2[[#This Row],[ID MATERIAL]],INVENTARIO!$A:$D,2,FALSE))</f>
        <v/>
      </c>
      <c r="F2074" s="7" t="str">
        <f>IF(Plantilla_SCAN_EQ3_COUNT_2[[#This Row],[ID MATERIAL]]="","",IF(Plantilla_SCAN_EQ3_COUNT_2[[#This Row],[No. Empaques]]="",1,Plantilla_SCAN_EQ3_COUNT_2[[#This Row],[No. Empaques]]*1))</f>
        <v/>
      </c>
      <c r="G2074" s="7" t="str">
        <f>IF(Plantilla_SCAN_EQ3_COUNT_2[[#This Row],[ID MATERIAL]]="","","PZ")</f>
        <v/>
      </c>
      <c r="H2074" s="7" t="str">
        <f>IF(Plantilla_SCAN_EQ3_COUNT_2[[#This Row],[ID MATERIAL]]="","",$B$13)</f>
        <v/>
      </c>
      <c r="I2074" s="7" t="str">
        <f>IF(Plantilla_SCAN_EQ3_COUNT_2[[#This Row],[ID MATERIAL]]="","","Segundo Conteo")</f>
        <v/>
      </c>
    </row>
    <row r="2075" spans="1:9" s="7" customFormat="1" ht="15" x14ac:dyDescent="0.2">
      <c r="A2075" s="7" t="str">
        <f>IF(Plantilla_SCAN_EQ3_COUNT_2[[#This Row],[ID MATERIAL]]="","",SIGN(Plantilla_SCAN_EQ3_COUNT_2[[#This Row],[Cantidad]])+A2074)</f>
        <v/>
      </c>
      <c r="B2075" s="21" t="str">
        <f>IF(Plantilla_SCAN_EQ3_COUNT_2[[#This Row],[ID MATERIAL]]="","",B2074)</f>
        <v/>
      </c>
      <c r="C2075" s="21"/>
      <c r="D2075" s="21"/>
      <c r="E2075" s="7" t="str">
        <f>IF(Plantilla_SCAN_EQ3_COUNT_2[[#This Row],[ID MATERIAL]]="","",VLOOKUP(Plantilla_SCAN_EQ3_COUNT_2[[#This Row],[ID MATERIAL]],INVENTARIO!$A:$D,2,FALSE))</f>
        <v/>
      </c>
      <c r="F2075" s="7" t="str">
        <f>IF(Plantilla_SCAN_EQ3_COUNT_2[[#This Row],[ID MATERIAL]]="","",IF(Plantilla_SCAN_EQ3_COUNT_2[[#This Row],[No. Empaques]]="",1,Plantilla_SCAN_EQ3_COUNT_2[[#This Row],[No. Empaques]]*1))</f>
        <v/>
      </c>
      <c r="G2075" s="7" t="str">
        <f>IF(Plantilla_SCAN_EQ3_COUNT_2[[#This Row],[ID MATERIAL]]="","","PZ")</f>
        <v/>
      </c>
      <c r="H2075" s="7" t="str">
        <f>IF(Plantilla_SCAN_EQ3_COUNT_2[[#This Row],[ID MATERIAL]]="","",$B$13)</f>
        <v/>
      </c>
      <c r="I2075" s="7" t="str">
        <f>IF(Plantilla_SCAN_EQ3_COUNT_2[[#This Row],[ID MATERIAL]]="","","Segundo Conteo")</f>
        <v/>
      </c>
    </row>
    <row r="2076" spans="1:9" s="7" customFormat="1" ht="15" x14ac:dyDescent="0.2">
      <c r="A2076" s="7" t="str">
        <f>IF(Plantilla_SCAN_EQ3_COUNT_2[[#This Row],[ID MATERIAL]]="","",SIGN(Plantilla_SCAN_EQ3_COUNT_2[[#This Row],[Cantidad]])+A2075)</f>
        <v/>
      </c>
      <c r="B2076" s="21" t="str">
        <f>IF(Plantilla_SCAN_EQ3_COUNT_2[[#This Row],[ID MATERIAL]]="","",B2075)</f>
        <v/>
      </c>
      <c r="C2076" s="21"/>
      <c r="D2076" s="21"/>
      <c r="E2076" s="7" t="str">
        <f>IF(Plantilla_SCAN_EQ3_COUNT_2[[#This Row],[ID MATERIAL]]="","",VLOOKUP(Plantilla_SCAN_EQ3_COUNT_2[[#This Row],[ID MATERIAL]],INVENTARIO!$A:$D,2,FALSE))</f>
        <v/>
      </c>
      <c r="F2076" s="7" t="str">
        <f>IF(Plantilla_SCAN_EQ3_COUNT_2[[#This Row],[ID MATERIAL]]="","",IF(Plantilla_SCAN_EQ3_COUNT_2[[#This Row],[No. Empaques]]="",1,Plantilla_SCAN_EQ3_COUNT_2[[#This Row],[No. Empaques]]*1))</f>
        <v/>
      </c>
      <c r="G2076" s="7" t="str">
        <f>IF(Plantilla_SCAN_EQ3_COUNT_2[[#This Row],[ID MATERIAL]]="","","PZ")</f>
        <v/>
      </c>
      <c r="H2076" s="7" t="str">
        <f>IF(Plantilla_SCAN_EQ3_COUNT_2[[#This Row],[ID MATERIAL]]="","",$B$13)</f>
        <v/>
      </c>
      <c r="I2076" s="7" t="str">
        <f>IF(Plantilla_SCAN_EQ3_COUNT_2[[#This Row],[ID MATERIAL]]="","","Segundo Conteo")</f>
        <v/>
      </c>
    </row>
    <row r="2077" spans="1:9" s="7" customFormat="1" ht="15" x14ac:dyDescent="0.2">
      <c r="A2077" s="7" t="str">
        <f>IF(Plantilla_SCAN_EQ3_COUNT_2[[#This Row],[ID MATERIAL]]="","",SIGN(Plantilla_SCAN_EQ3_COUNT_2[[#This Row],[Cantidad]])+A2076)</f>
        <v/>
      </c>
      <c r="B2077" s="21" t="str">
        <f>IF(Plantilla_SCAN_EQ3_COUNT_2[[#This Row],[ID MATERIAL]]="","",B2076)</f>
        <v/>
      </c>
      <c r="C2077" s="21"/>
      <c r="D2077" s="21"/>
      <c r="E2077" s="7" t="str">
        <f>IF(Plantilla_SCAN_EQ3_COUNT_2[[#This Row],[ID MATERIAL]]="","",VLOOKUP(Plantilla_SCAN_EQ3_COUNT_2[[#This Row],[ID MATERIAL]],INVENTARIO!$A:$D,2,FALSE))</f>
        <v/>
      </c>
      <c r="F2077" s="7" t="str">
        <f>IF(Plantilla_SCAN_EQ3_COUNT_2[[#This Row],[ID MATERIAL]]="","",IF(Plantilla_SCAN_EQ3_COUNT_2[[#This Row],[No. Empaques]]="",1,Plantilla_SCAN_EQ3_COUNT_2[[#This Row],[No. Empaques]]*1))</f>
        <v/>
      </c>
      <c r="G2077" s="7" t="str">
        <f>IF(Plantilla_SCAN_EQ3_COUNT_2[[#This Row],[ID MATERIAL]]="","","PZ")</f>
        <v/>
      </c>
      <c r="H2077" s="7" t="str">
        <f>IF(Plantilla_SCAN_EQ3_COUNT_2[[#This Row],[ID MATERIAL]]="","",$B$13)</f>
        <v/>
      </c>
      <c r="I2077" s="7" t="str">
        <f>IF(Plantilla_SCAN_EQ3_COUNT_2[[#This Row],[ID MATERIAL]]="","","Segundo Conteo")</f>
        <v/>
      </c>
    </row>
    <row r="2078" spans="1:9" s="7" customFormat="1" ht="15" x14ac:dyDescent="0.2">
      <c r="A2078" s="7" t="str">
        <f>IF(Plantilla_SCAN_EQ3_COUNT_2[[#This Row],[ID MATERIAL]]="","",SIGN(Plantilla_SCAN_EQ3_COUNT_2[[#This Row],[Cantidad]])+A2077)</f>
        <v/>
      </c>
      <c r="B2078" s="21" t="str">
        <f>IF(Plantilla_SCAN_EQ3_COUNT_2[[#This Row],[ID MATERIAL]]="","",B2077)</f>
        <v/>
      </c>
      <c r="C2078" s="21"/>
      <c r="D2078" s="21"/>
      <c r="E2078" s="7" t="str">
        <f>IF(Plantilla_SCAN_EQ3_COUNT_2[[#This Row],[ID MATERIAL]]="","",VLOOKUP(Plantilla_SCAN_EQ3_COUNT_2[[#This Row],[ID MATERIAL]],INVENTARIO!$A:$D,2,FALSE))</f>
        <v/>
      </c>
      <c r="F2078" s="7" t="str">
        <f>IF(Plantilla_SCAN_EQ3_COUNT_2[[#This Row],[ID MATERIAL]]="","",IF(Plantilla_SCAN_EQ3_COUNT_2[[#This Row],[No. Empaques]]="",1,Plantilla_SCAN_EQ3_COUNT_2[[#This Row],[No. Empaques]]*1))</f>
        <v/>
      </c>
      <c r="G2078" s="7" t="str">
        <f>IF(Plantilla_SCAN_EQ3_COUNT_2[[#This Row],[ID MATERIAL]]="","","PZ")</f>
        <v/>
      </c>
      <c r="H2078" s="7" t="str">
        <f>IF(Plantilla_SCAN_EQ3_COUNT_2[[#This Row],[ID MATERIAL]]="","",$B$13)</f>
        <v/>
      </c>
      <c r="I2078" s="7" t="str">
        <f>IF(Plantilla_SCAN_EQ3_COUNT_2[[#This Row],[ID MATERIAL]]="","","Segundo Conteo")</f>
        <v/>
      </c>
    </row>
    <row r="2079" spans="1:9" s="7" customFormat="1" ht="15" x14ac:dyDescent="0.2">
      <c r="A2079" s="7" t="str">
        <f>IF(Plantilla_SCAN_EQ3_COUNT_2[[#This Row],[ID MATERIAL]]="","",SIGN(Plantilla_SCAN_EQ3_COUNT_2[[#This Row],[Cantidad]])+A2078)</f>
        <v/>
      </c>
      <c r="B2079" s="21" t="str">
        <f>IF(Plantilla_SCAN_EQ3_COUNT_2[[#This Row],[ID MATERIAL]]="","",B2078)</f>
        <v/>
      </c>
      <c r="C2079" s="21"/>
      <c r="D2079" s="21"/>
      <c r="E2079" s="7" t="str">
        <f>IF(Plantilla_SCAN_EQ3_COUNT_2[[#This Row],[ID MATERIAL]]="","",VLOOKUP(Plantilla_SCAN_EQ3_COUNT_2[[#This Row],[ID MATERIAL]],INVENTARIO!$A:$D,2,FALSE))</f>
        <v/>
      </c>
      <c r="F2079" s="7" t="str">
        <f>IF(Plantilla_SCAN_EQ3_COUNT_2[[#This Row],[ID MATERIAL]]="","",IF(Plantilla_SCAN_EQ3_COUNT_2[[#This Row],[No. Empaques]]="",1,Plantilla_SCAN_EQ3_COUNT_2[[#This Row],[No. Empaques]]*1))</f>
        <v/>
      </c>
      <c r="G2079" s="7" t="str">
        <f>IF(Plantilla_SCAN_EQ3_COUNT_2[[#This Row],[ID MATERIAL]]="","","PZ")</f>
        <v/>
      </c>
      <c r="H2079" s="7" t="str">
        <f>IF(Plantilla_SCAN_EQ3_COUNT_2[[#This Row],[ID MATERIAL]]="","",$B$13)</f>
        <v/>
      </c>
      <c r="I2079" s="7" t="str">
        <f>IF(Plantilla_SCAN_EQ3_COUNT_2[[#This Row],[ID MATERIAL]]="","","Segundo Conteo")</f>
        <v/>
      </c>
    </row>
    <row r="2080" spans="1:9" s="7" customFormat="1" ht="15" x14ac:dyDescent="0.2">
      <c r="A2080" s="7" t="str">
        <f>IF(Plantilla_SCAN_EQ3_COUNT_2[[#This Row],[ID MATERIAL]]="","",SIGN(Plantilla_SCAN_EQ3_COUNT_2[[#This Row],[Cantidad]])+A2079)</f>
        <v/>
      </c>
      <c r="B2080" s="21" t="str">
        <f>IF(Plantilla_SCAN_EQ3_COUNT_2[[#This Row],[ID MATERIAL]]="","",B2079)</f>
        <v/>
      </c>
      <c r="C2080" s="21"/>
      <c r="D2080" s="21"/>
      <c r="E2080" s="7" t="str">
        <f>IF(Plantilla_SCAN_EQ3_COUNT_2[[#This Row],[ID MATERIAL]]="","",VLOOKUP(Plantilla_SCAN_EQ3_COUNT_2[[#This Row],[ID MATERIAL]],INVENTARIO!$A:$D,2,FALSE))</f>
        <v/>
      </c>
      <c r="F2080" s="7" t="str">
        <f>IF(Plantilla_SCAN_EQ3_COUNT_2[[#This Row],[ID MATERIAL]]="","",IF(Plantilla_SCAN_EQ3_COUNT_2[[#This Row],[No. Empaques]]="",1,Plantilla_SCAN_EQ3_COUNT_2[[#This Row],[No. Empaques]]*1))</f>
        <v/>
      </c>
      <c r="G2080" s="7" t="str">
        <f>IF(Plantilla_SCAN_EQ3_COUNT_2[[#This Row],[ID MATERIAL]]="","","PZ")</f>
        <v/>
      </c>
      <c r="H2080" s="7" t="str">
        <f>IF(Plantilla_SCAN_EQ3_COUNT_2[[#This Row],[ID MATERIAL]]="","",$B$13)</f>
        <v/>
      </c>
      <c r="I2080" s="7" t="str">
        <f>IF(Plantilla_SCAN_EQ3_COUNT_2[[#This Row],[ID MATERIAL]]="","","Segundo Conteo")</f>
        <v/>
      </c>
    </row>
    <row r="2081" spans="1:9" s="7" customFormat="1" ht="15" x14ac:dyDescent="0.2">
      <c r="A2081" s="7" t="str">
        <f>IF(Plantilla_SCAN_EQ3_COUNT_2[[#This Row],[ID MATERIAL]]="","",SIGN(Plantilla_SCAN_EQ3_COUNT_2[[#This Row],[Cantidad]])+A2080)</f>
        <v/>
      </c>
      <c r="B2081" s="21" t="str">
        <f>IF(Plantilla_SCAN_EQ3_COUNT_2[[#This Row],[ID MATERIAL]]="","",B2080)</f>
        <v/>
      </c>
      <c r="C2081" s="21"/>
      <c r="D2081" s="21"/>
      <c r="E2081" s="7" t="str">
        <f>IF(Plantilla_SCAN_EQ3_COUNT_2[[#This Row],[ID MATERIAL]]="","",VLOOKUP(Plantilla_SCAN_EQ3_COUNT_2[[#This Row],[ID MATERIAL]],INVENTARIO!$A:$D,2,FALSE))</f>
        <v/>
      </c>
      <c r="F2081" s="7" t="str">
        <f>IF(Plantilla_SCAN_EQ3_COUNT_2[[#This Row],[ID MATERIAL]]="","",IF(Plantilla_SCAN_EQ3_COUNT_2[[#This Row],[No. Empaques]]="",1,Plantilla_SCAN_EQ3_COUNT_2[[#This Row],[No. Empaques]]*1))</f>
        <v/>
      </c>
      <c r="G2081" s="7" t="str">
        <f>IF(Plantilla_SCAN_EQ3_COUNT_2[[#This Row],[ID MATERIAL]]="","","PZ")</f>
        <v/>
      </c>
      <c r="H2081" s="7" t="str">
        <f>IF(Plantilla_SCAN_EQ3_COUNT_2[[#This Row],[ID MATERIAL]]="","",$B$13)</f>
        <v/>
      </c>
      <c r="I2081" s="7" t="str">
        <f>IF(Plantilla_SCAN_EQ3_COUNT_2[[#This Row],[ID MATERIAL]]="","","Segundo Conteo")</f>
        <v/>
      </c>
    </row>
    <row r="2082" spans="1:9" s="7" customFormat="1" ht="15" x14ac:dyDescent="0.2">
      <c r="A2082" s="7" t="str">
        <f>IF(Plantilla_SCAN_EQ3_COUNT_2[[#This Row],[ID MATERIAL]]="","",SIGN(Plantilla_SCAN_EQ3_COUNT_2[[#This Row],[Cantidad]])+A2081)</f>
        <v/>
      </c>
      <c r="B2082" s="21" t="str">
        <f>IF(Plantilla_SCAN_EQ3_COUNT_2[[#This Row],[ID MATERIAL]]="","",B2081)</f>
        <v/>
      </c>
      <c r="C2082" s="21"/>
      <c r="D2082" s="21"/>
      <c r="E2082" s="7" t="str">
        <f>IF(Plantilla_SCAN_EQ3_COUNT_2[[#This Row],[ID MATERIAL]]="","",VLOOKUP(Plantilla_SCAN_EQ3_COUNT_2[[#This Row],[ID MATERIAL]],INVENTARIO!$A:$D,2,FALSE))</f>
        <v/>
      </c>
      <c r="F2082" s="7" t="str">
        <f>IF(Plantilla_SCAN_EQ3_COUNT_2[[#This Row],[ID MATERIAL]]="","",IF(Plantilla_SCAN_EQ3_COUNT_2[[#This Row],[No. Empaques]]="",1,Plantilla_SCAN_EQ3_COUNT_2[[#This Row],[No. Empaques]]*1))</f>
        <v/>
      </c>
      <c r="G2082" s="7" t="str">
        <f>IF(Plantilla_SCAN_EQ3_COUNT_2[[#This Row],[ID MATERIAL]]="","","PZ")</f>
        <v/>
      </c>
      <c r="H2082" s="7" t="str">
        <f>IF(Plantilla_SCAN_EQ3_COUNT_2[[#This Row],[ID MATERIAL]]="","",$B$13)</f>
        <v/>
      </c>
      <c r="I2082" s="7" t="str">
        <f>IF(Plantilla_SCAN_EQ3_COUNT_2[[#This Row],[ID MATERIAL]]="","","Segundo Conteo")</f>
        <v/>
      </c>
    </row>
    <row r="2083" spans="1:9" s="7" customFormat="1" ht="15" x14ac:dyDescent="0.2">
      <c r="A2083" s="7" t="str">
        <f>IF(Plantilla_SCAN_EQ3_COUNT_2[[#This Row],[ID MATERIAL]]="","",SIGN(Plantilla_SCAN_EQ3_COUNT_2[[#This Row],[Cantidad]])+A2082)</f>
        <v/>
      </c>
      <c r="B2083" s="21" t="str">
        <f>IF(Plantilla_SCAN_EQ3_COUNT_2[[#This Row],[ID MATERIAL]]="","",B2082)</f>
        <v/>
      </c>
      <c r="C2083" s="21"/>
      <c r="D2083" s="21"/>
      <c r="E2083" s="7" t="str">
        <f>IF(Plantilla_SCAN_EQ3_COUNT_2[[#This Row],[ID MATERIAL]]="","",VLOOKUP(Plantilla_SCAN_EQ3_COUNT_2[[#This Row],[ID MATERIAL]],INVENTARIO!$A:$D,2,FALSE))</f>
        <v/>
      </c>
      <c r="F2083" s="7" t="str">
        <f>IF(Plantilla_SCAN_EQ3_COUNT_2[[#This Row],[ID MATERIAL]]="","",IF(Plantilla_SCAN_EQ3_COUNT_2[[#This Row],[No. Empaques]]="",1,Plantilla_SCAN_EQ3_COUNT_2[[#This Row],[No. Empaques]]*1))</f>
        <v/>
      </c>
      <c r="G2083" s="7" t="str">
        <f>IF(Plantilla_SCAN_EQ3_COUNT_2[[#This Row],[ID MATERIAL]]="","","PZ")</f>
        <v/>
      </c>
      <c r="H2083" s="7" t="str">
        <f>IF(Plantilla_SCAN_EQ3_COUNT_2[[#This Row],[ID MATERIAL]]="","",$B$13)</f>
        <v/>
      </c>
      <c r="I2083" s="7" t="str">
        <f>IF(Plantilla_SCAN_EQ3_COUNT_2[[#This Row],[ID MATERIAL]]="","","Segundo Conteo")</f>
        <v/>
      </c>
    </row>
    <row r="2084" spans="1:9" s="7" customFormat="1" ht="15" x14ac:dyDescent="0.2">
      <c r="A2084" s="7" t="str">
        <f>IF(Plantilla_SCAN_EQ3_COUNT_2[[#This Row],[ID MATERIAL]]="","",SIGN(Plantilla_SCAN_EQ3_COUNT_2[[#This Row],[Cantidad]])+A2083)</f>
        <v/>
      </c>
      <c r="B2084" s="21" t="str">
        <f>IF(Plantilla_SCAN_EQ3_COUNT_2[[#This Row],[ID MATERIAL]]="","",B2083)</f>
        <v/>
      </c>
      <c r="C2084" s="21"/>
      <c r="D2084" s="21"/>
      <c r="E2084" s="7" t="str">
        <f>IF(Plantilla_SCAN_EQ3_COUNT_2[[#This Row],[ID MATERIAL]]="","",VLOOKUP(Plantilla_SCAN_EQ3_COUNT_2[[#This Row],[ID MATERIAL]],INVENTARIO!$A:$D,2,FALSE))</f>
        <v/>
      </c>
      <c r="F2084" s="7" t="str">
        <f>IF(Plantilla_SCAN_EQ3_COUNT_2[[#This Row],[ID MATERIAL]]="","",IF(Plantilla_SCAN_EQ3_COUNT_2[[#This Row],[No. Empaques]]="",1,Plantilla_SCAN_EQ3_COUNT_2[[#This Row],[No. Empaques]]*1))</f>
        <v/>
      </c>
      <c r="G2084" s="7" t="str">
        <f>IF(Plantilla_SCAN_EQ3_COUNT_2[[#This Row],[ID MATERIAL]]="","","PZ")</f>
        <v/>
      </c>
      <c r="H2084" s="7" t="str">
        <f>IF(Plantilla_SCAN_EQ3_COUNT_2[[#This Row],[ID MATERIAL]]="","",$B$13)</f>
        <v/>
      </c>
      <c r="I2084" s="7" t="str">
        <f>IF(Plantilla_SCAN_EQ3_COUNT_2[[#This Row],[ID MATERIAL]]="","","Segundo Conteo")</f>
        <v/>
      </c>
    </row>
    <row r="2085" spans="1:9" s="7" customFormat="1" ht="15" x14ac:dyDescent="0.2">
      <c r="A2085" s="7" t="str">
        <f>IF(Plantilla_SCAN_EQ3_COUNT_2[[#This Row],[ID MATERIAL]]="","",SIGN(Plantilla_SCAN_EQ3_COUNT_2[[#This Row],[Cantidad]])+A2084)</f>
        <v/>
      </c>
      <c r="B2085" s="21" t="str">
        <f>IF(Plantilla_SCAN_EQ3_COUNT_2[[#This Row],[ID MATERIAL]]="","",B2084)</f>
        <v/>
      </c>
      <c r="C2085" s="21"/>
      <c r="D2085" s="21"/>
      <c r="E2085" s="7" t="str">
        <f>IF(Plantilla_SCAN_EQ3_COUNT_2[[#This Row],[ID MATERIAL]]="","",VLOOKUP(Plantilla_SCAN_EQ3_COUNT_2[[#This Row],[ID MATERIAL]],INVENTARIO!$A:$D,2,FALSE))</f>
        <v/>
      </c>
      <c r="F2085" s="7" t="str">
        <f>IF(Plantilla_SCAN_EQ3_COUNT_2[[#This Row],[ID MATERIAL]]="","",IF(Plantilla_SCAN_EQ3_COUNT_2[[#This Row],[No. Empaques]]="",1,Plantilla_SCAN_EQ3_COUNT_2[[#This Row],[No. Empaques]]*1))</f>
        <v/>
      </c>
      <c r="G2085" s="7" t="str">
        <f>IF(Plantilla_SCAN_EQ3_COUNT_2[[#This Row],[ID MATERIAL]]="","","PZ")</f>
        <v/>
      </c>
      <c r="H2085" s="7" t="str">
        <f>IF(Plantilla_SCAN_EQ3_COUNT_2[[#This Row],[ID MATERIAL]]="","",$B$13)</f>
        <v/>
      </c>
      <c r="I2085" s="7" t="str">
        <f>IF(Plantilla_SCAN_EQ3_COUNT_2[[#This Row],[ID MATERIAL]]="","","Segundo Conteo")</f>
        <v/>
      </c>
    </row>
    <row r="2086" spans="1:9" s="7" customFormat="1" ht="15" x14ac:dyDescent="0.2">
      <c r="A2086" s="7" t="str">
        <f>IF(Plantilla_SCAN_EQ3_COUNT_2[[#This Row],[ID MATERIAL]]="","",SIGN(Plantilla_SCAN_EQ3_COUNT_2[[#This Row],[Cantidad]])+A2085)</f>
        <v/>
      </c>
      <c r="B2086" s="21" t="str">
        <f>IF(Plantilla_SCAN_EQ3_COUNT_2[[#This Row],[ID MATERIAL]]="","",B2085)</f>
        <v/>
      </c>
      <c r="C2086" s="21"/>
      <c r="D2086" s="21"/>
      <c r="E2086" s="7" t="str">
        <f>IF(Plantilla_SCAN_EQ3_COUNT_2[[#This Row],[ID MATERIAL]]="","",VLOOKUP(Plantilla_SCAN_EQ3_COUNT_2[[#This Row],[ID MATERIAL]],INVENTARIO!$A:$D,2,FALSE))</f>
        <v/>
      </c>
      <c r="F2086" s="7" t="str">
        <f>IF(Plantilla_SCAN_EQ3_COUNT_2[[#This Row],[ID MATERIAL]]="","",IF(Plantilla_SCAN_EQ3_COUNT_2[[#This Row],[No. Empaques]]="",1,Plantilla_SCAN_EQ3_COUNT_2[[#This Row],[No. Empaques]]*1))</f>
        <v/>
      </c>
      <c r="G2086" s="7" t="str">
        <f>IF(Plantilla_SCAN_EQ3_COUNT_2[[#This Row],[ID MATERIAL]]="","","PZ")</f>
        <v/>
      </c>
      <c r="H2086" s="7" t="str">
        <f>IF(Plantilla_SCAN_EQ3_COUNT_2[[#This Row],[ID MATERIAL]]="","",$B$13)</f>
        <v/>
      </c>
      <c r="I2086" s="7" t="str">
        <f>IF(Plantilla_SCAN_EQ3_COUNT_2[[#This Row],[ID MATERIAL]]="","","Segundo Conteo")</f>
        <v/>
      </c>
    </row>
    <row r="2087" spans="1:9" s="7" customFormat="1" ht="15" x14ac:dyDescent="0.2">
      <c r="A2087" s="7" t="str">
        <f>IF(Plantilla_SCAN_EQ3_COUNT_2[[#This Row],[ID MATERIAL]]="","",SIGN(Plantilla_SCAN_EQ3_COUNT_2[[#This Row],[Cantidad]])+A2086)</f>
        <v/>
      </c>
      <c r="B2087" s="21" t="str">
        <f>IF(Plantilla_SCAN_EQ3_COUNT_2[[#This Row],[ID MATERIAL]]="","",B2086)</f>
        <v/>
      </c>
      <c r="C2087" s="21"/>
      <c r="D2087" s="21"/>
      <c r="E2087" s="7" t="str">
        <f>IF(Plantilla_SCAN_EQ3_COUNT_2[[#This Row],[ID MATERIAL]]="","",VLOOKUP(Plantilla_SCAN_EQ3_COUNT_2[[#This Row],[ID MATERIAL]],INVENTARIO!$A:$D,2,FALSE))</f>
        <v/>
      </c>
      <c r="F2087" s="7" t="str">
        <f>IF(Plantilla_SCAN_EQ3_COUNT_2[[#This Row],[ID MATERIAL]]="","",IF(Plantilla_SCAN_EQ3_COUNT_2[[#This Row],[No. Empaques]]="",1,Plantilla_SCAN_EQ3_COUNT_2[[#This Row],[No. Empaques]]*1))</f>
        <v/>
      </c>
      <c r="G2087" s="7" t="str">
        <f>IF(Plantilla_SCAN_EQ3_COUNT_2[[#This Row],[ID MATERIAL]]="","","PZ")</f>
        <v/>
      </c>
      <c r="H2087" s="7" t="str">
        <f>IF(Plantilla_SCAN_EQ3_COUNT_2[[#This Row],[ID MATERIAL]]="","",$B$13)</f>
        <v/>
      </c>
      <c r="I2087" s="7" t="str">
        <f>IF(Plantilla_SCAN_EQ3_COUNT_2[[#This Row],[ID MATERIAL]]="","","Segundo Conteo")</f>
        <v/>
      </c>
    </row>
    <row r="2088" spans="1:9" s="7" customFormat="1" ht="15" x14ac:dyDescent="0.2">
      <c r="A2088" s="7" t="str">
        <f>IF(Plantilla_SCAN_EQ3_COUNT_2[[#This Row],[ID MATERIAL]]="","",SIGN(Plantilla_SCAN_EQ3_COUNT_2[[#This Row],[Cantidad]])+A2087)</f>
        <v/>
      </c>
      <c r="B2088" s="21" t="str">
        <f>IF(Plantilla_SCAN_EQ3_COUNT_2[[#This Row],[ID MATERIAL]]="","",B2087)</f>
        <v/>
      </c>
      <c r="C2088" s="21"/>
      <c r="D2088" s="21"/>
      <c r="E2088" s="7" t="str">
        <f>IF(Plantilla_SCAN_EQ3_COUNT_2[[#This Row],[ID MATERIAL]]="","",VLOOKUP(Plantilla_SCAN_EQ3_COUNT_2[[#This Row],[ID MATERIAL]],INVENTARIO!$A:$D,2,FALSE))</f>
        <v/>
      </c>
      <c r="F2088" s="7" t="str">
        <f>IF(Plantilla_SCAN_EQ3_COUNT_2[[#This Row],[ID MATERIAL]]="","",IF(Plantilla_SCAN_EQ3_COUNT_2[[#This Row],[No. Empaques]]="",1,Plantilla_SCAN_EQ3_COUNT_2[[#This Row],[No. Empaques]]*1))</f>
        <v/>
      </c>
      <c r="G2088" s="7" t="str">
        <f>IF(Plantilla_SCAN_EQ3_COUNT_2[[#This Row],[ID MATERIAL]]="","","PZ")</f>
        <v/>
      </c>
      <c r="H2088" s="7" t="str">
        <f>IF(Plantilla_SCAN_EQ3_COUNT_2[[#This Row],[ID MATERIAL]]="","",$B$13)</f>
        <v/>
      </c>
      <c r="I2088" s="7" t="str">
        <f>IF(Plantilla_SCAN_EQ3_COUNT_2[[#This Row],[ID MATERIAL]]="","","Segundo Conteo")</f>
        <v/>
      </c>
    </row>
    <row r="2089" spans="1:9" s="7" customFormat="1" ht="15" x14ac:dyDescent="0.2">
      <c r="A2089" s="7" t="str">
        <f>IF(Plantilla_SCAN_EQ3_COUNT_2[[#This Row],[ID MATERIAL]]="","",SIGN(Plantilla_SCAN_EQ3_COUNT_2[[#This Row],[Cantidad]])+A2088)</f>
        <v/>
      </c>
      <c r="B2089" s="21" t="str">
        <f>IF(Plantilla_SCAN_EQ3_COUNT_2[[#This Row],[ID MATERIAL]]="","",B2088)</f>
        <v/>
      </c>
      <c r="C2089" s="21"/>
      <c r="D2089" s="21"/>
      <c r="E2089" s="7" t="str">
        <f>IF(Plantilla_SCAN_EQ3_COUNT_2[[#This Row],[ID MATERIAL]]="","",VLOOKUP(Plantilla_SCAN_EQ3_COUNT_2[[#This Row],[ID MATERIAL]],INVENTARIO!$A:$D,2,FALSE))</f>
        <v/>
      </c>
      <c r="F2089" s="7" t="str">
        <f>IF(Plantilla_SCAN_EQ3_COUNT_2[[#This Row],[ID MATERIAL]]="","",IF(Plantilla_SCAN_EQ3_COUNT_2[[#This Row],[No. Empaques]]="",1,Plantilla_SCAN_EQ3_COUNT_2[[#This Row],[No. Empaques]]*1))</f>
        <v/>
      </c>
      <c r="G2089" s="7" t="str">
        <f>IF(Plantilla_SCAN_EQ3_COUNT_2[[#This Row],[ID MATERIAL]]="","","PZ")</f>
        <v/>
      </c>
      <c r="H2089" s="7" t="str">
        <f>IF(Plantilla_SCAN_EQ3_COUNT_2[[#This Row],[ID MATERIAL]]="","",$B$13)</f>
        <v/>
      </c>
      <c r="I2089" s="7" t="str">
        <f>IF(Plantilla_SCAN_EQ3_COUNT_2[[#This Row],[ID MATERIAL]]="","","Segundo Conteo")</f>
        <v/>
      </c>
    </row>
    <row r="2090" spans="1:9" s="7" customFormat="1" ht="15" x14ac:dyDescent="0.2">
      <c r="A2090" s="7" t="str">
        <f>IF(Plantilla_SCAN_EQ3_COUNT_2[[#This Row],[ID MATERIAL]]="","",SIGN(Plantilla_SCAN_EQ3_COUNT_2[[#This Row],[Cantidad]])+A2089)</f>
        <v/>
      </c>
      <c r="B2090" s="21" t="str">
        <f>IF(Plantilla_SCAN_EQ3_COUNT_2[[#This Row],[ID MATERIAL]]="","",B2089)</f>
        <v/>
      </c>
      <c r="C2090" s="21"/>
      <c r="D2090" s="21"/>
      <c r="E2090" s="7" t="str">
        <f>IF(Plantilla_SCAN_EQ3_COUNT_2[[#This Row],[ID MATERIAL]]="","",VLOOKUP(Plantilla_SCAN_EQ3_COUNT_2[[#This Row],[ID MATERIAL]],INVENTARIO!$A:$D,2,FALSE))</f>
        <v/>
      </c>
      <c r="F2090" s="7" t="str">
        <f>IF(Plantilla_SCAN_EQ3_COUNT_2[[#This Row],[ID MATERIAL]]="","",IF(Plantilla_SCAN_EQ3_COUNT_2[[#This Row],[No. Empaques]]="",1,Plantilla_SCAN_EQ3_COUNT_2[[#This Row],[No. Empaques]]*1))</f>
        <v/>
      </c>
      <c r="G2090" s="7" t="str">
        <f>IF(Plantilla_SCAN_EQ3_COUNT_2[[#This Row],[ID MATERIAL]]="","","PZ")</f>
        <v/>
      </c>
      <c r="H2090" s="7" t="str">
        <f>IF(Plantilla_SCAN_EQ3_COUNT_2[[#This Row],[ID MATERIAL]]="","",$B$13)</f>
        <v/>
      </c>
      <c r="I2090" s="7" t="str">
        <f>IF(Plantilla_SCAN_EQ3_COUNT_2[[#This Row],[ID MATERIAL]]="","","Segundo Conteo")</f>
        <v/>
      </c>
    </row>
    <row r="2091" spans="1:9" s="7" customFormat="1" ht="15" x14ac:dyDescent="0.2">
      <c r="A2091" s="7" t="str">
        <f>IF(Plantilla_SCAN_EQ3_COUNT_2[[#This Row],[ID MATERIAL]]="","",SIGN(Plantilla_SCAN_EQ3_COUNT_2[[#This Row],[Cantidad]])+A2090)</f>
        <v/>
      </c>
      <c r="B2091" s="21" t="str">
        <f>IF(Plantilla_SCAN_EQ3_COUNT_2[[#This Row],[ID MATERIAL]]="","",B2090)</f>
        <v/>
      </c>
      <c r="C2091" s="21"/>
      <c r="D2091" s="21"/>
      <c r="E2091" s="7" t="str">
        <f>IF(Plantilla_SCAN_EQ3_COUNT_2[[#This Row],[ID MATERIAL]]="","",VLOOKUP(Plantilla_SCAN_EQ3_COUNT_2[[#This Row],[ID MATERIAL]],INVENTARIO!$A:$D,2,FALSE))</f>
        <v/>
      </c>
      <c r="F2091" s="7" t="str">
        <f>IF(Plantilla_SCAN_EQ3_COUNT_2[[#This Row],[ID MATERIAL]]="","",IF(Plantilla_SCAN_EQ3_COUNT_2[[#This Row],[No. Empaques]]="",1,Plantilla_SCAN_EQ3_COUNT_2[[#This Row],[No. Empaques]]*1))</f>
        <v/>
      </c>
      <c r="G2091" s="7" t="str">
        <f>IF(Plantilla_SCAN_EQ3_COUNT_2[[#This Row],[ID MATERIAL]]="","","PZ")</f>
        <v/>
      </c>
      <c r="H2091" s="7" t="str">
        <f>IF(Plantilla_SCAN_EQ3_COUNT_2[[#This Row],[ID MATERIAL]]="","",$B$13)</f>
        <v/>
      </c>
      <c r="I2091" s="7" t="str">
        <f>IF(Plantilla_SCAN_EQ3_COUNT_2[[#This Row],[ID MATERIAL]]="","","Segundo Conteo")</f>
        <v/>
      </c>
    </row>
    <row r="2092" spans="1:9" s="7" customFormat="1" ht="15" x14ac:dyDescent="0.2">
      <c r="A2092" s="7" t="str">
        <f>IF(Plantilla_SCAN_EQ3_COUNT_2[[#This Row],[ID MATERIAL]]="","",SIGN(Plantilla_SCAN_EQ3_COUNT_2[[#This Row],[Cantidad]])+A2091)</f>
        <v/>
      </c>
      <c r="B2092" s="21" t="str">
        <f>IF(Plantilla_SCAN_EQ3_COUNT_2[[#This Row],[ID MATERIAL]]="","",B2091)</f>
        <v/>
      </c>
      <c r="C2092" s="21"/>
      <c r="D2092" s="21"/>
      <c r="E2092" s="7" t="str">
        <f>IF(Plantilla_SCAN_EQ3_COUNT_2[[#This Row],[ID MATERIAL]]="","",VLOOKUP(Plantilla_SCAN_EQ3_COUNT_2[[#This Row],[ID MATERIAL]],INVENTARIO!$A:$D,2,FALSE))</f>
        <v/>
      </c>
      <c r="F2092" s="7" t="str">
        <f>IF(Plantilla_SCAN_EQ3_COUNT_2[[#This Row],[ID MATERIAL]]="","",IF(Plantilla_SCAN_EQ3_COUNT_2[[#This Row],[No. Empaques]]="",1,Plantilla_SCAN_EQ3_COUNT_2[[#This Row],[No. Empaques]]*1))</f>
        <v/>
      </c>
      <c r="G2092" s="7" t="str">
        <f>IF(Plantilla_SCAN_EQ3_COUNT_2[[#This Row],[ID MATERIAL]]="","","PZ")</f>
        <v/>
      </c>
      <c r="H2092" s="7" t="str">
        <f>IF(Plantilla_SCAN_EQ3_COUNT_2[[#This Row],[ID MATERIAL]]="","",$B$13)</f>
        <v/>
      </c>
      <c r="I2092" s="7" t="str">
        <f>IF(Plantilla_SCAN_EQ3_COUNT_2[[#This Row],[ID MATERIAL]]="","","Segundo Conteo")</f>
        <v/>
      </c>
    </row>
    <row r="2093" spans="1:9" s="7" customFormat="1" ht="15" x14ac:dyDescent="0.2">
      <c r="A2093" s="7" t="str">
        <f>IF(Plantilla_SCAN_EQ3_COUNT_2[[#This Row],[ID MATERIAL]]="","",SIGN(Plantilla_SCAN_EQ3_COUNT_2[[#This Row],[Cantidad]])+A2092)</f>
        <v/>
      </c>
      <c r="B2093" s="21" t="str">
        <f>IF(Plantilla_SCAN_EQ3_COUNT_2[[#This Row],[ID MATERIAL]]="","",B2092)</f>
        <v/>
      </c>
      <c r="C2093" s="21"/>
      <c r="D2093" s="21"/>
      <c r="E2093" s="7" t="str">
        <f>IF(Plantilla_SCAN_EQ3_COUNT_2[[#This Row],[ID MATERIAL]]="","",VLOOKUP(Plantilla_SCAN_EQ3_COUNT_2[[#This Row],[ID MATERIAL]],INVENTARIO!$A:$D,2,FALSE))</f>
        <v/>
      </c>
      <c r="F2093" s="7" t="str">
        <f>IF(Plantilla_SCAN_EQ3_COUNT_2[[#This Row],[ID MATERIAL]]="","",IF(Plantilla_SCAN_EQ3_COUNT_2[[#This Row],[No. Empaques]]="",1,Plantilla_SCAN_EQ3_COUNT_2[[#This Row],[No. Empaques]]*1))</f>
        <v/>
      </c>
      <c r="G2093" s="7" t="str">
        <f>IF(Plantilla_SCAN_EQ3_COUNT_2[[#This Row],[ID MATERIAL]]="","","PZ")</f>
        <v/>
      </c>
      <c r="H2093" s="7" t="str">
        <f>IF(Plantilla_SCAN_EQ3_COUNT_2[[#This Row],[ID MATERIAL]]="","",$B$13)</f>
        <v/>
      </c>
      <c r="I2093" s="7" t="str">
        <f>IF(Plantilla_SCAN_EQ3_COUNT_2[[#This Row],[ID MATERIAL]]="","","Segundo Conteo")</f>
        <v/>
      </c>
    </row>
    <row r="2094" spans="1:9" s="7" customFormat="1" ht="15" x14ac:dyDescent="0.2">
      <c r="A2094" s="7" t="str">
        <f>IF(Plantilla_SCAN_EQ3_COUNT_2[[#This Row],[ID MATERIAL]]="","",SIGN(Plantilla_SCAN_EQ3_COUNT_2[[#This Row],[Cantidad]])+A2093)</f>
        <v/>
      </c>
      <c r="B2094" s="21" t="str">
        <f>IF(Plantilla_SCAN_EQ3_COUNT_2[[#This Row],[ID MATERIAL]]="","",B2093)</f>
        <v/>
      </c>
      <c r="C2094" s="21"/>
      <c r="D2094" s="21"/>
      <c r="E2094" s="7" t="str">
        <f>IF(Plantilla_SCAN_EQ3_COUNT_2[[#This Row],[ID MATERIAL]]="","",VLOOKUP(Plantilla_SCAN_EQ3_COUNT_2[[#This Row],[ID MATERIAL]],INVENTARIO!$A:$D,2,FALSE))</f>
        <v/>
      </c>
      <c r="F2094" s="7" t="str">
        <f>IF(Plantilla_SCAN_EQ3_COUNT_2[[#This Row],[ID MATERIAL]]="","",IF(Plantilla_SCAN_EQ3_COUNT_2[[#This Row],[No. Empaques]]="",1,Plantilla_SCAN_EQ3_COUNT_2[[#This Row],[No. Empaques]]*1))</f>
        <v/>
      </c>
      <c r="G2094" s="7" t="str">
        <f>IF(Plantilla_SCAN_EQ3_COUNT_2[[#This Row],[ID MATERIAL]]="","","PZ")</f>
        <v/>
      </c>
      <c r="H2094" s="7" t="str">
        <f>IF(Plantilla_SCAN_EQ3_COUNT_2[[#This Row],[ID MATERIAL]]="","",$B$13)</f>
        <v/>
      </c>
      <c r="I2094" s="7" t="str">
        <f>IF(Plantilla_SCAN_EQ3_COUNT_2[[#This Row],[ID MATERIAL]]="","","Segundo Conteo")</f>
        <v/>
      </c>
    </row>
    <row r="2095" spans="1:9" s="7" customFormat="1" ht="15" x14ac:dyDescent="0.2">
      <c r="A2095" s="7" t="str">
        <f>IF(Plantilla_SCAN_EQ3_COUNT_2[[#This Row],[ID MATERIAL]]="","",SIGN(Plantilla_SCAN_EQ3_COUNT_2[[#This Row],[Cantidad]])+A2094)</f>
        <v/>
      </c>
      <c r="B2095" s="21" t="str">
        <f>IF(Plantilla_SCAN_EQ3_COUNT_2[[#This Row],[ID MATERIAL]]="","",B2094)</f>
        <v/>
      </c>
      <c r="C2095" s="21"/>
      <c r="D2095" s="21"/>
      <c r="E2095" s="7" t="str">
        <f>IF(Plantilla_SCAN_EQ3_COUNT_2[[#This Row],[ID MATERIAL]]="","",VLOOKUP(Plantilla_SCAN_EQ3_COUNT_2[[#This Row],[ID MATERIAL]],INVENTARIO!$A:$D,2,FALSE))</f>
        <v/>
      </c>
      <c r="F2095" s="7" t="str">
        <f>IF(Plantilla_SCAN_EQ3_COUNT_2[[#This Row],[ID MATERIAL]]="","",IF(Plantilla_SCAN_EQ3_COUNT_2[[#This Row],[No. Empaques]]="",1,Plantilla_SCAN_EQ3_COUNT_2[[#This Row],[No. Empaques]]*1))</f>
        <v/>
      </c>
      <c r="G2095" s="7" t="str">
        <f>IF(Plantilla_SCAN_EQ3_COUNT_2[[#This Row],[ID MATERIAL]]="","","PZ")</f>
        <v/>
      </c>
      <c r="H2095" s="7" t="str">
        <f>IF(Plantilla_SCAN_EQ3_COUNT_2[[#This Row],[ID MATERIAL]]="","",$B$13)</f>
        <v/>
      </c>
      <c r="I2095" s="7" t="str">
        <f>IF(Plantilla_SCAN_EQ3_COUNT_2[[#This Row],[ID MATERIAL]]="","","Segundo Conteo")</f>
        <v/>
      </c>
    </row>
    <row r="2096" spans="1:9" s="7" customFormat="1" ht="15" x14ac:dyDescent="0.2">
      <c r="A2096" s="7" t="str">
        <f>IF(Plantilla_SCAN_EQ3_COUNT_2[[#This Row],[ID MATERIAL]]="","",SIGN(Plantilla_SCAN_EQ3_COUNT_2[[#This Row],[Cantidad]])+A2095)</f>
        <v/>
      </c>
      <c r="B2096" s="21" t="str">
        <f>IF(Plantilla_SCAN_EQ3_COUNT_2[[#This Row],[ID MATERIAL]]="","",B2095)</f>
        <v/>
      </c>
      <c r="C2096" s="21"/>
      <c r="D2096" s="21"/>
      <c r="E2096" s="7" t="str">
        <f>IF(Plantilla_SCAN_EQ3_COUNT_2[[#This Row],[ID MATERIAL]]="","",VLOOKUP(Plantilla_SCAN_EQ3_COUNT_2[[#This Row],[ID MATERIAL]],INVENTARIO!$A:$D,2,FALSE))</f>
        <v/>
      </c>
      <c r="F2096" s="7" t="str">
        <f>IF(Plantilla_SCAN_EQ3_COUNT_2[[#This Row],[ID MATERIAL]]="","",IF(Plantilla_SCAN_EQ3_COUNT_2[[#This Row],[No. Empaques]]="",1,Plantilla_SCAN_EQ3_COUNT_2[[#This Row],[No. Empaques]]*1))</f>
        <v/>
      </c>
      <c r="G2096" s="7" t="str">
        <f>IF(Plantilla_SCAN_EQ3_COUNT_2[[#This Row],[ID MATERIAL]]="","","PZ")</f>
        <v/>
      </c>
      <c r="H2096" s="7" t="str">
        <f>IF(Plantilla_SCAN_EQ3_COUNT_2[[#This Row],[ID MATERIAL]]="","",$B$13)</f>
        <v/>
      </c>
      <c r="I2096" s="7" t="str">
        <f>IF(Plantilla_SCAN_EQ3_COUNT_2[[#This Row],[ID MATERIAL]]="","","Segundo Conteo")</f>
        <v/>
      </c>
    </row>
    <row r="2097" spans="1:9" s="7" customFormat="1" ht="15" x14ac:dyDescent="0.2">
      <c r="A2097" s="7" t="str">
        <f>IF(Plantilla_SCAN_EQ3_COUNT_2[[#This Row],[ID MATERIAL]]="","",SIGN(Plantilla_SCAN_EQ3_COUNT_2[[#This Row],[Cantidad]])+A2096)</f>
        <v/>
      </c>
      <c r="B2097" s="21" t="str">
        <f>IF(Plantilla_SCAN_EQ3_COUNT_2[[#This Row],[ID MATERIAL]]="","",B2096)</f>
        <v/>
      </c>
      <c r="C2097" s="21"/>
      <c r="D2097" s="21"/>
      <c r="E2097" s="7" t="str">
        <f>IF(Plantilla_SCAN_EQ3_COUNT_2[[#This Row],[ID MATERIAL]]="","",VLOOKUP(Plantilla_SCAN_EQ3_COUNT_2[[#This Row],[ID MATERIAL]],INVENTARIO!$A:$D,2,FALSE))</f>
        <v/>
      </c>
      <c r="F2097" s="7" t="str">
        <f>IF(Plantilla_SCAN_EQ3_COUNT_2[[#This Row],[ID MATERIAL]]="","",IF(Plantilla_SCAN_EQ3_COUNT_2[[#This Row],[No. Empaques]]="",1,Plantilla_SCAN_EQ3_COUNT_2[[#This Row],[No. Empaques]]*1))</f>
        <v/>
      </c>
      <c r="G2097" s="7" t="str">
        <f>IF(Plantilla_SCAN_EQ3_COUNT_2[[#This Row],[ID MATERIAL]]="","","PZ")</f>
        <v/>
      </c>
      <c r="H2097" s="7" t="str">
        <f>IF(Plantilla_SCAN_EQ3_COUNT_2[[#This Row],[ID MATERIAL]]="","",$B$13)</f>
        <v/>
      </c>
      <c r="I2097" s="7" t="str">
        <f>IF(Plantilla_SCAN_EQ3_COUNT_2[[#This Row],[ID MATERIAL]]="","","Segundo Conteo")</f>
        <v/>
      </c>
    </row>
    <row r="2098" spans="1:9" s="7" customFormat="1" ht="15" x14ac:dyDescent="0.2">
      <c r="A2098" s="7" t="str">
        <f>IF(Plantilla_SCAN_EQ3_COUNT_2[[#This Row],[ID MATERIAL]]="","",SIGN(Plantilla_SCAN_EQ3_COUNT_2[[#This Row],[Cantidad]])+A2097)</f>
        <v/>
      </c>
      <c r="B2098" s="21" t="str">
        <f>IF(Plantilla_SCAN_EQ3_COUNT_2[[#This Row],[ID MATERIAL]]="","",B2097)</f>
        <v/>
      </c>
      <c r="C2098" s="21"/>
      <c r="D2098" s="21"/>
      <c r="E2098" s="7" t="str">
        <f>IF(Plantilla_SCAN_EQ3_COUNT_2[[#This Row],[ID MATERIAL]]="","",VLOOKUP(Plantilla_SCAN_EQ3_COUNT_2[[#This Row],[ID MATERIAL]],INVENTARIO!$A:$D,2,FALSE))</f>
        <v/>
      </c>
      <c r="F2098" s="7" t="str">
        <f>IF(Plantilla_SCAN_EQ3_COUNT_2[[#This Row],[ID MATERIAL]]="","",IF(Plantilla_SCAN_EQ3_COUNT_2[[#This Row],[No. Empaques]]="",1,Plantilla_SCAN_EQ3_COUNT_2[[#This Row],[No. Empaques]]*1))</f>
        <v/>
      </c>
      <c r="G2098" s="7" t="str">
        <f>IF(Plantilla_SCAN_EQ3_COUNT_2[[#This Row],[ID MATERIAL]]="","","PZ")</f>
        <v/>
      </c>
      <c r="H2098" s="7" t="str">
        <f>IF(Plantilla_SCAN_EQ3_COUNT_2[[#This Row],[ID MATERIAL]]="","",$B$13)</f>
        <v/>
      </c>
      <c r="I2098" s="7" t="str">
        <f>IF(Plantilla_SCAN_EQ3_COUNT_2[[#This Row],[ID MATERIAL]]="","","Segundo Conteo")</f>
        <v/>
      </c>
    </row>
    <row r="2099" spans="1:9" s="7" customFormat="1" ht="15" x14ac:dyDescent="0.2">
      <c r="A2099" s="7" t="str">
        <f>IF(Plantilla_SCAN_EQ3_COUNT_2[[#This Row],[ID MATERIAL]]="","",SIGN(Plantilla_SCAN_EQ3_COUNT_2[[#This Row],[Cantidad]])+A2098)</f>
        <v/>
      </c>
      <c r="B2099" s="21" t="str">
        <f>IF(Plantilla_SCAN_EQ3_COUNT_2[[#This Row],[ID MATERIAL]]="","",B2098)</f>
        <v/>
      </c>
      <c r="C2099" s="21"/>
      <c r="D2099" s="21"/>
      <c r="E2099" s="7" t="str">
        <f>IF(Plantilla_SCAN_EQ3_COUNT_2[[#This Row],[ID MATERIAL]]="","",VLOOKUP(Plantilla_SCAN_EQ3_COUNT_2[[#This Row],[ID MATERIAL]],INVENTARIO!$A:$D,2,FALSE))</f>
        <v/>
      </c>
      <c r="F2099" s="7" t="str">
        <f>IF(Plantilla_SCAN_EQ3_COUNT_2[[#This Row],[ID MATERIAL]]="","",IF(Plantilla_SCAN_EQ3_COUNT_2[[#This Row],[No. Empaques]]="",1,Plantilla_SCAN_EQ3_COUNT_2[[#This Row],[No. Empaques]]*1))</f>
        <v/>
      </c>
      <c r="G2099" s="7" t="str">
        <f>IF(Plantilla_SCAN_EQ3_COUNT_2[[#This Row],[ID MATERIAL]]="","","PZ")</f>
        <v/>
      </c>
      <c r="H2099" s="7" t="str">
        <f>IF(Plantilla_SCAN_EQ3_COUNT_2[[#This Row],[ID MATERIAL]]="","",$B$13)</f>
        <v/>
      </c>
      <c r="I2099" s="7" t="str">
        <f>IF(Plantilla_SCAN_EQ3_COUNT_2[[#This Row],[ID MATERIAL]]="","","Segundo Conteo")</f>
        <v/>
      </c>
    </row>
    <row r="2100" spans="1:9" s="7" customFormat="1" ht="15" x14ac:dyDescent="0.2">
      <c r="A2100" s="7" t="str">
        <f>IF(Plantilla_SCAN_EQ3_COUNT_2[[#This Row],[ID MATERIAL]]="","",SIGN(Plantilla_SCAN_EQ3_COUNT_2[[#This Row],[Cantidad]])+A2099)</f>
        <v/>
      </c>
      <c r="B2100" s="21" t="str">
        <f>IF(Plantilla_SCAN_EQ3_COUNT_2[[#This Row],[ID MATERIAL]]="","",B2099)</f>
        <v/>
      </c>
      <c r="C2100" s="21"/>
      <c r="D2100" s="21"/>
      <c r="E2100" s="7" t="str">
        <f>IF(Plantilla_SCAN_EQ3_COUNT_2[[#This Row],[ID MATERIAL]]="","",VLOOKUP(Plantilla_SCAN_EQ3_COUNT_2[[#This Row],[ID MATERIAL]],INVENTARIO!$A:$D,2,FALSE))</f>
        <v/>
      </c>
      <c r="F2100" s="7" t="str">
        <f>IF(Plantilla_SCAN_EQ3_COUNT_2[[#This Row],[ID MATERIAL]]="","",IF(Plantilla_SCAN_EQ3_COUNT_2[[#This Row],[No. Empaques]]="",1,Plantilla_SCAN_EQ3_COUNT_2[[#This Row],[No. Empaques]]*1))</f>
        <v/>
      </c>
      <c r="G2100" s="7" t="str">
        <f>IF(Plantilla_SCAN_EQ3_COUNT_2[[#This Row],[ID MATERIAL]]="","","PZ")</f>
        <v/>
      </c>
      <c r="H2100" s="7" t="str">
        <f>IF(Plantilla_SCAN_EQ3_COUNT_2[[#This Row],[ID MATERIAL]]="","",$B$13)</f>
        <v/>
      </c>
      <c r="I2100" s="7" t="str">
        <f>IF(Plantilla_SCAN_EQ3_COUNT_2[[#This Row],[ID MATERIAL]]="","","Segundo Conteo")</f>
        <v/>
      </c>
    </row>
    <row r="2101" spans="1:9" s="7" customFormat="1" ht="15" x14ac:dyDescent="0.2">
      <c r="A2101" s="7" t="str">
        <f>IF(Plantilla_SCAN_EQ3_COUNT_2[[#This Row],[ID MATERIAL]]="","",SIGN(Plantilla_SCAN_EQ3_COUNT_2[[#This Row],[Cantidad]])+A2100)</f>
        <v/>
      </c>
      <c r="B2101" s="21" t="str">
        <f>IF(Plantilla_SCAN_EQ3_COUNT_2[[#This Row],[ID MATERIAL]]="","",B2100)</f>
        <v/>
      </c>
      <c r="C2101" s="21"/>
      <c r="D2101" s="21"/>
      <c r="E2101" s="7" t="str">
        <f>IF(Plantilla_SCAN_EQ3_COUNT_2[[#This Row],[ID MATERIAL]]="","",VLOOKUP(Plantilla_SCAN_EQ3_COUNT_2[[#This Row],[ID MATERIAL]],INVENTARIO!$A:$D,2,FALSE))</f>
        <v/>
      </c>
      <c r="F2101" s="7" t="str">
        <f>IF(Plantilla_SCAN_EQ3_COUNT_2[[#This Row],[ID MATERIAL]]="","",IF(Plantilla_SCAN_EQ3_COUNT_2[[#This Row],[No. Empaques]]="",1,Plantilla_SCAN_EQ3_COUNT_2[[#This Row],[No. Empaques]]*1))</f>
        <v/>
      </c>
      <c r="G2101" s="7" t="str">
        <f>IF(Plantilla_SCAN_EQ3_COUNT_2[[#This Row],[ID MATERIAL]]="","","PZ")</f>
        <v/>
      </c>
      <c r="H2101" s="7" t="str">
        <f>IF(Plantilla_SCAN_EQ3_COUNT_2[[#This Row],[ID MATERIAL]]="","",$B$13)</f>
        <v/>
      </c>
      <c r="I2101" s="7" t="str">
        <f>IF(Plantilla_SCAN_EQ3_COUNT_2[[#This Row],[ID MATERIAL]]="","","Segundo Conteo")</f>
        <v/>
      </c>
    </row>
    <row r="2102" spans="1:9" s="7" customFormat="1" ht="15" x14ac:dyDescent="0.2">
      <c r="A2102" s="7" t="str">
        <f>IF(Plantilla_SCAN_EQ3_COUNT_2[[#This Row],[ID MATERIAL]]="","",SIGN(Plantilla_SCAN_EQ3_COUNT_2[[#This Row],[Cantidad]])+A2101)</f>
        <v/>
      </c>
      <c r="B2102" s="21" t="str">
        <f>IF(Plantilla_SCAN_EQ3_COUNT_2[[#This Row],[ID MATERIAL]]="","",B2101)</f>
        <v/>
      </c>
      <c r="C2102" s="21"/>
      <c r="D2102" s="21"/>
      <c r="E2102" s="7" t="str">
        <f>IF(Plantilla_SCAN_EQ3_COUNT_2[[#This Row],[ID MATERIAL]]="","",VLOOKUP(Plantilla_SCAN_EQ3_COUNT_2[[#This Row],[ID MATERIAL]],INVENTARIO!$A:$D,2,FALSE))</f>
        <v/>
      </c>
      <c r="F2102" s="7" t="str">
        <f>IF(Plantilla_SCAN_EQ3_COUNT_2[[#This Row],[ID MATERIAL]]="","",IF(Plantilla_SCAN_EQ3_COUNT_2[[#This Row],[No. Empaques]]="",1,Plantilla_SCAN_EQ3_COUNT_2[[#This Row],[No. Empaques]]*1))</f>
        <v/>
      </c>
      <c r="G2102" s="7" t="str">
        <f>IF(Plantilla_SCAN_EQ3_COUNT_2[[#This Row],[ID MATERIAL]]="","","PZ")</f>
        <v/>
      </c>
      <c r="H2102" s="7" t="str">
        <f>IF(Plantilla_SCAN_EQ3_COUNT_2[[#This Row],[ID MATERIAL]]="","",$B$13)</f>
        <v/>
      </c>
      <c r="I2102" s="7" t="str">
        <f>IF(Plantilla_SCAN_EQ3_COUNT_2[[#This Row],[ID MATERIAL]]="","","Segundo Conteo")</f>
        <v/>
      </c>
    </row>
    <row r="2103" spans="1:9" s="7" customFormat="1" ht="15" x14ac:dyDescent="0.2">
      <c r="A2103" s="7" t="str">
        <f>IF(Plantilla_SCAN_EQ3_COUNT_2[[#This Row],[ID MATERIAL]]="","",SIGN(Plantilla_SCAN_EQ3_COUNT_2[[#This Row],[Cantidad]])+A2102)</f>
        <v/>
      </c>
      <c r="B2103" s="21" t="str">
        <f>IF(Plantilla_SCAN_EQ3_COUNT_2[[#This Row],[ID MATERIAL]]="","",B2102)</f>
        <v/>
      </c>
      <c r="C2103" s="21"/>
      <c r="D2103" s="21"/>
      <c r="E2103" s="7" t="str">
        <f>IF(Plantilla_SCAN_EQ3_COUNT_2[[#This Row],[ID MATERIAL]]="","",VLOOKUP(Plantilla_SCAN_EQ3_COUNT_2[[#This Row],[ID MATERIAL]],INVENTARIO!$A:$D,2,FALSE))</f>
        <v/>
      </c>
      <c r="F2103" s="7" t="str">
        <f>IF(Plantilla_SCAN_EQ3_COUNT_2[[#This Row],[ID MATERIAL]]="","",IF(Plantilla_SCAN_EQ3_COUNT_2[[#This Row],[No. Empaques]]="",1,Plantilla_SCAN_EQ3_COUNT_2[[#This Row],[No. Empaques]]*1))</f>
        <v/>
      </c>
      <c r="G2103" s="7" t="str">
        <f>IF(Plantilla_SCAN_EQ3_COUNT_2[[#This Row],[ID MATERIAL]]="","","PZ")</f>
        <v/>
      </c>
      <c r="H2103" s="7" t="str">
        <f>IF(Plantilla_SCAN_EQ3_COUNT_2[[#This Row],[ID MATERIAL]]="","",$B$13)</f>
        <v/>
      </c>
      <c r="I2103" s="7" t="str">
        <f>IF(Plantilla_SCAN_EQ3_COUNT_2[[#This Row],[ID MATERIAL]]="","","Segundo Conteo")</f>
        <v/>
      </c>
    </row>
    <row r="2104" spans="1:9" s="7" customFormat="1" ht="15" x14ac:dyDescent="0.2">
      <c r="A2104" s="7" t="str">
        <f>IF(Plantilla_SCAN_EQ3_COUNT_2[[#This Row],[ID MATERIAL]]="","",SIGN(Plantilla_SCAN_EQ3_COUNT_2[[#This Row],[Cantidad]])+A2103)</f>
        <v/>
      </c>
      <c r="B2104" s="21" t="str">
        <f>IF(Plantilla_SCAN_EQ3_COUNT_2[[#This Row],[ID MATERIAL]]="","",B2103)</f>
        <v/>
      </c>
      <c r="C2104" s="21"/>
      <c r="D2104" s="21"/>
      <c r="E2104" s="7" t="str">
        <f>IF(Plantilla_SCAN_EQ3_COUNT_2[[#This Row],[ID MATERIAL]]="","",VLOOKUP(Plantilla_SCAN_EQ3_COUNT_2[[#This Row],[ID MATERIAL]],INVENTARIO!$A:$D,2,FALSE))</f>
        <v/>
      </c>
      <c r="F2104" s="7" t="str">
        <f>IF(Plantilla_SCAN_EQ3_COUNT_2[[#This Row],[ID MATERIAL]]="","",IF(Plantilla_SCAN_EQ3_COUNT_2[[#This Row],[No. Empaques]]="",1,Plantilla_SCAN_EQ3_COUNT_2[[#This Row],[No. Empaques]]*1))</f>
        <v/>
      </c>
      <c r="G2104" s="7" t="str">
        <f>IF(Plantilla_SCAN_EQ3_COUNT_2[[#This Row],[ID MATERIAL]]="","","PZ")</f>
        <v/>
      </c>
      <c r="H2104" s="7" t="str">
        <f>IF(Plantilla_SCAN_EQ3_COUNT_2[[#This Row],[ID MATERIAL]]="","",$B$13)</f>
        <v/>
      </c>
      <c r="I2104" s="7" t="str">
        <f>IF(Plantilla_SCAN_EQ3_COUNT_2[[#This Row],[ID MATERIAL]]="","","Segundo Conteo")</f>
        <v/>
      </c>
    </row>
    <row r="2105" spans="1:9" s="7" customFormat="1" ht="15" x14ac:dyDescent="0.2">
      <c r="A2105" s="7" t="str">
        <f>IF(Plantilla_SCAN_EQ3_COUNT_2[[#This Row],[ID MATERIAL]]="","",SIGN(Plantilla_SCAN_EQ3_COUNT_2[[#This Row],[Cantidad]])+A2104)</f>
        <v/>
      </c>
      <c r="B2105" s="21" t="str">
        <f>IF(Plantilla_SCAN_EQ3_COUNT_2[[#This Row],[ID MATERIAL]]="","",B2104)</f>
        <v/>
      </c>
      <c r="C2105" s="21"/>
      <c r="D2105" s="21"/>
      <c r="E2105" s="7" t="str">
        <f>IF(Plantilla_SCAN_EQ3_COUNT_2[[#This Row],[ID MATERIAL]]="","",VLOOKUP(Plantilla_SCAN_EQ3_COUNT_2[[#This Row],[ID MATERIAL]],INVENTARIO!$A:$D,2,FALSE))</f>
        <v/>
      </c>
      <c r="F2105" s="7" t="str">
        <f>IF(Plantilla_SCAN_EQ3_COUNT_2[[#This Row],[ID MATERIAL]]="","",IF(Plantilla_SCAN_EQ3_COUNT_2[[#This Row],[No. Empaques]]="",1,Plantilla_SCAN_EQ3_COUNT_2[[#This Row],[No. Empaques]]*1))</f>
        <v/>
      </c>
      <c r="G2105" s="7" t="str">
        <f>IF(Plantilla_SCAN_EQ3_COUNT_2[[#This Row],[ID MATERIAL]]="","","PZ")</f>
        <v/>
      </c>
      <c r="H2105" s="7" t="str">
        <f>IF(Plantilla_SCAN_EQ3_COUNT_2[[#This Row],[ID MATERIAL]]="","",$B$13)</f>
        <v/>
      </c>
      <c r="I2105" s="7" t="str">
        <f>IF(Plantilla_SCAN_EQ3_COUNT_2[[#This Row],[ID MATERIAL]]="","","Segundo Conteo")</f>
        <v/>
      </c>
    </row>
    <row r="2106" spans="1:9" s="7" customFormat="1" ht="15" x14ac:dyDescent="0.2">
      <c r="A2106" s="7" t="str">
        <f>IF(Plantilla_SCAN_EQ3_COUNT_2[[#This Row],[ID MATERIAL]]="","",SIGN(Plantilla_SCAN_EQ3_COUNT_2[[#This Row],[Cantidad]])+A2105)</f>
        <v/>
      </c>
      <c r="B2106" s="21" t="str">
        <f>IF(Plantilla_SCAN_EQ3_COUNT_2[[#This Row],[ID MATERIAL]]="","",B2105)</f>
        <v/>
      </c>
      <c r="C2106" s="21"/>
      <c r="D2106" s="21"/>
      <c r="E2106" s="7" t="str">
        <f>IF(Plantilla_SCAN_EQ3_COUNT_2[[#This Row],[ID MATERIAL]]="","",VLOOKUP(Plantilla_SCAN_EQ3_COUNT_2[[#This Row],[ID MATERIAL]],INVENTARIO!$A:$D,2,FALSE))</f>
        <v/>
      </c>
      <c r="F2106" s="7" t="str">
        <f>IF(Plantilla_SCAN_EQ3_COUNT_2[[#This Row],[ID MATERIAL]]="","",IF(Plantilla_SCAN_EQ3_COUNT_2[[#This Row],[No. Empaques]]="",1,Plantilla_SCAN_EQ3_COUNT_2[[#This Row],[No. Empaques]]*1))</f>
        <v/>
      </c>
      <c r="G2106" s="7" t="str">
        <f>IF(Plantilla_SCAN_EQ3_COUNT_2[[#This Row],[ID MATERIAL]]="","","PZ")</f>
        <v/>
      </c>
      <c r="H2106" s="7" t="str">
        <f>IF(Plantilla_SCAN_EQ3_COUNT_2[[#This Row],[ID MATERIAL]]="","",$B$13)</f>
        <v/>
      </c>
      <c r="I2106" s="7" t="str">
        <f>IF(Plantilla_SCAN_EQ3_COUNT_2[[#This Row],[ID MATERIAL]]="","","Segundo Conteo")</f>
        <v/>
      </c>
    </row>
    <row r="2107" spans="1:9" s="7" customFormat="1" ht="15" x14ac:dyDescent="0.2">
      <c r="A2107" s="7" t="str">
        <f>IF(Plantilla_SCAN_EQ3_COUNT_2[[#This Row],[ID MATERIAL]]="","",SIGN(Plantilla_SCAN_EQ3_COUNT_2[[#This Row],[Cantidad]])+A2106)</f>
        <v/>
      </c>
      <c r="B2107" s="21" t="str">
        <f>IF(Plantilla_SCAN_EQ3_COUNT_2[[#This Row],[ID MATERIAL]]="","",B2106)</f>
        <v/>
      </c>
      <c r="C2107" s="21"/>
      <c r="D2107" s="21"/>
      <c r="E2107" s="7" t="str">
        <f>IF(Plantilla_SCAN_EQ3_COUNT_2[[#This Row],[ID MATERIAL]]="","",VLOOKUP(Plantilla_SCAN_EQ3_COUNT_2[[#This Row],[ID MATERIAL]],INVENTARIO!$A:$D,2,FALSE))</f>
        <v/>
      </c>
      <c r="F2107" s="7" t="str">
        <f>IF(Plantilla_SCAN_EQ3_COUNT_2[[#This Row],[ID MATERIAL]]="","",IF(Plantilla_SCAN_EQ3_COUNT_2[[#This Row],[No. Empaques]]="",1,Plantilla_SCAN_EQ3_COUNT_2[[#This Row],[No. Empaques]]*1))</f>
        <v/>
      </c>
      <c r="G2107" s="7" t="str">
        <f>IF(Plantilla_SCAN_EQ3_COUNT_2[[#This Row],[ID MATERIAL]]="","","PZ")</f>
        <v/>
      </c>
      <c r="H2107" s="7" t="str">
        <f>IF(Plantilla_SCAN_EQ3_COUNT_2[[#This Row],[ID MATERIAL]]="","",$B$13)</f>
        <v/>
      </c>
      <c r="I2107" s="7" t="str">
        <f>IF(Plantilla_SCAN_EQ3_COUNT_2[[#This Row],[ID MATERIAL]]="","","Segundo Conteo")</f>
        <v/>
      </c>
    </row>
    <row r="2108" spans="1:9" s="7" customFormat="1" ht="15" x14ac:dyDescent="0.2">
      <c r="A2108" s="7" t="str">
        <f>IF(Plantilla_SCAN_EQ3_COUNT_2[[#This Row],[ID MATERIAL]]="","",SIGN(Plantilla_SCAN_EQ3_COUNT_2[[#This Row],[Cantidad]])+A2107)</f>
        <v/>
      </c>
      <c r="B2108" s="21" t="str">
        <f>IF(Plantilla_SCAN_EQ3_COUNT_2[[#This Row],[ID MATERIAL]]="","",B2107)</f>
        <v/>
      </c>
      <c r="C2108" s="21"/>
      <c r="D2108" s="21"/>
      <c r="E2108" s="7" t="str">
        <f>IF(Plantilla_SCAN_EQ3_COUNT_2[[#This Row],[ID MATERIAL]]="","",VLOOKUP(Plantilla_SCAN_EQ3_COUNT_2[[#This Row],[ID MATERIAL]],INVENTARIO!$A:$D,2,FALSE))</f>
        <v/>
      </c>
      <c r="F2108" s="7" t="str">
        <f>IF(Plantilla_SCAN_EQ3_COUNT_2[[#This Row],[ID MATERIAL]]="","",IF(Plantilla_SCAN_EQ3_COUNT_2[[#This Row],[No. Empaques]]="",1,Plantilla_SCAN_EQ3_COUNT_2[[#This Row],[No. Empaques]]*1))</f>
        <v/>
      </c>
      <c r="G2108" s="7" t="str">
        <f>IF(Plantilla_SCAN_EQ3_COUNT_2[[#This Row],[ID MATERIAL]]="","","PZ")</f>
        <v/>
      </c>
      <c r="H2108" s="7" t="str">
        <f>IF(Plantilla_SCAN_EQ3_COUNT_2[[#This Row],[ID MATERIAL]]="","",$B$13)</f>
        <v/>
      </c>
      <c r="I2108" s="7" t="str">
        <f>IF(Plantilla_SCAN_EQ3_COUNT_2[[#This Row],[ID MATERIAL]]="","","Segundo Conteo")</f>
        <v/>
      </c>
    </row>
    <row r="2109" spans="1:9" s="7" customFormat="1" ht="15" x14ac:dyDescent="0.2">
      <c r="A2109" s="7" t="str">
        <f>IF(Plantilla_SCAN_EQ3_COUNT_2[[#This Row],[ID MATERIAL]]="","",SIGN(Plantilla_SCAN_EQ3_COUNT_2[[#This Row],[Cantidad]])+A2108)</f>
        <v/>
      </c>
      <c r="B2109" s="21" t="str">
        <f>IF(Plantilla_SCAN_EQ3_COUNT_2[[#This Row],[ID MATERIAL]]="","",B2108)</f>
        <v/>
      </c>
      <c r="C2109" s="21"/>
      <c r="D2109" s="21"/>
      <c r="E2109" s="7" t="str">
        <f>IF(Plantilla_SCAN_EQ3_COUNT_2[[#This Row],[ID MATERIAL]]="","",VLOOKUP(Plantilla_SCAN_EQ3_COUNT_2[[#This Row],[ID MATERIAL]],INVENTARIO!$A:$D,2,FALSE))</f>
        <v/>
      </c>
      <c r="F2109" s="7" t="str">
        <f>IF(Plantilla_SCAN_EQ3_COUNT_2[[#This Row],[ID MATERIAL]]="","",IF(Plantilla_SCAN_EQ3_COUNT_2[[#This Row],[No. Empaques]]="",1,Plantilla_SCAN_EQ3_COUNT_2[[#This Row],[No. Empaques]]*1))</f>
        <v/>
      </c>
      <c r="G2109" s="7" t="str">
        <f>IF(Plantilla_SCAN_EQ3_COUNT_2[[#This Row],[ID MATERIAL]]="","","PZ")</f>
        <v/>
      </c>
      <c r="H2109" s="7" t="str">
        <f>IF(Plantilla_SCAN_EQ3_COUNT_2[[#This Row],[ID MATERIAL]]="","",$B$13)</f>
        <v/>
      </c>
      <c r="I2109" s="7" t="str">
        <f>IF(Plantilla_SCAN_EQ3_COUNT_2[[#This Row],[ID MATERIAL]]="","","Segundo Conteo")</f>
        <v/>
      </c>
    </row>
    <row r="2110" spans="1:9" s="7" customFormat="1" ht="15" x14ac:dyDescent="0.2">
      <c r="A2110" s="7" t="str">
        <f>IF(Plantilla_SCAN_EQ3_COUNT_2[[#This Row],[ID MATERIAL]]="","",SIGN(Plantilla_SCAN_EQ3_COUNT_2[[#This Row],[Cantidad]])+A2109)</f>
        <v/>
      </c>
      <c r="B2110" s="21" t="str">
        <f>IF(Plantilla_SCAN_EQ3_COUNT_2[[#This Row],[ID MATERIAL]]="","",B2109)</f>
        <v/>
      </c>
      <c r="C2110" s="21"/>
      <c r="D2110" s="21"/>
      <c r="E2110" s="7" t="str">
        <f>IF(Plantilla_SCAN_EQ3_COUNT_2[[#This Row],[ID MATERIAL]]="","",VLOOKUP(Plantilla_SCAN_EQ3_COUNT_2[[#This Row],[ID MATERIAL]],INVENTARIO!$A:$D,2,FALSE))</f>
        <v/>
      </c>
      <c r="F2110" s="7" t="str">
        <f>IF(Plantilla_SCAN_EQ3_COUNT_2[[#This Row],[ID MATERIAL]]="","",IF(Plantilla_SCAN_EQ3_COUNT_2[[#This Row],[No. Empaques]]="",1,Plantilla_SCAN_EQ3_COUNT_2[[#This Row],[No. Empaques]]*1))</f>
        <v/>
      </c>
      <c r="G2110" s="7" t="str">
        <f>IF(Plantilla_SCAN_EQ3_COUNT_2[[#This Row],[ID MATERIAL]]="","","PZ")</f>
        <v/>
      </c>
      <c r="H2110" s="7" t="str">
        <f>IF(Plantilla_SCAN_EQ3_COUNT_2[[#This Row],[ID MATERIAL]]="","",$B$13)</f>
        <v/>
      </c>
      <c r="I2110" s="7" t="str">
        <f>IF(Plantilla_SCAN_EQ3_COUNT_2[[#This Row],[ID MATERIAL]]="","","Segundo Conteo")</f>
        <v/>
      </c>
    </row>
    <row r="2111" spans="1:9" s="7" customFormat="1" ht="15" x14ac:dyDescent="0.2">
      <c r="A2111" s="7" t="str">
        <f>IF(Plantilla_SCAN_EQ3_COUNT_2[[#This Row],[ID MATERIAL]]="","",SIGN(Plantilla_SCAN_EQ3_COUNT_2[[#This Row],[Cantidad]])+A2110)</f>
        <v/>
      </c>
      <c r="B2111" s="21" t="str">
        <f>IF(Plantilla_SCAN_EQ3_COUNT_2[[#This Row],[ID MATERIAL]]="","",B2110)</f>
        <v/>
      </c>
      <c r="C2111" s="21"/>
      <c r="D2111" s="21"/>
      <c r="E2111" s="7" t="str">
        <f>IF(Plantilla_SCAN_EQ3_COUNT_2[[#This Row],[ID MATERIAL]]="","",VLOOKUP(Plantilla_SCAN_EQ3_COUNT_2[[#This Row],[ID MATERIAL]],INVENTARIO!$A:$D,2,FALSE))</f>
        <v/>
      </c>
      <c r="F2111" s="7" t="str">
        <f>IF(Plantilla_SCAN_EQ3_COUNT_2[[#This Row],[ID MATERIAL]]="","",IF(Plantilla_SCAN_EQ3_COUNT_2[[#This Row],[No. Empaques]]="",1,Plantilla_SCAN_EQ3_COUNT_2[[#This Row],[No. Empaques]]*1))</f>
        <v/>
      </c>
      <c r="G2111" s="7" t="str">
        <f>IF(Plantilla_SCAN_EQ3_COUNT_2[[#This Row],[ID MATERIAL]]="","","PZ")</f>
        <v/>
      </c>
      <c r="H2111" s="7" t="str">
        <f>IF(Plantilla_SCAN_EQ3_COUNT_2[[#This Row],[ID MATERIAL]]="","",$B$13)</f>
        <v/>
      </c>
      <c r="I2111" s="7" t="str">
        <f>IF(Plantilla_SCAN_EQ3_COUNT_2[[#This Row],[ID MATERIAL]]="","","Segundo Conteo")</f>
        <v/>
      </c>
    </row>
    <row r="2112" spans="1:9" s="7" customFormat="1" ht="15" x14ac:dyDescent="0.2">
      <c r="A2112" s="7" t="str">
        <f>IF(Plantilla_SCAN_EQ3_COUNT_2[[#This Row],[ID MATERIAL]]="","",SIGN(Plantilla_SCAN_EQ3_COUNT_2[[#This Row],[Cantidad]])+A2111)</f>
        <v/>
      </c>
      <c r="B2112" s="21" t="str">
        <f>IF(Plantilla_SCAN_EQ3_COUNT_2[[#This Row],[ID MATERIAL]]="","",B2111)</f>
        <v/>
      </c>
      <c r="C2112" s="21"/>
      <c r="D2112" s="21"/>
      <c r="E2112" s="7" t="str">
        <f>IF(Plantilla_SCAN_EQ3_COUNT_2[[#This Row],[ID MATERIAL]]="","",VLOOKUP(Plantilla_SCAN_EQ3_COUNT_2[[#This Row],[ID MATERIAL]],INVENTARIO!$A:$D,2,FALSE))</f>
        <v/>
      </c>
      <c r="F2112" s="7" t="str">
        <f>IF(Plantilla_SCAN_EQ3_COUNT_2[[#This Row],[ID MATERIAL]]="","",IF(Plantilla_SCAN_EQ3_COUNT_2[[#This Row],[No. Empaques]]="",1,Plantilla_SCAN_EQ3_COUNT_2[[#This Row],[No. Empaques]]*1))</f>
        <v/>
      </c>
      <c r="G2112" s="7" t="str">
        <f>IF(Plantilla_SCAN_EQ3_COUNT_2[[#This Row],[ID MATERIAL]]="","","PZ")</f>
        <v/>
      </c>
      <c r="H2112" s="7" t="str">
        <f>IF(Plantilla_SCAN_EQ3_COUNT_2[[#This Row],[ID MATERIAL]]="","",$B$13)</f>
        <v/>
      </c>
      <c r="I2112" s="7" t="str">
        <f>IF(Plantilla_SCAN_EQ3_COUNT_2[[#This Row],[ID MATERIAL]]="","","Segundo Conteo")</f>
        <v/>
      </c>
    </row>
    <row r="2113" spans="1:9" s="7" customFormat="1" ht="15" x14ac:dyDescent="0.2">
      <c r="A2113" s="7" t="str">
        <f>IF(Plantilla_SCAN_EQ3_COUNT_2[[#This Row],[ID MATERIAL]]="","",SIGN(Plantilla_SCAN_EQ3_COUNT_2[[#This Row],[Cantidad]])+A2112)</f>
        <v/>
      </c>
      <c r="B2113" s="21" t="str">
        <f>IF(Plantilla_SCAN_EQ3_COUNT_2[[#This Row],[ID MATERIAL]]="","",B2112)</f>
        <v/>
      </c>
      <c r="C2113" s="21"/>
      <c r="D2113" s="21"/>
      <c r="E2113" s="7" t="str">
        <f>IF(Plantilla_SCAN_EQ3_COUNT_2[[#This Row],[ID MATERIAL]]="","",VLOOKUP(Plantilla_SCAN_EQ3_COUNT_2[[#This Row],[ID MATERIAL]],INVENTARIO!$A:$D,2,FALSE))</f>
        <v/>
      </c>
      <c r="F2113" s="7" t="str">
        <f>IF(Plantilla_SCAN_EQ3_COUNT_2[[#This Row],[ID MATERIAL]]="","",IF(Plantilla_SCAN_EQ3_COUNT_2[[#This Row],[No. Empaques]]="",1,Plantilla_SCAN_EQ3_COUNT_2[[#This Row],[No. Empaques]]*1))</f>
        <v/>
      </c>
      <c r="G2113" s="7" t="str">
        <f>IF(Plantilla_SCAN_EQ3_COUNT_2[[#This Row],[ID MATERIAL]]="","","PZ")</f>
        <v/>
      </c>
      <c r="H2113" s="7" t="str">
        <f>IF(Plantilla_SCAN_EQ3_COUNT_2[[#This Row],[ID MATERIAL]]="","",$B$13)</f>
        <v/>
      </c>
      <c r="I2113" s="7" t="str">
        <f>IF(Plantilla_SCAN_EQ3_COUNT_2[[#This Row],[ID MATERIAL]]="","","Segundo Conteo")</f>
        <v/>
      </c>
    </row>
    <row r="2114" spans="1:9" s="7" customFormat="1" ht="15" x14ac:dyDescent="0.2">
      <c r="A2114" s="7" t="str">
        <f>IF(Plantilla_SCAN_EQ3_COUNT_2[[#This Row],[ID MATERIAL]]="","",SIGN(Plantilla_SCAN_EQ3_COUNT_2[[#This Row],[Cantidad]])+A2113)</f>
        <v/>
      </c>
      <c r="B2114" s="21" t="str">
        <f>IF(Plantilla_SCAN_EQ3_COUNT_2[[#This Row],[ID MATERIAL]]="","",B2113)</f>
        <v/>
      </c>
      <c r="C2114" s="21"/>
      <c r="D2114" s="21"/>
      <c r="E2114" s="7" t="str">
        <f>IF(Plantilla_SCAN_EQ3_COUNT_2[[#This Row],[ID MATERIAL]]="","",VLOOKUP(Plantilla_SCAN_EQ3_COUNT_2[[#This Row],[ID MATERIAL]],INVENTARIO!$A:$D,2,FALSE))</f>
        <v/>
      </c>
      <c r="F2114" s="7" t="str">
        <f>IF(Plantilla_SCAN_EQ3_COUNT_2[[#This Row],[ID MATERIAL]]="","",IF(Plantilla_SCAN_EQ3_COUNT_2[[#This Row],[No. Empaques]]="",1,Plantilla_SCAN_EQ3_COUNT_2[[#This Row],[No. Empaques]]*1))</f>
        <v/>
      </c>
      <c r="G2114" s="7" t="str">
        <f>IF(Plantilla_SCAN_EQ3_COUNT_2[[#This Row],[ID MATERIAL]]="","","PZ")</f>
        <v/>
      </c>
      <c r="H2114" s="7" t="str">
        <f>IF(Plantilla_SCAN_EQ3_COUNT_2[[#This Row],[ID MATERIAL]]="","",$B$13)</f>
        <v/>
      </c>
      <c r="I2114" s="7" t="str">
        <f>IF(Plantilla_SCAN_EQ3_COUNT_2[[#This Row],[ID MATERIAL]]="","","Segundo Conteo")</f>
        <v/>
      </c>
    </row>
    <row r="2115" spans="1:9" s="7" customFormat="1" ht="15" x14ac:dyDescent="0.2">
      <c r="A2115" s="7" t="str">
        <f>IF(Plantilla_SCAN_EQ3_COUNT_2[[#This Row],[ID MATERIAL]]="","",SIGN(Plantilla_SCAN_EQ3_COUNT_2[[#This Row],[Cantidad]])+A2114)</f>
        <v/>
      </c>
      <c r="B2115" s="21" t="str">
        <f>IF(Plantilla_SCAN_EQ3_COUNT_2[[#This Row],[ID MATERIAL]]="","",B2114)</f>
        <v/>
      </c>
      <c r="C2115" s="21"/>
      <c r="D2115" s="21"/>
      <c r="E2115" s="7" t="str">
        <f>IF(Plantilla_SCAN_EQ3_COUNT_2[[#This Row],[ID MATERIAL]]="","",VLOOKUP(Plantilla_SCAN_EQ3_COUNT_2[[#This Row],[ID MATERIAL]],INVENTARIO!$A:$D,2,FALSE))</f>
        <v/>
      </c>
      <c r="F2115" s="7" t="str">
        <f>IF(Plantilla_SCAN_EQ3_COUNT_2[[#This Row],[ID MATERIAL]]="","",IF(Plantilla_SCAN_EQ3_COUNT_2[[#This Row],[No. Empaques]]="",1,Plantilla_SCAN_EQ3_COUNT_2[[#This Row],[No. Empaques]]*1))</f>
        <v/>
      </c>
      <c r="G2115" s="7" t="str">
        <f>IF(Plantilla_SCAN_EQ3_COUNT_2[[#This Row],[ID MATERIAL]]="","","PZ")</f>
        <v/>
      </c>
      <c r="H2115" s="7" t="str">
        <f>IF(Plantilla_SCAN_EQ3_COUNT_2[[#This Row],[ID MATERIAL]]="","",$B$13)</f>
        <v/>
      </c>
      <c r="I2115" s="7" t="str">
        <f>IF(Plantilla_SCAN_EQ3_COUNT_2[[#This Row],[ID MATERIAL]]="","","Segundo Conteo")</f>
        <v/>
      </c>
    </row>
    <row r="2116" spans="1:9" s="7" customFormat="1" ht="15" x14ac:dyDescent="0.2">
      <c r="A2116" s="7" t="str">
        <f>IF(Plantilla_SCAN_EQ3_COUNT_2[[#This Row],[ID MATERIAL]]="","",SIGN(Plantilla_SCAN_EQ3_COUNT_2[[#This Row],[Cantidad]])+A2115)</f>
        <v/>
      </c>
      <c r="B2116" s="21" t="str">
        <f>IF(Plantilla_SCAN_EQ3_COUNT_2[[#This Row],[ID MATERIAL]]="","",B2115)</f>
        <v/>
      </c>
      <c r="C2116" s="21"/>
      <c r="D2116" s="21"/>
      <c r="E2116" s="7" t="str">
        <f>IF(Plantilla_SCAN_EQ3_COUNT_2[[#This Row],[ID MATERIAL]]="","",VLOOKUP(Plantilla_SCAN_EQ3_COUNT_2[[#This Row],[ID MATERIAL]],INVENTARIO!$A:$D,2,FALSE))</f>
        <v/>
      </c>
      <c r="F2116" s="7" t="str">
        <f>IF(Plantilla_SCAN_EQ3_COUNT_2[[#This Row],[ID MATERIAL]]="","",IF(Plantilla_SCAN_EQ3_COUNT_2[[#This Row],[No. Empaques]]="",1,Plantilla_SCAN_EQ3_COUNT_2[[#This Row],[No. Empaques]]*1))</f>
        <v/>
      </c>
      <c r="G2116" s="7" t="str">
        <f>IF(Plantilla_SCAN_EQ3_COUNT_2[[#This Row],[ID MATERIAL]]="","","PZ")</f>
        <v/>
      </c>
      <c r="H2116" s="7" t="str">
        <f>IF(Plantilla_SCAN_EQ3_COUNT_2[[#This Row],[ID MATERIAL]]="","",$B$13)</f>
        <v/>
      </c>
      <c r="I2116" s="7" t="str">
        <f>IF(Plantilla_SCAN_EQ3_COUNT_2[[#This Row],[ID MATERIAL]]="","","Segundo Conteo")</f>
        <v/>
      </c>
    </row>
    <row r="2117" spans="1:9" s="7" customFormat="1" ht="15" x14ac:dyDescent="0.2">
      <c r="A2117" s="7" t="str">
        <f>IF(Plantilla_SCAN_EQ3_COUNT_2[[#This Row],[ID MATERIAL]]="","",SIGN(Plantilla_SCAN_EQ3_COUNT_2[[#This Row],[Cantidad]])+A2116)</f>
        <v/>
      </c>
      <c r="B2117" s="21" t="str">
        <f>IF(Plantilla_SCAN_EQ3_COUNT_2[[#This Row],[ID MATERIAL]]="","",B2116)</f>
        <v/>
      </c>
      <c r="C2117" s="21"/>
      <c r="D2117" s="21"/>
      <c r="E2117" s="7" t="str">
        <f>IF(Plantilla_SCAN_EQ3_COUNT_2[[#This Row],[ID MATERIAL]]="","",VLOOKUP(Plantilla_SCAN_EQ3_COUNT_2[[#This Row],[ID MATERIAL]],INVENTARIO!$A:$D,2,FALSE))</f>
        <v/>
      </c>
      <c r="F2117" s="7" t="str">
        <f>IF(Plantilla_SCAN_EQ3_COUNT_2[[#This Row],[ID MATERIAL]]="","",IF(Plantilla_SCAN_EQ3_COUNT_2[[#This Row],[No. Empaques]]="",1,Plantilla_SCAN_EQ3_COUNT_2[[#This Row],[No. Empaques]]*1))</f>
        <v/>
      </c>
      <c r="G2117" s="7" t="str">
        <f>IF(Plantilla_SCAN_EQ3_COUNT_2[[#This Row],[ID MATERIAL]]="","","PZ")</f>
        <v/>
      </c>
      <c r="H2117" s="7" t="str">
        <f>IF(Plantilla_SCAN_EQ3_COUNT_2[[#This Row],[ID MATERIAL]]="","",$B$13)</f>
        <v/>
      </c>
      <c r="I2117" s="7" t="str">
        <f>IF(Plantilla_SCAN_EQ3_COUNT_2[[#This Row],[ID MATERIAL]]="","","Segundo Conteo")</f>
        <v/>
      </c>
    </row>
    <row r="2118" spans="1:9" s="7" customFormat="1" ht="15" x14ac:dyDescent="0.2">
      <c r="A2118" s="7" t="str">
        <f>IF(Plantilla_SCAN_EQ3_COUNT_2[[#This Row],[ID MATERIAL]]="","",SIGN(Plantilla_SCAN_EQ3_COUNT_2[[#This Row],[Cantidad]])+A2117)</f>
        <v/>
      </c>
      <c r="B2118" s="21" t="str">
        <f>IF(Plantilla_SCAN_EQ3_COUNT_2[[#This Row],[ID MATERIAL]]="","",B2117)</f>
        <v/>
      </c>
      <c r="C2118" s="21"/>
      <c r="D2118" s="21"/>
      <c r="E2118" s="7" t="str">
        <f>IF(Plantilla_SCAN_EQ3_COUNT_2[[#This Row],[ID MATERIAL]]="","",VLOOKUP(Plantilla_SCAN_EQ3_COUNT_2[[#This Row],[ID MATERIAL]],INVENTARIO!$A:$D,2,FALSE))</f>
        <v/>
      </c>
      <c r="F2118" s="7" t="str">
        <f>IF(Plantilla_SCAN_EQ3_COUNT_2[[#This Row],[ID MATERIAL]]="","",IF(Plantilla_SCAN_EQ3_COUNT_2[[#This Row],[No. Empaques]]="",1,Plantilla_SCAN_EQ3_COUNT_2[[#This Row],[No. Empaques]]*1))</f>
        <v/>
      </c>
      <c r="G2118" s="7" t="str">
        <f>IF(Plantilla_SCAN_EQ3_COUNT_2[[#This Row],[ID MATERIAL]]="","","PZ")</f>
        <v/>
      </c>
      <c r="H2118" s="7" t="str">
        <f>IF(Plantilla_SCAN_EQ3_COUNT_2[[#This Row],[ID MATERIAL]]="","",$B$13)</f>
        <v/>
      </c>
      <c r="I2118" s="7" t="str">
        <f>IF(Plantilla_SCAN_EQ3_COUNT_2[[#This Row],[ID MATERIAL]]="","","Segundo Conteo")</f>
        <v/>
      </c>
    </row>
    <row r="2119" spans="1:9" s="7" customFormat="1" ht="15" x14ac:dyDescent="0.2">
      <c r="A2119" s="7" t="str">
        <f>IF(Plantilla_SCAN_EQ3_COUNT_2[[#This Row],[ID MATERIAL]]="","",SIGN(Plantilla_SCAN_EQ3_COUNT_2[[#This Row],[Cantidad]])+A2118)</f>
        <v/>
      </c>
      <c r="B2119" s="21" t="str">
        <f>IF(Plantilla_SCAN_EQ3_COUNT_2[[#This Row],[ID MATERIAL]]="","",B2118)</f>
        <v/>
      </c>
      <c r="C2119" s="21"/>
      <c r="D2119" s="21"/>
      <c r="E2119" s="7" t="str">
        <f>IF(Plantilla_SCAN_EQ3_COUNT_2[[#This Row],[ID MATERIAL]]="","",VLOOKUP(Plantilla_SCAN_EQ3_COUNT_2[[#This Row],[ID MATERIAL]],INVENTARIO!$A:$D,2,FALSE))</f>
        <v/>
      </c>
      <c r="F2119" s="7" t="str">
        <f>IF(Plantilla_SCAN_EQ3_COUNT_2[[#This Row],[ID MATERIAL]]="","",IF(Plantilla_SCAN_EQ3_COUNT_2[[#This Row],[No. Empaques]]="",1,Plantilla_SCAN_EQ3_COUNT_2[[#This Row],[No. Empaques]]*1))</f>
        <v/>
      </c>
      <c r="G2119" s="7" t="str">
        <f>IF(Plantilla_SCAN_EQ3_COUNT_2[[#This Row],[ID MATERIAL]]="","","PZ")</f>
        <v/>
      </c>
      <c r="H2119" s="7" t="str">
        <f>IF(Plantilla_SCAN_EQ3_COUNT_2[[#This Row],[ID MATERIAL]]="","",$B$13)</f>
        <v/>
      </c>
      <c r="I2119" s="7" t="str">
        <f>IF(Plantilla_SCAN_EQ3_COUNT_2[[#This Row],[ID MATERIAL]]="","","Segundo Conteo")</f>
        <v/>
      </c>
    </row>
    <row r="2120" spans="1:9" s="7" customFormat="1" ht="15" x14ac:dyDescent="0.2">
      <c r="A2120" s="7" t="str">
        <f>IF(Plantilla_SCAN_EQ3_COUNT_2[[#This Row],[ID MATERIAL]]="","",SIGN(Plantilla_SCAN_EQ3_COUNT_2[[#This Row],[Cantidad]])+A2119)</f>
        <v/>
      </c>
      <c r="B2120" s="21" t="str">
        <f>IF(Plantilla_SCAN_EQ3_COUNT_2[[#This Row],[ID MATERIAL]]="","",B2119)</f>
        <v/>
      </c>
      <c r="C2120" s="21"/>
      <c r="D2120" s="21"/>
      <c r="E2120" s="7" t="str">
        <f>IF(Plantilla_SCAN_EQ3_COUNT_2[[#This Row],[ID MATERIAL]]="","",VLOOKUP(Plantilla_SCAN_EQ3_COUNT_2[[#This Row],[ID MATERIAL]],INVENTARIO!$A:$D,2,FALSE))</f>
        <v/>
      </c>
      <c r="F2120" s="7" t="str">
        <f>IF(Plantilla_SCAN_EQ3_COUNT_2[[#This Row],[ID MATERIAL]]="","",IF(Plantilla_SCAN_EQ3_COUNT_2[[#This Row],[No. Empaques]]="",1,Plantilla_SCAN_EQ3_COUNT_2[[#This Row],[No. Empaques]]*1))</f>
        <v/>
      </c>
      <c r="G2120" s="7" t="str">
        <f>IF(Plantilla_SCAN_EQ3_COUNT_2[[#This Row],[ID MATERIAL]]="","","PZ")</f>
        <v/>
      </c>
      <c r="H2120" s="7" t="str">
        <f>IF(Plantilla_SCAN_EQ3_COUNT_2[[#This Row],[ID MATERIAL]]="","",$B$13)</f>
        <v/>
      </c>
      <c r="I2120" s="7" t="str">
        <f>IF(Plantilla_SCAN_EQ3_COUNT_2[[#This Row],[ID MATERIAL]]="","","Segundo Conteo")</f>
        <v/>
      </c>
    </row>
    <row r="2121" spans="1:9" s="7" customFormat="1" ht="15" x14ac:dyDescent="0.2">
      <c r="A2121" s="7" t="str">
        <f>IF(Plantilla_SCAN_EQ3_COUNT_2[[#This Row],[ID MATERIAL]]="","",SIGN(Plantilla_SCAN_EQ3_COUNT_2[[#This Row],[Cantidad]])+A2120)</f>
        <v/>
      </c>
      <c r="B2121" s="21" t="str">
        <f>IF(Plantilla_SCAN_EQ3_COUNT_2[[#This Row],[ID MATERIAL]]="","",B2120)</f>
        <v/>
      </c>
      <c r="C2121" s="21"/>
      <c r="D2121" s="21"/>
      <c r="E2121" s="7" t="str">
        <f>IF(Plantilla_SCAN_EQ3_COUNT_2[[#This Row],[ID MATERIAL]]="","",VLOOKUP(Plantilla_SCAN_EQ3_COUNT_2[[#This Row],[ID MATERIAL]],INVENTARIO!$A:$D,2,FALSE))</f>
        <v/>
      </c>
      <c r="F2121" s="7" t="str">
        <f>IF(Plantilla_SCAN_EQ3_COUNT_2[[#This Row],[ID MATERIAL]]="","",IF(Plantilla_SCAN_EQ3_COUNT_2[[#This Row],[No. Empaques]]="",1,Plantilla_SCAN_EQ3_COUNT_2[[#This Row],[No. Empaques]]*1))</f>
        <v/>
      </c>
      <c r="G2121" s="7" t="str">
        <f>IF(Plantilla_SCAN_EQ3_COUNT_2[[#This Row],[ID MATERIAL]]="","","PZ")</f>
        <v/>
      </c>
      <c r="H2121" s="7" t="str">
        <f>IF(Plantilla_SCAN_EQ3_COUNT_2[[#This Row],[ID MATERIAL]]="","",$B$13)</f>
        <v/>
      </c>
      <c r="I2121" s="7" t="str">
        <f>IF(Plantilla_SCAN_EQ3_COUNT_2[[#This Row],[ID MATERIAL]]="","","Segundo Conteo")</f>
        <v/>
      </c>
    </row>
    <row r="2122" spans="1:9" s="7" customFormat="1" ht="15" x14ac:dyDescent="0.2">
      <c r="A2122" s="7" t="str">
        <f>IF(Plantilla_SCAN_EQ3_COUNT_2[[#This Row],[ID MATERIAL]]="","",SIGN(Plantilla_SCAN_EQ3_COUNT_2[[#This Row],[Cantidad]])+A2121)</f>
        <v/>
      </c>
      <c r="B2122" s="21" t="str">
        <f>IF(Plantilla_SCAN_EQ3_COUNT_2[[#This Row],[ID MATERIAL]]="","",B2121)</f>
        <v/>
      </c>
      <c r="C2122" s="21"/>
      <c r="D2122" s="21"/>
      <c r="E2122" s="7" t="str">
        <f>IF(Plantilla_SCAN_EQ3_COUNT_2[[#This Row],[ID MATERIAL]]="","",VLOOKUP(Plantilla_SCAN_EQ3_COUNT_2[[#This Row],[ID MATERIAL]],INVENTARIO!$A:$D,2,FALSE))</f>
        <v/>
      </c>
      <c r="F2122" s="7" t="str">
        <f>IF(Plantilla_SCAN_EQ3_COUNT_2[[#This Row],[ID MATERIAL]]="","",IF(Plantilla_SCAN_EQ3_COUNT_2[[#This Row],[No. Empaques]]="",1,Plantilla_SCAN_EQ3_COUNT_2[[#This Row],[No. Empaques]]*1))</f>
        <v/>
      </c>
      <c r="G2122" s="7" t="str">
        <f>IF(Plantilla_SCAN_EQ3_COUNT_2[[#This Row],[ID MATERIAL]]="","","PZ")</f>
        <v/>
      </c>
      <c r="H2122" s="7" t="str">
        <f>IF(Plantilla_SCAN_EQ3_COUNT_2[[#This Row],[ID MATERIAL]]="","",$B$13)</f>
        <v/>
      </c>
      <c r="I2122" s="7" t="str">
        <f>IF(Plantilla_SCAN_EQ3_COUNT_2[[#This Row],[ID MATERIAL]]="","","Segundo Conteo")</f>
        <v/>
      </c>
    </row>
    <row r="2123" spans="1:9" s="7" customFormat="1" ht="15" x14ac:dyDescent="0.2">
      <c r="A2123" s="7" t="str">
        <f>IF(Plantilla_SCAN_EQ3_COUNT_2[[#This Row],[ID MATERIAL]]="","",SIGN(Plantilla_SCAN_EQ3_COUNT_2[[#This Row],[Cantidad]])+A2122)</f>
        <v/>
      </c>
      <c r="B2123" s="21" t="str">
        <f>IF(Plantilla_SCAN_EQ3_COUNT_2[[#This Row],[ID MATERIAL]]="","",B2122)</f>
        <v/>
      </c>
      <c r="C2123" s="21"/>
      <c r="D2123" s="21"/>
      <c r="E2123" s="7" t="str">
        <f>IF(Plantilla_SCAN_EQ3_COUNT_2[[#This Row],[ID MATERIAL]]="","",VLOOKUP(Plantilla_SCAN_EQ3_COUNT_2[[#This Row],[ID MATERIAL]],INVENTARIO!$A:$D,2,FALSE))</f>
        <v/>
      </c>
      <c r="F2123" s="7" t="str">
        <f>IF(Plantilla_SCAN_EQ3_COUNT_2[[#This Row],[ID MATERIAL]]="","",IF(Plantilla_SCAN_EQ3_COUNT_2[[#This Row],[No. Empaques]]="",1,Plantilla_SCAN_EQ3_COUNT_2[[#This Row],[No. Empaques]]*1))</f>
        <v/>
      </c>
      <c r="G2123" s="7" t="str">
        <f>IF(Plantilla_SCAN_EQ3_COUNT_2[[#This Row],[ID MATERIAL]]="","","PZ")</f>
        <v/>
      </c>
      <c r="H2123" s="7" t="str">
        <f>IF(Plantilla_SCAN_EQ3_COUNT_2[[#This Row],[ID MATERIAL]]="","",$B$13)</f>
        <v/>
      </c>
      <c r="I2123" s="7" t="str">
        <f>IF(Plantilla_SCAN_EQ3_COUNT_2[[#This Row],[ID MATERIAL]]="","","Segundo Conteo")</f>
        <v/>
      </c>
    </row>
    <row r="2124" spans="1:9" s="7" customFormat="1" ht="15" x14ac:dyDescent="0.2">
      <c r="A2124" s="7" t="str">
        <f>IF(Plantilla_SCAN_EQ3_COUNT_2[[#This Row],[ID MATERIAL]]="","",SIGN(Plantilla_SCAN_EQ3_COUNT_2[[#This Row],[Cantidad]])+A2123)</f>
        <v/>
      </c>
      <c r="B2124" s="21" t="str">
        <f>IF(Plantilla_SCAN_EQ3_COUNT_2[[#This Row],[ID MATERIAL]]="","",B2123)</f>
        <v/>
      </c>
      <c r="C2124" s="21"/>
      <c r="D2124" s="21"/>
      <c r="E2124" s="7" t="str">
        <f>IF(Plantilla_SCAN_EQ3_COUNT_2[[#This Row],[ID MATERIAL]]="","",VLOOKUP(Plantilla_SCAN_EQ3_COUNT_2[[#This Row],[ID MATERIAL]],INVENTARIO!$A:$D,2,FALSE))</f>
        <v/>
      </c>
      <c r="F2124" s="7" t="str">
        <f>IF(Plantilla_SCAN_EQ3_COUNT_2[[#This Row],[ID MATERIAL]]="","",IF(Plantilla_SCAN_EQ3_COUNT_2[[#This Row],[No. Empaques]]="",1,Plantilla_SCAN_EQ3_COUNT_2[[#This Row],[No. Empaques]]*1))</f>
        <v/>
      </c>
      <c r="G2124" s="7" t="str">
        <f>IF(Plantilla_SCAN_EQ3_COUNT_2[[#This Row],[ID MATERIAL]]="","","PZ")</f>
        <v/>
      </c>
      <c r="H2124" s="7" t="str">
        <f>IF(Plantilla_SCAN_EQ3_COUNT_2[[#This Row],[ID MATERIAL]]="","",$B$13)</f>
        <v/>
      </c>
      <c r="I2124" s="7" t="str">
        <f>IF(Plantilla_SCAN_EQ3_COUNT_2[[#This Row],[ID MATERIAL]]="","","Segundo Conteo")</f>
        <v/>
      </c>
    </row>
    <row r="2125" spans="1:9" s="7" customFormat="1" ht="15" x14ac:dyDescent="0.2">
      <c r="A2125" s="7" t="str">
        <f>IF(Plantilla_SCAN_EQ3_COUNT_2[[#This Row],[ID MATERIAL]]="","",SIGN(Plantilla_SCAN_EQ3_COUNT_2[[#This Row],[Cantidad]])+A2124)</f>
        <v/>
      </c>
      <c r="B2125" s="21" t="str">
        <f>IF(Plantilla_SCAN_EQ3_COUNT_2[[#This Row],[ID MATERIAL]]="","",B2124)</f>
        <v/>
      </c>
      <c r="C2125" s="21"/>
      <c r="D2125" s="21"/>
      <c r="E2125" s="7" t="str">
        <f>IF(Plantilla_SCAN_EQ3_COUNT_2[[#This Row],[ID MATERIAL]]="","",VLOOKUP(Plantilla_SCAN_EQ3_COUNT_2[[#This Row],[ID MATERIAL]],INVENTARIO!$A:$D,2,FALSE))</f>
        <v/>
      </c>
      <c r="F2125" s="7" t="str">
        <f>IF(Plantilla_SCAN_EQ3_COUNT_2[[#This Row],[ID MATERIAL]]="","",IF(Plantilla_SCAN_EQ3_COUNT_2[[#This Row],[No. Empaques]]="",1,Plantilla_SCAN_EQ3_COUNT_2[[#This Row],[No. Empaques]]*1))</f>
        <v/>
      </c>
      <c r="G2125" s="7" t="str">
        <f>IF(Plantilla_SCAN_EQ3_COUNT_2[[#This Row],[ID MATERIAL]]="","","PZ")</f>
        <v/>
      </c>
      <c r="H2125" s="7" t="str">
        <f>IF(Plantilla_SCAN_EQ3_COUNT_2[[#This Row],[ID MATERIAL]]="","",$B$13)</f>
        <v/>
      </c>
      <c r="I2125" s="7" t="str">
        <f>IF(Plantilla_SCAN_EQ3_COUNT_2[[#This Row],[ID MATERIAL]]="","","Segundo Conteo")</f>
        <v/>
      </c>
    </row>
    <row r="2126" spans="1:9" s="7" customFormat="1" ht="15" x14ac:dyDescent="0.2">
      <c r="A2126" s="7" t="str">
        <f>IF(Plantilla_SCAN_EQ3_COUNT_2[[#This Row],[ID MATERIAL]]="","",SIGN(Plantilla_SCAN_EQ3_COUNT_2[[#This Row],[Cantidad]])+A2125)</f>
        <v/>
      </c>
      <c r="B2126" s="21" t="str">
        <f>IF(Plantilla_SCAN_EQ3_COUNT_2[[#This Row],[ID MATERIAL]]="","",B2125)</f>
        <v/>
      </c>
      <c r="C2126" s="21"/>
      <c r="D2126" s="21"/>
      <c r="E2126" s="7" t="str">
        <f>IF(Plantilla_SCAN_EQ3_COUNT_2[[#This Row],[ID MATERIAL]]="","",VLOOKUP(Plantilla_SCAN_EQ3_COUNT_2[[#This Row],[ID MATERIAL]],INVENTARIO!$A:$D,2,FALSE))</f>
        <v/>
      </c>
      <c r="F2126" s="7" t="str">
        <f>IF(Plantilla_SCAN_EQ3_COUNT_2[[#This Row],[ID MATERIAL]]="","",IF(Plantilla_SCAN_EQ3_COUNT_2[[#This Row],[No. Empaques]]="",1,Plantilla_SCAN_EQ3_COUNT_2[[#This Row],[No. Empaques]]*1))</f>
        <v/>
      </c>
      <c r="G2126" s="7" t="str">
        <f>IF(Plantilla_SCAN_EQ3_COUNT_2[[#This Row],[ID MATERIAL]]="","","PZ")</f>
        <v/>
      </c>
      <c r="H2126" s="7" t="str">
        <f>IF(Plantilla_SCAN_EQ3_COUNT_2[[#This Row],[ID MATERIAL]]="","",$B$13)</f>
        <v/>
      </c>
      <c r="I2126" s="7" t="str">
        <f>IF(Plantilla_SCAN_EQ3_COUNT_2[[#This Row],[ID MATERIAL]]="","","Segundo Conteo")</f>
        <v/>
      </c>
    </row>
    <row r="2127" spans="1:9" s="7" customFormat="1" ht="15" x14ac:dyDescent="0.2">
      <c r="A2127" s="7" t="str">
        <f>IF(Plantilla_SCAN_EQ3_COUNT_2[[#This Row],[ID MATERIAL]]="","",SIGN(Plantilla_SCAN_EQ3_COUNT_2[[#This Row],[Cantidad]])+A2126)</f>
        <v/>
      </c>
      <c r="B2127" s="21" t="str">
        <f>IF(Plantilla_SCAN_EQ3_COUNT_2[[#This Row],[ID MATERIAL]]="","",B2126)</f>
        <v/>
      </c>
      <c r="C2127" s="21"/>
      <c r="D2127" s="21"/>
      <c r="E2127" s="7" t="str">
        <f>IF(Plantilla_SCAN_EQ3_COUNT_2[[#This Row],[ID MATERIAL]]="","",VLOOKUP(Plantilla_SCAN_EQ3_COUNT_2[[#This Row],[ID MATERIAL]],INVENTARIO!$A:$D,2,FALSE))</f>
        <v/>
      </c>
      <c r="F2127" s="7" t="str">
        <f>IF(Plantilla_SCAN_EQ3_COUNT_2[[#This Row],[ID MATERIAL]]="","",IF(Plantilla_SCAN_EQ3_COUNT_2[[#This Row],[No. Empaques]]="",1,Plantilla_SCAN_EQ3_COUNT_2[[#This Row],[No. Empaques]]*1))</f>
        <v/>
      </c>
      <c r="G2127" s="7" t="str">
        <f>IF(Plantilla_SCAN_EQ3_COUNT_2[[#This Row],[ID MATERIAL]]="","","PZ")</f>
        <v/>
      </c>
      <c r="H2127" s="7" t="str">
        <f>IF(Plantilla_SCAN_EQ3_COUNT_2[[#This Row],[ID MATERIAL]]="","",$B$13)</f>
        <v/>
      </c>
      <c r="I2127" s="7" t="str">
        <f>IF(Plantilla_SCAN_EQ3_COUNT_2[[#This Row],[ID MATERIAL]]="","","Segundo Conteo")</f>
        <v/>
      </c>
    </row>
    <row r="2128" spans="1:9" s="7" customFormat="1" ht="15" x14ac:dyDescent="0.2">
      <c r="A2128" s="7" t="str">
        <f>IF(Plantilla_SCAN_EQ3_COUNT_2[[#This Row],[ID MATERIAL]]="","",SIGN(Plantilla_SCAN_EQ3_COUNT_2[[#This Row],[Cantidad]])+A2127)</f>
        <v/>
      </c>
      <c r="B2128" s="21" t="str">
        <f>IF(Plantilla_SCAN_EQ3_COUNT_2[[#This Row],[ID MATERIAL]]="","",B2127)</f>
        <v/>
      </c>
      <c r="C2128" s="21"/>
      <c r="D2128" s="21"/>
      <c r="E2128" s="7" t="str">
        <f>IF(Plantilla_SCAN_EQ3_COUNT_2[[#This Row],[ID MATERIAL]]="","",VLOOKUP(Plantilla_SCAN_EQ3_COUNT_2[[#This Row],[ID MATERIAL]],INVENTARIO!$A:$D,2,FALSE))</f>
        <v/>
      </c>
      <c r="F2128" s="7" t="str">
        <f>IF(Plantilla_SCAN_EQ3_COUNT_2[[#This Row],[ID MATERIAL]]="","",IF(Plantilla_SCAN_EQ3_COUNT_2[[#This Row],[No. Empaques]]="",1,Plantilla_SCAN_EQ3_COUNT_2[[#This Row],[No. Empaques]]*1))</f>
        <v/>
      </c>
      <c r="G2128" s="7" t="str">
        <f>IF(Plantilla_SCAN_EQ3_COUNT_2[[#This Row],[ID MATERIAL]]="","","PZ")</f>
        <v/>
      </c>
      <c r="H2128" s="7" t="str">
        <f>IF(Plantilla_SCAN_EQ3_COUNT_2[[#This Row],[ID MATERIAL]]="","",$B$13)</f>
        <v/>
      </c>
      <c r="I2128" s="7" t="str">
        <f>IF(Plantilla_SCAN_EQ3_COUNT_2[[#This Row],[ID MATERIAL]]="","","Segundo Conteo")</f>
        <v/>
      </c>
    </row>
    <row r="2129" spans="1:9" s="7" customFormat="1" ht="15" x14ac:dyDescent="0.2">
      <c r="A2129" s="7" t="str">
        <f>IF(Plantilla_SCAN_EQ3_COUNT_2[[#This Row],[ID MATERIAL]]="","",SIGN(Plantilla_SCAN_EQ3_COUNT_2[[#This Row],[Cantidad]])+A2128)</f>
        <v/>
      </c>
      <c r="B2129" s="21" t="str">
        <f>IF(Plantilla_SCAN_EQ3_COUNT_2[[#This Row],[ID MATERIAL]]="","",B2128)</f>
        <v/>
      </c>
      <c r="C2129" s="21"/>
      <c r="D2129" s="21"/>
      <c r="E2129" s="7" t="str">
        <f>IF(Plantilla_SCAN_EQ3_COUNT_2[[#This Row],[ID MATERIAL]]="","",VLOOKUP(Plantilla_SCAN_EQ3_COUNT_2[[#This Row],[ID MATERIAL]],INVENTARIO!$A:$D,2,FALSE))</f>
        <v/>
      </c>
      <c r="F2129" s="7" t="str">
        <f>IF(Plantilla_SCAN_EQ3_COUNT_2[[#This Row],[ID MATERIAL]]="","",IF(Plantilla_SCAN_EQ3_COUNT_2[[#This Row],[No. Empaques]]="",1,Plantilla_SCAN_EQ3_COUNT_2[[#This Row],[No. Empaques]]*1))</f>
        <v/>
      </c>
      <c r="G2129" s="7" t="str">
        <f>IF(Plantilla_SCAN_EQ3_COUNT_2[[#This Row],[ID MATERIAL]]="","","PZ")</f>
        <v/>
      </c>
      <c r="H2129" s="7" t="str">
        <f>IF(Plantilla_SCAN_EQ3_COUNT_2[[#This Row],[ID MATERIAL]]="","",$B$13)</f>
        <v/>
      </c>
      <c r="I2129" s="7" t="str">
        <f>IF(Plantilla_SCAN_EQ3_COUNT_2[[#This Row],[ID MATERIAL]]="","","Segundo Conteo")</f>
        <v/>
      </c>
    </row>
    <row r="2130" spans="1:9" s="7" customFormat="1" ht="15" x14ac:dyDescent="0.2">
      <c r="A2130" s="7" t="str">
        <f>IF(Plantilla_SCAN_EQ3_COUNT_2[[#This Row],[ID MATERIAL]]="","",SIGN(Plantilla_SCAN_EQ3_COUNT_2[[#This Row],[Cantidad]])+A2129)</f>
        <v/>
      </c>
      <c r="B2130" s="21" t="str">
        <f>IF(Plantilla_SCAN_EQ3_COUNT_2[[#This Row],[ID MATERIAL]]="","",B2129)</f>
        <v/>
      </c>
      <c r="C2130" s="21"/>
      <c r="D2130" s="21"/>
      <c r="E2130" s="7" t="str">
        <f>IF(Plantilla_SCAN_EQ3_COUNT_2[[#This Row],[ID MATERIAL]]="","",VLOOKUP(Plantilla_SCAN_EQ3_COUNT_2[[#This Row],[ID MATERIAL]],INVENTARIO!$A:$D,2,FALSE))</f>
        <v/>
      </c>
      <c r="F2130" s="7" t="str">
        <f>IF(Plantilla_SCAN_EQ3_COUNT_2[[#This Row],[ID MATERIAL]]="","",IF(Plantilla_SCAN_EQ3_COUNT_2[[#This Row],[No. Empaques]]="",1,Plantilla_SCAN_EQ3_COUNT_2[[#This Row],[No. Empaques]]*1))</f>
        <v/>
      </c>
      <c r="G2130" s="7" t="str">
        <f>IF(Plantilla_SCAN_EQ3_COUNT_2[[#This Row],[ID MATERIAL]]="","","PZ")</f>
        <v/>
      </c>
      <c r="H2130" s="7" t="str">
        <f>IF(Plantilla_SCAN_EQ3_COUNT_2[[#This Row],[ID MATERIAL]]="","",$B$13)</f>
        <v/>
      </c>
      <c r="I2130" s="7" t="str">
        <f>IF(Plantilla_SCAN_EQ3_COUNT_2[[#This Row],[ID MATERIAL]]="","","Segundo Conteo")</f>
        <v/>
      </c>
    </row>
    <row r="2131" spans="1:9" s="7" customFormat="1" ht="15" x14ac:dyDescent="0.2">
      <c r="A2131" s="7" t="str">
        <f>IF(Plantilla_SCAN_EQ3_COUNT_2[[#This Row],[ID MATERIAL]]="","",SIGN(Plantilla_SCAN_EQ3_COUNT_2[[#This Row],[Cantidad]])+A2130)</f>
        <v/>
      </c>
      <c r="B2131" s="21" t="str">
        <f>IF(Plantilla_SCAN_EQ3_COUNT_2[[#This Row],[ID MATERIAL]]="","",B2130)</f>
        <v/>
      </c>
      <c r="C2131" s="21"/>
      <c r="D2131" s="21"/>
      <c r="E2131" s="7" t="str">
        <f>IF(Plantilla_SCAN_EQ3_COUNT_2[[#This Row],[ID MATERIAL]]="","",VLOOKUP(Plantilla_SCAN_EQ3_COUNT_2[[#This Row],[ID MATERIAL]],INVENTARIO!$A:$D,2,FALSE))</f>
        <v/>
      </c>
      <c r="F2131" s="7" t="str">
        <f>IF(Plantilla_SCAN_EQ3_COUNT_2[[#This Row],[ID MATERIAL]]="","",IF(Plantilla_SCAN_EQ3_COUNT_2[[#This Row],[No. Empaques]]="",1,Plantilla_SCAN_EQ3_COUNT_2[[#This Row],[No. Empaques]]*1))</f>
        <v/>
      </c>
      <c r="G2131" s="7" t="str">
        <f>IF(Plantilla_SCAN_EQ3_COUNT_2[[#This Row],[ID MATERIAL]]="","","PZ")</f>
        <v/>
      </c>
      <c r="H2131" s="7" t="str">
        <f>IF(Plantilla_SCAN_EQ3_COUNT_2[[#This Row],[ID MATERIAL]]="","",$B$13)</f>
        <v/>
      </c>
      <c r="I2131" s="7" t="str">
        <f>IF(Plantilla_SCAN_EQ3_COUNT_2[[#This Row],[ID MATERIAL]]="","","Segundo Conteo")</f>
        <v/>
      </c>
    </row>
    <row r="2132" spans="1:9" s="7" customFormat="1" ht="15" x14ac:dyDescent="0.2">
      <c r="A2132" s="7" t="str">
        <f>IF(Plantilla_SCAN_EQ3_COUNT_2[[#This Row],[ID MATERIAL]]="","",SIGN(Plantilla_SCAN_EQ3_COUNT_2[[#This Row],[Cantidad]])+A2131)</f>
        <v/>
      </c>
      <c r="B2132" s="21" t="str">
        <f>IF(Plantilla_SCAN_EQ3_COUNT_2[[#This Row],[ID MATERIAL]]="","",B2131)</f>
        <v/>
      </c>
      <c r="C2132" s="21"/>
      <c r="D2132" s="21"/>
      <c r="E2132" s="7" t="str">
        <f>IF(Plantilla_SCAN_EQ3_COUNT_2[[#This Row],[ID MATERIAL]]="","",VLOOKUP(Plantilla_SCAN_EQ3_COUNT_2[[#This Row],[ID MATERIAL]],INVENTARIO!$A:$D,2,FALSE))</f>
        <v/>
      </c>
      <c r="F2132" s="7" t="str">
        <f>IF(Plantilla_SCAN_EQ3_COUNT_2[[#This Row],[ID MATERIAL]]="","",IF(Plantilla_SCAN_EQ3_COUNT_2[[#This Row],[No. Empaques]]="",1,Plantilla_SCAN_EQ3_COUNT_2[[#This Row],[No. Empaques]]*1))</f>
        <v/>
      </c>
      <c r="G2132" s="7" t="str">
        <f>IF(Plantilla_SCAN_EQ3_COUNT_2[[#This Row],[ID MATERIAL]]="","","PZ")</f>
        <v/>
      </c>
      <c r="H2132" s="7" t="str">
        <f>IF(Plantilla_SCAN_EQ3_COUNT_2[[#This Row],[ID MATERIAL]]="","",$B$13)</f>
        <v/>
      </c>
      <c r="I2132" s="7" t="str">
        <f>IF(Plantilla_SCAN_EQ3_COUNT_2[[#This Row],[ID MATERIAL]]="","","Segundo Conteo")</f>
        <v/>
      </c>
    </row>
    <row r="2133" spans="1:9" s="7" customFormat="1" ht="15" x14ac:dyDescent="0.2">
      <c r="A2133" s="7" t="str">
        <f>IF(Plantilla_SCAN_EQ3_COUNT_2[[#This Row],[ID MATERIAL]]="","",SIGN(Plantilla_SCAN_EQ3_COUNT_2[[#This Row],[Cantidad]])+A2132)</f>
        <v/>
      </c>
      <c r="B2133" s="21" t="str">
        <f>IF(Plantilla_SCAN_EQ3_COUNT_2[[#This Row],[ID MATERIAL]]="","",B2132)</f>
        <v/>
      </c>
      <c r="C2133" s="21"/>
      <c r="D2133" s="21"/>
      <c r="E2133" s="7" t="str">
        <f>IF(Plantilla_SCAN_EQ3_COUNT_2[[#This Row],[ID MATERIAL]]="","",VLOOKUP(Plantilla_SCAN_EQ3_COUNT_2[[#This Row],[ID MATERIAL]],INVENTARIO!$A:$D,2,FALSE))</f>
        <v/>
      </c>
      <c r="F2133" s="7" t="str">
        <f>IF(Plantilla_SCAN_EQ3_COUNT_2[[#This Row],[ID MATERIAL]]="","",IF(Plantilla_SCAN_EQ3_COUNT_2[[#This Row],[No. Empaques]]="",1,Plantilla_SCAN_EQ3_COUNT_2[[#This Row],[No. Empaques]]*1))</f>
        <v/>
      </c>
      <c r="G2133" s="7" t="str">
        <f>IF(Plantilla_SCAN_EQ3_COUNT_2[[#This Row],[ID MATERIAL]]="","","PZ")</f>
        <v/>
      </c>
      <c r="H2133" s="7" t="str">
        <f>IF(Plantilla_SCAN_EQ3_COUNT_2[[#This Row],[ID MATERIAL]]="","",$B$13)</f>
        <v/>
      </c>
      <c r="I2133" s="7" t="str">
        <f>IF(Plantilla_SCAN_EQ3_COUNT_2[[#This Row],[ID MATERIAL]]="","","Segundo Conteo")</f>
        <v/>
      </c>
    </row>
    <row r="2134" spans="1:9" s="7" customFormat="1" ht="15" x14ac:dyDescent="0.2">
      <c r="A2134" s="7" t="str">
        <f>IF(Plantilla_SCAN_EQ3_COUNT_2[[#This Row],[ID MATERIAL]]="","",SIGN(Plantilla_SCAN_EQ3_COUNT_2[[#This Row],[Cantidad]])+A2133)</f>
        <v/>
      </c>
      <c r="B2134" s="21" t="str">
        <f>IF(Plantilla_SCAN_EQ3_COUNT_2[[#This Row],[ID MATERIAL]]="","",B2133)</f>
        <v/>
      </c>
      <c r="C2134" s="21"/>
      <c r="D2134" s="21"/>
      <c r="E2134" s="7" t="str">
        <f>IF(Plantilla_SCAN_EQ3_COUNT_2[[#This Row],[ID MATERIAL]]="","",VLOOKUP(Plantilla_SCAN_EQ3_COUNT_2[[#This Row],[ID MATERIAL]],INVENTARIO!$A:$D,2,FALSE))</f>
        <v/>
      </c>
      <c r="F2134" s="7" t="str">
        <f>IF(Plantilla_SCAN_EQ3_COUNT_2[[#This Row],[ID MATERIAL]]="","",IF(Plantilla_SCAN_EQ3_COUNT_2[[#This Row],[No. Empaques]]="",1,Plantilla_SCAN_EQ3_COUNT_2[[#This Row],[No. Empaques]]*1))</f>
        <v/>
      </c>
      <c r="G2134" s="7" t="str">
        <f>IF(Plantilla_SCAN_EQ3_COUNT_2[[#This Row],[ID MATERIAL]]="","","PZ")</f>
        <v/>
      </c>
      <c r="H2134" s="7" t="str">
        <f>IF(Plantilla_SCAN_EQ3_COUNT_2[[#This Row],[ID MATERIAL]]="","",$B$13)</f>
        <v/>
      </c>
      <c r="I2134" s="7" t="str">
        <f>IF(Plantilla_SCAN_EQ3_COUNT_2[[#This Row],[ID MATERIAL]]="","","Segundo Conteo")</f>
        <v/>
      </c>
    </row>
    <row r="2135" spans="1:9" s="7" customFormat="1" ht="15" x14ac:dyDescent="0.2">
      <c r="A2135" s="7" t="str">
        <f>IF(Plantilla_SCAN_EQ3_COUNT_2[[#This Row],[ID MATERIAL]]="","",SIGN(Plantilla_SCAN_EQ3_COUNT_2[[#This Row],[Cantidad]])+A2134)</f>
        <v/>
      </c>
      <c r="B2135" s="21" t="str">
        <f>IF(Plantilla_SCAN_EQ3_COUNT_2[[#This Row],[ID MATERIAL]]="","",B2134)</f>
        <v/>
      </c>
      <c r="C2135" s="21"/>
      <c r="D2135" s="21"/>
      <c r="E2135" s="7" t="str">
        <f>IF(Plantilla_SCAN_EQ3_COUNT_2[[#This Row],[ID MATERIAL]]="","",VLOOKUP(Plantilla_SCAN_EQ3_COUNT_2[[#This Row],[ID MATERIAL]],INVENTARIO!$A:$D,2,FALSE))</f>
        <v/>
      </c>
      <c r="F2135" s="7" t="str">
        <f>IF(Plantilla_SCAN_EQ3_COUNT_2[[#This Row],[ID MATERIAL]]="","",IF(Plantilla_SCAN_EQ3_COUNT_2[[#This Row],[No. Empaques]]="",1,Plantilla_SCAN_EQ3_COUNT_2[[#This Row],[No. Empaques]]*1))</f>
        <v/>
      </c>
      <c r="G2135" s="7" t="str">
        <f>IF(Plantilla_SCAN_EQ3_COUNT_2[[#This Row],[ID MATERIAL]]="","","PZ")</f>
        <v/>
      </c>
      <c r="H2135" s="7" t="str">
        <f>IF(Plantilla_SCAN_EQ3_COUNT_2[[#This Row],[ID MATERIAL]]="","",$B$13)</f>
        <v/>
      </c>
      <c r="I2135" s="7" t="str">
        <f>IF(Plantilla_SCAN_EQ3_COUNT_2[[#This Row],[ID MATERIAL]]="","","Segundo Conteo")</f>
        <v/>
      </c>
    </row>
    <row r="2136" spans="1:9" s="7" customFormat="1" ht="15" x14ac:dyDescent="0.2">
      <c r="A2136" s="7" t="str">
        <f>IF(Plantilla_SCAN_EQ3_COUNT_2[[#This Row],[ID MATERIAL]]="","",SIGN(Plantilla_SCAN_EQ3_COUNT_2[[#This Row],[Cantidad]])+A2135)</f>
        <v/>
      </c>
      <c r="B2136" s="21" t="str">
        <f>IF(Plantilla_SCAN_EQ3_COUNT_2[[#This Row],[ID MATERIAL]]="","",B2135)</f>
        <v/>
      </c>
      <c r="C2136" s="21"/>
      <c r="D2136" s="21"/>
      <c r="E2136" s="7" t="str">
        <f>IF(Plantilla_SCAN_EQ3_COUNT_2[[#This Row],[ID MATERIAL]]="","",VLOOKUP(Plantilla_SCAN_EQ3_COUNT_2[[#This Row],[ID MATERIAL]],INVENTARIO!$A:$D,2,FALSE))</f>
        <v/>
      </c>
      <c r="F2136" s="7" t="str">
        <f>IF(Plantilla_SCAN_EQ3_COUNT_2[[#This Row],[ID MATERIAL]]="","",IF(Plantilla_SCAN_EQ3_COUNT_2[[#This Row],[No. Empaques]]="",1,Plantilla_SCAN_EQ3_COUNT_2[[#This Row],[No. Empaques]]*1))</f>
        <v/>
      </c>
      <c r="G2136" s="7" t="str">
        <f>IF(Plantilla_SCAN_EQ3_COUNT_2[[#This Row],[ID MATERIAL]]="","","PZ")</f>
        <v/>
      </c>
      <c r="H2136" s="7" t="str">
        <f>IF(Plantilla_SCAN_EQ3_COUNT_2[[#This Row],[ID MATERIAL]]="","",$B$13)</f>
        <v/>
      </c>
      <c r="I2136" s="7" t="str">
        <f>IF(Plantilla_SCAN_EQ3_COUNT_2[[#This Row],[ID MATERIAL]]="","","Segundo Conteo")</f>
        <v/>
      </c>
    </row>
    <row r="2137" spans="1:9" s="7" customFormat="1" ht="15" x14ac:dyDescent="0.2">
      <c r="A2137" s="7" t="str">
        <f>IF(Plantilla_SCAN_EQ3_COUNT_2[[#This Row],[ID MATERIAL]]="","",SIGN(Plantilla_SCAN_EQ3_COUNT_2[[#This Row],[Cantidad]])+A2136)</f>
        <v/>
      </c>
      <c r="B2137" s="21" t="str">
        <f>IF(Plantilla_SCAN_EQ3_COUNT_2[[#This Row],[ID MATERIAL]]="","",B2136)</f>
        <v/>
      </c>
      <c r="C2137" s="21"/>
      <c r="D2137" s="21"/>
      <c r="E2137" s="7" t="str">
        <f>IF(Plantilla_SCAN_EQ3_COUNT_2[[#This Row],[ID MATERIAL]]="","",VLOOKUP(Plantilla_SCAN_EQ3_COUNT_2[[#This Row],[ID MATERIAL]],INVENTARIO!$A:$D,2,FALSE))</f>
        <v/>
      </c>
      <c r="F2137" s="7" t="str">
        <f>IF(Plantilla_SCAN_EQ3_COUNT_2[[#This Row],[ID MATERIAL]]="","",IF(Plantilla_SCAN_EQ3_COUNT_2[[#This Row],[No. Empaques]]="",1,Plantilla_SCAN_EQ3_COUNT_2[[#This Row],[No. Empaques]]*1))</f>
        <v/>
      </c>
      <c r="G2137" s="7" t="str">
        <f>IF(Plantilla_SCAN_EQ3_COUNT_2[[#This Row],[ID MATERIAL]]="","","PZ")</f>
        <v/>
      </c>
      <c r="H2137" s="7" t="str">
        <f>IF(Plantilla_SCAN_EQ3_COUNT_2[[#This Row],[ID MATERIAL]]="","",$B$13)</f>
        <v/>
      </c>
      <c r="I2137" s="7" t="str">
        <f>IF(Plantilla_SCAN_EQ3_COUNT_2[[#This Row],[ID MATERIAL]]="","","Segundo Conteo")</f>
        <v/>
      </c>
    </row>
    <row r="2138" spans="1:9" s="7" customFormat="1" ht="15" x14ac:dyDescent="0.2">
      <c r="A2138" s="7" t="str">
        <f>IF(Plantilla_SCAN_EQ3_COUNT_2[[#This Row],[ID MATERIAL]]="","",SIGN(Plantilla_SCAN_EQ3_COUNT_2[[#This Row],[Cantidad]])+A2137)</f>
        <v/>
      </c>
      <c r="B2138" s="21" t="str">
        <f>IF(Plantilla_SCAN_EQ3_COUNT_2[[#This Row],[ID MATERIAL]]="","",B2137)</f>
        <v/>
      </c>
      <c r="C2138" s="21"/>
      <c r="D2138" s="21"/>
      <c r="E2138" s="7" t="str">
        <f>IF(Plantilla_SCAN_EQ3_COUNT_2[[#This Row],[ID MATERIAL]]="","",VLOOKUP(Plantilla_SCAN_EQ3_COUNT_2[[#This Row],[ID MATERIAL]],INVENTARIO!$A:$D,2,FALSE))</f>
        <v/>
      </c>
      <c r="F2138" s="7" t="str">
        <f>IF(Plantilla_SCAN_EQ3_COUNT_2[[#This Row],[ID MATERIAL]]="","",IF(Plantilla_SCAN_EQ3_COUNT_2[[#This Row],[No. Empaques]]="",1,Plantilla_SCAN_EQ3_COUNT_2[[#This Row],[No. Empaques]]*1))</f>
        <v/>
      </c>
      <c r="G2138" s="7" t="str">
        <f>IF(Plantilla_SCAN_EQ3_COUNT_2[[#This Row],[ID MATERIAL]]="","","PZ")</f>
        <v/>
      </c>
      <c r="H2138" s="7" t="str">
        <f>IF(Plantilla_SCAN_EQ3_COUNT_2[[#This Row],[ID MATERIAL]]="","",$B$13)</f>
        <v/>
      </c>
      <c r="I2138" s="7" t="str">
        <f>IF(Plantilla_SCAN_EQ3_COUNT_2[[#This Row],[ID MATERIAL]]="","","Segundo Conteo")</f>
        <v/>
      </c>
    </row>
    <row r="2139" spans="1:9" s="7" customFormat="1" ht="15" x14ac:dyDescent="0.2">
      <c r="A2139" s="7" t="str">
        <f>IF(Plantilla_SCAN_EQ3_COUNT_2[[#This Row],[ID MATERIAL]]="","",SIGN(Plantilla_SCAN_EQ3_COUNT_2[[#This Row],[Cantidad]])+A2138)</f>
        <v/>
      </c>
      <c r="B2139" s="21" t="str">
        <f>IF(Plantilla_SCAN_EQ3_COUNT_2[[#This Row],[ID MATERIAL]]="","",B2138)</f>
        <v/>
      </c>
      <c r="C2139" s="21"/>
      <c r="D2139" s="21"/>
      <c r="E2139" s="7" t="str">
        <f>IF(Plantilla_SCAN_EQ3_COUNT_2[[#This Row],[ID MATERIAL]]="","",VLOOKUP(Plantilla_SCAN_EQ3_COUNT_2[[#This Row],[ID MATERIAL]],INVENTARIO!$A:$D,2,FALSE))</f>
        <v/>
      </c>
      <c r="F2139" s="7" t="str">
        <f>IF(Plantilla_SCAN_EQ3_COUNT_2[[#This Row],[ID MATERIAL]]="","",IF(Plantilla_SCAN_EQ3_COUNT_2[[#This Row],[No. Empaques]]="",1,Plantilla_SCAN_EQ3_COUNT_2[[#This Row],[No. Empaques]]*1))</f>
        <v/>
      </c>
      <c r="G2139" s="7" t="str">
        <f>IF(Plantilla_SCAN_EQ3_COUNT_2[[#This Row],[ID MATERIAL]]="","","PZ")</f>
        <v/>
      </c>
      <c r="H2139" s="7" t="str">
        <f>IF(Plantilla_SCAN_EQ3_COUNT_2[[#This Row],[ID MATERIAL]]="","",$B$13)</f>
        <v/>
      </c>
      <c r="I2139" s="7" t="str">
        <f>IF(Plantilla_SCAN_EQ3_COUNT_2[[#This Row],[ID MATERIAL]]="","","Segundo Conteo")</f>
        <v/>
      </c>
    </row>
    <row r="2140" spans="1:9" s="7" customFormat="1" ht="15" x14ac:dyDescent="0.2">
      <c r="A2140" s="7" t="str">
        <f>IF(Plantilla_SCAN_EQ3_COUNT_2[[#This Row],[ID MATERIAL]]="","",SIGN(Plantilla_SCAN_EQ3_COUNT_2[[#This Row],[Cantidad]])+A2139)</f>
        <v/>
      </c>
      <c r="B2140" s="21" t="str">
        <f>IF(Plantilla_SCAN_EQ3_COUNT_2[[#This Row],[ID MATERIAL]]="","",B2139)</f>
        <v/>
      </c>
      <c r="C2140" s="21"/>
      <c r="D2140" s="21"/>
      <c r="E2140" s="7" t="str">
        <f>IF(Plantilla_SCAN_EQ3_COUNT_2[[#This Row],[ID MATERIAL]]="","",VLOOKUP(Plantilla_SCAN_EQ3_COUNT_2[[#This Row],[ID MATERIAL]],INVENTARIO!$A:$D,2,FALSE))</f>
        <v/>
      </c>
      <c r="F2140" s="7" t="str">
        <f>IF(Plantilla_SCAN_EQ3_COUNT_2[[#This Row],[ID MATERIAL]]="","",IF(Plantilla_SCAN_EQ3_COUNT_2[[#This Row],[No. Empaques]]="",1,Plantilla_SCAN_EQ3_COUNT_2[[#This Row],[No. Empaques]]*1))</f>
        <v/>
      </c>
      <c r="G2140" s="7" t="str">
        <f>IF(Plantilla_SCAN_EQ3_COUNT_2[[#This Row],[ID MATERIAL]]="","","PZ")</f>
        <v/>
      </c>
      <c r="H2140" s="7" t="str">
        <f>IF(Plantilla_SCAN_EQ3_COUNT_2[[#This Row],[ID MATERIAL]]="","",$B$13)</f>
        <v/>
      </c>
      <c r="I2140" s="7" t="str">
        <f>IF(Plantilla_SCAN_EQ3_COUNT_2[[#This Row],[ID MATERIAL]]="","","Segundo Conteo")</f>
        <v/>
      </c>
    </row>
    <row r="2141" spans="1:9" s="7" customFormat="1" ht="15" x14ac:dyDescent="0.2">
      <c r="A2141" s="7" t="str">
        <f>IF(Plantilla_SCAN_EQ3_COUNT_2[[#This Row],[ID MATERIAL]]="","",SIGN(Plantilla_SCAN_EQ3_COUNT_2[[#This Row],[Cantidad]])+A2140)</f>
        <v/>
      </c>
      <c r="B2141" s="21" t="str">
        <f>IF(Plantilla_SCAN_EQ3_COUNT_2[[#This Row],[ID MATERIAL]]="","",B2140)</f>
        <v/>
      </c>
      <c r="C2141" s="21"/>
      <c r="D2141" s="21"/>
      <c r="E2141" s="7" t="str">
        <f>IF(Plantilla_SCAN_EQ3_COUNT_2[[#This Row],[ID MATERIAL]]="","",VLOOKUP(Plantilla_SCAN_EQ3_COUNT_2[[#This Row],[ID MATERIAL]],INVENTARIO!$A:$D,2,FALSE))</f>
        <v/>
      </c>
      <c r="F2141" s="7" t="str">
        <f>IF(Plantilla_SCAN_EQ3_COUNT_2[[#This Row],[ID MATERIAL]]="","",IF(Plantilla_SCAN_EQ3_COUNT_2[[#This Row],[No. Empaques]]="",1,Plantilla_SCAN_EQ3_COUNT_2[[#This Row],[No. Empaques]]*1))</f>
        <v/>
      </c>
      <c r="G2141" s="7" t="str">
        <f>IF(Plantilla_SCAN_EQ3_COUNT_2[[#This Row],[ID MATERIAL]]="","","PZ")</f>
        <v/>
      </c>
      <c r="H2141" s="7" t="str">
        <f>IF(Plantilla_SCAN_EQ3_COUNT_2[[#This Row],[ID MATERIAL]]="","",$B$13)</f>
        <v/>
      </c>
      <c r="I2141" s="7" t="str">
        <f>IF(Plantilla_SCAN_EQ3_COUNT_2[[#This Row],[ID MATERIAL]]="","","Segundo Conteo")</f>
        <v/>
      </c>
    </row>
    <row r="2142" spans="1:9" s="7" customFormat="1" ht="15" x14ac:dyDescent="0.2">
      <c r="A2142" s="7" t="str">
        <f>IF(Plantilla_SCAN_EQ3_COUNT_2[[#This Row],[ID MATERIAL]]="","",SIGN(Plantilla_SCAN_EQ3_COUNT_2[[#This Row],[Cantidad]])+A2141)</f>
        <v/>
      </c>
      <c r="B2142" s="21" t="str">
        <f>IF(Plantilla_SCAN_EQ3_COUNT_2[[#This Row],[ID MATERIAL]]="","",B2141)</f>
        <v/>
      </c>
      <c r="C2142" s="21"/>
      <c r="D2142" s="21"/>
      <c r="E2142" s="7" t="str">
        <f>IF(Plantilla_SCAN_EQ3_COUNT_2[[#This Row],[ID MATERIAL]]="","",VLOOKUP(Plantilla_SCAN_EQ3_COUNT_2[[#This Row],[ID MATERIAL]],INVENTARIO!$A:$D,2,FALSE))</f>
        <v/>
      </c>
      <c r="F2142" s="7" t="str">
        <f>IF(Plantilla_SCAN_EQ3_COUNT_2[[#This Row],[ID MATERIAL]]="","",IF(Plantilla_SCAN_EQ3_COUNT_2[[#This Row],[No. Empaques]]="",1,Plantilla_SCAN_EQ3_COUNT_2[[#This Row],[No. Empaques]]*1))</f>
        <v/>
      </c>
      <c r="G2142" s="7" t="str">
        <f>IF(Plantilla_SCAN_EQ3_COUNT_2[[#This Row],[ID MATERIAL]]="","","PZ")</f>
        <v/>
      </c>
      <c r="H2142" s="7" t="str">
        <f>IF(Plantilla_SCAN_EQ3_COUNT_2[[#This Row],[ID MATERIAL]]="","",$B$13)</f>
        <v/>
      </c>
      <c r="I2142" s="7" t="str">
        <f>IF(Plantilla_SCAN_EQ3_COUNT_2[[#This Row],[ID MATERIAL]]="","","Segundo Conteo")</f>
        <v/>
      </c>
    </row>
    <row r="2143" spans="1:9" s="7" customFormat="1" ht="15" x14ac:dyDescent="0.2">
      <c r="A2143" s="7" t="str">
        <f>IF(Plantilla_SCAN_EQ3_COUNT_2[[#This Row],[ID MATERIAL]]="","",SIGN(Plantilla_SCAN_EQ3_COUNT_2[[#This Row],[Cantidad]])+A2142)</f>
        <v/>
      </c>
      <c r="B2143" s="21" t="str">
        <f>IF(Plantilla_SCAN_EQ3_COUNT_2[[#This Row],[ID MATERIAL]]="","",B2142)</f>
        <v/>
      </c>
      <c r="C2143" s="21"/>
      <c r="D2143" s="21"/>
      <c r="E2143" s="7" t="str">
        <f>IF(Plantilla_SCAN_EQ3_COUNT_2[[#This Row],[ID MATERIAL]]="","",VLOOKUP(Plantilla_SCAN_EQ3_COUNT_2[[#This Row],[ID MATERIAL]],INVENTARIO!$A:$D,2,FALSE))</f>
        <v/>
      </c>
      <c r="F2143" s="7" t="str">
        <f>IF(Plantilla_SCAN_EQ3_COUNT_2[[#This Row],[ID MATERIAL]]="","",IF(Plantilla_SCAN_EQ3_COUNT_2[[#This Row],[No. Empaques]]="",1,Plantilla_SCAN_EQ3_COUNT_2[[#This Row],[No. Empaques]]*1))</f>
        <v/>
      </c>
      <c r="G2143" s="7" t="str">
        <f>IF(Plantilla_SCAN_EQ3_COUNT_2[[#This Row],[ID MATERIAL]]="","","PZ")</f>
        <v/>
      </c>
      <c r="H2143" s="7" t="str">
        <f>IF(Plantilla_SCAN_EQ3_COUNT_2[[#This Row],[ID MATERIAL]]="","",$B$13)</f>
        <v/>
      </c>
      <c r="I2143" s="7" t="str">
        <f>IF(Plantilla_SCAN_EQ3_COUNT_2[[#This Row],[ID MATERIAL]]="","","Segundo Conteo")</f>
        <v/>
      </c>
    </row>
    <row r="2144" spans="1:9" s="7" customFormat="1" ht="15" x14ac:dyDescent="0.2">
      <c r="A2144" s="7" t="str">
        <f>IF(Plantilla_SCAN_EQ3_COUNT_2[[#This Row],[ID MATERIAL]]="","",SIGN(Plantilla_SCAN_EQ3_COUNT_2[[#This Row],[Cantidad]])+A2143)</f>
        <v/>
      </c>
      <c r="B2144" s="21" t="str">
        <f>IF(Plantilla_SCAN_EQ3_COUNT_2[[#This Row],[ID MATERIAL]]="","",B2143)</f>
        <v/>
      </c>
      <c r="C2144" s="21"/>
      <c r="D2144" s="21"/>
      <c r="E2144" s="7" t="str">
        <f>IF(Plantilla_SCAN_EQ3_COUNT_2[[#This Row],[ID MATERIAL]]="","",VLOOKUP(Plantilla_SCAN_EQ3_COUNT_2[[#This Row],[ID MATERIAL]],INVENTARIO!$A:$D,2,FALSE))</f>
        <v/>
      </c>
      <c r="F2144" s="7" t="str">
        <f>IF(Plantilla_SCAN_EQ3_COUNT_2[[#This Row],[ID MATERIAL]]="","",IF(Plantilla_SCAN_EQ3_COUNT_2[[#This Row],[No. Empaques]]="",1,Plantilla_SCAN_EQ3_COUNT_2[[#This Row],[No. Empaques]]*1))</f>
        <v/>
      </c>
      <c r="G2144" s="7" t="str">
        <f>IF(Plantilla_SCAN_EQ3_COUNT_2[[#This Row],[ID MATERIAL]]="","","PZ")</f>
        <v/>
      </c>
      <c r="H2144" s="7" t="str">
        <f>IF(Plantilla_SCAN_EQ3_COUNT_2[[#This Row],[ID MATERIAL]]="","",$B$13)</f>
        <v/>
      </c>
      <c r="I2144" s="7" t="str">
        <f>IF(Plantilla_SCAN_EQ3_COUNT_2[[#This Row],[ID MATERIAL]]="","","Segundo Conteo")</f>
        <v/>
      </c>
    </row>
    <row r="2145" spans="1:9" s="7" customFormat="1" ht="15" x14ac:dyDescent="0.2">
      <c r="A2145" s="7" t="str">
        <f>IF(Plantilla_SCAN_EQ3_COUNT_2[[#This Row],[ID MATERIAL]]="","",SIGN(Plantilla_SCAN_EQ3_COUNT_2[[#This Row],[Cantidad]])+A2144)</f>
        <v/>
      </c>
      <c r="B2145" s="21" t="str">
        <f>IF(Plantilla_SCAN_EQ3_COUNT_2[[#This Row],[ID MATERIAL]]="","",B2144)</f>
        <v/>
      </c>
      <c r="C2145" s="21"/>
      <c r="D2145" s="21"/>
      <c r="E2145" s="7" t="str">
        <f>IF(Plantilla_SCAN_EQ3_COUNT_2[[#This Row],[ID MATERIAL]]="","",VLOOKUP(Plantilla_SCAN_EQ3_COUNT_2[[#This Row],[ID MATERIAL]],INVENTARIO!$A:$D,2,FALSE))</f>
        <v/>
      </c>
      <c r="F2145" s="7" t="str">
        <f>IF(Plantilla_SCAN_EQ3_COUNT_2[[#This Row],[ID MATERIAL]]="","",IF(Plantilla_SCAN_EQ3_COUNT_2[[#This Row],[No. Empaques]]="",1,Plantilla_SCAN_EQ3_COUNT_2[[#This Row],[No. Empaques]]*1))</f>
        <v/>
      </c>
      <c r="G2145" s="7" t="str">
        <f>IF(Plantilla_SCAN_EQ3_COUNT_2[[#This Row],[ID MATERIAL]]="","","PZ")</f>
        <v/>
      </c>
      <c r="H2145" s="7" t="str">
        <f>IF(Plantilla_SCAN_EQ3_COUNT_2[[#This Row],[ID MATERIAL]]="","",$B$13)</f>
        <v/>
      </c>
      <c r="I2145" s="7" t="str">
        <f>IF(Plantilla_SCAN_EQ3_COUNT_2[[#This Row],[ID MATERIAL]]="","","Segundo Conteo")</f>
        <v/>
      </c>
    </row>
    <row r="2146" spans="1:9" s="7" customFormat="1" ht="15" x14ac:dyDescent="0.2">
      <c r="A2146" s="7" t="str">
        <f>IF(Plantilla_SCAN_EQ3_COUNT_2[[#This Row],[ID MATERIAL]]="","",SIGN(Plantilla_SCAN_EQ3_COUNT_2[[#This Row],[Cantidad]])+A2145)</f>
        <v/>
      </c>
      <c r="B2146" s="21" t="str">
        <f>IF(Plantilla_SCAN_EQ3_COUNT_2[[#This Row],[ID MATERIAL]]="","",B2145)</f>
        <v/>
      </c>
      <c r="C2146" s="21"/>
      <c r="D2146" s="21"/>
      <c r="E2146" s="7" t="str">
        <f>IF(Plantilla_SCAN_EQ3_COUNT_2[[#This Row],[ID MATERIAL]]="","",VLOOKUP(Plantilla_SCAN_EQ3_COUNT_2[[#This Row],[ID MATERIAL]],INVENTARIO!$A:$D,2,FALSE))</f>
        <v/>
      </c>
      <c r="F2146" s="7" t="str">
        <f>IF(Plantilla_SCAN_EQ3_COUNT_2[[#This Row],[ID MATERIAL]]="","",IF(Plantilla_SCAN_EQ3_COUNT_2[[#This Row],[No. Empaques]]="",1,Plantilla_SCAN_EQ3_COUNT_2[[#This Row],[No. Empaques]]*1))</f>
        <v/>
      </c>
      <c r="G2146" s="7" t="str">
        <f>IF(Plantilla_SCAN_EQ3_COUNT_2[[#This Row],[ID MATERIAL]]="","","PZ")</f>
        <v/>
      </c>
      <c r="H2146" s="7" t="str">
        <f>IF(Plantilla_SCAN_EQ3_COUNT_2[[#This Row],[ID MATERIAL]]="","",$B$13)</f>
        <v/>
      </c>
      <c r="I2146" s="7" t="str">
        <f>IF(Plantilla_SCAN_EQ3_COUNT_2[[#This Row],[ID MATERIAL]]="","","Segundo Conteo")</f>
        <v/>
      </c>
    </row>
    <row r="2147" spans="1:9" s="7" customFormat="1" ht="15" x14ac:dyDescent="0.2">
      <c r="A2147" s="7" t="str">
        <f>IF(Plantilla_SCAN_EQ3_COUNT_2[[#This Row],[ID MATERIAL]]="","",SIGN(Plantilla_SCAN_EQ3_COUNT_2[[#This Row],[Cantidad]])+A2146)</f>
        <v/>
      </c>
      <c r="B2147" s="21" t="str">
        <f>IF(Plantilla_SCAN_EQ3_COUNT_2[[#This Row],[ID MATERIAL]]="","",B2146)</f>
        <v/>
      </c>
      <c r="C2147" s="21"/>
      <c r="D2147" s="21"/>
      <c r="E2147" s="7" t="str">
        <f>IF(Plantilla_SCAN_EQ3_COUNT_2[[#This Row],[ID MATERIAL]]="","",VLOOKUP(Plantilla_SCAN_EQ3_COUNT_2[[#This Row],[ID MATERIAL]],INVENTARIO!$A:$D,2,FALSE))</f>
        <v/>
      </c>
      <c r="F2147" s="7" t="str">
        <f>IF(Plantilla_SCAN_EQ3_COUNT_2[[#This Row],[ID MATERIAL]]="","",IF(Plantilla_SCAN_EQ3_COUNT_2[[#This Row],[No. Empaques]]="",1,Plantilla_SCAN_EQ3_COUNT_2[[#This Row],[No. Empaques]]*1))</f>
        <v/>
      </c>
      <c r="G2147" s="7" t="str">
        <f>IF(Plantilla_SCAN_EQ3_COUNT_2[[#This Row],[ID MATERIAL]]="","","PZ")</f>
        <v/>
      </c>
      <c r="H2147" s="7" t="str">
        <f>IF(Plantilla_SCAN_EQ3_COUNT_2[[#This Row],[ID MATERIAL]]="","",$B$13)</f>
        <v/>
      </c>
      <c r="I2147" s="7" t="str">
        <f>IF(Plantilla_SCAN_EQ3_COUNT_2[[#This Row],[ID MATERIAL]]="","","Segundo Conteo")</f>
        <v/>
      </c>
    </row>
    <row r="2148" spans="1:9" s="7" customFormat="1" ht="15" x14ac:dyDescent="0.2">
      <c r="A2148" s="7" t="str">
        <f>IF(Plantilla_SCAN_EQ3_COUNT_2[[#This Row],[ID MATERIAL]]="","",SIGN(Plantilla_SCAN_EQ3_COUNT_2[[#This Row],[Cantidad]])+A2147)</f>
        <v/>
      </c>
      <c r="B2148" s="21" t="str">
        <f>IF(Plantilla_SCAN_EQ3_COUNT_2[[#This Row],[ID MATERIAL]]="","",B2147)</f>
        <v/>
      </c>
      <c r="C2148" s="21"/>
      <c r="D2148" s="21"/>
      <c r="E2148" s="7" t="str">
        <f>IF(Plantilla_SCAN_EQ3_COUNT_2[[#This Row],[ID MATERIAL]]="","",VLOOKUP(Plantilla_SCAN_EQ3_COUNT_2[[#This Row],[ID MATERIAL]],INVENTARIO!$A:$D,2,FALSE))</f>
        <v/>
      </c>
      <c r="F2148" s="7" t="str">
        <f>IF(Plantilla_SCAN_EQ3_COUNT_2[[#This Row],[ID MATERIAL]]="","",IF(Plantilla_SCAN_EQ3_COUNT_2[[#This Row],[No. Empaques]]="",1,Plantilla_SCAN_EQ3_COUNT_2[[#This Row],[No. Empaques]]*1))</f>
        <v/>
      </c>
      <c r="G2148" s="7" t="str">
        <f>IF(Plantilla_SCAN_EQ3_COUNT_2[[#This Row],[ID MATERIAL]]="","","PZ")</f>
        <v/>
      </c>
      <c r="H2148" s="7" t="str">
        <f>IF(Plantilla_SCAN_EQ3_COUNT_2[[#This Row],[ID MATERIAL]]="","",$B$13)</f>
        <v/>
      </c>
      <c r="I2148" s="7" t="str">
        <f>IF(Plantilla_SCAN_EQ3_COUNT_2[[#This Row],[ID MATERIAL]]="","","Segundo Conteo")</f>
        <v/>
      </c>
    </row>
    <row r="2149" spans="1:9" s="7" customFormat="1" ht="15" x14ac:dyDescent="0.2">
      <c r="A2149" s="7" t="str">
        <f>IF(Plantilla_SCAN_EQ3_COUNT_2[[#This Row],[ID MATERIAL]]="","",SIGN(Plantilla_SCAN_EQ3_COUNT_2[[#This Row],[Cantidad]])+A2148)</f>
        <v/>
      </c>
      <c r="B2149" s="21" t="str">
        <f>IF(Plantilla_SCAN_EQ3_COUNT_2[[#This Row],[ID MATERIAL]]="","",B2148)</f>
        <v/>
      </c>
      <c r="C2149" s="21"/>
      <c r="D2149" s="21"/>
      <c r="E2149" s="7" t="str">
        <f>IF(Plantilla_SCAN_EQ3_COUNT_2[[#This Row],[ID MATERIAL]]="","",VLOOKUP(Plantilla_SCAN_EQ3_COUNT_2[[#This Row],[ID MATERIAL]],INVENTARIO!$A:$D,2,FALSE))</f>
        <v/>
      </c>
      <c r="F2149" s="7" t="str">
        <f>IF(Plantilla_SCAN_EQ3_COUNT_2[[#This Row],[ID MATERIAL]]="","",IF(Plantilla_SCAN_EQ3_COUNT_2[[#This Row],[No. Empaques]]="",1,Plantilla_SCAN_EQ3_COUNT_2[[#This Row],[No. Empaques]]*1))</f>
        <v/>
      </c>
      <c r="G2149" s="7" t="str">
        <f>IF(Plantilla_SCAN_EQ3_COUNT_2[[#This Row],[ID MATERIAL]]="","","PZ")</f>
        <v/>
      </c>
      <c r="H2149" s="7" t="str">
        <f>IF(Plantilla_SCAN_EQ3_COUNT_2[[#This Row],[ID MATERIAL]]="","",$B$13)</f>
        <v/>
      </c>
      <c r="I2149" s="7" t="str">
        <f>IF(Plantilla_SCAN_EQ3_COUNT_2[[#This Row],[ID MATERIAL]]="","","Segundo Conteo")</f>
        <v/>
      </c>
    </row>
    <row r="2150" spans="1:9" s="7" customFormat="1" ht="15" x14ac:dyDescent="0.2">
      <c r="A2150" s="7" t="str">
        <f>IF(Plantilla_SCAN_EQ3_COUNT_2[[#This Row],[ID MATERIAL]]="","",SIGN(Plantilla_SCAN_EQ3_COUNT_2[[#This Row],[Cantidad]])+A2149)</f>
        <v/>
      </c>
      <c r="B2150" s="21" t="str">
        <f>IF(Plantilla_SCAN_EQ3_COUNT_2[[#This Row],[ID MATERIAL]]="","",B2149)</f>
        <v/>
      </c>
      <c r="C2150" s="21"/>
      <c r="D2150" s="21"/>
      <c r="E2150" s="7" t="str">
        <f>IF(Plantilla_SCAN_EQ3_COUNT_2[[#This Row],[ID MATERIAL]]="","",VLOOKUP(Plantilla_SCAN_EQ3_COUNT_2[[#This Row],[ID MATERIAL]],INVENTARIO!$A:$D,2,FALSE))</f>
        <v/>
      </c>
      <c r="F2150" s="7" t="str">
        <f>IF(Plantilla_SCAN_EQ3_COUNT_2[[#This Row],[ID MATERIAL]]="","",IF(Plantilla_SCAN_EQ3_COUNT_2[[#This Row],[No. Empaques]]="",1,Plantilla_SCAN_EQ3_COUNT_2[[#This Row],[No. Empaques]]*1))</f>
        <v/>
      </c>
      <c r="G2150" s="7" t="str">
        <f>IF(Plantilla_SCAN_EQ3_COUNT_2[[#This Row],[ID MATERIAL]]="","","PZ")</f>
        <v/>
      </c>
      <c r="H2150" s="7" t="str">
        <f>IF(Plantilla_SCAN_EQ3_COUNT_2[[#This Row],[ID MATERIAL]]="","",$B$13)</f>
        <v/>
      </c>
      <c r="I2150" s="7" t="str">
        <f>IF(Plantilla_SCAN_EQ3_COUNT_2[[#This Row],[ID MATERIAL]]="","","Segundo Conteo")</f>
        <v/>
      </c>
    </row>
    <row r="2151" spans="1:9" s="7" customFormat="1" ht="15" x14ac:dyDescent="0.2">
      <c r="A2151" s="7" t="str">
        <f>IF(Plantilla_SCAN_EQ3_COUNT_2[[#This Row],[ID MATERIAL]]="","",SIGN(Plantilla_SCAN_EQ3_COUNT_2[[#This Row],[Cantidad]])+A2150)</f>
        <v/>
      </c>
      <c r="B2151" s="21" t="str">
        <f>IF(Plantilla_SCAN_EQ3_COUNT_2[[#This Row],[ID MATERIAL]]="","",B2150)</f>
        <v/>
      </c>
      <c r="C2151" s="21"/>
      <c r="D2151" s="21"/>
      <c r="E2151" s="7" t="str">
        <f>IF(Plantilla_SCAN_EQ3_COUNT_2[[#This Row],[ID MATERIAL]]="","",VLOOKUP(Plantilla_SCAN_EQ3_COUNT_2[[#This Row],[ID MATERIAL]],INVENTARIO!$A:$D,2,FALSE))</f>
        <v/>
      </c>
      <c r="F2151" s="7" t="str">
        <f>IF(Plantilla_SCAN_EQ3_COUNT_2[[#This Row],[ID MATERIAL]]="","",IF(Plantilla_SCAN_EQ3_COUNT_2[[#This Row],[No. Empaques]]="",1,Plantilla_SCAN_EQ3_COUNT_2[[#This Row],[No. Empaques]]*1))</f>
        <v/>
      </c>
      <c r="G2151" s="7" t="str">
        <f>IF(Plantilla_SCAN_EQ3_COUNT_2[[#This Row],[ID MATERIAL]]="","","PZ")</f>
        <v/>
      </c>
      <c r="H2151" s="7" t="str">
        <f>IF(Plantilla_SCAN_EQ3_COUNT_2[[#This Row],[ID MATERIAL]]="","",$B$13)</f>
        <v/>
      </c>
      <c r="I2151" s="7" t="str">
        <f>IF(Plantilla_SCAN_EQ3_COUNT_2[[#This Row],[ID MATERIAL]]="","","Segundo Conteo")</f>
        <v/>
      </c>
    </row>
    <row r="2152" spans="1:9" s="7" customFormat="1" ht="15" x14ac:dyDescent="0.2">
      <c r="A2152" s="7" t="str">
        <f>IF(Plantilla_SCAN_EQ3_COUNT_2[[#This Row],[ID MATERIAL]]="","",SIGN(Plantilla_SCAN_EQ3_COUNT_2[[#This Row],[Cantidad]])+A2151)</f>
        <v/>
      </c>
      <c r="B2152" s="21" t="str">
        <f>IF(Plantilla_SCAN_EQ3_COUNT_2[[#This Row],[ID MATERIAL]]="","",B2151)</f>
        <v/>
      </c>
      <c r="C2152" s="21"/>
      <c r="D2152" s="21"/>
      <c r="E2152" s="7" t="str">
        <f>IF(Plantilla_SCAN_EQ3_COUNT_2[[#This Row],[ID MATERIAL]]="","",VLOOKUP(Plantilla_SCAN_EQ3_COUNT_2[[#This Row],[ID MATERIAL]],INVENTARIO!$A:$D,2,FALSE))</f>
        <v/>
      </c>
      <c r="F2152" s="7" t="str">
        <f>IF(Plantilla_SCAN_EQ3_COUNT_2[[#This Row],[ID MATERIAL]]="","",IF(Plantilla_SCAN_EQ3_COUNT_2[[#This Row],[No. Empaques]]="",1,Plantilla_SCAN_EQ3_COUNT_2[[#This Row],[No. Empaques]]*1))</f>
        <v/>
      </c>
      <c r="G2152" s="7" t="str">
        <f>IF(Plantilla_SCAN_EQ3_COUNT_2[[#This Row],[ID MATERIAL]]="","","PZ")</f>
        <v/>
      </c>
      <c r="H2152" s="7" t="str">
        <f>IF(Plantilla_SCAN_EQ3_COUNT_2[[#This Row],[ID MATERIAL]]="","",$B$13)</f>
        <v/>
      </c>
      <c r="I2152" s="7" t="str">
        <f>IF(Plantilla_SCAN_EQ3_COUNT_2[[#This Row],[ID MATERIAL]]="","","Segundo Conteo")</f>
        <v/>
      </c>
    </row>
    <row r="2153" spans="1:9" s="7" customFormat="1" ht="15" x14ac:dyDescent="0.2">
      <c r="A2153" s="7" t="str">
        <f>IF(Plantilla_SCAN_EQ3_COUNT_2[[#This Row],[ID MATERIAL]]="","",SIGN(Plantilla_SCAN_EQ3_COUNT_2[[#This Row],[Cantidad]])+A2152)</f>
        <v/>
      </c>
      <c r="B2153" s="21" t="str">
        <f>IF(Plantilla_SCAN_EQ3_COUNT_2[[#This Row],[ID MATERIAL]]="","",B2152)</f>
        <v/>
      </c>
      <c r="C2153" s="21"/>
      <c r="D2153" s="21"/>
      <c r="E2153" s="7" t="str">
        <f>IF(Plantilla_SCAN_EQ3_COUNT_2[[#This Row],[ID MATERIAL]]="","",VLOOKUP(Plantilla_SCAN_EQ3_COUNT_2[[#This Row],[ID MATERIAL]],INVENTARIO!$A:$D,2,FALSE))</f>
        <v/>
      </c>
      <c r="F2153" s="7" t="str">
        <f>IF(Plantilla_SCAN_EQ3_COUNT_2[[#This Row],[ID MATERIAL]]="","",IF(Plantilla_SCAN_EQ3_COUNT_2[[#This Row],[No. Empaques]]="",1,Plantilla_SCAN_EQ3_COUNT_2[[#This Row],[No. Empaques]]*1))</f>
        <v/>
      </c>
      <c r="G2153" s="7" t="str">
        <f>IF(Plantilla_SCAN_EQ3_COUNT_2[[#This Row],[ID MATERIAL]]="","","PZ")</f>
        <v/>
      </c>
      <c r="H2153" s="7" t="str">
        <f>IF(Plantilla_SCAN_EQ3_COUNT_2[[#This Row],[ID MATERIAL]]="","",$B$13)</f>
        <v/>
      </c>
      <c r="I2153" s="7" t="str">
        <f>IF(Plantilla_SCAN_EQ3_COUNT_2[[#This Row],[ID MATERIAL]]="","","Segundo Conteo")</f>
        <v/>
      </c>
    </row>
    <row r="2154" spans="1:9" s="7" customFormat="1" ht="15" x14ac:dyDescent="0.2">
      <c r="A2154" s="7" t="str">
        <f>IF(Plantilla_SCAN_EQ3_COUNT_2[[#This Row],[ID MATERIAL]]="","",SIGN(Plantilla_SCAN_EQ3_COUNT_2[[#This Row],[Cantidad]])+A2153)</f>
        <v/>
      </c>
      <c r="B2154" s="21" t="str">
        <f>IF(Plantilla_SCAN_EQ3_COUNT_2[[#This Row],[ID MATERIAL]]="","",B2153)</f>
        <v/>
      </c>
      <c r="C2154" s="21"/>
      <c r="D2154" s="21"/>
      <c r="E2154" s="7" t="str">
        <f>IF(Plantilla_SCAN_EQ3_COUNT_2[[#This Row],[ID MATERIAL]]="","",VLOOKUP(Plantilla_SCAN_EQ3_COUNT_2[[#This Row],[ID MATERIAL]],INVENTARIO!$A:$D,2,FALSE))</f>
        <v/>
      </c>
      <c r="F2154" s="7" t="str">
        <f>IF(Plantilla_SCAN_EQ3_COUNT_2[[#This Row],[ID MATERIAL]]="","",IF(Plantilla_SCAN_EQ3_COUNT_2[[#This Row],[No. Empaques]]="",1,Plantilla_SCAN_EQ3_COUNT_2[[#This Row],[No. Empaques]]*1))</f>
        <v/>
      </c>
      <c r="G2154" s="7" t="str">
        <f>IF(Plantilla_SCAN_EQ3_COUNT_2[[#This Row],[ID MATERIAL]]="","","PZ")</f>
        <v/>
      </c>
      <c r="H2154" s="7" t="str">
        <f>IF(Plantilla_SCAN_EQ3_COUNT_2[[#This Row],[ID MATERIAL]]="","",$B$13)</f>
        <v/>
      </c>
      <c r="I2154" s="7" t="str">
        <f>IF(Plantilla_SCAN_EQ3_COUNT_2[[#This Row],[ID MATERIAL]]="","","Segundo Conteo")</f>
        <v/>
      </c>
    </row>
    <row r="2155" spans="1:9" s="7" customFormat="1" ht="15" x14ac:dyDescent="0.2">
      <c r="A2155" s="7" t="str">
        <f>IF(Plantilla_SCAN_EQ3_COUNT_2[[#This Row],[ID MATERIAL]]="","",SIGN(Plantilla_SCAN_EQ3_COUNT_2[[#This Row],[Cantidad]])+A2154)</f>
        <v/>
      </c>
      <c r="B2155" s="21" t="str">
        <f>IF(Plantilla_SCAN_EQ3_COUNT_2[[#This Row],[ID MATERIAL]]="","",B2154)</f>
        <v/>
      </c>
      <c r="C2155" s="21"/>
      <c r="D2155" s="21"/>
      <c r="E2155" s="7" t="str">
        <f>IF(Plantilla_SCAN_EQ3_COUNT_2[[#This Row],[ID MATERIAL]]="","",VLOOKUP(Plantilla_SCAN_EQ3_COUNT_2[[#This Row],[ID MATERIAL]],INVENTARIO!$A:$D,2,FALSE))</f>
        <v/>
      </c>
      <c r="F2155" s="7" t="str">
        <f>IF(Plantilla_SCAN_EQ3_COUNT_2[[#This Row],[ID MATERIAL]]="","",IF(Plantilla_SCAN_EQ3_COUNT_2[[#This Row],[No. Empaques]]="",1,Plantilla_SCAN_EQ3_COUNT_2[[#This Row],[No. Empaques]]*1))</f>
        <v/>
      </c>
      <c r="G2155" s="7" t="str">
        <f>IF(Plantilla_SCAN_EQ3_COUNT_2[[#This Row],[ID MATERIAL]]="","","PZ")</f>
        <v/>
      </c>
      <c r="H2155" s="7" t="str">
        <f>IF(Plantilla_SCAN_EQ3_COUNT_2[[#This Row],[ID MATERIAL]]="","",$B$13)</f>
        <v/>
      </c>
      <c r="I2155" s="7" t="str">
        <f>IF(Plantilla_SCAN_EQ3_COUNT_2[[#This Row],[ID MATERIAL]]="","","Segundo Conteo")</f>
        <v/>
      </c>
    </row>
    <row r="2156" spans="1:9" s="7" customFormat="1" ht="15" x14ac:dyDescent="0.2">
      <c r="A2156" s="7" t="str">
        <f>IF(Plantilla_SCAN_EQ3_COUNT_2[[#This Row],[ID MATERIAL]]="","",SIGN(Plantilla_SCAN_EQ3_COUNT_2[[#This Row],[Cantidad]])+A2155)</f>
        <v/>
      </c>
      <c r="B2156" s="21" t="str">
        <f>IF(Plantilla_SCAN_EQ3_COUNT_2[[#This Row],[ID MATERIAL]]="","",B2155)</f>
        <v/>
      </c>
      <c r="C2156" s="21"/>
      <c r="D2156" s="21"/>
      <c r="E2156" s="7" t="str">
        <f>IF(Plantilla_SCAN_EQ3_COUNT_2[[#This Row],[ID MATERIAL]]="","",VLOOKUP(Plantilla_SCAN_EQ3_COUNT_2[[#This Row],[ID MATERIAL]],INVENTARIO!$A:$D,2,FALSE))</f>
        <v/>
      </c>
      <c r="F2156" s="7" t="str">
        <f>IF(Plantilla_SCAN_EQ3_COUNT_2[[#This Row],[ID MATERIAL]]="","",IF(Plantilla_SCAN_EQ3_COUNT_2[[#This Row],[No. Empaques]]="",1,Plantilla_SCAN_EQ3_COUNT_2[[#This Row],[No. Empaques]]*1))</f>
        <v/>
      </c>
      <c r="G2156" s="7" t="str">
        <f>IF(Plantilla_SCAN_EQ3_COUNT_2[[#This Row],[ID MATERIAL]]="","","PZ")</f>
        <v/>
      </c>
      <c r="H2156" s="7" t="str">
        <f>IF(Plantilla_SCAN_EQ3_COUNT_2[[#This Row],[ID MATERIAL]]="","",$B$13)</f>
        <v/>
      </c>
      <c r="I2156" s="7" t="str">
        <f>IF(Plantilla_SCAN_EQ3_COUNT_2[[#This Row],[ID MATERIAL]]="","","Segundo Conteo")</f>
        <v/>
      </c>
    </row>
    <row r="2157" spans="1:9" s="7" customFormat="1" ht="15" x14ac:dyDescent="0.2">
      <c r="A2157" s="7" t="str">
        <f>IF(Plantilla_SCAN_EQ3_COUNT_2[[#This Row],[ID MATERIAL]]="","",SIGN(Plantilla_SCAN_EQ3_COUNT_2[[#This Row],[Cantidad]])+A2156)</f>
        <v/>
      </c>
      <c r="B2157" s="21" t="str">
        <f>IF(Plantilla_SCAN_EQ3_COUNT_2[[#This Row],[ID MATERIAL]]="","",B2156)</f>
        <v/>
      </c>
      <c r="C2157" s="21"/>
      <c r="D2157" s="21"/>
      <c r="E2157" s="7" t="str">
        <f>IF(Plantilla_SCAN_EQ3_COUNT_2[[#This Row],[ID MATERIAL]]="","",VLOOKUP(Plantilla_SCAN_EQ3_COUNT_2[[#This Row],[ID MATERIAL]],INVENTARIO!$A:$D,2,FALSE))</f>
        <v/>
      </c>
      <c r="F2157" s="7" t="str">
        <f>IF(Plantilla_SCAN_EQ3_COUNT_2[[#This Row],[ID MATERIAL]]="","",IF(Plantilla_SCAN_EQ3_COUNT_2[[#This Row],[No. Empaques]]="",1,Plantilla_SCAN_EQ3_COUNT_2[[#This Row],[No. Empaques]]*1))</f>
        <v/>
      </c>
      <c r="G2157" s="7" t="str">
        <f>IF(Plantilla_SCAN_EQ3_COUNT_2[[#This Row],[ID MATERIAL]]="","","PZ")</f>
        <v/>
      </c>
      <c r="H2157" s="7" t="str">
        <f>IF(Plantilla_SCAN_EQ3_COUNT_2[[#This Row],[ID MATERIAL]]="","",$B$13)</f>
        <v/>
      </c>
      <c r="I2157" s="7" t="str">
        <f>IF(Plantilla_SCAN_EQ3_COUNT_2[[#This Row],[ID MATERIAL]]="","","Segundo Conteo")</f>
        <v/>
      </c>
    </row>
    <row r="2158" spans="1:9" s="7" customFormat="1" ht="15" x14ac:dyDescent="0.2">
      <c r="A2158" s="7" t="str">
        <f>IF(Plantilla_SCAN_EQ3_COUNT_2[[#This Row],[ID MATERIAL]]="","",SIGN(Plantilla_SCAN_EQ3_COUNT_2[[#This Row],[Cantidad]])+A2157)</f>
        <v/>
      </c>
      <c r="B2158" s="21" t="str">
        <f>IF(Plantilla_SCAN_EQ3_COUNT_2[[#This Row],[ID MATERIAL]]="","",B2157)</f>
        <v/>
      </c>
      <c r="C2158" s="21"/>
      <c r="D2158" s="21"/>
      <c r="E2158" s="7" t="str">
        <f>IF(Plantilla_SCAN_EQ3_COUNT_2[[#This Row],[ID MATERIAL]]="","",VLOOKUP(Plantilla_SCAN_EQ3_COUNT_2[[#This Row],[ID MATERIAL]],INVENTARIO!$A:$D,2,FALSE))</f>
        <v/>
      </c>
      <c r="F2158" s="7" t="str">
        <f>IF(Plantilla_SCAN_EQ3_COUNT_2[[#This Row],[ID MATERIAL]]="","",IF(Plantilla_SCAN_EQ3_COUNT_2[[#This Row],[No. Empaques]]="",1,Plantilla_SCAN_EQ3_COUNT_2[[#This Row],[No. Empaques]]*1))</f>
        <v/>
      </c>
      <c r="G2158" s="7" t="str">
        <f>IF(Plantilla_SCAN_EQ3_COUNT_2[[#This Row],[ID MATERIAL]]="","","PZ")</f>
        <v/>
      </c>
      <c r="H2158" s="7" t="str">
        <f>IF(Plantilla_SCAN_EQ3_COUNT_2[[#This Row],[ID MATERIAL]]="","",$B$13)</f>
        <v/>
      </c>
      <c r="I2158" s="7" t="str">
        <f>IF(Plantilla_SCAN_EQ3_COUNT_2[[#This Row],[ID MATERIAL]]="","","Segundo Conteo")</f>
        <v/>
      </c>
    </row>
    <row r="2159" spans="1:9" s="7" customFormat="1" ht="15" x14ac:dyDescent="0.2">
      <c r="A2159" s="7" t="str">
        <f>IF(Plantilla_SCAN_EQ3_COUNT_2[[#This Row],[ID MATERIAL]]="","",SIGN(Plantilla_SCAN_EQ3_COUNT_2[[#This Row],[Cantidad]])+A2158)</f>
        <v/>
      </c>
      <c r="B2159" s="21" t="str">
        <f>IF(Plantilla_SCAN_EQ3_COUNT_2[[#This Row],[ID MATERIAL]]="","",B2158)</f>
        <v/>
      </c>
      <c r="C2159" s="21"/>
      <c r="D2159" s="21"/>
      <c r="E2159" s="7" t="str">
        <f>IF(Plantilla_SCAN_EQ3_COUNT_2[[#This Row],[ID MATERIAL]]="","",VLOOKUP(Plantilla_SCAN_EQ3_COUNT_2[[#This Row],[ID MATERIAL]],INVENTARIO!$A:$D,2,FALSE))</f>
        <v/>
      </c>
      <c r="F2159" s="7" t="str">
        <f>IF(Plantilla_SCAN_EQ3_COUNT_2[[#This Row],[ID MATERIAL]]="","",IF(Plantilla_SCAN_EQ3_COUNT_2[[#This Row],[No. Empaques]]="",1,Plantilla_SCAN_EQ3_COUNT_2[[#This Row],[No. Empaques]]*1))</f>
        <v/>
      </c>
      <c r="G2159" s="7" t="str">
        <f>IF(Plantilla_SCAN_EQ3_COUNT_2[[#This Row],[ID MATERIAL]]="","","PZ")</f>
        <v/>
      </c>
      <c r="H2159" s="7" t="str">
        <f>IF(Plantilla_SCAN_EQ3_COUNT_2[[#This Row],[ID MATERIAL]]="","",$B$13)</f>
        <v/>
      </c>
      <c r="I2159" s="7" t="str">
        <f>IF(Plantilla_SCAN_EQ3_COUNT_2[[#This Row],[ID MATERIAL]]="","","Segundo Conteo")</f>
        <v/>
      </c>
    </row>
    <row r="2160" spans="1:9" s="7" customFormat="1" ht="15" x14ac:dyDescent="0.2">
      <c r="A2160" s="7" t="str">
        <f>IF(Plantilla_SCAN_EQ3_COUNT_2[[#This Row],[ID MATERIAL]]="","",SIGN(Plantilla_SCAN_EQ3_COUNT_2[[#This Row],[Cantidad]])+A2159)</f>
        <v/>
      </c>
      <c r="B2160" s="21" t="str">
        <f>IF(Plantilla_SCAN_EQ3_COUNT_2[[#This Row],[ID MATERIAL]]="","",B2159)</f>
        <v/>
      </c>
      <c r="C2160" s="21"/>
      <c r="D2160" s="21"/>
      <c r="E2160" s="7" t="str">
        <f>IF(Plantilla_SCAN_EQ3_COUNT_2[[#This Row],[ID MATERIAL]]="","",VLOOKUP(Plantilla_SCAN_EQ3_COUNT_2[[#This Row],[ID MATERIAL]],INVENTARIO!$A:$D,2,FALSE))</f>
        <v/>
      </c>
      <c r="F2160" s="7" t="str">
        <f>IF(Plantilla_SCAN_EQ3_COUNT_2[[#This Row],[ID MATERIAL]]="","",IF(Plantilla_SCAN_EQ3_COUNT_2[[#This Row],[No. Empaques]]="",1,Plantilla_SCAN_EQ3_COUNT_2[[#This Row],[No. Empaques]]*1))</f>
        <v/>
      </c>
      <c r="G2160" s="7" t="str">
        <f>IF(Plantilla_SCAN_EQ3_COUNT_2[[#This Row],[ID MATERIAL]]="","","PZ")</f>
        <v/>
      </c>
      <c r="H2160" s="7" t="str">
        <f>IF(Plantilla_SCAN_EQ3_COUNT_2[[#This Row],[ID MATERIAL]]="","",$B$13)</f>
        <v/>
      </c>
      <c r="I2160" s="7" t="str">
        <f>IF(Plantilla_SCAN_EQ3_COUNT_2[[#This Row],[ID MATERIAL]]="","","Segundo Conteo")</f>
        <v/>
      </c>
    </row>
    <row r="2161" spans="1:9" s="7" customFormat="1" ht="15" x14ac:dyDescent="0.2">
      <c r="A2161" s="7" t="str">
        <f>IF(Plantilla_SCAN_EQ3_COUNT_2[[#This Row],[ID MATERIAL]]="","",SIGN(Plantilla_SCAN_EQ3_COUNT_2[[#This Row],[Cantidad]])+A2160)</f>
        <v/>
      </c>
      <c r="B2161" s="21" t="str">
        <f>IF(Plantilla_SCAN_EQ3_COUNT_2[[#This Row],[ID MATERIAL]]="","",B2160)</f>
        <v/>
      </c>
      <c r="C2161" s="21"/>
      <c r="D2161" s="21"/>
      <c r="E2161" s="7" t="str">
        <f>IF(Plantilla_SCAN_EQ3_COUNT_2[[#This Row],[ID MATERIAL]]="","",VLOOKUP(Plantilla_SCAN_EQ3_COUNT_2[[#This Row],[ID MATERIAL]],INVENTARIO!$A:$D,2,FALSE))</f>
        <v/>
      </c>
      <c r="F2161" s="7" t="str">
        <f>IF(Plantilla_SCAN_EQ3_COUNT_2[[#This Row],[ID MATERIAL]]="","",IF(Plantilla_SCAN_EQ3_COUNT_2[[#This Row],[No. Empaques]]="",1,Plantilla_SCAN_EQ3_COUNT_2[[#This Row],[No. Empaques]]*1))</f>
        <v/>
      </c>
      <c r="G2161" s="7" t="str">
        <f>IF(Plantilla_SCAN_EQ3_COUNT_2[[#This Row],[ID MATERIAL]]="","","PZ")</f>
        <v/>
      </c>
      <c r="H2161" s="7" t="str">
        <f>IF(Plantilla_SCAN_EQ3_COUNT_2[[#This Row],[ID MATERIAL]]="","",$B$13)</f>
        <v/>
      </c>
      <c r="I2161" s="7" t="str">
        <f>IF(Plantilla_SCAN_EQ3_COUNT_2[[#This Row],[ID MATERIAL]]="","","Segundo Conteo")</f>
        <v/>
      </c>
    </row>
    <row r="2162" spans="1:9" s="7" customFormat="1" ht="15" x14ac:dyDescent="0.2">
      <c r="A2162" s="7" t="str">
        <f>IF(Plantilla_SCAN_EQ3_COUNT_2[[#This Row],[ID MATERIAL]]="","",SIGN(Plantilla_SCAN_EQ3_COUNT_2[[#This Row],[Cantidad]])+A2161)</f>
        <v/>
      </c>
      <c r="B2162" s="21" t="str">
        <f>IF(Plantilla_SCAN_EQ3_COUNT_2[[#This Row],[ID MATERIAL]]="","",B2161)</f>
        <v/>
      </c>
      <c r="C2162" s="21"/>
      <c r="D2162" s="21"/>
      <c r="E2162" s="7" t="str">
        <f>IF(Plantilla_SCAN_EQ3_COUNT_2[[#This Row],[ID MATERIAL]]="","",VLOOKUP(Plantilla_SCAN_EQ3_COUNT_2[[#This Row],[ID MATERIAL]],INVENTARIO!$A:$D,2,FALSE))</f>
        <v/>
      </c>
      <c r="F2162" s="7" t="str">
        <f>IF(Plantilla_SCAN_EQ3_COUNT_2[[#This Row],[ID MATERIAL]]="","",IF(Plantilla_SCAN_EQ3_COUNT_2[[#This Row],[No. Empaques]]="",1,Plantilla_SCAN_EQ3_COUNT_2[[#This Row],[No. Empaques]]*1))</f>
        <v/>
      </c>
      <c r="G2162" s="7" t="str">
        <f>IF(Plantilla_SCAN_EQ3_COUNT_2[[#This Row],[ID MATERIAL]]="","","PZ")</f>
        <v/>
      </c>
      <c r="H2162" s="7" t="str">
        <f>IF(Plantilla_SCAN_EQ3_COUNT_2[[#This Row],[ID MATERIAL]]="","",$B$13)</f>
        <v/>
      </c>
      <c r="I2162" s="7" t="str">
        <f>IF(Plantilla_SCAN_EQ3_COUNT_2[[#This Row],[ID MATERIAL]]="","","Segundo Conteo")</f>
        <v/>
      </c>
    </row>
    <row r="2163" spans="1:9" s="7" customFormat="1" ht="15" x14ac:dyDescent="0.2">
      <c r="A2163" s="7" t="str">
        <f>IF(Plantilla_SCAN_EQ3_COUNT_2[[#This Row],[ID MATERIAL]]="","",SIGN(Plantilla_SCAN_EQ3_COUNT_2[[#This Row],[Cantidad]])+A2162)</f>
        <v/>
      </c>
      <c r="B2163" s="21" t="str">
        <f>IF(Plantilla_SCAN_EQ3_COUNT_2[[#This Row],[ID MATERIAL]]="","",B2162)</f>
        <v/>
      </c>
      <c r="C2163" s="21"/>
      <c r="D2163" s="21"/>
      <c r="E2163" s="7" t="str">
        <f>IF(Plantilla_SCAN_EQ3_COUNT_2[[#This Row],[ID MATERIAL]]="","",VLOOKUP(Plantilla_SCAN_EQ3_COUNT_2[[#This Row],[ID MATERIAL]],INVENTARIO!$A:$D,2,FALSE))</f>
        <v/>
      </c>
      <c r="F2163" s="7" t="str">
        <f>IF(Plantilla_SCAN_EQ3_COUNT_2[[#This Row],[ID MATERIAL]]="","",IF(Plantilla_SCAN_EQ3_COUNT_2[[#This Row],[No. Empaques]]="",1,Plantilla_SCAN_EQ3_COUNT_2[[#This Row],[No. Empaques]]*1))</f>
        <v/>
      </c>
      <c r="G2163" s="7" t="str">
        <f>IF(Plantilla_SCAN_EQ3_COUNT_2[[#This Row],[ID MATERIAL]]="","","PZ")</f>
        <v/>
      </c>
      <c r="H2163" s="7" t="str">
        <f>IF(Plantilla_SCAN_EQ3_COUNT_2[[#This Row],[ID MATERIAL]]="","",$B$13)</f>
        <v/>
      </c>
      <c r="I2163" s="7" t="str">
        <f>IF(Plantilla_SCAN_EQ3_COUNT_2[[#This Row],[ID MATERIAL]]="","","Segundo Conteo")</f>
        <v/>
      </c>
    </row>
    <row r="2164" spans="1:9" s="7" customFormat="1" ht="15" x14ac:dyDescent="0.2">
      <c r="A2164" s="7" t="str">
        <f>IF(Plantilla_SCAN_EQ3_COUNT_2[[#This Row],[ID MATERIAL]]="","",SIGN(Plantilla_SCAN_EQ3_COUNT_2[[#This Row],[Cantidad]])+A2163)</f>
        <v/>
      </c>
      <c r="B2164" s="21" t="str">
        <f>IF(Plantilla_SCAN_EQ3_COUNT_2[[#This Row],[ID MATERIAL]]="","",B2163)</f>
        <v/>
      </c>
      <c r="C2164" s="21"/>
      <c r="D2164" s="21"/>
      <c r="E2164" s="7" t="str">
        <f>IF(Plantilla_SCAN_EQ3_COUNT_2[[#This Row],[ID MATERIAL]]="","",VLOOKUP(Plantilla_SCAN_EQ3_COUNT_2[[#This Row],[ID MATERIAL]],INVENTARIO!$A:$D,2,FALSE))</f>
        <v/>
      </c>
      <c r="F2164" s="7" t="str">
        <f>IF(Plantilla_SCAN_EQ3_COUNT_2[[#This Row],[ID MATERIAL]]="","",IF(Plantilla_SCAN_EQ3_COUNT_2[[#This Row],[No. Empaques]]="",1,Plantilla_SCAN_EQ3_COUNT_2[[#This Row],[No. Empaques]]*1))</f>
        <v/>
      </c>
      <c r="G2164" s="7" t="str">
        <f>IF(Plantilla_SCAN_EQ3_COUNT_2[[#This Row],[ID MATERIAL]]="","","PZ")</f>
        <v/>
      </c>
      <c r="H2164" s="7" t="str">
        <f>IF(Plantilla_SCAN_EQ3_COUNT_2[[#This Row],[ID MATERIAL]]="","",$B$13)</f>
        <v/>
      </c>
      <c r="I2164" s="7" t="str">
        <f>IF(Plantilla_SCAN_EQ3_COUNT_2[[#This Row],[ID MATERIAL]]="","","Segundo Conteo")</f>
        <v/>
      </c>
    </row>
    <row r="2165" spans="1:9" s="7" customFormat="1" ht="15" x14ac:dyDescent="0.2">
      <c r="A2165" s="7" t="str">
        <f>IF(Plantilla_SCAN_EQ3_COUNT_2[[#This Row],[ID MATERIAL]]="","",SIGN(Plantilla_SCAN_EQ3_COUNT_2[[#This Row],[Cantidad]])+A2164)</f>
        <v/>
      </c>
      <c r="B2165" s="21" t="str">
        <f>IF(Plantilla_SCAN_EQ3_COUNT_2[[#This Row],[ID MATERIAL]]="","",B2164)</f>
        <v/>
      </c>
      <c r="C2165" s="21"/>
      <c r="D2165" s="21"/>
      <c r="E2165" s="7" t="str">
        <f>IF(Plantilla_SCAN_EQ3_COUNT_2[[#This Row],[ID MATERIAL]]="","",VLOOKUP(Plantilla_SCAN_EQ3_COUNT_2[[#This Row],[ID MATERIAL]],INVENTARIO!$A:$D,2,FALSE))</f>
        <v/>
      </c>
      <c r="F2165" s="7" t="str">
        <f>IF(Plantilla_SCAN_EQ3_COUNT_2[[#This Row],[ID MATERIAL]]="","",IF(Plantilla_SCAN_EQ3_COUNT_2[[#This Row],[No. Empaques]]="",1,Plantilla_SCAN_EQ3_COUNT_2[[#This Row],[No. Empaques]]*1))</f>
        <v/>
      </c>
      <c r="G2165" s="7" t="str">
        <f>IF(Plantilla_SCAN_EQ3_COUNT_2[[#This Row],[ID MATERIAL]]="","","PZ")</f>
        <v/>
      </c>
      <c r="H2165" s="7" t="str">
        <f>IF(Plantilla_SCAN_EQ3_COUNT_2[[#This Row],[ID MATERIAL]]="","",$B$13)</f>
        <v/>
      </c>
      <c r="I2165" s="7" t="str">
        <f>IF(Plantilla_SCAN_EQ3_COUNT_2[[#This Row],[ID MATERIAL]]="","","Segundo Conteo")</f>
        <v/>
      </c>
    </row>
    <row r="2166" spans="1:9" s="7" customFormat="1" ht="15" x14ac:dyDescent="0.2">
      <c r="A2166" s="7" t="str">
        <f>IF(Plantilla_SCAN_EQ3_COUNT_2[[#This Row],[ID MATERIAL]]="","",SIGN(Plantilla_SCAN_EQ3_COUNT_2[[#This Row],[Cantidad]])+A2165)</f>
        <v/>
      </c>
      <c r="B2166" s="21" t="str">
        <f>IF(Plantilla_SCAN_EQ3_COUNT_2[[#This Row],[ID MATERIAL]]="","",B2165)</f>
        <v/>
      </c>
      <c r="C2166" s="21"/>
      <c r="D2166" s="21"/>
      <c r="E2166" s="7" t="str">
        <f>IF(Plantilla_SCAN_EQ3_COUNT_2[[#This Row],[ID MATERIAL]]="","",VLOOKUP(Plantilla_SCAN_EQ3_COUNT_2[[#This Row],[ID MATERIAL]],INVENTARIO!$A:$D,2,FALSE))</f>
        <v/>
      </c>
      <c r="F2166" s="7" t="str">
        <f>IF(Plantilla_SCAN_EQ3_COUNT_2[[#This Row],[ID MATERIAL]]="","",IF(Plantilla_SCAN_EQ3_COUNT_2[[#This Row],[No. Empaques]]="",1,Plantilla_SCAN_EQ3_COUNT_2[[#This Row],[No. Empaques]]*1))</f>
        <v/>
      </c>
      <c r="G2166" s="7" t="str">
        <f>IF(Plantilla_SCAN_EQ3_COUNT_2[[#This Row],[ID MATERIAL]]="","","PZ")</f>
        <v/>
      </c>
      <c r="H2166" s="7" t="str">
        <f>IF(Plantilla_SCAN_EQ3_COUNT_2[[#This Row],[ID MATERIAL]]="","",$B$13)</f>
        <v/>
      </c>
      <c r="I2166" s="7" t="str">
        <f>IF(Plantilla_SCAN_EQ3_COUNT_2[[#This Row],[ID MATERIAL]]="","","Segundo Conteo")</f>
        <v/>
      </c>
    </row>
    <row r="2167" spans="1:9" s="7" customFormat="1" ht="15" x14ac:dyDescent="0.2">
      <c r="A2167" s="7" t="str">
        <f>IF(Plantilla_SCAN_EQ3_COUNT_2[[#This Row],[ID MATERIAL]]="","",SIGN(Plantilla_SCAN_EQ3_COUNT_2[[#This Row],[Cantidad]])+A2166)</f>
        <v/>
      </c>
      <c r="B2167" s="21" t="str">
        <f>IF(Plantilla_SCAN_EQ3_COUNT_2[[#This Row],[ID MATERIAL]]="","",B2166)</f>
        <v/>
      </c>
      <c r="C2167" s="21"/>
      <c r="D2167" s="21"/>
      <c r="E2167" s="7" t="str">
        <f>IF(Plantilla_SCAN_EQ3_COUNT_2[[#This Row],[ID MATERIAL]]="","",VLOOKUP(Plantilla_SCAN_EQ3_COUNT_2[[#This Row],[ID MATERIAL]],INVENTARIO!$A:$D,2,FALSE))</f>
        <v/>
      </c>
      <c r="F2167" s="7" t="str">
        <f>IF(Plantilla_SCAN_EQ3_COUNT_2[[#This Row],[ID MATERIAL]]="","",IF(Plantilla_SCAN_EQ3_COUNT_2[[#This Row],[No. Empaques]]="",1,Plantilla_SCAN_EQ3_COUNT_2[[#This Row],[No. Empaques]]*1))</f>
        <v/>
      </c>
      <c r="G2167" s="7" t="str">
        <f>IF(Plantilla_SCAN_EQ3_COUNT_2[[#This Row],[ID MATERIAL]]="","","PZ")</f>
        <v/>
      </c>
      <c r="H2167" s="7" t="str">
        <f>IF(Plantilla_SCAN_EQ3_COUNT_2[[#This Row],[ID MATERIAL]]="","",$B$13)</f>
        <v/>
      </c>
      <c r="I2167" s="7" t="str">
        <f>IF(Plantilla_SCAN_EQ3_COUNT_2[[#This Row],[ID MATERIAL]]="","","Segundo Conteo")</f>
        <v/>
      </c>
    </row>
    <row r="2168" spans="1:9" s="7" customFormat="1" ht="15" x14ac:dyDescent="0.2">
      <c r="A2168" s="7" t="str">
        <f>IF(Plantilla_SCAN_EQ3_COUNT_2[[#This Row],[ID MATERIAL]]="","",SIGN(Plantilla_SCAN_EQ3_COUNT_2[[#This Row],[Cantidad]])+A2167)</f>
        <v/>
      </c>
      <c r="B2168" s="21" t="str">
        <f>IF(Plantilla_SCAN_EQ3_COUNT_2[[#This Row],[ID MATERIAL]]="","",B2167)</f>
        <v/>
      </c>
      <c r="C2168" s="21"/>
      <c r="D2168" s="21"/>
      <c r="E2168" s="7" t="str">
        <f>IF(Plantilla_SCAN_EQ3_COUNT_2[[#This Row],[ID MATERIAL]]="","",VLOOKUP(Plantilla_SCAN_EQ3_COUNT_2[[#This Row],[ID MATERIAL]],INVENTARIO!$A:$D,2,FALSE))</f>
        <v/>
      </c>
      <c r="F2168" s="7" t="str">
        <f>IF(Plantilla_SCAN_EQ3_COUNT_2[[#This Row],[ID MATERIAL]]="","",IF(Plantilla_SCAN_EQ3_COUNT_2[[#This Row],[No. Empaques]]="",1,Plantilla_SCAN_EQ3_COUNT_2[[#This Row],[No. Empaques]]*1))</f>
        <v/>
      </c>
      <c r="G2168" s="7" t="str">
        <f>IF(Plantilla_SCAN_EQ3_COUNT_2[[#This Row],[ID MATERIAL]]="","","PZ")</f>
        <v/>
      </c>
      <c r="H2168" s="7" t="str">
        <f>IF(Plantilla_SCAN_EQ3_COUNT_2[[#This Row],[ID MATERIAL]]="","",$B$13)</f>
        <v/>
      </c>
      <c r="I2168" s="7" t="str">
        <f>IF(Plantilla_SCAN_EQ3_COUNT_2[[#This Row],[ID MATERIAL]]="","","Segundo Conteo")</f>
        <v/>
      </c>
    </row>
    <row r="2169" spans="1:9" s="7" customFormat="1" ht="15" x14ac:dyDescent="0.2">
      <c r="A2169" s="7" t="str">
        <f>IF(Plantilla_SCAN_EQ3_COUNT_2[[#This Row],[ID MATERIAL]]="","",SIGN(Plantilla_SCAN_EQ3_COUNT_2[[#This Row],[Cantidad]])+A2168)</f>
        <v/>
      </c>
      <c r="B2169" s="21" t="str">
        <f>IF(Plantilla_SCAN_EQ3_COUNT_2[[#This Row],[ID MATERIAL]]="","",B2168)</f>
        <v/>
      </c>
      <c r="C2169" s="21"/>
      <c r="D2169" s="21"/>
      <c r="E2169" s="7" t="str">
        <f>IF(Plantilla_SCAN_EQ3_COUNT_2[[#This Row],[ID MATERIAL]]="","",VLOOKUP(Plantilla_SCAN_EQ3_COUNT_2[[#This Row],[ID MATERIAL]],INVENTARIO!$A:$D,2,FALSE))</f>
        <v/>
      </c>
      <c r="F2169" s="7" t="str">
        <f>IF(Plantilla_SCAN_EQ3_COUNT_2[[#This Row],[ID MATERIAL]]="","",IF(Plantilla_SCAN_EQ3_COUNT_2[[#This Row],[No. Empaques]]="",1,Plantilla_SCAN_EQ3_COUNT_2[[#This Row],[No. Empaques]]*1))</f>
        <v/>
      </c>
      <c r="G2169" s="7" t="str">
        <f>IF(Plantilla_SCAN_EQ3_COUNT_2[[#This Row],[ID MATERIAL]]="","","PZ")</f>
        <v/>
      </c>
      <c r="H2169" s="7" t="str">
        <f>IF(Plantilla_SCAN_EQ3_COUNT_2[[#This Row],[ID MATERIAL]]="","",$B$13)</f>
        <v/>
      </c>
      <c r="I2169" s="7" t="str">
        <f>IF(Plantilla_SCAN_EQ3_COUNT_2[[#This Row],[ID MATERIAL]]="","","Segundo Conteo")</f>
        <v/>
      </c>
    </row>
    <row r="2170" spans="1:9" s="7" customFormat="1" ht="15" x14ac:dyDescent="0.2">
      <c r="A2170" s="7" t="str">
        <f>IF(Plantilla_SCAN_EQ3_COUNT_2[[#This Row],[ID MATERIAL]]="","",SIGN(Plantilla_SCAN_EQ3_COUNT_2[[#This Row],[Cantidad]])+A2169)</f>
        <v/>
      </c>
      <c r="B2170" s="21" t="str">
        <f>IF(Plantilla_SCAN_EQ3_COUNT_2[[#This Row],[ID MATERIAL]]="","",B2169)</f>
        <v/>
      </c>
      <c r="C2170" s="21"/>
      <c r="D2170" s="21"/>
      <c r="E2170" s="7" t="str">
        <f>IF(Plantilla_SCAN_EQ3_COUNT_2[[#This Row],[ID MATERIAL]]="","",VLOOKUP(Plantilla_SCAN_EQ3_COUNT_2[[#This Row],[ID MATERIAL]],INVENTARIO!$A:$D,2,FALSE))</f>
        <v/>
      </c>
      <c r="F2170" s="7" t="str">
        <f>IF(Plantilla_SCAN_EQ3_COUNT_2[[#This Row],[ID MATERIAL]]="","",IF(Plantilla_SCAN_EQ3_COUNT_2[[#This Row],[No. Empaques]]="",1,Plantilla_SCAN_EQ3_COUNT_2[[#This Row],[No. Empaques]]*1))</f>
        <v/>
      </c>
      <c r="G2170" s="7" t="str">
        <f>IF(Plantilla_SCAN_EQ3_COUNT_2[[#This Row],[ID MATERIAL]]="","","PZ")</f>
        <v/>
      </c>
      <c r="H2170" s="7" t="str">
        <f>IF(Plantilla_SCAN_EQ3_COUNT_2[[#This Row],[ID MATERIAL]]="","",$B$13)</f>
        <v/>
      </c>
      <c r="I2170" s="7" t="str">
        <f>IF(Plantilla_SCAN_EQ3_COUNT_2[[#This Row],[ID MATERIAL]]="","","Segundo Conteo")</f>
        <v/>
      </c>
    </row>
    <row r="2171" spans="1:9" s="7" customFormat="1" ht="15" x14ac:dyDescent="0.2">
      <c r="A2171" s="7" t="str">
        <f>IF(Plantilla_SCAN_EQ3_COUNT_2[[#This Row],[ID MATERIAL]]="","",SIGN(Plantilla_SCAN_EQ3_COUNT_2[[#This Row],[Cantidad]])+A2170)</f>
        <v/>
      </c>
      <c r="B2171" s="21" t="str">
        <f>IF(Plantilla_SCAN_EQ3_COUNT_2[[#This Row],[ID MATERIAL]]="","",B2170)</f>
        <v/>
      </c>
      <c r="C2171" s="21"/>
      <c r="D2171" s="21"/>
      <c r="E2171" s="7" t="str">
        <f>IF(Plantilla_SCAN_EQ3_COUNT_2[[#This Row],[ID MATERIAL]]="","",VLOOKUP(Plantilla_SCAN_EQ3_COUNT_2[[#This Row],[ID MATERIAL]],INVENTARIO!$A:$D,2,FALSE))</f>
        <v/>
      </c>
      <c r="F2171" s="7" t="str">
        <f>IF(Plantilla_SCAN_EQ3_COUNT_2[[#This Row],[ID MATERIAL]]="","",IF(Plantilla_SCAN_EQ3_COUNT_2[[#This Row],[No. Empaques]]="",1,Plantilla_SCAN_EQ3_COUNT_2[[#This Row],[No. Empaques]]*1))</f>
        <v/>
      </c>
      <c r="G2171" s="7" t="str">
        <f>IF(Plantilla_SCAN_EQ3_COUNT_2[[#This Row],[ID MATERIAL]]="","","PZ")</f>
        <v/>
      </c>
      <c r="H2171" s="7" t="str">
        <f>IF(Plantilla_SCAN_EQ3_COUNT_2[[#This Row],[ID MATERIAL]]="","",$B$13)</f>
        <v/>
      </c>
      <c r="I2171" s="7" t="str">
        <f>IF(Plantilla_SCAN_EQ3_COUNT_2[[#This Row],[ID MATERIAL]]="","","Segundo Conteo")</f>
        <v/>
      </c>
    </row>
    <row r="2172" spans="1:9" s="7" customFormat="1" ht="15" x14ac:dyDescent="0.2">
      <c r="A2172" s="7" t="str">
        <f>IF(Plantilla_SCAN_EQ3_COUNT_2[[#This Row],[ID MATERIAL]]="","",SIGN(Plantilla_SCAN_EQ3_COUNT_2[[#This Row],[Cantidad]])+A2171)</f>
        <v/>
      </c>
      <c r="B2172" s="21" t="str">
        <f>IF(Plantilla_SCAN_EQ3_COUNT_2[[#This Row],[ID MATERIAL]]="","",B2171)</f>
        <v/>
      </c>
      <c r="C2172" s="21"/>
      <c r="D2172" s="21"/>
      <c r="E2172" s="7" t="str">
        <f>IF(Plantilla_SCAN_EQ3_COUNT_2[[#This Row],[ID MATERIAL]]="","",VLOOKUP(Plantilla_SCAN_EQ3_COUNT_2[[#This Row],[ID MATERIAL]],INVENTARIO!$A:$D,2,FALSE))</f>
        <v/>
      </c>
      <c r="F2172" s="7" t="str">
        <f>IF(Plantilla_SCAN_EQ3_COUNT_2[[#This Row],[ID MATERIAL]]="","",IF(Plantilla_SCAN_EQ3_COUNT_2[[#This Row],[No. Empaques]]="",1,Plantilla_SCAN_EQ3_COUNT_2[[#This Row],[No. Empaques]]*1))</f>
        <v/>
      </c>
      <c r="G2172" s="7" t="str">
        <f>IF(Plantilla_SCAN_EQ3_COUNT_2[[#This Row],[ID MATERIAL]]="","","PZ")</f>
        <v/>
      </c>
      <c r="H2172" s="7" t="str">
        <f>IF(Plantilla_SCAN_EQ3_COUNT_2[[#This Row],[ID MATERIAL]]="","",$B$13)</f>
        <v/>
      </c>
      <c r="I2172" s="7" t="str">
        <f>IF(Plantilla_SCAN_EQ3_COUNT_2[[#This Row],[ID MATERIAL]]="","","Segundo Conteo")</f>
        <v/>
      </c>
    </row>
    <row r="2173" spans="1:9" s="7" customFormat="1" ht="15" x14ac:dyDescent="0.2">
      <c r="A2173" s="7" t="str">
        <f>IF(Plantilla_SCAN_EQ3_COUNT_2[[#This Row],[ID MATERIAL]]="","",SIGN(Plantilla_SCAN_EQ3_COUNT_2[[#This Row],[Cantidad]])+A2172)</f>
        <v/>
      </c>
      <c r="B2173" s="21" t="str">
        <f>IF(Plantilla_SCAN_EQ3_COUNT_2[[#This Row],[ID MATERIAL]]="","",B2172)</f>
        <v/>
      </c>
      <c r="C2173" s="21"/>
      <c r="D2173" s="21"/>
      <c r="E2173" s="7" t="str">
        <f>IF(Plantilla_SCAN_EQ3_COUNT_2[[#This Row],[ID MATERIAL]]="","",VLOOKUP(Plantilla_SCAN_EQ3_COUNT_2[[#This Row],[ID MATERIAL]],INVENTARIO!$A:$D,2,FALSE))</f>
        <v/>
      </c>
      <c r="F2173" s="7" t="str">
        <f>IF(Plantilla_SCAN_EQ3_COUNT_2[[#This Row],[ID MATERIAL]]="","",IF(Plantilla_SCAN_EQ3_COUNT_2[[#This Row],[No. Empaques]]="",1,Plantilla_SCAN_EQ3_COUNT_2[[#This Row],[No. Empaques]]*1))</f>
        <v/>
      </c>
      <c r="G2173" s="7" t="str">
        <f>IF(Plantilla_SCAN_EQ3_COUNT_2[[#This Row],[ID MATERIAL]]="","","PZ")</f>
        <v/>
      </c>
      <c r="H2173" s="7" t="str">
        <f>IF(Plantilla_SCAN_EQ3_COUNT_2[[#This Row],[ID MATERIAL]]="","",$B$13)</f>
        <v/>
      </c>
      <c r="I2173" s="7" t="str">
        <f>IF(Plantilla_SCAN_EQ3_COUNT_2[[#This Row],[ID MATERIAL]]="","","Segundo Conteo")</f>
        <v/>
      </c>
    </row>
    <row r="2174" spans="1:9" s="7" customFormat="1" ht="15" x14ac:dyDescent="0.2">
      <c r="A2174" s="7" t="str">
        <f>IF(Plantilla_SCAN_EQ3_COUNT_2[[#This Row],[ID MATERIAL]]="","",SIGN(Plantilla_SCAN_EQ3_COUNT_2[[#This Row],[Cantidad]])+A2173)</f>
        <v/>
      </c>
      <c r="B2174" s="21" t="str">
        <f>IF(Plantilla_SCAN_EQ3_COUNT_2[[#This Row],[ID MATERIAL]]="","",B2173)</f>
        <v/>
      </c>
      <c r="C2174" s="21"/>
      <c r="D2174" s="21"/>
      <c r="E2174" s="7" t="str">
        <f>IF(Plantilla_SCAN_EQ3_COUNT_2[[#This Row],[ID MATERIAL]]="","",VLOOKUP(Plantilla_SCAN_EQ3_COUNT_2[[#This Row],[ID MATERIAL]],INVENTARIO!$A:$D,2,FALSE))</f>
        <v/>
      </c>
      <c r="F2174" s="7" t="str">
        <f>IF(Plantilla_SCAN_EQ3_COUNT_2[[#This Row],[ID MATERIAL]]="","",IF(Plantilla_SCAN_EQ3_COUNT_2[[#This Row],[No. Empaques]]="",1,Plantilla_SCAN_EQ3_COUNT_2[[#This Row],[No. Empaques]]*1))</f>
        <v/>
      </c>
      <c r="G2174" s="7" t="str">
        <f>IF(Plantilla_SCAN_EQ3_COUNT_2[[#This Row],[ID MATERIAL]]="","","PZ")</f>
        <v/>
      </c>
      <c r="H2174" s="7" t="str">
        <f>IF(Plantilla_SCAN_EQ3_COUNT_2[[#This Row],[ID MATERIAL]]="","",$B$13)</f>
        <v/>
      </c>
      <c r="I2174" s="7" t="str">
        <f>IF(Plantilla_SCAN_EQ3_COUNT_2[[#This Row],[ID MATERIAL]]="","","Segundo Conteo")</f>
        <v/>
      </c>
    </row>
    <row r="2175" spans="1:9" s="7" customFormat="1" ht="15" x14ac:dyDescent="0.2">
      <c r="A2175" s="7" t="str">
        <f>IF(Plantilla_SCAN_EQ3_COUNT_2[[#This Row],[ID MATERIAL]]="","",SIGN(Plantilla_SCAN_EQ3_COUNT_2[[#This Row],[Cantidad]])+A2174)</f>
        <v/>
      </c>
      <c r="B2175" s="21" t="str">
        <f>IF(Plantilla_SCAN_EQ3_COUNT_2[[#This Row],[ID MATERIAL]]="","",B2174)</f>
        <v/>
      </c>
      <c r="C2175" s="21"/>
      <c r="D2175" s="21"/>
      <c r="E2175" s="7" t="str">
        <f>IF(Plantilla_SCAN_EQ3_COUNT_2[[#This Row],[ID MATERIAL]]="","",VLOOKUP(Plantilla_SCAN_EQ3_COUNT_2[[#This Row],[ID MATERIAL]],INVENTARIO!$A:$D,2,FALSE))</f>
        <v/>
      </c>
      <c r="F2175" s="7" t="str">
        <f>IF(Plantilla_SCAN_EQ3_COUNT_2[[#This Row],[ID MATERIAL]]="","",IF(Plantilla_SCAN_EQ3_COUNT_2[[#This Row],[No. Empaques]]="",1,Plantilla_SCAN_EQ3_COUNT_2[[#This Row],[No. Empaques]]*1))</f>
        <v/>
      </c>
      <c r="G2175" s="7" t="str">
        <f>IF(Plantilla_SCAN_EQ3_COUNT_2[[#This Row],[ID MATERIAL]]="","","PZ")</f>
        <v/>
      </c>
      <c r="H2175" s="7" t="str">
        <f>IF(Plantilla_SCAN_EQ3_COUNT_2[[#This Row],[ID MATERIAL]]="","",$B$13)</f>
        <v/>
      </c>
      <c r="I2175" s="7" t="str">
        <f>IF(Plantilla_SCAN_EQ3_COUNT_2[[#This Row],[ID MATERIAL]]="","","Segundo Conteo")</f>
        <v/>
      </c>
    </row>
    <row r="2176" spans="1:9" s="7" customFormat="1" ht="15" x14ac:dyDescent="0.2">
      <c r="A2176" s="7" t="str">
        <f>IF(Plantilla_SCAN_EQ3_COUNT_2[[#This Row],[ID MATERIAL]]="","",SIGN(Plantilla_SCAN_EQ3_COUNT_2[[#This Row],[Cantidad]])+A2175)</f>
        <v/>
      </c>
      <c r="B2176" s="21" t="str">
        <f>IF(Plantilla_SCAN_EQ3_COUNT_2[[#This Row],[ID MATERIAL]]="","",B2175)</f>
        <v/>
      </c>
      <c r="C2176" s="21"/>
      <c r="D2176" s="21"/>
      <c r="E2176" s="7" t="str">
        <f>IF(Plantilla_SCAN_EQ3_COUNT_2[[#This Row],[ID MATERIAL]]="","",VLOOKUP(Plantilla_SCAN_EQ3_COUNT_2[[#This Row],[ID MATERIAL]],INVENTARIO!$A:$D,2,FALSE))</f>
        <v/>
      </c>
      <c r="F2176" s="7" t="str">
        <f>IF(Plantilla_SCAN_EQ3_COUNT_2[[#This Row],[ID MATERIAL]]="","",IF(Plantilla_SCAN_EQ3_COUNT_2[[#This Row],[No. Empaques]]="",1,Plantilla_SCAN_EQ3_COUNT_2[[#This Row],[No. Empaques]]*1))</f>
        <v/>
      </c>
      <c r="G2176" s="7" t="str">
        <f>IF(Plantilla_SCAN_EQ3_COUNT_2[[#This Row],[ID MATERIAL]]="","","PZ")</f>
        <v/>
      </c>
      <c r="H2176" s="7" t="str">
        <f>IF(Plantilla_SCAN_EQ3_COUNT_2[[#This Row],[ID MATERIAL]]="","",$B$13)</f>
        <v/>
      </c>
      <c r="I2176" s="7" t="str">
        <f>IF(Plantilla_SCAN_EQ3_COUNT_2[[#This Row],[ID MATERIAL]]="","","Segundo Conteo")</f>
        <v/>
      </c>
    </row>
    <row r="2177" spans="1:9" s="7" customFormat="1" ht="15" x14ac:dyDescent="0.2">
      <c r="A2177" s="7" t="str">
        <f>IF(Plantilla_SCAN_EQ3_COUNT_2[[#This Row],[ID MATERIAL]]="","",SIGN(Plantilla_SCAN_EQ3_COUNT_2[[#This Row],[Cantidad]])+A2176)</f>
        <v/>
      </c>
      <c r="B2177" s="21" t="str">
        <f>IF(Plantilla_SCAN_EQ3_COUNT_2[[#This Row],[ID MATERIAL]]="","",B2176)</f>
        <v/>
      </c>
      <c r="C2177" s="21"/>
      <c r="D2177" s="21"/>
      <c r="E2177" s="7" t="str">
        <f>IF(Plantilla_SCAN_EQ3_COUNT_2[[#This Row],[ID MATERIAL]]="","",VLOOKUP(Plantilla_SCAN_EQ3_COUNT_2[[#This Row],[ID MATERIAL]],INVENTARIO!$A:$D,2,FALSE))</f>
        <v/>
      </c>
      <c r="F2177" s="7" t="str">
        <f>IF(Plantilla_SCAN_EQ3_COUNT_2[[#This Row],[ID MATERIAL]]="","",IF(Plantilla_SCAN_EQ3_COUNT_2[[#This Row],[No. Empaques]]="",1,Plantilla_SCAN_EQ3_COUNT_2[[#This Row],[No. Empaques]]*1))</f>
        <v/>
      </c>
      <c r="G2177" s="7" t="str">
        <f>IF(Plantilla_SCAN_EQ3_COUNT_2[[#This Row],[ID MATERIAL]]="","","PZ")</f>
        <v/>
      </c>
      <c r="H2177" s="7" t="str">
        <f>IF(Plantilla_SCAN_EQ3_COUNT_2[[#This Row],[ID MATERIAL]]="","",$B$13)</f>
        <v/>
      </c>
      <c r="I2177" s="7" t="str">
        <f>IF(Plantilla_SCAN_EQ3_COUNT_2[[#This Row],[ID MATERIAL]]="","","Segundo Conteo")</f>
        <v/>
      </c>
    </row>
    <row r="2178" spans="1:9" s="7" customFormat="1" ht="15" x14ac:dyDescent="0.2">
      <c r="A2178" s="7" t="str">
        <f>IF(Plantilla_SCAN_EQ3_COUNT_2[[#This Row],[ID MATERIAL]]="","",SIGN(Plantilla_SCAN_EQ3_COUNT_2[[#This Row],[Cantidad]])+A2177)</f>
        <v/>
      </c>
      <c r="B2178" s="21" t="str">
        <f>IF(Plantilla_SCAN_EQ3_COUNT_2[[#This Row],[ID MATERIAL]]="","",B2177)</f>
        <v/>
      </c>
      <c r="C2178" s="21"/>
      <c r="D2178" s="21"/>
      <c r="E2178" s="7" t="str">
        <f>IF(Plantilla_SCAN_EQ3_COUNT_2[[#This Row],[ID MATERIAL]]="","",VLOOKUP(Plantilla_SCAN_EQ3_COUNT_2[[#This Row],[ID MATERIAL]],INVENTARIO!$A:$D,2,FALSE))</f>
        <v/>
      </c>
      <c r="F2178" s="7" t="str">
        <f>IF(Plantilla_SCAN_EQ3_COUNT_2[[#This Row],[ID MATERIAL]]="","",IF(Plantilla_SCAN_EQ3_COUNT_2[[#This Row],[No. Empaques]]="",1,Plantilla_SCAN_EQ3_COUNT_2[[#This Row],[No. Empaques]]*1))</f>
        <v/>
      </c>
      <c r="G2178" s="7" t="str">
        <f>IF(Plantilla_SCAN_EQ3_COUNT_2[[#This Row],[ID MATERIAL]]="","","PZ")</f>
        <v/>
      </c>
      <c r="H2178" s="7" t="str">
        <f>IF(Plantilla_SCAN_EQ3_COUNT_2[[#This Row],[ID MATERIAL]]="","",$B$13)</f>
        <v/>
      </c>
      <c r="I2178" s="7" t="str">
        <f>IF(Plantilla_SCAN_EQ3_COUNT_2[[#This Row],[ID MATERIAL]]="","","Segundo Conteo")</f>
        <v/>
      </c>
    </row>
    <row r="2179" spans="1:9" s="7" customFormat="1" ht="15" x14ac:dyDescent="0.2">
      <c r="A2179" s="7" t="str">
        <f>IF(Plantilla_SCAN_EQ3_COUNT_2[[#This Row],[ID MATERIAL]]="","",SIGN(Plantilla_SCAN_EQ3_COUNT_2[[#This Row],[Cantidad]])+A2178)</f>
        <v/>
      </c>
      <c r="B2179" s="21" t="str">
        <f>IF(Plantilla_SCAN_EQ3_COUNT_2[[#This Row],[ID MATERIAL]]="","",B2178)</f>
        <v/>
      </c>
      <c r="C2179" s="21"/>
      <c r="D2179" s="21"/>
      <c r="E2179" s="7" t="str">
        <f>IF(Plantilla_SCAN_EQ3_COUNT_2[[#This Row],[ID MATERIAL]]="","",VLOOKUP(Plantilla_SCAN_EQ3_COUNT_2[[#This Row],[ID MATERIAL]],INVENTARIO!$A:$D,2,FALSE))</f>
        <v/>
      </c>
      <c r="F2179" s="7" t="str">
        <f>IF(Plantilla_SCAN_EQ3_COUNT_2[[#This Row],[ID MATERIAL]]="","",IF(Plantilla_SCAN_EQ3_COUNT_2[[#This Row],[No. Empaques]]="",1,Plantilla_SCAN_EQ3_COUNT_2[[#This Row],[No. Empaques]]*1))</f>
        <v/>
      </c>
      <c r="G2179" s="7" t="str">
        <f>IF(Plantilla_SCAN_EQ3_COUNT_2[[#This Row],[ID MATERIAL]]="","","PZ")</f>
        <v/>
      </c>
      <c r="H2179" s="7" t="str">
        <f>IF(Plantilla_SCAN_EQ3_COUNT_2[[#This Row],[ID MATERIAL]]="","",$B$13)</f>
        <v/>
      </c>
      <c r="I2179" s="7" t="str">
        <f>IF(Plantilla_SCAN_EQ3_COUNT_2[[#This Row],[ID MATERIAL]]="","","Segundo Conteo")</f>
        <v/>
      </c>
    </row>
    <row r="2180" spans="1:9" s="7" customFormat="1" ht="15" x14ac:dyDescent="0.2">
      <c r="A2180" s="7" t="str">
        <f>IF(Plantilla_SCAN_EQ3_COUNT_2[[#This Row],[ID MATERIAL]]="","",SIGN(Plantilla_SCAN_EQ3_COUNT_2[[#This Row],[Cantidad]])+A2179)</f>
        <v/>
      </c>
      <c r="B2180" s="21" t="str">
        <f>IF(Plantilla_SCAN_EQ3_COUNT_2[[#This Row],[ID MATERIAL]]="","",B2179)</f>
        <v/>
      </c>
      <c r="C2180" s="21"/>
      <c r="D2180" s="21"/>
      <c r="E2180" s="7" t="str">
        <f>IF(Plantilla_SCAN_EQ3_COUNT_2[[#This Row],[ID MATERIAL]]="","",VLOOKUP(Plantilla_SCAN_EQ3_COUNT_2[[#This Row],[ID MATERIAL]],INVENTARIO!$A:$D,2,FALSE))</f>
        <v/>
      </c>
      <c r="F2180" s="7" t="str">
        <f>IF(Plantilla_SCAN_EQ3_COUNT_2[[#This Row],[ID MATERIAL]]="","",IF(Plantilla_SCAN_EQ3_COUNT_2[[#This Row],[No. Empaques]]="",1,Plantilla_SCAN_EQ3_COUNT_2[[#This Row],[No. Empaques]]*1))</f>
        <v/>
      </c>
      <c r="G2180" s="7" t="str">
        <f>IF(Plantilla_SCAN_EQ3_COUNT_2[[#This Row],[ID MATERIAL]]="","","PZ")</f>
        <v/>
      </c>
      <c r="H2180" s="7" t="str">
        <f>IF(Plantilla_SCAN_EQ3_COUNT_2[[#This Row],[ID MATERIAL]]="","",$B$13)</f>
        <v/>
      </c>
      <c r="I2180" s="7" t="str">
        <f>IF(Plantilla_SCAN_EQ3_COUNT_2[[#This Row],[ID MATERIAL]]="","","Segundo Conteo")</f>
        <v/>
      </c>
    </row>
    <row r="2181" spans="1:9" s="7" customFormat="1" ht="15" x14ac:dyDescent="0.2">
      <c r="A2181" s="7" t="str">
        <f>IF(Plantilla_SCAN_EQ3_COUNT_2[[#This Row],[ID MATERIAL]]="","",SIGN(Plantilla_SCAN_EQ3_COUNT_2[[#This Row],[Cantidad]])+A2180)</f>
        <v/>
      </c>
      <c r="B2181" s="21" t="str">
        <f>IF(Plantilla_SCAN_EQ3_COUNT_2[[#This Row],[ID MATERIAL]]="","",B2180)</f>
        <v/>
      </c>
      <c r="C2181" s="21"/>
      <c r="D2181" s="21"/>
      <c r="E2181" s="7" t="str">
        <f>IF(Plantilla_SCAN_EQ3_COUNT_2[[#This Row],[ID MATERIAL]]="","",VLOOKUP(Plantilla_SCAN_EQ3_COUNT_2[[#This Row],[ID MATERIAL]],INVENTARIO!$A:$D,2,FALSE))</f>
        <v/>
      </c>
      <c r="F2181" s="7" t="str">
        <f>IF(Plantilla_SCAN_EQ3_COUNT_2[[#This Row],[ID MATERIAL]]="","",IF(Plantilla_SCAN_EQ3_COUNT_2[[#This Row],[No. Empaques]]="",1,Plantilla_SCAN_EQ3_COUNT_2[[#This Row],[No. Empaques]]*1))</f>
        <v/>
      </c>
      <c r="G2181" s="7" t="str">
        <f>IF(Plantilla_SCAN_EQ3_COUNT_2[[#This Row],[ID MATERIAL]]="","","PZ")</f>
        <v/>
      </c>
      <c r="H2181" s="7" t="str">
        <f>IF(Plantilla_SCAN_EQ3_COUNT_2[[#This Row],[ID MATERIAL]]="","",$B$13)</f>
        <v/>
      </c>
      <c r="I2181" s="7" t="str">
        <f>IF(Plantilla_SCAN_EQ3_COUNT_2[[#This Row],[ID MATERIAL]]="","","Segundo Conteo")</f>
        <v/>
      </c>
    </row>
    <row r="2182" spans="1:9" s="7" customFormat="1" ht="15" x14ac:dyDescent="0.2">
      <c r="A2182" s="7" t="str">
        <f>IF(Plantilla_SCAN_EQ3_COUNT_2[[#This Row],[ID MATERIAL]]="","",SIGN(Plantilla_SCAN_EQ3_COUNT_2[[#This Row],[Cantidad]])+A2181)</f>
        <v/>
      </c>
      <c r="B2182" s="21" t="str">
        <f>IF(Plantilla_SCAN_EQ3_COUNT_2[[#This Row],[ID MATERIAL]]="","",B2181)</f>
        <v/>
      </c>
      <c r="C2182" s="21"/>
      <c r="D2182" s="21"/>
      <c r="E2182" s="7" t="str">
        <f>IF(Plantilla_SCAN_EQ3_COUNT_2[[#This Row],[ID MATERIAL]]="","",VLOOKUP(Plantilla_SCAN_EQ3_COUNT_2[[#This Row],[ID MATERIAL]],INVENTARIO!$A:$D,2,FALSE))</f>
        <v/>
      </c>
      <c r="F2182" s="7" t="str">
        <f>IF(Plantilla_SCAN_EQ3_COUNT_2[[#This Row],[ID MATERIAL]]="","",IF(Plantilla_SCAN_EQ3_COUNT_2[[#This Row],[No. Empaques]]="",1,Plantilla_SCAN_EQ3_COUNT_2[[#This Row],[No. Empaques]]*1))</f>
        <v/>
      </c>
      <c r="G2182" s="7" t="str">
        <f>IF(Plantilla_SCAN_EQ3_COUNT_2[[#This Row],[ID MATERIAL]]="","","PZ")</f>
        <v/>
      </c>
      <c r="H2182" s="7" t="str">
        <f>IF(Plantilla_SCAN_EQ3_COUNT_2[[#This Row],[ID MATERIAL]]="","",$B$13)</f>
        <v/>
      </c>
      <c r="I2182" s="7" t="str">
        <f>IF(Plantilla_SCAN_EQ3_COUNT_2[[#This Row],[ID MATERIAL]]="","","Segundo Conteo")</f>
        <v/>
      </c>
    </row>
    <row r="2183" spans="1:9" s="7" customFormat="1" ht="15" x14ac:dyDescent="0.2">
      <c r="A2183" s="7" t="str">
        <f>IF(Plantilla_SCAN_EQ3_COUNT_2[[#This Row],[ID MATERIAL]]="","",SIGN(Plantilla_SCAN_EQ3_COUNT_2[[#This Row],[Cantidad]])+A2182)</f>
        <v/>
      </c>
      <c r="B2183" s="21" t="str">
        <f>IF(Plantilla_SCAN_EQ3_COUNT_2[[#This Row],[ID MATERIAL]]="","",B2182)</f>
        <v/>
      </c>
      <c r="C2183" s="21"/>
      <c r="D2183" s="21"/>
      <c r="E2183" s="7" t="str">
        <f>IF(Plantilla_SCAN_EQ3_COUNT_2[[#This Row],[ID MATERIAL]]="","",VLOOKUP(Plantilla_SCAN_EQ3_COUNT_2[[#This Row],[ID MATERIAL]],INVENTARIO!$A:$D,2,FALSE))</f>
        <v/>
      </c>
      <c r="F2183" s="7" t="str">
        <f>IF(Plantilla_SCAN_EQ3_COUNT_2[[#This Row],[ID MATERIAL]]="","",IF(Plantilla_SCAN_EQ3_COUNT_2[[#This Row],[No. Empaques]]="",1,Plantilla_SCAN_EQ3_COUNT_2[[#This Row],[No. Empaques]]*1))</f>
        <v/>
      </c>
      <c r="G2183" s="7" t="str">
        <f>IF(Plantilla_SCAN_EQ3_COUNT_2[[#This Row],[ID MATERIAL]]="","","PZ")</f>
        <v/>
      </c>
      <c r="H2183" s="7" t="str">
        <f>IF(Plantilla_SCAN_EQ3_COUNT_2[[#This Row],[ID MATERIAL]]="","",$B$13)</f>
        <v/>
      </c>
      <c r="I2183" s="7" t="str">
        <f>IF(Plantilla_SCAN_EQ3_COUNT_2[[#This Row],[ID MATERIAL]]="","","Segundo Conteo")</f>
        <v/>
      </c>
    </row>
    <row r="2184" spans="1:9" s="7" customFormat="1" ht="15" x14ac:dyDescent="0.2">
      <c r="A2184" s="7" t="str">
        <f>IF(Plantilla_SCAN_EQ3_COUNT_2[[#This Row],[ID MATERIAL]]="","",SIGN(Plantilla_SCAN_EQ3_COUNT_2[[#This Row],[Cantidad]])+A2183)</f>
        <v/>
      </c>
      <c r="B2184" s="21" t="str">
        <f>IF(Plantilla_SCAN_EQ3_COUNT_2[[#This Row],[ID MATERIAL]]="","",B2183)</f>
        <v/>
      </c>
      <c r="C2184" s="21"/>
      <c r="D2184" s="21"/>
      <c r="E2184" s="7" t="str">
        <f>IF(Plantilla_SCAN_EQ3_COUNT_2[[#This Row],[ID MATERIAL]]="","",VLOOKUP(Plantilla_SCAN_EQ3_COUNT_2[[#This Row],[ID MATERIAL]],INVENTARIO!$A:$D,2,FALSE))</f>
        <v/>
      </c>
      <c r="F2184" s="7" t="str">
        <f>IF(Plantilla_SCAN_EQ3_COUNT_2[[#This Row],[ID MATERIAL]]="","",IF(Plantilla_SCAN_EQ3_COUNT_2[[#This Row],[No. Empaques]]="",1,Plantilla_SCAN_EQ3_COUNT_2[[#This Row],[No. Empaques]]*1))</f>
        <v/>
      </c>
      <c r="G2184" s="7" t="str">
        <f>IF(Plantilla_SCAN_EQ3_COUNT_2[[#This Row],[ID MATERIAL]]="","","PZ")</f>
        <v/>
      </c>
      <c r="H2184" s="7" t="str">
        <f>IF(Plantilla_SCAN_EQ3_COUNT_2[[#This Row],[ID MATERIAL]]="","",$B$13)</f>
        <v/>
      </c>
      <c r="I2184" s="7" t="str">
        <f>IF(Plantilla_SCAN_EQ3_COUNT_2[[#This Row],[ID MATERIAL]]="","","Segundo Conteo")</f>
        <v/>
      </c>
    </row>
    <row r="2185" spans="1:9" s="7" customFormat="1" ht="15" x14ac:dyDescent="0.2">
      <c r="A2185" s="7" t="str">
        <f>IF(Plantilla_SCAN_EQ3_COUNT_2[[#This Row],[ID MATERIAL]]="","",SIGN(Plantilla_SCAN_EQ3_COUNT_2[[#This Row],[Cantidad]])+A2184)</f>
        <v/>
      </c>
      <c r="B2185" s="21" t="str">
        <f>IF(Plantilla_SCAN_EQ3_COUNT_2[[#This Row],[ID MATERIAL]]="","",B2184)</f>
        <v/>
      </c>
      <c r="C2185" s="21"/>
      <c r="D2185" s="21"/>
      <c r="E2185" s="7" t="str">
        <f>IF(Plantilla_SCAN_EQ3_COUNT_2[[#This Row],[ID MATERIAL]]="","",VLOOKUP(Plantilla_SCAN_EQ3_COUNT_2[[#This Row],[ID MATERIAL]],INVENTARIO!$A:$D,2,FALSE))</f>
        <v/>
      </c>
      <c r="F2185" s="7" t="str">
        <f>IF(Plantilla_SCAN_EQ3_COUNT_2[[#This Row],[ID MATERIAL]]="","",IF(Plantilla_SCAN_EQ3_COUNT_2[[#This Row],[No. Empaques]]="",1,Plantilla_SCAN_EQ3_COUNT_2[[#This Row],[No. Empaques]]*1))</f>
        <v/>
      </c>
      <c r="G2185" s="7" t="str">
        <f>IF(Plantilla_SCAN_EQ3_COUNT_2[[#This Row],[ID MATERIAL]]="","","PZ")</f>
        <v/>
      </c>
      <c r="H2185" s="7" t="str">
        <f>IF(Plantilla_SCAN_EQ3_COUNT_2[[#This Row],[ID MATERIAL]]="","",$B$13)</f>
        <v/>
      </c>
      <c r="I2185" s="7" t="str">
        <f>IF(Plantilla_SCAN_EQ3_COUNT_2[[#This Row],[ID MATERIAL]]="","","Segundo Conteo")</f>
        <v/>
      </c>
    </row>
    <row r="2186" spans="1:9" s="7" customFormat="1" ht="15" x14ac:dyDescent="0.2">
      <c r="A2186" s="7" t="str">
        <f>IF(Plantilla_SCAN_EQ3_COUNT_2[[#This Row],[ID MATERIAL]]="","",SIGN(Plantilla_SCAN_EQ3_COUNT_2[[#This Row],[Cantidad]])+A2185)</f>
        <v/>
      </c>
      <c r="B2186" s="21" t="str">
        <f>IF(Plantilla_SCAN_EQ3_COUNT_2[[#This Row],[ID MATERIAL]]="","",B2185)</f>
        <v/>
      </c>
      <c r="C2186" s="21"/>
      <c r="D2186" s="21"/>
      <c r="E2186" s="7" t="str">
        <f>IF(Plantilla_SCAN_EQ3_COUNT_2[[#This Row],[ID MATERIAL]]="","",VLOOKUP(Plantilla_SCAN_EQ3_COUNT_2[[#This Row],[ID MATERIAL]],INVENTARIO!$A:$D,2,FALSE))</f>
        <v/>
      </c>
      <c r="F2186" s="7" t="str">
        <f>IF(Plantilla_SCAN_EQ3_COUNT_2[[#This Row],[ID MATERIAL]]="","",IF(Plantilla_SCAN_EQ3_COUNT_2[[#This Row],[No. Empaques]]="",1,Plantilla_SCAN_EQ3_COUNT_2[[#This Row],[No. Empaques]]*1))</f>
        <v/>
      </c>
      <c r="G2186" s="7" t="str">
        <f>IF(Plantilla_SCAN_EQ3_COUNT_2[[#This Row],[ID MATERIAL]]="","","PZ")</f>
        <v/>
      </c>
      <c r="H2186" s="7" t="str">
        <f>IF(Plantilla_SCAN_EQ3_COUNT_2[[#This Row],[ID MATERIAL]]="","",$B$13)</f>
        <v/>
      </c>
      <c r="I2186" s="7" t="str">
        <f>IF(Plantilla_SCAN_EQ3_COUNT_2[[#This Row],[ID MATERIAL]]="","","Segundo Conteo")</f>
        <v/>
      </c>
    </row>
    <row r="2187" spans="1:9" s="7" customFormat="1" ht="15" x14ac:dyDescent="0.2">
      <c r="A2187" s="7" t="str">
        <f>IF(Plantilla_SCAN_EQ3_COUNT_2[[#This Row],[ID MATERIAL]]="","",SIGN(Plantilla_SCAN_EQ3_COUNT_2[[#This Row],[Cantidad]])+A2186)</f>
        <v/>
      </c>
      <c r="B2187" s="21" t="str">
        <f>IF(Plantilla_SCAN_EQ3_COUNT_2[[#This Row],[ID MATERIAL]]="","",B2186)</f>
        <v/>
      </c>
      <c r="C2187" s="21"/>
      <c r="D2187" s="21"/>
      <c r="E2187" s="7" t="str">
        <f>IF(Plantilla_SCAN_EQ3_COUNT_2[[#This Row],[ID MATERIAL]]="","",VLOOKUP(Plantilla_SCAN_EQ3_COUNT_2[[#This Row],[ID MATERIAL]],INVENTARIO!$A:$D,2,FALSE))</f>
        <v/>
      </c>
      <c r="F2187" s="7" t="str">
        <f>IF(Plantilla_SCAN_EQ3_COUNT_2[[#This Row],[ID MATERIAL]]="","",IF(Plantilla_SCAN_EQ3_COUNT_2[[#This Row],[No. Empaques]]="",1,Plantilla_SCAN_EQ3_COUNT_2[[#This Row],[No. Empaques]]*1))</f>
        <v/>
      </c>
      <c r="G2187" s="7" t="str">
        <f>IF(Plantilla_SCAN_EQ3_COUNT_2[[#This Row],[ID MATERIAL]]="","","PZ")</f>
        <v/>
      </c>
      <c r="H2187" s="7" t="str">
        <f>IF(Plantilla_SCAN_EQ3_COUNT_2[[#This Row],[ID MATERIAL]]="","",$B$13)</f>
        <v/>
      </c>
      <c r="I2187" s="7" t="str">
        <f>IF(Plantilla_SCAN_EQ3_COUNT_2[[#This Row],[ID MATERIAL]]="","","Segundo Conteo")</f>
        <v/>
      </c>
    </row>
    <row r="2188" spans="1:9" s="7" customFormat="1" ht="15" x14ac:dyDescent="0.2">
      <c r="A2188" s="7" t="str">
        <f>IF(Plantilla_SCAN_EQ3_COUNT_2[[#This Row],[ID MATERIAL]]="","",SIGN(Plantilla_SCAN_EQ3_COUNT_2[[#This Row],[Cantidad]])+A2187)</f>
        <v/>
      </c>
      <c r="B2188" s="21" t="str">
        <f>IF(Plantilla_SCAN_EQ3_COUNT_2[[#This Row],[ID MATERIAL]]="","",B2187)</f>
        <v/>
      </c>
      <c r="C2188" s="21"/>
      <c r="D2188" s="21"/>
      <c r="E2188" s="7" t="str">
        <f>IF(Plantilla_SCAN_EQ3_COUNT_2[[#This Row],[ID MATERIAL]]="","",VLOOKUP(Plantilla_SCAN_EQ3_COUNT_2[[#This Row],[ID MATERIAL]],INVENTARIO!$A:$D,2,FALSE))</f>
        <v/>
      </c>
      <c r="F2188" s="7" t="str">
        <f>IF(Plantilla_SCAN_EQ3_COUNT_2[[#This Row],[ID MATERIAL]]="","",IF(Plantilla_SCAN_EQ3_COUNT_2[[#This Row],[No. Empaques]]="",1,Plantilla_SCAN_EQ3_COUNT_2[[#This Row],[No. Empaques]]*1))</f>
        <v/>
      </c>
      <c r="G2188" s="7" t="str">
        <f>IF(Plantilla_SCAN_EQ3_COUNT_2[[#This Row],[ID MATERIAL]]="","","PZ")</f>
        <v/>
      </c>
      <c r="H2188" s="7" t="str">
        <f>IF(Plantilla_SCAN_EQ3_COUNT_2[[#This Row],[ID MATERIAL]]="","",$B$13)</f>
        <v/>
      </c>
      <c r="I2188" s="7" t="str">
        <f>IF(Plantilla_SCAN_EQ3_COUNT_2[[#This Row],[ID MATERIAL]]="","","Segundo Conteo")</f>
        <v/>
      </c>
    </row>
    <row r="2189" spans="1:9" s="7" customFormat="1" ht="15" x14ac:dyDescent="0.2">
      <c r="A2189" s="7" t="str">
        <f>IF(Plantilla_SCAN_EQ3_COUNT_2[[#This Row],[ID MATERIAL]]="","",SIGN(Plantilla_SCAN_EQ3_COUNT_2[[#This Row],[Cantidad]])+A2188)</f>
        <v/>
      </c>
      <c r="B2189" s="21" t="str">
        <f>IF(Plantilla_SCAN_EQ3_COUNT_2[[#This Row],[ID MATERIAL]]="","",B2188)</f>
        <v/>
      </c>
      <c r="C2189" s="21"/>
      <c r="D2189" s="21"/>
      <c r="E2189" s="7" t="str">
        <f>IF(Plantilla_SCAN_EQ3_COUNT_2[[#This Row],[ID MATERIAL]]="","",VLOOKUP(Plantilla_SCAN_EQ3_COUNT_2[[#This Row],[ID MATERIAL]],INVENTARIO!$A:$D,2,FALSE))</f>
        <v/>
      </c>
      <c r="F2189" s="7" t="str">
        <f>IF(Plantilla_SCAN_EQ3_COUNT_2[[#This Row],[ID MATERIAL]]="","",IF(Plantilla_SCAN_EQ3_COUNT_2[[#This Row],[No. Empaques]]="",1,Plantilla_SCAN_EQ3_COUNT_2[[#This Row],[No. Empaques]]*1))</f>
        <v/>
      </c>
      <c r="G2189" s="7" t="str">
        <f>IF(Plantilla_SCAN_EQ3_COUNT_2[[#This Row],[ID MATERIAL]]="","","PZ")</f>
        <v/>
      </c>
      <c r="H2189" s="7" t="str">
        <f>IF(Plantilla_SCAN_EQ3_COUNT_2[[#This Row],[ID MATERIAL]]="","",$B$13)</f>
        <v/>
      </c>
      <c r="I2189" s="7" t="str">
        <f>IF(Plantilla_SCAN_EQ3_COUNT_2[[#This Row],[ID MATERIAL]]="","","Segundo Conteo")</f>
        <v/>
      </c>
    </row>
    <row r="2190" spans="1:9" s="7" customFormat="1" ht="15" x14ac:dyDescent="0.2">
      <c r="A2190" s="7" t="str">
        <f>IF(Plantilla_SCAN_EQ3_COUNT_2[[#This Row],[ID MATERIAL]]="","",SIGN(Plantilla_SCAN_EQ3_COUNT_2[[#This Row],[Cantidad]])+A2189)</f>
        <v/>
      </c>
      <c r="B2190" s="21" t="str">
        <f>IF(Plantilla_SCAN_EQ3_COUNT_2[[#This Row],[ID MATERIAL]]="","",B2189)</f>
        <v/>
      </c>
      <c r="C2190" s="21"/>
      <c r="D2190" s="21"/>
      <c r="E2190" s="7" t="str">
        <f>IF(Plantilla_SCAN_EQ3_COUNT_2[[#This Row],[ID MATERIAL]]="","",VLOOKUP(Plantilla_SCAN_EQ3_COUNT_2[[#This Row],[ID MATERIAL]],INVENTARIO!$A:$D,2,FALSE))</f>
        <v/>
      </c>
      <c r="F2190" s="7" t="str">
        <f>IF(Plantilla_SCAN_EQ3_COUNT_2[[#This Row],[ID MATERIAL]]="","",IF(Plantilla_SCAN_EQ3_COUNT_2[[#This Row],[No. Empaques]]="",1,Plantilla_SCAN_EQ3_COUNT_2[[#This Row],[No. Empaques]]*1))</f>
        <v/>
      </c>
      <c r="G2190" s="7" t="str">
        <f>IF(Plantilla_SCAN_EQ3_COUNT_2[[#This Row],[ID MATERIAL]]="","","PZ")</f>
        <v/>
      </c>
      <c r="H2190" s="7" t="str">
        <f>IF(Plantilla_SCAN_EQ3_COUNT_2[[#This Row],[ID MATERIAL]]="","",$B$13)</f>
        <v/>
      </c>
      <c r="I2190" s="7" t="str">
        <f>IF(Plantilla_SCAN_EQ3_COUNT_2[[#This Row],[ID MATERIAL]]="","","Segundo Conteo")</f>
        <v/>
      </c>
    </row>
    <row r="2191" spans="1:9" s="7" customFormat="1" ht="15" x14ac:dyDescent="0.2">
      <c r="A2191" s="7" t="str">
        <f>IF(Plantilla_SCAN_EQ3_COUNT_2[[#This Row],[ID MATERIAL]]="","",SIGN(Plantilla_SCAN_EQ3_COUNT_2[[#This Row],[Cantidad]])+A2190)</f>
        <v/>
      </c>
      <c r="B2191" s="21" t="str">
        <f>IF(Plantilla_SCAN_EQ3_COUNT_2[[#This Row],[ID MATERIAL]]="","",B2190)</f>
        <v/>
      </c>
      <c r="C2191" s="21"/>
      <c r="D2191" s="21"/>
      <c r="E2191" s="7" t="str">
        <f>IF(Plantilla_SCAN_EQ3_COUNT_2[[#This Row],[ID MATERIAL]]="","",VLOOKUP(Plantilla_SCAN_EQ3_COUNT_2[[#This Row],[ID MATERIAL]],INVENTARIO!$A:$D,2,FALSE))</f>
        <v/>
      </c>
      <c r="F2191" s="7" t="str">
        <f>IF(Plantilla_SCAN_EQ3_COUNT_2[[#This Row],[ID MATERIAL]]="","",IF(Plantilla_SCAN_EQ3_COUNT_2[[#This Row],[No. Empaques]]="",1,Plantilla_SCAN_EQ3_COUNT_2[[#This Row],[No. Empaques]]*1))</f>
        <v/>
      </c>
      <c r="G2191" s="7" t="str">
        <f>IF(Plantilla_SCAN_EQ3_COUNT_2[[#This Row],[ID MATERIAL]]="","","PZ")</f>
        <v/>
      </c>
      <c r="H2191" s="7" t="str">
        <f>IF(Plantilla_SCAN_EQ3_COUNT_2[[#This Row],[ID MATERIAL]]="","",$B$13)</f>
        <v/>
      </c>
      <c r="I2191" s="7" t="str">
        <f>IF(Plantilla_SCAN_EQ3_COUNT_2[[#This Row],[ID MATERIAL]]="","","Segundo Conteo")</f>
        <v/>
      </c>
    </row>
    <row r="2192" spans="1:9" s="7" customFormat="1" ht="15" x14ac:dyDescent="0.2">
      <c r="A2192" s="7" t="str">
        <f>IF(Plantilla_SCAN_EQ3_COUNT_2[[#This Row],[ID MATERIAL]]="","",SIGN(Plantilla_SCAN_EQ3_COUNT_2[[#This Row],[Cantidad]])+A2191)</f>
        <v/>
      </c>
      <c r="B2192" s="21" t="str">
        <f>IF(Plantilla_SCAN_EQ3_COUNT_2[[#This Row],[ID MATERIAL]]="","",B2191)</f>
        <v/>
      </c>
      <c r="C2192" s="21"/>
      <c r="D2192" s="21"/>
      <c r="E2192" s="7" t="str">
        <f>IF(Plantilla_SCAN_EQ3_COUNT_2[[#This Row],[ID MATERIAL]]="","",VLOOKUP(Plantilla_SCAN_EQ3_COUNT_2[[#This Row],[ID MATERIAL]],INVENTARIO!$A:$D,2,FALSE))</f>
        <v/>
      </c>
      <c r="F2192" s="7" t="str">
        <f>IF(Plantilla_SCAN_EQ3_COUNT_2[[#This Row],[ID MATERIAL]]="","",IF(Plantilla_SCAN_EQ3_COUNT_2[[#This Row],[No. Empaques]]="",1,Plantilla_SCAN_EQ3_COUNT_2[[#This Row],[No. Empaques]]*1))</f>
        <v/>
      </c>
      <c r="G2192" s="7" t="str">
        <f>IF(Plantilla_SCAN_EQ3_COUNT_2[[#This Row],[ID MATERIAL]]="","","PZ")</f>
        <v/>
      </c>
      <c r="H2192" s="7" t="str">
        <f>IF(Plantilla_SCAN_EQ3_COUNT_2[[#This Row],[ID MATERIAL]]="","",$B$13)</f>
        <v/>
      </c>
      <c r="I2192" s="7" t="str">
        <f>IF(Plantilla_SCAN_EQ3_COUNT_2[[#This Row],[ID MATERIAL]]="","","Segundo Conteo")</f>
        <v/>
      </c>
    </row>
    <row r="2193" spans="1:9" s="7" customFormat="1" ht="15" x14ac:dyDescent="0.2">
      <c r="A2193" s="7" t="str">
        <f>IF(Plantilla_SCAN_EQ3_COUNT_2[[#This Row],[ID MATERIAL]]="","",SIGN(Plantilla_SCAN_EQ3_COUNT_2[[#This Row],[Cantidad]])+A2192)</f>
        <v/>
      </c>
      <c r="B2193" s="21" t="str">
        <f>IF(Plantilla_SCAN_EQ3_COUNT_2[[#This Row],[ID MATERIAL]]="","",B2192)</f>
        <v/>
      </c>
      <c r="C2193" s="21"/>
      <c r="D2193" s="21"/>
      <c r="E2193" s="7" t="str">
        <f>IF(Plantilla_SCAN_EQ3_COUNT_2[[#This Row],[ID MATERIAL]]="","",VLOOKUP(Plantilla_SCAN_EQ3_COUNT_2[[#This Row],[ID MATERIAL]],INVENTARIO!$A:$D,2,FALSE))</f>
        <v/>
      </c>
      <c r="F2193" s="7" t="str">
        <f>IF(Plantilla_SCAN_EQ3_COUNT_2[[#This Row],[ID MATERIAL]]="","",IF(Plantilla_SCAN_EQ3_COUNT_2[[#This Row],[No. Empaques]]="",1,Plantilla_SCAN_EQ3_COUNT_2[[#This Row],[No. Empaques]]*1))</f>
        <v/>
      </c>
      <c r="G2193" s="7" t="str">
        <f>IF(Plantilla_SCAN_EQ3_COUNT_2[[#This Row],[ID MATERIAL]]="","","PZ")</f>
        <v/>
      </c>
      <c r="H2193" s="7" t="str">
        <f>IF(Plantilla_SCAN_EQ3_COUNT_2[[#This Row],[ID MATERIAL]]="","",$B$13)</f>
        <v/>
      </c>
      <c r="I2193" s="7" t="str">
        <f>IF(Plantilla_SCAN_EQ3_COUNT_2[[#This Row],[ID MATERIAL]]="","","Segundo Conteo")</f>
        <v/>
      </c>
    </row>
    <row r="2194" spans="1:9" s="7" customFormat="1" ht="15" x14ac:dyDescent="0.2">
      <c r="A2194" s="7" t="str">
        <f>IF(Plantilla_SCAN_EQ3_COUNT_2[[#This Row],[ID MATERIAL]]="","",SIGN(Plantilla_SCAN_EQ3_COUNT_2[[#This Row],[Cantidad]])+A2193)</f>
        <v/>
      </c>
      <c r="B2194" s="21" t="str">
        <f>IF(Plantilla_SCAN_EQ3_COUNT_2[[#This Row],[ID MATERIAL]]="","",B2193)</f>
        <v/>
      </c>
      <c r="C2194" s="21"/>
      <c r="D2194" s="21"/>
      <c r="E2194" s="7" t="str">
        <f>IF(Plantilla_SCAN_EQ3_COUNT_2[[#This Row],[ID MATERIAL]]="","",VLOOKUP(Plantilla_SCAN_EQ3_COUNT_2[[#This Row],[ID MATERIAL]],INVENTARIO!$A:$D,2,FALSE))</f>
        <v/>
      </c>
      <c r="F2194" s="7" t="str">
        <f>IF(Plantilla_SCAN_EQ3_COUNT_2[[#This Row],[ID MATERIAL]]="","",IF(Plantilla_SCAN_EQ3_COUNT_2[[#This Row],[No. Empaques]]="",1,Plantilla_SCAN_EQ3_COUNT_2[[#This Row],[No. Empaques]]*1))</f>
        <v/>
      </c>
      <c r="G2194" s="7" t="str">
        <f>IF(Plantilla_SCAN_EQ3_COUNT_2[[#This Row],[ID MATERIAL]]="","","PZ")</f>
        <v/>
      </c>
      <c r="H2194" s="7" t="str">
        <f>IF(Plantilla_SCAN_EQ3_COUNT_2[[#This Row],[ID MATERIAL]]="","",$B$13)</f>
        <v/>
      </c>
      <c r="I2194" s="7" t="str">
        <f>IF(Plantilla_SCAN_EQ3_COUNT_2[[#This Row],[ID MATERIAL]]="","","Segundo Conteo")</f>
        <v/>
      </c>
    </row>
    <row r="2195" spans="1:9" s="7" customFormat="1" ht="15" x14ac:dyDescent="0.2">
      <c r="A2195" s="7" t="str">
        <f>IF(Plantilla_SCAN_EQ3_COUNT_2[[#This Row],[ID MATERIAL]]="","",SIGN(Plantilla_SCAN_EQ3_COUNT_2[[#This Row],[Cantidad]])+A2194)</f>
        <v/>
      </c>
      <c r="B2195" s="21" t="str">
        <f>IF(Plantilla_SCAN_EQ3_COUNT_2[[#This Row],[ID MATERIAL]]="","",B2194)</f>
        <v/>
      </c>
      <c r="C2195" s="21"/>
      <c r="D2195" s="21"/>
      <c r="E2195" s="7" t="str">
        <f>IF(Plantilla_SCAN_EQ3_COUNT_2[[#This Row],[ID MATERIAL]]="","",VLOOKUP(Plantilla_SCAN_EQ3_COUNT_2[[#This Row],[ID MATERIAL]],INVENTARIO!$A:$D,2,FALSE))</f>
        <v/>
      </c>
      <c r="F2195" s="7" t="str">
        <f>IF(Plantilla_SCAN_EQ3_COUNT_2[[#This Row],[ID MATERIAL]]="","",IF(Plantilla_SCAN_EQ3_COUNT_2[[#This Row],[No. Empaques]]="",1,Plantilla_SCAN_EQ3_COUNT_2[[#This Row],[No. Empaques]]*1))</f>
        <v/>
      </c>
      <c r="G2195" s="7" t="str">
        <f>IF(Plantilla_SCAN_EQ3_COUNT_2[[#This Row],[ID MATERIAL]]="","","PZ")</f>
        <v/>
      </c>
      <c r="H2195" s="7" t="str">
        <f>IF(Plantilla_SCAN_EQ3_COUNT_2[[#This Row],[ID MATERIAL]]="","",$B$13)</f>
        <v/>
      </c>
      <c r="I2195" s="7" t="str">
        <f>IF(Plantilla_SCAN_EQ3_COUNT_2[[#This Row],[ID MATERIAL]]="","","Segundo Conteo")</f>
        <v/>
      </c>
    </row>
    <row r="2196" spans="1:9" s="7" customFormat="1" ht="15" x14ac:dyDescent="0.2">
      <c r="A2196" s="7" t="str">
        <f>IF(Plantilla_SCAN_EQ3_COUNT_2[[#This Row],[ID MATERIAL]]="","",SIGN(Plantilla_SCAN_EQ3_COUNT_2[[#This Row],[Cantidad]])+A2195)</f>
        <v/>
      </c>
      <c r="B2196" s="21" t="str">
        <f>IF(Plantilla_SCAN_EQ3_COUNT_2[[#This Row],[ID MATERIAL]]="","",B2195)</f>
        <v/>
      </c>
      <c r="C2196" s="21"/>
      <c r="D2196" s="21"/>
      <c r="E2196" s="7" t="str">
        <f>IF(Plantilla_SCAN_EQ3_COUNT_2[[#This Row],[ID MATERIAL]]="","",VLOOKUP(Plantilla_SCAN_EQ3_COUNT_2[[#This Row],[ID MATERIAL]],INVENTARIO!$A:$D,2,FALSE))</f>
        <v/>
      </c>
      <c r="F2196" s="7" t="str">
        <f>IF(Plantilla_SCAN_EQ3_COUNT_2[[#This Row],[ID MATERIAL]]="","",IF(Plantilla_SCAN_EQ3_COUNT_2[[#This Row],[No. Empaques]]="",1,Plantilla_SCAN_EQ3_COUNT_2[[#This Row],[No. Empaques]]*1))</f>
        <v/>
      </c>
      <c r="G2196" s="7" t="str">
        <f>IF(Plantilla_SCAN_EQ3_COUNT_2[[#This Row],[ID MATERIAL]]="","","PZ")</f>
        <v/>
      </c>
      <c r="H2196" s="7" t="str">
        <f>IF(Plantilla_SCAN_EQ3_COUNT_2[[#This Row],[ID MATERIAL]]="","",$B$13)</f>
        <v/>
      </c>
      <c r="I2196" s="7" t="str">
        <f>IF(Plantilla_SCAN_EQ3_COUNT_2[[#This Row],[ID MATERIAL]]="","","Segundo Conteo")</f>
        <v/>
      </c>
    </row>
    <row r="2197" spans="1:9" s="7" customFormat="1" ht="15" x14ac:dyDescent="0.2">
      <c r="A2197" s="7" t="str">
        <f>IF(Plantilla_SCAN_EQ3_COUNT_2[[#This Row],[ID MATERIAL]]="","",SIGN(Plantilla_SCAN_EQ3_COUNT_2[[#This Row],[Cantidad]])+A2196)</f>
        <v/>
      </c>
      <c r="B2197" s="21" t="str">
        <f>IF(Plantilla_SCAN_EQ3_COUNT_2[[#This Row],[ID MATERIAL]]="","",B2196)</f>
        <v/>
      </c>
      <c r="C2197" s="21"/>
      <c r="D2197" s="21"/>
      <c r="E2197" s="7" t="str">
        <f>IF(Plantilla_SCAN_EQ3_COUNT_2[[#This Row],[ID MATERIAL]]="","",VLOOKUP(Plantilla_SCAN_EQ3_COUNT_2[[#This Row],[ID MATERIAL]],INVENTARIO!$A:$D,2,FALSE))</f>
        <v/>
      </c>
      <c r="F2197" s="7" t="str">
        <f>IF(Plantilla_SCAN_EQ3_COUNT_2[[#This Row],[ID MATERIAL]]="","",IF(Plantilla_SCAN_EQ3_COUNT_2[[#This Row],[No. Empaques]]="",1,Plantilla_SCAN_EQ3_COUNT_2[[#This Row],[No. Empaques]]*1))</f>
        <v/>
      </c>
      <c r="G2197" s="7" t="str">
        <f>IF(Plantilla_SCAN_EQ3_COUNT_2[[#This Row],[ID MATERIAL]]="","","PZ")</f>
        <v/>
      </c>
      <c r="H2197" s="7" t="str">
        <f>IF(Plantilla_SCAN_EQ3_COUNT_2[[#This Row],[ID MATERIAL]]="","",$B$13)</f>
        <v/>
      </c>
      <c r="I2197" s="7" t="str">
        <f>IF(Plantilla_SCAN_EQ3_COUNT_2[[#This Row],[ID MATERIAL]]="","","Segundo Conteo")</f>
        <v/>
      </c>
    </row>
    <row r="2198" spans="1:9" s="7" customFormat="1" ht="15" x14ac:dyDescent="0.2">
      <c r="A2198" s="7" t="str">
        <f>IF(Plantilla_SCAN_EQ3_COUNT_2[[#This Row],[ID MATERIAL]]="","",SIGN(Plantilla_SCAN_EQ3_COUNT_2[[#This Row],[Cantidad]])+A2197)</f>
        <v/>
      </c>
      <c r="B2198" s="21" t="str">
        <f>IF(Plantilla_SCAN_EQ3_COUNT_2[[#This Row],[ID MATERIAL]]="","",B2197)</f>
        <v/>
      </c>
      <c r="C2198" s="21"/>
      <c r="D2198" s="21"/>
      <c r="E2198" s="7" t="str">
        <f>IF(Plantilla_SCAN_EQ3_COUNT_2[[#This Row],[ID MATERIAL]]="","",VLOOKUP(Plantilla_SCAN_EQ3_COUNT_2[[#This Row],[ID MATERIAL]],INVENTARIO!$A:$D,2,FALSE))</f>
        <v/>
      </c>
      <c r="F2198" s="7" t="str">
        <f>IF(Plantilla_SCAN_EQ3_COUNT_2[[#This Row],[ID MATERIAL]]="","",IF(Plantilla_SCAN_EQ3_COUNT_2[[#This Row],[No. Empaques]]="",1,Plantilla_SCAN_EQ3_COUNT_2[[#This Row],[No. Empaques]]*1))</f>
        <v/>
      </c>
      <c r="G2198" s="7" t="str">
        <f>IF(Plantilla_SCAN_EQ3_COUNT_2[[#This Row],[ID MATERIAL]]="","","PZ")</f>
        <v/>
      </c>
      <c r="H2198" s="7" t="str">
        <f>IF(Plantilla_SCAN_EQ3_COUNT_2[[#This Row],[ID MATERIAL]]="","",$B$13)</f>
        <v/>
      </c>
      <c r="I2198" s="7" t="str">
        <f>IF(Plantilla_SCAN_EQ3_COUNT_2[[#This Row],[ID MATERIAL]]="","","Segundo Conteo")</f>
        <v/>
      </c>
    </row>
    <row r="2199" spans="1:9" s="7" customFormat="1" ht="15" x14ac:dyDescent="0.2">
      <c r="A2199" s="7" t="str">
        <f>IF(Plantilla_SCAN_EQ3_COUNT_2[[#This Row],[ID MATERIAL]]="","",SIGN(Plantilla_SCAN_EQ3_COUNT_2[[#This Row],[Cantidad]])+A2198)</f>
        <v/>
      </c>
      <c r="B2199" s="21" t="str">
        <f>IF(Plantilla_SCAN_EQ3_COUNT_2[[#This Row],[ID MATERIAL]]="","",B2198)</f>
        <v/>
      </c>
      <c r="C2199" s="21"/>
      <c r="D2199" s="21"/>
      <c r="E2199" s="7" t="str">
        <f>IF(Plantilla_SCAN_EQ3_COUNT_2[[#This Row],[ID MATERIAL]]="","",VLOOKUP(Plantilla_SCAN_EQ3_COUNT_2[[#This Row],[ID MATERIAL]],INVENTARIO!$A:$D,2,FALSE))</f>
        <v/>
      </c>
      <c r="F2199" s="7" t="str">
        <f>IF(Plantilla_SCAN_EQ3_COUNT_2[[#This Row],[ID MATERIAL]]="","",IF(Plantilla_SCAN_EQ3_COUNT_2[[#This Row],[No. Empaques]]="",1,Plantilla_SCAN_EQ3_COUNT_2[[#This Row],[No. Empaques]]*1))</f>
        <v/>
      </c>
      <c r="G2199" s="7" t="str">
        <f>IF(Plantilla_SCAN_EQ3_COUNT_2[[#This Row],[ID MATERIAL]]="","","PZ")</f>
        <v/>
      </c>
      <c r="H2199" s="7" t="str">
        <f>IF(Plantilla_SCAN_EQ3_COUNT_2[[#This Row],[ID MATERIAL]]="","",$B$13)</f>
        <v/>
      </c>
      <c r="I2199" s="7" t="str">
        <f>IF(Plantilla_SCAN_EQ3_COUNT_2[[#This Row],[ID MATERIAL]]="","","Segundo Conteo")</f>
        <v/>
      </c>
    </row>
    <row r="2200" spans="1:9" s="7" customFormat="1" ht="15" x14ac:dyDescent="0.2">
      <c r="A2200" s="7" t="str">
        <f>IF(Plantilla_SCAN_EQ3_COUNT_2[[#This Row],[ID MATERIAL]]="","",SIGN(Plantilla_SCAN_EQ3_COUNT_2[[#This Row],[Cantidad]])+A2199)</f>
        <v/>
      </c>
      <c r="B2200" s="21" t="str">
        <f>IF(Plantilla_SCAN_EQ3_COUNT_2[[#This Row],[ID MATERIAL]]="","",B2199)</f>
        <v/>
      </c>
      <c r="C2200" s="21"/>
      <c r="D2200" s="21"/>
      <c r="E2200" s="7" t="str">
        <f>IF(Plantilla_SCAN_EQ3_COUNT_2[[#This Row],[ID MATERIAL]]="","",VLOOKUP(Plantilla_SCAN_EQ3_COUNT_2[[#This Row],[ID MATERIAL]],INVENTARIO!$A:$D,2,FALSE))</f>
        <v/>
      </c>
      <c r="F2200" s="7" t="str">
        <f>IF(Plantilla_SCAN_EQ3_COUNT_2[[#This Row],[ID MATERIAL]]="","",IF(Plantilla_SCAN_EQ3_COUNT_2[[#This Row],[No. Empaques]]="",1,Plantilla_SCAN_EQ3_COUNT_2[[#This Row],[No. Empaques]]*1))</f>
        <v/>
      </c>
      <c r="G2200" s="7" t="str">
        <f>IF(Plantilla_SCAN_EQ3_COUNT_2[[#This Row],[ID MATERIAL]]="","","PZ")</f>
        <v/>
      </c>
      <c r="H2200" s="7" t="str">
        <f>IF(Plantilla_SCAN_EQ3_COUNT_2[[#This Row],[ID MATERIAL]]="","",$B$13)</f>
        <v/>
      </c>
      <c r="I2200" s="7" t="str">
        <f>IF(Plantilla_SCAN_EQ3_COUNT_2[[#This Row],[ID MATERIAL]]="","","Segundo Conteo")</f>
        <v/>
      </c>
    </row>
    <row r="2201" spans="1:9" s="7" customFormat="1" ht="15" x14ac:dyDescent="0.2">
      <c r="A2201" s="7" t="str">
        <f>IF(Plantilla_SCAN_EQ3_COUNT_2[[#This Row],[ID MATERIAL]]="","",SIGN(Plantilla_SCAN_EQ3_COUNT_2[[#This Row],[Cantidad]])+A2200)</f>
        <v/>
      </c>
      <c r="B2201" s="21" t="str">
        <f>IF(Plantilla_SCAN_EQ3_COUNT_2[[#This Row],[ID MATERIAL]]="","",B2200)</f>
        <v/>
      </c>
      <c r="C2201" s="21"/>
      <c r="D2201" s="21"/>
      <c r="E2201" s="7" t="str">
        <f>IF(Plantilla_SCAN_EQ3_COUNT_2[[#This Row],[ID MATERIAL]]="","",VLOOKUP(Plantilla_SCAN_EQ3_COUNT_2[[#This Row],[ID MATERIAL]],INVENTARIO!$A:$D,2,FALSE))</f>
        <v/>
      </c>
      <c r="F2201" s="7" t="str">
        <f>IF(Plantilla_SCAN_EQ3_COUNT_2[[#This Row],[ID MATERIAL]]="","",IF(Plantilla_SCAN_EQ3_COUNT_2[[#This Row],[No. Empaques]]="",1,Plantilla_SCAN_EQ3_COUNT_2[[#This Row],[No. Empaques]]*1))</f>
        <v/>
      </c>
      <c r="G2201" s="7" t="str">
        <f>IF(Plantilla_SCAN_EQ3_COUNT_2[[#This Row],[ID MATERIAL]]="","","PZ")</f>
        <v/>
      </c>
      <c r="H2201" s="7" t="str">
        <f>IF(Plantilla_SCAN_EQ3_COUNT_2[[#This Row],[ID MATERIAL]]="","",$B$13)</f>
        <v/>
      </c>
      <c r="I2201" s="7" t="str">
        <f>IF(Plantilla_SCAN_EQ3_COUNT_2[[#This Row],[ID MATERIAL]]="","","Segundo Conteo")</f>
        <v/>
      </c>
    </row>
    <row r="2202" spans="1:9" s="7" customFormat="1" ht="15" x14ac:dyDescent="0.2">
      <c r="A2202" s="7" t="str">
        <f>IF(Plantilla_SCAN_EQ3_COUNT_2[[#This Row],[ID MATERIAL]]="","",SIGN(Plantilla_SCAN_EQ3_COUNT_2[[#This Row],[Cantidad]])+A2201)</f>
        <v/>
      </c>
      <c r="B2202" s="21" t="str">
        <f>IF(Plantilla_SCAN_EQ3_COUNT_2[[#This Row],[ID MATERIAL]]="","",B2201)</f>
        <v/>
      </c>
      <c r="C2202" s="21"/>
      <c r="D2202" s="21"/>
      <c r="E2202" s="7" t="str">
        <f>IF(Plantilla_SCAN_EQ3_COUNT_2[[#This Row],[ID MATERIAL]]="","",VLOOKUP(Plantilla_SCAN_EQ3_COUNT_2[[#This Row],[ID MATERIAL]],INVENTARIO!$A:$D,2,FALSE))</f>
        <v/>
      </c>
      <c r="F2202" s="7" t="str">
        <f>IF(Plantilla_SCAN_EQ3_COUNT_2[[#This Row],[ID MATERIAL]]="","",IF(Plantilla_SCAN_EQ3_COUNT_2[[#This Row],[No. Empaques]]="",1,Plantilla_SCAN_EQ3_COUNT_2[[#This Row],[No. Empaques]]*1))</f>
        <v/>
      </c>
      <c r="G2202" s="7" t="str">
        <f>IF(Plantilla_SCAN_EQ3_COUNT_2[[#This Row],[ID MATERIAL]]="","","PZ")</f>
        <v/>
      </c>
      <c r="H2202" s="7" t="str">
        <f>IF(Plantilla_SCAN_EQ3_COUNT_2[[#This Row],[ID MATERIAL]]="","",$B$13)</f>
        <v/>
      </c>
      <c r="I2202" s="7" t="str">
        <f>IF(Plantilla_SCAN_EQ3_COUNT_2[[#This Row],[ID MATERIAL]]="","","Segundo Conteo")</f>
        <v/>
      </c>
    </row>
    <row r="2203" spans="1:9" s="7" customFormat="1" ht="15" x14ac:dyDescent="0.2">
      <c r="A2203" s="7" t="str">
        <f>IF(Plantilla_SCAN_EQ3_COUNT_2[[#This Row],[ID MATERIAL]]="","",SIGN(Plantilla_SCAN_EQ3_COUNT_2[[#This Row],[Cantidad]])+A2202)</f>
        <v/>
      </c>
      <c r="B2203" s="21" t="str">
        <f>IF(Plantilla_SCAN_EQ3_COUNT_2[[#This Row],[ID MATERIAL]]="","",B2202)</f>
        <v/>
      </c>
      <c r="C2203" s="21"/>
      <c r="D2203" s="21"/>
      <c r="E2203" s="7" t="str">
        <f>IF(Plantilla_SCAN_EQ3_COUNT_2[[#This Row],[ID MATERIAL]]="","",VLOOKUP(Plantilla_SCAN_EQ3_COUNT_2[[#This Row],[ID MATERIAL]],INVENTARIO!$A:$D,2,FALSE))</f>
        <v/>
      </c>
      <c r="F2203" s="7" t="str">
        <f>IF(Plantilla_SCAN_EQ3_COUNT_2[[#This Row],[ID MATERIAL]]="","",IF(Plantilla_SCAN_EQ3_COUNT_2[[#This Row],[No. Empaques]]="",1,Plantilla_SCAN_EQ3_COUNT_2[[#This Row],[No. Empaques]]*1))</f>
        <v/>
      </c>
      <c r="G2203" s="7" t="str">
        <f>IF(Plantilla_SCAN_EQ3_COUNT_2[[#This Row],[ID MATERIAL]]="","","PZ")</f>
        <v/>
      </c>
      <c r="H2203" s="7" t="str">
        <f>IF(Plantilla_SCAN_EQ3_COUNT_2[[#This Row],[ID MATERIAL]]="","",$B$13)</f>
        <v/>
      </c>
      <c r="I2203" s="7" t="str">
        <f>IF(Plantilla_SCAN_EQ3_COUNT_2[[#This Row],[ID MATERIAL]]="","","Segundo Conteo")</f>
        <v/>
      </c>
    </row>
    <row r="2204" spans="1:9" s="7" customFormat="1" ht="15" x14ac:dyDescent="0.2">
      <c r="A2204" s="7" t="str">
        <f>IF(Plantilla_SCAN_EQ3_COUNT_2[[#This Row],[ID MATERIAL]]="","",SIGN(Plantilla_SCAN_EQ3_COUNT_2[[#This Row],[Cantidad]])+A2203)</f>
        <v/>
      </c>
      <c r="B2204" s="21" t="str">
        <f>IF(Plantilla_SCAN_EQ3_COUNT_2[[#This Row],[ID MATERIAL]]="","",B2203)</f>
        <v/>
      </c>
      <c r="C2204" s="21"/>
      <c r="D2204" s="21"/>
      <c r="E2204" s="7" t="str">
        <f>IF(Plantilla_SCAN_EQ3_COUNT_2[[#This Row],[ID MATERIAL]]="","",VLOOKUP(Plantilla_SCAN_EQ3_COUNT_2[[#This Row],[ID MATERIAL]],INVENTARIO!$A:$D,2,FALSE))</f>
        <v/>
      </c>
      <c r="F2204" s="7" t="str">
        <f>IF(Plantilla_SCAN_EQ3_COUNT_2[[#This Row],[ID MATERIAL]]="","",IF(Plantilla_SCAN_EQ3_COUNT_2[[#This Row],[No. Empaques]]="",1,Plantilla_SCAN_EQ3_COUNT_2[[#This Row],[No. Empaques]]*1))</f>
        <v/>
      </c>
      <c r="G2204" s="7" t="str">
        <f>IF(Plantilla_SCAN_EQ3_COUNT_2[[#This Row],[ID MATERIAL]]="","","PZ")</f>
        <v/>
      </c>
      <c r="H2204" s="7" t="str">
        <f>IF(Plantilla_SCAN_EQ3_COUNT_2[[#This Row],[ID MATERIAL]]="","",$B$13)</f>
        <v/>
      </c>
      <c r="I2204" s="7" t="str">
        <f>IF(Plantilla_SCAN_EQ3_COUNT_2[[#This Row],[ID MATERIAL]]="","","Segundo Conteo")</f>
        <v/>
      </c>
    </row>
    <row r="2205" spans="1:9" s="7" customFormat="1" ht="15" x14ac:dyDescent="0.2">
      <c r="A2205" s="7" t="str">
        <f>IF(Plantilla_SCAN_EQ3_COUNT_2[[#This Row],[ID MATERIAL]]="","",SIGN(Plantilla_SCAN_EQ3_COUNT_2[[#This Row],[Cantidad]])+A2204)</f>
        <v/>
      </c>
      <c r="B2205" s="21" t="str">
        <f>IF(Plantilla_SCAN_EQ3_COUNT_2[[#This Row],[ID MATERIAL]]="","",B2204)</f>
        <v/>
      </c>
      <c r="C2205" s="21"/>
      <c r="D2205" s="21"/>
      <c r="E2205" s="7" t="str">
        <f>IF(Plantilla_SCAN_EQ3_COUNT_2[[#This Row],[ID MATERIAL]]="","",VLOOKUP(Plantilla_SCAN_EQ3_COUNT_2[[#This Row],[ID MATERIAL]],INVENTARIO!$A:$D,2,FALSE))</f>
        <v/>
      </c>
      <c r="F2205" s="7" t="str">
        <f>IF(Plantilla_SCAN_EQ3_COUNT_2[[#This Row],[ID MATERIAL]]="","",IF(Plantilla_SCAN_EQ3_COUNT_2[[#This Row],[No. Empaques]]="",1,Plantilla_SCAN_EQ3_COUNT_2[[#This Row],[No. Empaques]]*1))</f>
        <v/>
      </c>
      <c r="G2205" s="7" t="str">
        <f>IF(Plantilla_SCAN_EQ3_COUNT_2[[#This Row],[ID MATERIAL]]="","","PZ")</f>
        <v/>
      </c>
      <c r="H2205" s="7" t="str">
        <f>IF(Plantilla_SCAN_EQ3_COUNT_2[[#This Row],[ID MATERIAL]]="","",$B$13)</f>
        <v/>
      </c>
      <c r="I2205" s="7" t="str">
        <f>IF(Plantilla_SCAN_EQ3_COUNT_2[[#This Row],[ID MATERIAL]]="","","Segundo Conteo")</f>
        <v/>
      </c>
    </row>
    <row r="2206" spans="1:9" s="7" customFormat="1" ht="15" x14ac:dyDescent="0.2">
      <c r="A2206" s="7" t="str">
        <f>IF(Plantilla_SCAN_EQ3_COUNT_2[[#This Row],[ID MATERIAL]]="","",SIGN(Plantilla_SCAN_EQ3_COUNT_2[[#This Row],[Cantidad]])+A2205)</f>
        <v/>
      </c>
      <c r="B2206" s="21" t="str">
        <f>IF(Plantilla_SCAN_EQ3_COUNT_2[[#This Row],[ID MATERIAL]]="","",B2205)</f>
        <v/>
      </c>
      <c r="C2206" s="21"/>
      <c r="D2206" s="21"/>
      <c r="E2206" s="7" t="str">
        <f>IF(Plantilla_SCAN_EQ3_COUNT_2[[#This Row],[ID MATERIAL]]="","",VLOOKUP(Plantilla_SCAN_EQ3_COUNT_2[[#This Row],[ID MATERIAL]],INVENTARIO!$A:$D,2,FALSE))</f>
        <v/>
      </c>
      <c r="F2206" s="7" t="str">
        <f>IF(Plantilla_SCAN_EQ3_COUNT_2[[#This Row],[ID MATERIAL]]="","",IF(Plantilla_SCAN_EQ3_COUNT_2[[#This Row],[No. Empaques]]="",1,Plantilla_SCAN_EQ3_COUNT_2[[#This Row],[No. Empaques]]*1))</f>
        <v/>
      </c>
      <c r="G2206" s="7" t="str">
        <f>IF(Plantilla_SCAN_EQ3_COUNT_2[[#This Row],[ID MATERIAL]]="","","PZ")</f>
        <v/>
      </c>
      <c r="H2206" s="7" t="str">
        <f>IF(Plantilla_SCAN_EQ3_COUNT_2[[#This Row],[ID MATERIAL]]="","",$B$13)</f>
        <v/>
      </c>
      <c r="I2206" s="7" t="str">
        <f>IF(Plantilla_SCAN_EQ3_COUNT_2[[#This Row],[ID MATERIAL]]="","","Segundo Conteo")</f>
        <v/>
      </c>
    </row>
    <row r="2207" spans="1:9" s="7" customFormat="1" ht="15" x14ac:dyDescent="0.2">
      <c r="A2207" s="7" t="str">
        <f>IF(Plantilla_SCAN_EQ3_COUNT_2[[#This Row],[ID MATERIAL]]="","",SIGN(Plantilla_SCAN_EQ3_COUNT_2[[#This Row],[Cantidad]])+A2206)</f>
        <v/>
      </c>
      <c r="B2207" s="21" t="str">
        <f>IF(Plantilla_SCAN_EQ3_COUNT_2[[#This Row],[ID MATERIAL]]="","",B2206)</f>
        <v/>
      </c>
      <c r="C2207" s="21"/>
      <c r="D2207" s="21"/>
      <c r="E2207" s="7" t="str">
        <f>IF(Plantilla_SCAN_EQ3_COUNT_2[[#This Row],[ID MATERIAL]]="","",VLOOKUP(Plantilla_SCAN_EQ3_COUNT_2[[#This Row],[ID MATERIAL]],INVENTARIO!$A:$D,2,FALSE))</f>
        <v/>
      </c>
      <c r="F2207" s="7" t="str">
        <f>IF(Plantilla_SCAN_EQ3_COUNT_2[[#This Row],[ID MATERIAL]]="","",IF(Plantilla_SCAN_EQ3_COUNT_2[[#This Row],[No. Empaques]]="",1,Plantilla_SCAN_EQ3_COUNT_2[[#This Row],[No. Empaques]]*1))</f>
        <v/>
      </c>
      <c r="G2207" s="7" t="str">
        <f>IF(Plantilla_SCAN_EQ3_COUNT_2[[#This Row],[ID MATERIAL]]="","","PZ")</f>
        <v/>
      </c>
      <c r="H2207" s="7" t="str">
        <f>IF(Plantilla_SCAN_EQ3_COUNT_2[[#This Row],[ID MATERIAL]]="","",$B$13)</f>
        <v/>
      </c>
      <c r="I2207" s="7" t="str">
        <f>IF(Plantilla_SCAN_EQ3_COUNT_2[[#This Row],[ID MATERIAL]]="","","Segundo Conteo")</f>
        <v/>
      </c>
    </row>
    <row r="2208" spans="1:9" s="7" customFormat="1" ht="15" x14ac:dyDescent="0.2">
      <c r="A2208" s="7" t="str">
        <f>IF(Plantilla_SCAN_EQ3_COUNT_2[[#This Row],[ID MATERIAL]]="","",SIGN(Plantilla_SCAN_EQ3_COUNT_2[[#This Row],[Cantidad]])+A2207)</f>
        <v/>
      </c>
      <c r="B2208" s="21" t="str">
        <f>IF(Plantilla_SCAN_EQ3_COUNT_2[[#This Row],[ID MATERIAL]]="","",B2207)</f>
        <v/>
      </c>
      <c r="C2208" s="21"/>
      <c r="D2208" s="21"/>
      <c r="E2208" s="7" t="str">
        <f>IF(Plantilla_SCAN_EQ3_COUNT_2[[#This Row],[ID MATERIAL]]="","",VLOOKUP(Plantilla_SCAN_EQ3_COUNT_2[[#This Row],[ID MATERIAL]],INVENTARIO!$A:$D,2,FALSE))</f>
        <v/>
      </c>
      <c r="F2208" s="7" t="str">
        <f>IF(Plantilla_SCAN_EQ3_COUNT_2[[#This Row],[ID MATERIAL]]="","",IF(Plantilla_SCAN_EQ3_COUNT_2[[#This Row],[No. Empaques]]="",1,Plantilla_SCAN_EQ3_COUNT_2[[#This Row],[No. Empaques]]*1))</f>
        <v/>
      </c>
      <c r="G2208" s="7" t="str">
        <f>IF(Plantilla_SCAN_EQ3_COUNT_2[[#This Row],[ID MATERIAL]]="","","PZ")</f>
        <v/>
      </c>
      <c r="H2208" s="7" t="str">
        <f>IF(Plantilla_SCAN_EQ3_COUNT_2[[#This Row],[ID MATERIAL]]="","",$B$13)</f>
        <v/>
      </c>
      <c r="I2208" s="7" t="str">
        <f>IF(Plantilla_SCAN_EQ3_COUNT_2[[#This Row],[ID MATERIAL]]="","","Segundo Conteo")</f>
        <v/>
      </c>
    </row>
    <row r="2209" spans="1:9" s="7" customFormat="1" ht="15" x14ac:dyDescent="0.2">
      <c r="A2209" s="7" t="str">
        <f>IF(Plantilla_SCAN_EQ3_COUNT_2[[#This Row],[ID MATERIAL]]="","",SIGN(Plantilla_SCAN_EQ3_COUNT_2[[#This Row],[Cantidad]])+A2208)</f>
        <v/>
      </c>
      <c r="B2209" s="21" t="str">
        <f>IF(Plantilla_SCAN_EQ3_COUNT_2[[#This Row],[ID MATERIAL]]="","",B2208)</f>
        <v/>
      </c>
      <c r="C2209" s="21"/>
      <c r="D2209" s="21"/>
      <c r="E2209" s="7" t="str">
        <f>IF(Plantilla_SCAN_EQ3_COUNT_2[[#This Row],[ID MATERIAL]]="","",VLOOKUP(Plantilla_SCAN_EQ3_COUNT_2[[#This Row],[ID MATERIAL]],INVENTARIO!$A:$D,2,FALSE))</f>
        <v/>
      </c>
      <c r="F2209" s="7" t="str">
        <f>IF(Plantilla_SCAN_EQ3_COUNT_2[[#This Row],[ID MATERIAL]]="","",IF(Plantilla_SCAN_EQ3_COUNT_2[[#This Row],[No. Empaques]]="",1,Plantilla_SCAN_EQ3_COUNT_2[[#This Row],[No. Empaques]]*1))</f>
        <v/>
      </c>
      <c r="G2209" s="7" t="str">
        <f>IF(Plantilla_SCAN_EQ3_COUNT_2[[#This Row],[ID MATERIAL]]="","","PZ")</f>
        <v/>
      </c>
      <c r="H2209" s="7" t="str">
        <f>IF(Plantilla_SCAN_EQ3_COUNT_2[[#This Row],[ID MATERIAL]]="","",$B$13)</f>
        <v/>
      </c>
      <c r="I2209" s="7" t="str">
        <f>IF(Plantilla_SCAN_EQ3_COUNT_2[[#This Row],[ID MATERIAL]]="","","Segundo Conteo")</f>
        <v/>
      </c>
    </row>
    <row r="2210" spans="1:9" s="7" customFormat="1" ht="15" x14ac:dyDescent="0.2">
      <c r="A2210" s="7" t="str">
        <f>IF(Plantilla_SCAN_EQ3_COUNT_2[[#This Row],[ID MATERIAL]]="","",SIGN(Plantilla_SCAN_EQ3_COUNT_2[[#This Row],[Cantidad]])+A2209)</f>
        <v/>
      </c>
      <c r="B2210" s="21" t="str">
        <f>IF(Plantilla_SCAN_EQ3_COUNT_2[[#This Row],[ID MATERIAL]]="","",B2209)</f>
        <v/>
      </c>
      <c r="C2210" s="21"/>
      <c r="D2210" s="21"/>
      <c r="E2210" s="7" t="str">
        <f>IF(Plantilla_SCAN_EQ3_COUNT_2[[#This Row],[ID MATERIAL]]="","",VLOOKUP(Plantilla_SCAN_EQ3_COUNT_2[[#This Row],[ID MATERIAL]],INVENTARIO!$A:$D,2,FALSE))</f>
        <v/>
      </c>
      <c r="F2210" s="7" t="str">
        <f>IF(Plantilla_SCAN_EQ3_COUNT_2[[#This Row],[ID MATERIAL]]="","",IF(Plantilla_SCAN_EQ3_COUNT_2[[#This Row],[No. Empaques]]="",1,Plantilla_SCAN_EQ3_COUNT_2[[#This Row],[No. Empaques]]*1))</f>
        <v/>
      </c>
      <c r="G2210" s="7" t="str">
        <f>IF(Plantilla_SCAN_EQ3_COUNT_2[[#This Row],[ID MATERIAL]]="","","PZ")</f>
        <v/>
      </c>
      <c r="H2210" s="7" t="str">
        <f>IF(Plantilla_SCAN_EQ3_COUNT_2[[#This Row],[ID MATERIAL]]="","",$B$13)</f>
        <v/>
      </c>
      <c r="I2210" s="7" t="str">
        <f>IF(Plantilla_SCAN_EQ3_COUNT_2[[#This Row],[ID MATERIAL]]="","","Segundo Conteo")</f>
        <v/>
      </c>
    </row>
    <row r="2211" spans="1:9" s="7" customFormat="1" ht="15" x14ac:dyDescent="0.2">
      <c r="A2211" s="7" t="str">
        <f>IF(Plantilla_SCAN_EQ3_COUNT_2[[#This Row],[ID MATERIAL]]="","",SIGN(Plantilla_SCAN_EQ3_COUNT_2[[#This Row],[Cantidad]])+A2210)</f>
        <v/>
      </c>
      <c r="B2211" s="21" t="str">
        <f>IF(Plantilla_SCAN_EQ3_COUNT_2[[#This Row],[ID MATERIAL]]="","",B2210)</f>
        <v/>
      </c>
      <c r="C2211" s="21"/>
      <c r="D2211" s="21"/>
      <c r="E2211" s="7" t="str">
        <f>IF(Plantilla_SCAN_EQ3_COUNT_2[[#This Row],[ID MATERIAL]]="","",VLOOKUP(Plantilla_SCAN_EQ3_COUNT_2[[#This Row],[ID MATERIAL]],INVENTARIO!$A:$D,2,FALSE))</f>
        <v/>
      </c>
      <c r="F2211" s="7" t="str">
        <f>IF(Plantilla_SCAN_EQ3_COUNT_2[[#This Row],[ID MATERIAL]]="","",IF(Plantilla_SCAN_EQ3_COUNT_2[[#This Row],[No. Empaques]]="",1,Plantilla_SCAN_EQ3_COUNT_2[[#This Row],[No. Empaques]]*1))</f>
        <v/>
      </c>
      <c r="G2211" s="7" t="str">
        <f>IF(Plantilla_SCAN_EQ3_COUNT_2[[#This Row],[ID MATERIAL]]="","","PZ")</f>
        <v/>
      </c>
      <c r="H2211" s="7" t="str">
        <f>IF(Plantilla_SCAN_EQ3_COUNT_2[[#This Row],[ID MATERIAL]]="","",$B$13)</f>
        <v/>
      </c>
      <c r="I2211" s="7" t="str">
        <f>IF(Plantilla_SCAN_EQ3_COUNT_2[[#This Row],[ID MATERIAL]]="","","Segundo Conteo")</f>
        <v/>
      </c>
    </row>
    <row r="2212" spans="1:9" s="7" customFormat="1" ht="15" x14ac:dyDescent="0.2">
      <c r="A2212" s="7" t="str">
        <f>IF(Plantilla_SCAN_EQ3_COUNT_2[[#This Row],[ID MATERIAL]]="","",SIGN(Plantilla_SCAN_EQ3_COUNT_2[[#This Row],[Cantidad]])+A2211)</f>
        <v/>
      </c>
      <c r="B2212" s="21" t="str">
        <f>IF(Plantilla_SCAN_EQ3_COUNT_2[[#This Row],[ID MATERIAL]]="","",B2211)</f>
        <v/>
      </c>
      <c r="C2212" s="21"/>
      <c r="D2212" s="21"/>
      <c r="E2212" s="7" t="str">
        <f>IF(Plantilla_SCAN_EQ3_COUNT_2[[#This Row],[ID MATERIAL]]="","",VLOOKUP(Plantilla_SCAN_EQ3_COUNT_2[[#This Row],[ID MATERIAL]],INVENTARIO!$A:$D,2,FALSE))</f>
        <v/>
      </c>
      <c r="F2212" s="7" t="str">
        <f>IF(Plantilla_SCAN_EQ3_COUNT_2[[#This Row],[ID MATERIAL]]="","",IF(Plantilla_SCAN_EQ3_COUNT_2[[#This Row],[No. Empaques]]="",1,Plantilla_SCAN_EQ3_COUNT_2[[#This Row],[No. Empaques]]*1))</f>
        <v/>
      </c>
      <c r="G2212" s="7" t="str">
        <f>IF(Plantilla_SCAN_EQ3_COUNT_2[[#This Row],[ID MATERIAL]]="","","PZ")</f>
        <v/>
      </c>
      <c r="H2212" s="7" t="str">
        <f>IF(Plantilla_SCAN_EQ3_COUNT_2[[#This Row],[ID MATERIAL]]="","",$B$13)</f>
        <v/>
      </c>
      <c r="I2212" s="7" t="str">
        <f>IF(Plantilla_SCAN_EQ3_COUNT_2[[#This Row],[ID MATERIAL]]="","","Segundo Conteo")</f>
        <v/>
      </c>
    </row>
    <row r="2213" spans="1:9" s="7" customFormat="1" ht="15" x14ac:dyDescent="0.2">
      <c r="A2213" s="7" t="str">
        <f>IF(Plantilla_SCAN_EQ3_COUNT_2[[#This Row],[ID MATERIAL]]="","",SIGN(Plantilla_SCAN_EQ3_COUNT_2[[#This Row],[Cantidad]])+A2212)</f>
        <v/>
      </c>
      <c r="B2213" s="21" t="str">
        <f>IF(Plantilla_SCAN_EQ3_COUNT_2[[#This Row],[ID MATERIAL]]="","",B2212)</f>
        <v/>
      </c>
      <c r="C2213" s="21"/>
      <c r="D2213" s="21"/>
      <c r="E2213" s="7" t="str">
        <f>IF(Plantilla_SCAN_EQ3_COUNT_2[[#This Row],[ID MATERIAL]]="","",VLOOKUP(Plantilla_SCAN_EQ3_COUNT_2[[#This Row],[ID MATERIAL]],INVENTARIO!$A:$D,2,FALSE))</f>
        <v/>
      </c>
      <c r="F2213" s="7" t="str">
        <f>IF(Plantilla_SCAN_EQ3_COUNT_2[[#This Row],[ID MATERIAL]]="","",IF(Plantilla_SCAN_EQ3_COUNT_2[[#This Row],[No. Empaques]]="",1,Plantilla_SCAN_EQ3_COUNT_2[[#This Row],[No. Empaques]]*1))</f>
        <v/>
      </c>
      <c r="G2213" s="7" t="str">
        <f>IF(Plantilla_SCAN_EQ3_COUNT_2[[#This Row],[ID MATERIAL]]="","","PZ")</f>
        <v/>
      </c>
      <c r="H2213" s="7" t="str">
        <f>IF(Plantilla_SCAN_EQ3_COUNT_2[[#This Row],[ID MATERIAL]]="","",$B$13)</f>
        <v/>
      </c>
      <c r="I2213" s="7" t="str">
        <f>IF(Plantilla_SCAN_EQ3_COUNT_2[[#This Row],[ID MATERIAL]]="","","Segundo Conteo")</f>
        <v/>
      </c>
    </row>
    <row r="2214" spans="1:9" s="7" customFormat="1" ht="15" x14ac:dyDescent="0.2">
      <c r="A2214" s="7" t="str">
        <f>IF(Plantilla_SCAN_EQ3_COUNT_2[[#This Row],[ID MATERIAL]]="","",SIGN(Plantilla_SCAN_EQ3_COUNT_2[[#This Row],[Cantidad]])+A2213)</f>
        <v/>
      </c>
      <c r="B2214" s="21" t="str">
        <f>IF(Plantilla_SCAN_EQ3_COUNT_2[[#This Row],[ID MATERIAL]]="","",B2213)</f>
        <v/>
      </c>
      <c r="C2214" s="21"/>
      <c r="D2214" s="21"/>
      <c r="E2214" s="7" t="str">
        <f>IF(Plantilla_SCAN_EQ3_COUNT_2[[#This Row],[ID MATERIAL]]="","",VLOOKUP(Plantilla_SCAN_EQ3_COUNT_2[[#This Row],[ID MATERIAL]],INVENTARIO!$A:$D,2,FALSE))</f>
        <v/>
      </c>
      <c r="F2214" s="7" t="str">
        <f>IF(Plantilla_SCAN_EQ3_COUNT_2[[#This Row],[ID MATERIAL]]="","",IF(Plantilla_SCAN_EQ3_COUNT_2[[#This Row],[No. Empaques]]="",1,Plantilla_SCAN_EQ3_COUNT_2[[#This Row],[No. Empaques]]*1))</f>
        <v/>
      </c>
      <c r="G2214" s="7" t="str">
        <f>IF(Plantilla_SCAN_EQ3_COUNT_2[[#This Row],[ID MATERIAL]]="","","PZ")</f>
        <v/>
      </c>
      <c r="H2214" s="7" t="str">
        <f>IF(Plantilla_SCAN_EQ3_COUNT_2[[#This Row],[ID MATERIAL]]="","",$B$13)</f>
        <v/>
      </c>
      <c r="I2214" s="7" t="str">
        <f>IF(Plantilla_SCAN_EQ3_COUNT_2[[#This Row],[ID MATERIAL]]="","","Segundo Conteo")</f>
        <v/>
      </c>
    </row>
    <row r="2215" spans="1:9" s="7" customFormat="1" ht="15" x14ac:dyDescent="0.2">
      <c r="A2215" s="7" t="str">
        <f>IF(Plantilla_SCAN_EQ3_COUNT_2[[#This Row],[ID MATERIAL]]="","",SIGN(Plantilla_SCAN_EQ3_COUNT_2[[#This Row],[Cantidad]])+A2214)</f>
        <v/>
      </c>
      <c r="B2215" s="21" t="str">
        <f>IF(Plantilla_SCAN_EQ3_COUNT_2[[#This Row],[ID MATERIAL]]="","",B2214)</f>
        <v/>
      </c>
      <c r="C2215" s="21"/>
      <c r="D2215" s="21"/>
      <c r="E2215" s="7" t="str">
        <f>IF(Plantilla_SCAN_EQ3_COUNT_2[[#This Row],[ID MATERIAL]]="","",VLOOKUP(Plantilla_SCAN_EQ3_COUNT_2[[#This Row],[ID MATERIAL]],INVENTARIO!$A:$D,2,FALSE))</f>
        <v/>
      </c>
      <c r="F2215" s="7" t="str">
        <f>IF(Plantilla_SCAN_EQ3_COUNT_2[[#This Row],[ID MATERIAL]]="","",IF(Plantilla_SCAN_EQ3_COUNT_2[[#This Row],[No. Empaques]]="",1,Plantilla_SCAN_EQ3_COUNT_2[[#This Row],[No. Empaques]]*1))</f>
        <v/>
      </c>
      <c r="G2215" s="7" t="str">
        <f>IF(Plantilla_SCAN_EQ3_COUNT_2[[#This Row],[ID MATERIAL]]="","","PZ")</f>
        <v/>
      </c>
      <c r="H2215" s="7" t="str">
        <f>IF(Plantilla_SCAN_EQ3_COUNT_2[[#This Row],[ID MATERIAL]]="","",$B$13)</f>
        <v/>
      </c>
      <c r="I2215" s="7" t="str">
        <f>IF(Plantilla_SCAN_EQ3_COUNT_2[[#This Row],[ID MATERIAL]]="","","Segundo Conteo")</f>
        <v/>
      </c>
    </row>
    <row r="2216" spans="1:9" s="7" customFormat="1" ht="15" x14ac:dyDescent="0.2">
      <c r="A2216" s="7" t="str">
        <f>IF(Plantilla_SCAN_EQ3_COUNT_2[[#This Row],[ID MATERIAL]]="","",SIGN(Plantilla_SCAN_EQ3_COUNT_2[[#This Row],[Cantidad]])+A2215)</f>
        <v/>
      </c>
      <c r="B2216" s="21" t="str">
        <f>IF(Plantilla_SCAN_EQ3_COUNT_2[[#This Row],[ID MATERIAL]]="","",B2215)</f>
        <v/>
      </c>
      <c r="C2216" s="21"/>
      <c r="D2216" s="21"/>
      <c r="E2216" s="7" t="str">
        <f>IF(Plantilla_SCAN_EQ3_COUNT_2[[#This Row],[ID MATERIAL]]="","",VLOOKUP(Plantilla_SCAN_EQ3_COUNT_2[[#This Row],[ID MATERIAL]],INVENTARIO!$A:$D,2,FALSE))</f>
        <v/>
      </c>
      <c r="F2216" s="7" t="str">
        <f>IF(Plantilla_SCAN_EQ3_COUNT_2[[#This Row],[ID MATERIAL]]="","",IF(Plantilla_SCAN_EQ3_COUNT_2[[#This Row],[No. Empaques]]="",1,Plantilla_SCAN_EQ3_COUNT_2[[#This Row],[No. Empaques]]*1))</f>
        <v/>
      </c>
      <c r="G2216" s="7" t="str">
        <f>IF(Plantilla_SCAN_EQ3_COUNT_2[[#This Row],[ID MATERIAL]]="","","PZ")</f>
        <v/>
      </c>
      <c r="H2216" s="7" t="str">
        <f>IF(Plantilla_SCAN_EQ3_COUNT_2[[#This Row],[ID MATERIAL]]="","",$B$13)</f>
        <v/>
      </c>
      <c r="I2216" s="7" t="str">
        <f>IF(Plantilla_SCAN_EQ3_COUNT_2[[#This Row],[ID MATERIAL]]="","","Segundo Conteo")</f>
        <v/>
      </c>
    </row>
    <row r="2217" spans="1:9" s="7" customFormat="1" ht="15" x14ac:dyDescent="0.2">
      <c r="A2217" s="7" t="str">
        <f>IF(Plantilla_SCAN_EQ3_COUNT_2[[#This Row],[ID MATERIAL]]="","",SIGN(Plantilla_SCAN_EQ3_COUNT_2[[#This Row],[Cantidad]])+A2216)</f>
        <v/>
      </c>
      <c r="B2217" s="21" t="str">
        <f>IF(Plantilla_SCAN_EQ3_COUNT_2[[#This Row],[ID MATERIAL]]="","",B2216)</f>
        <v/>
      </c>
      <c r="C2217" s="21"/>
      <c r="D2217" s="21"/>
      <c r="E2217" s="7" t="str">
        <f>IF(Plantilla_SCAN_EQ3_COUNT_2[[#This Row],[ID MATERIAL]]="","",VLOOKUP(Plantilla_SCAN_EQ3_COUNT_2[[#This Row],[ID MATERIAL]],INVENTARIO!$A:$D,2,FALSE))</f>
        <v/>
      </c>
      <c r="F2217" s="7" t="str">
        <f>IF(Plantilla_SCAN_EQ3_COUNT_2[[#This Row],[ID MATERIAL]]="","",IF(Plantilla_SCAN_EQ3_COUNT_2[[#This Row],[No. Empaques]]="",1,Plantilla_SCAN_EQ3_COUNT_2[[#This Row],[No. Empaques]]*1))</f>
        <v/>
      </c>
      <c r="G2217" s="7" t="str">
        <f>IF(Plantilla_SCAN_EQ3_COUNT_2[[#This Row],[ID MATERIAL]]="","","PZ")</f>
        <v/>
      </c>
      <c r="H2217" s="7" t="str">
        <f>IF(Plantilla_SCAN_EQ3_COUNT_2[[#This Row],[ID MATERIAL]]="","",$B$13)</f>
        <v/>
      </c>
      <c r="I2217" s="7" t="str">
        <f>IF(Plantilla_SCAN_EQ3_COUNT_2[[#This Row],[ID MATERIAL]]="","","Segundo Conteo")</f>
        <v/>
      </c>
    </row>
    <row r="2218" spans="1:9" s="7" customFormat="1" ht="15" x14ac:dyDescent="0.2">
      <c r="A2218" s="7" t="str">
        <f>IF(Plantilla_SCAN_EQ3_COUNT_2[[#This Row],[ID MATERIAL]]="","",SIGN(Plantilla_SCAN_EQ3_COUNT_2[[#This Row],[Cantidad]])+A2217)</f>
        <v/>
      </c>
      <c r="B2218" s="21" t="str">
        <f>IF(Plantilla_SCAN_EQ3_COUNT_2[[#This Row],[ID MATERIAL]]="","",B2217)</f>
        <v/>
      </c>
      <c r="C2218" s="21"/>
      <c r="D2218" s="21"/>
      <c r="E2218" s="7" t="str">
        <f>IF(Plantilla_SCAN_EQ3_COUNT_2[[#This Row],[ID MATERIAL]]="","",VLOOKUP(Plantilla_SCAN_EQ3_COUNT_2[[#This Row],[ID MATERIAL]],INVENTARIO!$A:$D,2,FALSE))</f>
        <v/>
      </c>
      <c r="F2218" s="7" t="str">
        <f>IF(Plantilla_SCAN_EQ3_COUNT_2[[#This Row],[ID MATERIAL]]="","",IF(Plantilla_SCAN_EQ3_COUNT_2[[#This Row],[No. Empaques]]="",1,Plantilla_SCAN_EQ3_COUNT_2[[#This Row],[No. Empaques]]*1))</f>
        <v/>
      </c>
      <c r="G2218" s="7" t="str">
        <f>IF(Plantilla_SCAN_EQ3_COUNT_2[[#This Row],[ID MATERIAL]]="","","PZ")</f>
        <v/>
      </c>
      <c r="H2218" s="7" t="str">
        <f>IF(Plantilla_SCAN_EQ3_COUNT_2[[#This Row],[ID MATERIAL]]="","",$B$13)</f>
        <v/>
      </c>
      <c r="I2218" s="7" t="str">
        <f>IF(Plantilla_SCAN_EQ3_COUNT_2[[#This Row],[ID MATERIAL]]="","","Segundo Conteo")</f>
        <v/>
      </c>
    </row>
    <row r="2219" spans="1:9" s="7" customFormat="1" ht="15" x14ac:dyDescent="0.2">
      <c r="A2219" s="7" t="str">
        <f>IF(Plantilla_SCAN_EQ3_COUNT_2[[#This Row],[ID MATERIAL]]="","",SIGN(Plantilla_SCAN_EQ3_COUNT_2[[#This Row],[Cantidad]])+A2218)</f>
        <v/>
      </c>
      <c r="B2219" s="21" t="str">
        <f>IF(Plantilla_SCAN_EQ3_COUNT_2[[#This Row],[ID MATERIAL]]="","",B2218)</f>
        <v/>
      </c>
      <c r="C2219" s="21"/>
      <c r="D2219" s="21"/>
      <c r="E2219" s="7" t="str">
        <f>IF(Plantilla_SCAN_EQ3_COUNT_2[[#This Row],[ID MATERIAL]]="","",VLOOKUP(Plantilla_SCAN_EQ3_COUNT_2[[#This Row],[ID MATERIAL]],INVENTARIO!$A:$D,2,FALSE))</f>
        <v/>
      </c>
      <c r="F2219" s="7" t="str">
        <f>IF(Plantilla_SCAN_EQ3_COUNT_2[[#This Row],[ID MATERIAL]]="","",IF(Plantilla_SCAN_EQ3_COUNT_2[[#This Row],[No. Empaques]]="",1,Plantilla_SCAN_EQ3_COUNT_2[[#This Row],[No. Empaques]]*1))</f>
        <v/>
      </c>
      <c r="G2219" s="7" t="str">
        <f>IF(Plantilla_SCAN_EQ3_COUNT_2[[#This Row],[ID MATERIAL]]="","","PZ")</f>
        <v/>
      </c>
      <c r="H2219" s="7" t="str">
        <f>IF(Plantilla_SCAN_EQ3_COUNT_2[[#This Row],[ID MATERIAL]]="","",$B$13)</f>
        <v/>
      </c>
      <c r="I2219" s="7" t="str">
        <f>IF(Plantilla_SCAN_EQ3_COUNT_2[[#This Row],[ID MATERIAL]]="","","Segundo Conteo")</f>
        <v/>
      </c>
    </row>
    <row r="2220" spans="1:9" s="7" customFormat="1" ht="15" x14ac:dyDescent="0.2">
      <c r="A2220" s="7" t="str">
        <f>IF(Plantilla_SCAN_EQ3_COUNT_2[[#This Row],[ID MATERIAL]]="","",SIGN(Plantilla_SCAN_EQ3_COUNT_2[[#This Row],[Cantidad]])+A2219)</f>
        <v/>
      </c>
      <c r="B2220" s="21" t="str">
        <f>IF(Plantilla_SCAN_EQ3_COUNT_2[[#This Row],[ID MATERIAL]]="","",B2219)</f>
        <v/>
      </c>
      <c r="C2220" s="21"/>
      <c r="D2220" s="21"/>
      <c r="E2220" s="7" t="str">
        <f>IF(Plantilla_SCAN_EQ3_COUNT_2[[#This Row],[ID MATERIAL]]="","",VLOOKUP(Plantilla_SCAN_EQ3_COUNT_2[[#This Row],[ID MATERIAL]],INVENTARIO!$A:$D,2,FALSE))</f>
        <v/>
      </c>
      <c r="F2220" s="7" t="str">
        <f>IF(Plantilla_SCAN_EQ3_COUNT_2[[#This Row],[ID MATERIAL]]="","",IF(Plantilla_SCAN_EQ3_COUNT_2[[#This Row],[No. Empaques]]="",1,Plantilla_SCAN_EQ3_COUNT_2[[#This Row],[No. Empaques]]*1))</f>
        <v/>
      </c>
      <c r="G2220" s="7" t="str">
        <f>IF(Plantilla_SCAN_EQ3_COUNT_2[[#This Row],[ID MATERIAL]]="","","PZ")</f>
        <v/>
      </c>
      <c r="H2220" s="7" t="str">
        <f>IF(Plantilla_SCAN_EQ3_COUNT_2[[#This Row],[ID MATERIAL]]="","",$B$13)</f>
        <v/>
      </c>
      <c r="I2220" s="7" t="str">
        <f>IF(Plantilla_SCAN_EQ3_COUNT_2[[#This Row],[ID MATERIAL]]="","","Segundo Conteo")</f>
        <v/>
      </c>
    </row>
    <row r="2221" spans="1:9" s="7" customFormat="1" ht="15" x14ac:dyDescent="0.2">
      <c r="A2221" s="7" t="str">
        <f>IF(Plantilla_SCAN_EQ3_COUNT_2[[#This Row],[ID MATERIAL]]="","",SIGN(Plantilla_SCAN_EQ3_COUNT_2[[#This Row],[Cantidad]])+A2220)</f>
        <v/>
      </c>
      <c r="B2221" s="21" t="str">
        <f>IF(Plantilla_SCAN_EQ3_COUNT_2[[#This Row],[ID MATERIAL]]="","",B2220)</f>
        <v/>
      </c>
      <c r="C2221" s="21"/>
      <c r="D2221" s="21"/>
      <c r="E2221" s="7" t="str">
        <f>IF(Plantilla_SCAN_EQ3_COUNT_2[[#This Row],[ID MATERIAL]]="","",VLOOKUP(Plantilla_SCAN_EQ3_COUNT_2[[#This Row],[ID MATERIAL]],INVENTARIO!$A:$D,2,FALSE))</f>
        <v/>
      </c>
      <c r="F2221" s="7" t="str">
        <f>IF(Plantilla_SCAN_EQ3_COUNT_2[[#This Row],[ID MATERIAL]]="","",IF(Plantilla_SCAN_EQ3_COUNT_2[[#This Row],[No. Empaques]]="",1,Plantilla_SCAN_EQ3_COUNT_2[[#This Row],[No. Empaques]]*1))</f>
        <v/>
      </c>
      <c r="G2221" s="7" t="str">
        <f>IF(Plantilla_SCAN_EQ3_COUNT_2[[#This Row],[ID MATERIAL]]="","","PZ")</f>
        <v/>
      </c>
      <c r="H2221" s="7" t="str">
        <f>IF(Plantilla_SCAN_EQ3_COUNT_2[[#This Row],[ID MATERIAL]]="","",$B$13)</f>
        <v/>
      </c>
      <c r="I2221" s="7" t="str">
        <f>IF(Plantilla_SCAN_EQ3_COUNT_2[[#This Row],[ID MATERIAL]]="","","Segundo Conteo")</f>
        <v/>
      </c>
    </row>
    <row r="2222" spans="1:9" s="7" customFormat="1" ht="15" x14ac:dyDescent="0.2">
      <c r="A2222" s="7" t="str">
        <f>IF(Plantilla_SCAN_EQ3_COUNT_2[[#This Row],[ID MATERIAL]]="","",SIGN(Plantilla_SCAN_EQ3_COUNT_2[[#This Row],[Cantidad]])+A2221)</f>
        <v/>
      </c>
      <c r="B2222" s="21" t="str">
        <f>IF(Plantilla_SCAN_EQ3_COUNT_2[[#This Row],[ID MATERIAL]]="","",B2221)</f>
        <v/>
      </c>
      <c r="C2222" s="21"/>
      <c r="D2222" s="21"/>
      <c r="E2222" s="7" t="str">
        <f>IF(Plantilla_SCAN_EQ3_COUNT_2[[#This Row],[ID MATERIAL]]="","",VLOOKUP(Plantilla_SCAN_EQ3_COUNT_2[[#This Row],[ID MATERIAL]],INVENTARIO!$A:$D,2,FALSE))</f>
        <v/>
      </c>
      <c r="F2222" s="7" t="str">
        <f>IF(Plantilla_SCAN_EQ3_COUNT_2[[#This Row],[ID MATERIAL]]="","",IF(Plantilla_SCAN_EQ3_COUNT_2[[#This Row],[No. Empaques]]="",1,Plantilla_SCAN_EQ3_COUNT_2[[#This Row],[No. Empaques]]*1))</f>
        <v/>
      </c>
      <c r="G2222" s="7" t="str">
        <f>IF(Plantilla_SCAN_EQ3_COUNT_2[[#This Row],[ID MATERIAL]]="","","PZ")</f>
        <v/>
      </c>
      <c r="H2222" s="7" t="str">
        <f>IF(Plantilla_SCAN_EQ3_COUNT_2[[#This Row],[ID MATERIAL]]="","",$B$13)</f>
        <v/>
      </c>
      <c r="I2222" s="7" t="str">
        <f>IF(Plantilla_SCAN_EQ3_COUNT_2[[#This Row],[ID MATERIAL]]="","","Segundo Conteo")</f>
        <v/>
      </c>
    </row>
    <row r="2223" spans="1:9" s="7" customFormat="1" ht="15" x14ac:dyDescent="0.2">
      <c r="A2223" s="7" t="str">
        <f>IF(Plantilla_SCAN_EQ3_COUNT_2[[#This Row],[ID MATERIAL]]="","",SIGN(Plantilla_SCAN_EQ3_COUNT_2[[#This Row],[Cantidad]])+A2222)</f>
        <v/>
      </c>
      <c r="B2223" s="21" t="str">
        <f>IF(Plantilla_SCAN_EQ3_COUNT_2[[#This Row],[ID MATERIAL]]="","",B2222)</f>
        <v/>
      </c>
      <c r="C2223" s="21"/>
      <c r="D2223" s="21"/>
      <c r="E2223" s="7" t="str">
        <f>IF(Plantilla_SCAN_EQ3_COUNT_2[[#This Row],[ID MATERIAL]]="","",VLOOKUP(Plantilla_SCAN_EQ3_COUNT_2[[#This Row],[ID MATERIAL]],INVENTARIO!$A:$D,2,FALSE))</f>
        <v/>
      </c>
      <c r="F2223" s="7" t="str">
        <f>IF(Plantilla_SCAN_EQ3_COUNT_2[[#This Row],[ID MATERIAL]]="","",IF(Plantilla_SCAN_EQ3_COUNT_2[[#This Row],[No. Empaques]]="",1,Plantilla_SCAN_EQ3_COUNT_2[[#This Row],[No. Empaques]]*1))</f>
        <v/>
      </c>
      <c r="G2223" s="7" t="str">
        <f>IF(Plantilla_SCAN_EQ3_COUNT_2[[#This Row],[ID MATERIAL]]="","","PZ")</f>
        <v/>
      </c>
      <c r="H2223" s="7" t="str">
        <f>IF(Plantilla_SCAN_EQ3_COUNT_2[[#This Row],[ID MATERIAL]]="","",$B$13)</f>
        <v/>
      </c>
      <c r="I2223" s="7" t="str">
        <f>IF(Plantilla_SCAN_EQ3_COUNT_2[[#This Row],[ID MATERIAL]]="","","Segundo Conteo")</f>
        <v/>
      </c>
    </row>
    <row r="2224" spans="1:9" s="7" customFormat="1" ht="15" x14ac:dyDescent="0.2">
      <c r="A2224" s="7" t="str">
        <f>IF(Plantilla_SCAN_EQ3_COUNT_2[[#This Row],[ID MATERIAL]]="","",SIGN(Plantilla_SCAN_EQ3_COUNT_2[[#This Row],[Cantidad]])+A2223)</f>
        <v/>
      </c>
      <c r="B2224" s="21" t="str">
        <f>IF(Plantilla_SCAN_EQ3_COUNT_2[[#This Row],[ID MATERIAL]]="","",B2223)</f>
        <v/>
      </c>
      <c r="C2224" s="21"/>
      <c r="D2224" s="21"/>
      <c r="E2224" s="7" t="str">
        <f>IF(Plantilla_SCAN_EQ3_COUNT_2[[#This Row],[ID MATERIAL]]="","",VLOOKUP(Plantilla_SCAN_EQ3_COUNT_2[[#This Row],[ID MATERIAL]],INVENTARIO!$A:$D,2,FALSE))</f>
        <v/>
      </c>
      <c r="F2224" s="7" t="str">
        <f>IF(Plantilla_SCAN_EQ3_COUNT_2[[#This Row],[ID MATERIAL]]="","",IF(Plantilla_SCAN_EQ3_COUNT_2[[#This Row],[No. Empaques]]="",1,Plantilla_SCAN_EQ3_COUNT_2[[#This Row],[No. Empaques]]*1))</f>
        <v/>
      </c>
      <c r="G2224" s="7" t="str">
        <f>IF(Plantilla_SCAN_EQ3_COUNT_2[[#This Row],[ID MATERIAL]]="","","PZ")</f>
        <v/>
      </c>
      <c r="H2224" s="7" t="str">
        <f>IF(Plantilla_SCAN_EQ3_COUNT_2[[#This Row],[ID MATERIAL]]="","",$B$13)</f>
        <v/>
      </c>
      <c r="I2224" s="7" t="str">
        <f>IF(Plantilla_SCAN_EQ3_COUNT_2[[#This Row],[ID MATERIAL]]="","","Segundo Conteo")</f>
        <v/>
      </c>
    </row>
    <row r="2225" spans="1:9" s="7" customFormat="1" ht="15" x14ac:dyDescent="0.2">
      <c r="A2225" s="7" t="str">
        <f>IF(Plantilla_SCAN_EQ3_COUNT_2[[#This Row],[ID MATERIAL]]="","",SIGN(Plantilla_SCAN_EQ3_COUNT_2[[#This Row],[Cantidad]])+A2224)</f>
        <v/>
      </c>
      <c r="B2225" s="21" t="str">
        <f>IF(Plantilla_SCAN_EQ3_COUNT_2[[#This Row],[ID MATERIAL]]="","",B2224)</f>
        <v/>
      </c>
      <c r="C2225" s="21"/>
      <c r="D2225" s="21"/>
      <c r="E2225" s="7" t="str">
        <f>IF(Plantilla_SCAN_EQ3_COUNT_2[[#This Row],[ID MATERIAL]]="","",VLOOKUP(Plantilla_SCAN_EQ3_COUNT_2[[#This Row],[ID MATERIAL]],INVENTARIO!$A:$D,2,FALSE))</f>
        <v/>
      </c>
      <c r="F2225" s="7" t="str">
        <f>IF(Plantilla_SCAN_EQ3_COUNT_2[[#This Row],[ID MATERIAL]]="","",IF(Plantilla_SCAN_EQ3_COUNT_2[[#This Row],[No. Empaques]]="",1,Plantilla_SCAN_EQ3_COUNT_2[[#This Row],[No. Empaques]]*1))</f>
        <v/>
      </c>
      <c r="G2225" s="7" t="str">
        <f>IF(Plantilla_SCAN_EQ3_COUNT_2[[#This Row],[ID MATERIAL]]="","","PZ")</f>
        <v/>
      </c>
      <c r="H2225" s="7" t="str">
        <f>IF(Plantilla_SCAN_EQ3_COUNT_2[[#This Row],[ID MATERIAL]]="","",$B$13)</f>
        <v/>
      </c>
      <c r="I2225" s="7" t="str">
        <f>IF(Plantilla_SCAN_EQ3_COUNT_2[[#This Row],[ID MATERIAL]]="","","Segundo Conteo")</f>
        <v/>
      </c>
    </row>
    <row r="2226" spans="1:9" s="7" customFormat="1" ht="15" x14ac:dyDescent="0.2">
      <c r="A2226" s="7" t="str">
        <f>IF(Plantilla_SCAN_EQ3_COUNT_2[[#This Row],[ID MATERIAL]]="","",SIGN(Plantilla_SCAN_EQ3_COUNT_2[[#This Row],[Cantidad]])+A2225)</f>
        <v/>
      </c>
      <c r="B2226" s="21" t="str">
        <f>IF(Plantilla_SCAN_EQ3_COUNT_2[[#This Row],[ID MATERIAL]]="","",B2225)</f>
        <v/>
      </c>
      <c r="C2226" s="21"/>
      <c r="D2226" s="21"/>
      <c r="E2226" s="7" t="str">
        <f>IF(Plantilla_SCAN_EQ3_COUNT_2[[#This Row],[ID MATERIAL]]="","",VLOOKUP(Plantilla_SCAN_EQ3_COUNT_2[[#This Row],[ID MATERIAL]],INVENTARIO!$A:$D,2,FALSE))</f>
        <v/>
      </c>
      <c r="F2226" s="7" t="str">
        <f>IF(Plantilla_SCAN_EQ3_COUNT_2[[#This Row],[ID MATERIAL]]="","",IF(Plantilla_SCAN_EQ3_COUNT_2[[#This Row],[No. Empaques]]="",1,Plantilla_SCAN_EQ3_COUNT_2[[#This Row],[No. Empaques]]*1))</f>
        <v/>
      </c>
      <c r="G2226" s="7" t="str">
        <f>IF(Plantilla_SCAN_EQ3_COUNT_2[[#This Row],[ID MATERIAL]]="","","PZ")</f>
        <v/>
      </c>
      <c r="H2226" s="7" t="str">
        <f>IF(Plantilla_SCAN_EQ3_COUNT_2[[#This Row],[ID MATERIAL]]="","",$B$13)</f>
        <v/>
      </c>
      <c r="I2226" s="7" t="str">
        <f>IF(Plantilla_SCAN_EQ3_COUNT_2[[#This Row],[ID MATERIAL]]="","","Segundo Conteo")</f>
        <v/>
      </c>
    </row>
    <row r="2227" spans="1:9" s="7" customFormat="1" ht="15" x14ac:dyDescent="0.2">
      <c r="A2227" s="7" t="str">
        <f>IF(Plantilla_SCAN_EQ3_COUNT_2[[#This Row],[ID MATERIAL]]="","",SIGN(Plantilla_SCAN_EQ3_COUNT_2[[#This Row],[Cantidad]])+A2226)</f>
        <v/>
      </c>
      <c r="B2227" s="21" t="str">
        <f>IF(Plantilla_SCAN_EQ3_COUNT_2[[#This Row],[ID MATERIAL]]="","",B2226)</f>
        <v/>
      </c>
      <c r="C2227" s="21"/>
      <c r="D2227" s="21"/>
      <c r="E2227" s="7" t="str">
        <f>IF(Plantilla_SCAN_EQ3_COUNT_2[[#This Row],[ID MATERIAL]]="","",VLOOKUP(Plantilla_SCAN_EQ3_COUNT_2[[#This Row],[ID MATERIAL]],INVENTARIO!$A:$D,2,FALSE))</f>
        <v/>
      </c>
      <c r="F2227" s="7" t="str">
        <f>IF(Plantilla_SCAN_EQ3_COUNT_2[[#This Row],[ID MATERIAL]]="","",IF(Plantilla_SCAN_EQ3_COUNT_2[[#This Row],[No. Empaques]]="",1,Plantilla_SCAN_EQ3_COUNT_2[[#This Row],[No. Empaques]]*1))</f>
        <v/>
      </c>
      <c r="G2227" s="7" t="str">
        <f>IF(Plantilla_SCAN_EQ3_COUNT_2[[#This Row],[ID MATERIAL]]="","","PZ")</f>
        <v/>
      </c>
      <c r="H2227" s="7" t="str">
        <f>IF(Plantilla_SCAN_EQ3_COUNT_2[[#This Row],[ID MATERIAL]]="","",$B$13)</f>
        <v/>
      </c>
      <c r="I2227" s="7" t="str">
        <f>IF(Plantilla_SCAN_EQ3_COUNT_2[[#This Row],[ID MATERIAL]]="","","Segundo Conteo")</f>
        <v/>
      </c>
    </row>
    <row r="2228" spans="1:9" s="7" customFormat="1" ht="15" x14ac:dyDescent="0.2">
      <c r="A2228" s="7" t="str">
        <f>IF(Plantilla_SCAN_EQ3_COUNT_2[[#This Row],[ID MATERIAL]]="","",SIGN(Plantilla_SCAN_EQ3_COUNT_2[[#This Row],[Cantidad]])+A2227)</f>
        <v/>
      </c>
      <c r="B2228" s="21" t="str">
        <f>IF(Plantilla_SCAN_EQ3_COUNT_2[[#This Row],[ID MATERIAL]]="","",B2227)</f>
        <v/>
      </c>
      <c r="C2228" s="21"/>
      <c r="D2228" s="21"/>
      <c r="E2228" s="7" t="str">
        <f>IF(Plantilla_SCAN_EQ3_COUNT_2[[#This Row],[ID MATERIAL]]="","",VLOOKUP(Plantilla_SCAN_EQ3_COUNT_2[[#This Row],[ID MATERIAL]],INVENTARIO!$A:$D,2,FALSE))</f>
        <v/>
      </c>
      <c r="F2228" s="7" t="str">
        <f>IF(Plantilla_SCAN_EQ3_COUNT_2[[#This Row],[ID MATERIAL]]="","",IF(Plantilla_SCAN_EQ3_COUNT_2[[#This Row],[No. Empaques]]="",1,Plantilla_SCAN_EQ3_COUNT_2[[#This Row],[No. Empaques]]*1))</f>
        <v/>
      </c>
      <c r="G2228" s="7" t="str">
        <f>IF(Plantilla_SCAN_EQ3_COUNT_2[[#This Row],[ID MATERIAL]]="","","PZ")</f>
        <v/>
      </c>
      <c r="H2228" s="7" t="str">
        <f>IF(Plantilla_SCAN_EQ3_COUNT_2[[#This Row],[ID MATERIAL]]="","",$B$13)</f>
        <v/>
      </c>
      <c r="I2228" s="7" t="str">
        <f>IF(Plantilla_SCAN_EQ3_COUNT_2[[#This Row],[ID MATERIAL]]="","","Segundo Conteo")</f>
        <v/>
      </c>
    </row>
    <row r="2229" spans="1:9" s="7" customFormat="1" ht="15" x14ac:dyDescent="0.2">
      <c r="A2229" s="7" t="str">
        <f>IF(Plantilla_SCAN_EQ3_COUNT_2[[#This Row],[ID MATERIAL]]="","",SIGN(Plantilla_SCAN_EQ3_COUNT_2[[#This Row],[Cantidad]])+A2228)</f>
        <v/>
      </c>
      <c r="B2229" s="21" t="str">
        <f>IF(Plantilla_SCAN_EQ3_COUNT_2[[#This Row],[ID MATERIAL]]="","",B2228)</f>
        <v/>
      </c>
      <c r="C2229" s="21"/>
      <c r="D2229" s="21"/>
      <c r="E2229" s="7" t="str">
        <f>IF(Plantilla_SCAN_EQ3_COUNT_2[[#This Row],[ID MATERIAL]]="","",VLOOKUP(Plantilla_SCAN_EQ3_COUNT_2[[#This Row],[ID MATERIAL]],INVENTARIO!$A:$D,2,FALSE))</f>
        <v/>
      </c>
      <c r="F2229" s="7" t="str">
        <f>IF(Plantilla_SCAN_EQ3_COUNT_2[[#This Row],[ID MATERIAL]]="","",IF(Plantilla_SCAN_EQ3_COUNT_2[[#This Row],[No. Empaques]]="",1,Plantilla_SCAN_EQ3_COUNT_2[[#This Row],[No. Empaques]]*1))</f>
        <v/>
      </c>
      <c r="G2229" s="7" t="str">
        <f>IF(Plantilla_SCAN_EQ3_COUNT_2[[#This Row],[ID MATERIAL]]="","","PZ")</f>
        <v/>
      </c>
      <c r="H2229" s="7" t="str">
        <f>IF(Plantilla_SCAN_EQ3_COUNT_2[[#This Row],[ID MATERIAL]]="","",$B$13)</f>
        <v/>
      </c>
      <c r="I2229" s="7" t="str">
        <f>IF(Plantilla_SCAN_EQ3_COUNT_2[[#This Row],[ID MATERIAL]]="","","Segundo Conteo")</f>
        <v/>
      </c>
    </row>
    <row r="2230" spans="1:9" s="7" customFormat="1" ht="15" x14ac:dyDescent="0.2">
      <c r="A2230" s="7" t="str">
        <f>IF(Plantilla_SCAN_EQ3_COUNT_2[[#This Row],[ID MATERIAL]]="","",SIGN(Plantilla_SCAN_EQ3_COUNT_2[[#This Row],[Cantidad]])+A2229)</f>
        <v/>
      </c>
      <c r="B2230" s="21" t="str">
        <f>IF(Plantilla_SCAN_EQ3_COUNT_2[[#This Row],[ID MATERIAL]]="","",B2229)</f>
        <v/>
      </c>
      <c r="C2230" s="21"/>
      <c r="D2230" s="21"/>
      <c r="E2230" s="7" t="str">
        <f>IF(Plantilla_SCAN_EQ3_COUNT_2[[#This Row],[ID MATERIAL]]="","",VLOOKUP(Plantilla_SCAN_EQ3_COUNT_2[[#This Row],[ID MATERIAL]],INVENTARIO!$A:$D,2,FALSE))</f>
        <v/>
      </c>
      <c r="F2230" s="7" t="str">
        <f>IF(Plantilla_SCAN_EQ3_COUNT_2[[#This Row],[ID MATERIAL]]="","",IF(Plantilla_SCAN_EQ3_COUNT_2[[#This Row],[No. Empaques]]="",1,Plantilla_SCAN_EQ3_COUNT_2[[#This Row],[No. Empaques]]*1))</f>
        <v/>
      </c>
      <c r="G2230" s="7" t="str">
        <f>IF(Plantilla_SCAN_EQ3_COUNT_2[[#This Row],[ID MATERIAL]]="","","PZ")</f>
        <v/>
      </c>
      <c r="H2230" s="7" t="str">
        <f>IF(Plantilla_SCAN_EQ3_COUNT_2[[#This Row],[ID MATERIAL]]="","",$B$13)</f>
        <v/>
      </c>
      <c r="I2230" s="7" t="str">
        <f>IF(Plantilla_SCAN_EQ3_COUNT_2[[#This Row],[ID MATERIAL]]="","","Segundo Conteo")</f>
        <v/>
      </c>
    </row>
    <row r="2231" spans="1:9" s="7" customFormat="1" ht="15" x14ac:dyDescent="0.2">
      <c r="A2231" s="7" t="str">
        <f>IF(Plantilla_SCAN_EQ3_COUNT_2[[#This Row],[ID MATERIAL]]="","",SIGN(Plantilla_SCAN_EQ3_COUNT_2[[#This Row],[Cantidad]])+A2230)</f>
        <v/>
      </c>
      <c r="B2231" s="21" t="str">
        <f>IF(Plantilla_SCAN_EQ3_COUNT_2[[#This Row],[ID MATERIAL]]="","",B2230)</f>
        <v/>
      </c>
      <c r="C2231" s="21"/>
      <c r="D2231" s="21"/>
      <c r="E2231" s="7" t="str">
        <f>IF(Plantilla_SCAN_EQ3_COUNT_2[[#This Row],[ID MATERIAL]]="","",VLOOKUP(Plantilla_SCAN_EQ3_COUNT_2[[#This Row],[ID MATERIAL]],INVENTARIO!$A:$D,2,FALSE))</f>
        <v/>
      </c>
      <c r="F2231" s="7" t="str">
        <f>IF(Plantilla_SCAN_EQ3_COUNT_2[[#This Row],[ID MATERIAL]]="","",IF(Plantilla_SCAN_EQ3_COUNT_2[[#This Row],[No. Empaques]]="",1,Plantilla_SCAN_EQ3_COUNT_2[[#This Row],[No. Empaques]]*1))</f>
        <v/>
      </c>
      <c r="G2231" s="7" t="str">
        <f>IF(Plantilla_SCAN_EQ3_COUNT_2[[#This Row],[ID MATERIAL]]="","","PZ")</f>
        <v/>
      </c>
      <c r="H2231" s="7" t="str">
        <f>IF(Plantilla_SCAN_EQ3_COUNT_2[[#This Row],[ID MATERIAL]]="","",$B$13)</f>
        <v/>
      </c>
      <c r="I2231" s="7" t="str">
        <f>IF(Plantilla_SCAN_EQ3_COUNT_2[[#This Row],[ID MATERIAL]]="","","Segundo Conteo")</f>
        <v/>
      </c>
    </row>
    <row r="2232" spans="1:9" s="7" customFormat="1" ht="15" x14ac:dyDescent="0.2">
      <c r="A2232" s="7" t="str">
        <f>IF(Plantilla_SCAN_EQ3_COUNT_2[[#This Row],[ID MATERIAL]]="","",SIGN(Plantilla_SCAN_EQ3_COUNT_2[[#This Row],[Cantidad]])+A2231)</f>
        <v/>
      </c>
      <c r="B2232" s="21" t="str">
        <f>IF(Plantilla_SCAN_EQ3_COUNT_2[[#This Row],[ID MATERIAL]]="","",B2231)</f>
        <v/>
      </c>
      <c r="C2232" s="21"/>
      <c r="D2232" s="21"/>
      <c r="E2232" s="7" t="str">
        <f>IF(Plantilla_SCAN_EQ3_COUNT_2[[#This Row],[ID MATERIAL]]="","",VLOOKUP(Plantilla_SCAN_EQ3_COUNT_2[[#This Row],[ID MATERIAL]],INVENTARIO!$A:$D,2,FALSE))</f>
        <v/>
      </c>
      <c r="F2232" s="7" t="str">
        <f>IF(Plantilla_SCAN_EQ3_COUNT_2[[#This Row],[ID MATERIAL]]="","",IF(Plantilla_SCAN_EQ3_COUNT_2[[#This Row],[No. Empaques]]="",1,Plantilla_SCAN_EQ3_COUNT_2[[#This Row],[No. Empaques]]*1))</f>
        <v/>
      </c>
      <c r="G2232" s="7" t="str">
        <f>IF(Plantilla_SCAN_EQ3_COUNT_2[[#This Row],[ID MATERIAL]]="","","PZ")</f>
        <v/>
      </c>
      <c r="H2232" s="7" t="str">
        <f>IF(Plantilla_SCAN_EQ3_COUNT_2[[#This Row],[ID MATERIAL]]="","",$B$13)</f>
        <v/>
      </c>
      <c r="I2232" s="7" t="str">
        <f>IF(Plantilla_SCAN_EQ3_COUNT_2[[#This Row],[ID MATERIAL]]="","","Segundo Conteo")</f>
        <v/>
      </c>
    </row>
    <row r="2233" spans="1:9" s="7" customFormat="1" ht="15" x14ac:dyDescent="0.2">
      <c r="A2233" s="7" t="str">
        <f>IF(Plantilla_SCAN_EQ3_COUNT_2[[#This Row],[ID MATERIAL]]="","",SIGN(Plantilla_SCAN_EQ3_COUNT_2[[#This Row],[Cantidad]])+A2232)</f>
        <v/>
      </c>
      <c r="B2233" s="21" t="str">
        <f>IF(Plantilla_SCAN_EQ3_COUNT_2[[#This Row],[ID MATERIAL]]="","",B2232)</f>
        <v/>
      </c>
      <c r="C2233" s="21"/>
      <c r="D2233" s="21"/>
      <c r="E2233" s="7" t="str">
        <f>IF(Plantilla_SCAN_EQ3_COUNT_2[[#This Row],[ID MATERIAL]]="","",VLOOKUP(Plantilla_SCAN_EQ3_COUNT_2[[#This Row],[ID MATERIAL]],INVENTARIO!$A:$D,2,FALSE))</f>
        <v/>
      </c>
      <c r="F2233" s="7" t="str">
        <f>IF(Plantilla_SCAN_EQ3_COUNT_2[[#This Row],[ID MATERIAL]]="","",IF(Plantilla_SCAN_EQ3_COUNT_2[[#This Row],[No. Empaques]]="",1,Plantilla_SCAN_EQ3_COUNT_2[[#This Row],[No. Empaques]]*1))</f>
        <v/>
      </c>
      <c r="G2233" s="7" t="str">
        <f>IF(Plantilla_SCAN_EQ3_COUNT_2[[#This Row],[ID MATERIAL]]="","","PZ")</f>
        <v/>
      </c>
      <c r="H2233" s="7" t="str">
        <f>IF(Plantilla_SCAN_EQ3_COUNT_2[[#This Row],[ID MATERIAL]]="","",$B$13)</f>
        <v/>
      </c>
      <c r="I2233" s="7" t="str">
        <f>IF(Plantilla_SCAN_EQ3_COUNT_2[[#This Row],[ID MATERIAL]]="","","Segundo Conteo")</f>
        <v/>
      </c>
    </row>
    <row r="2234" spans="1:9" s="7" customFormat="1" ht="15" x14ac:dyDescent="0.2">
      <c r="A2234" s="7" t="str">
        <f>IF(Plantilla_SCAN_EQ3_COUNT_2[[#This Row],[ID MATERIAL]]="","",SIGN(Plantilla_SCAN_EQ3_COUNT_2[[#This Row],[Cantidad]])+A2233)</f>
        <v/>
      </c>
      <c r="B2234" s="21" t="str">
        <f>IF(Plantilla_SCAN_EQ3_COUNT_2[[#This Row],[ID MATERIAL]]="","",B2233)</f>
        <v/>
      </c>
      <c r="C2234" s="21"/>
      <c r="D2234" s="21"/>
      <c r="E2234" s="7" t="str">
        <f>IF(Plantilla_SCAN_EQ3_COUNT_2[[#This Row],[ID MATERIAL]]="","",VLOOKUP(Plantilla_SCAN_EQ3_COUNT_2[[#This Row],[ID MATERIAL]],INVENTARIO!$A:$D,2,FALSE))</f>
        <v/>
      </c>
      <c r="F2234" s="7" t="str">
        <f>IF(Plantilla_SCAN_EQ3_COUNT_2[[#This Row],[ID MATERIAL]]="","",IF(Plantilla_SCAN_EQ3_COUNT_2[[#This Row],[No. Empaques]]="",1,Plantilla_SCAN_EQ3_COUNT_2[[#This Row],[No. Empaques]]*1))</f>
        <v/>
      </c>
      <c r="G2234" s="7" t="str">
        <f>IF(Plantilla_SCAN_EQ3_COUNT_2[[#This Row],[ID MATERIAL]]="","","PZ")</f>
        <v/>
      </c>
      <c r="H2234" s="7" t="str">
        <f>IF(Plantilla_SCAN_EQ3_COUNT_2[[#This Row],[ID MATERIAL]]="","",$B$13)</f>
        <v/>
      </c>
      <c r="I2234" s="7" t="str">
        <f>IF(Plantilla_SCAN_EQ3_COUNT_2[[#This Row],[ID MATERIAL]]="","","Segundo Conteo")</f>
        <v/>
      </c>
    </row>
    <row r="2235" spans="1:9" s="7" customFormat="1" ht="15" x14ac:dyDescent="0.2">
      <c r="A2235" s="7" t="str">
        <f>IF(Plantilla_SCAN_EQ3_COUNT_2[[#This Row],[ID MATERIAL]]="","",SIGN(Plantilla_SCAN_EQ3_COUNT_2[[#This Row],[Cantidad]])+A2234)</f>
        <v/>
      </c>
      <c r="B2235" s="21" t="str">
        <f>IF(Plantilla_SCAN_EQ3_COUNT_2[[#This Row],[ID MATERIAL]]="","",B2234)</f>
        <v/>
      </c>
      <c r="C2235" s="21"/>
      <c r="D2235" s="21"/>
      <c r="E2235" s="7" t="str">
        <f>IF(Plantilla_SCAN_EQ3_COUNT_2[[#This Row],[ID MATERIAL]]="","",VLOOKUP(Plantilla_SCAN_EQ3_COUNT_2[[#This Row],[ID MATERIAL]],INVENTARIO!$A:$D,2,FALSE))</f>
        <v/>
      </c>
      <c r="F2235" s="7" t="str">
        <f>IF(Plantilla_SCAN_EQ3_COUNT_2[[#This Row],[ID MATERIAL]]="","",IF(Plantilla_SCAN_EQ3_COUNT_2[[#This Row],[No. Empaques]]="",1,Plantilla_SCAN_EQ3_COUNT_2[[#This Row],[No. Empaques]]*1))</f>
        <v/>
      </c>
      <c r="G2235" s="7" t="str">
        <f>IF(Plantilla_SCAN_EQ3_COUNT_2[[#This Row],[ID MATERIAL]]="","","PZ")</f>
        <v/>
      </c>
      <c r="H2235" s="7" t="str">
        <f>IF(Plantilla_SCAN_EQ3_COUNT_2[[#This Row],[ID MATERIAL]]="","",$B$13)</f>
        <v/>
      </c>
      <c r="I2235" s="7" t="str">
        <f>IF(Plantilla_SCAN_EQ3_COUNT_2[[#This Row],[ID MATERIAL]]="","","Segundo Conteo")</f>
        <v/>
      </c>
    </row>
    <row r="2236" spans="1:9" s="7" customFormat="1" ht="15" x14ac:dyDescent="0.2">
      <c r="A2236" s="7" t="str">
        <f>IF(Plantilla_SCAN_EQ3_COUNT_2[[#This Row],[ID MATERIAL]]="","",SIGN(Plantilla_SCAN_EQ3_COUNT_2[[#This Row],[Cantidad]])+A2235)</f>
        <v/>
      </c>
      <c r="B2236" s="21" t="str">
        <f>IF(Plantilla_SCAN_EQ3_COUNT_2[[#This Row],[ID MATERIAL]]="","",B2235)</f>
        <v/>
      </c>
      <c r="C2236" s="21"/>
      <c r="D2236" s="21"/>
      <c r="E2236" s="7" t="str">
        <f>IF(Plantilla_SCAN_EQ3_COUNT_2[[#This Row],[ID MATERIAL]]="","",VLOOKUP(Plantilla_SCAN_EQ3_COUNT_2[[#This Row],[ID MATERIAL]],INVENTARIO!$A:$D,2,FALSE))</f>
        <v/>
      </c>
      <c r="F2236" s="7" t="str">
        <f>IF(Plantilla_SCAN_EQ3_COUNT_2[[#This Row],[ID MATERIAL]]="","",IF(Plantilla_SCAN_EQ3_COUNT_2[[#This Row],[No. Empaques]]="",1,Plantilla_SCAN_EQ3_COUNT_2[[#This Row],[No. Empaques]]*1))</f>
        <v/>
      </c>
      <c r="G2236" s="7" t="str">
        <f>IF(Plantilla_SCAN_EQ3_COUNT_2[[#This Row],[ID MATERIAL]]="","","PZ")</f>
        <v/>
      </c>
      <c r="H2236" s="7" t="str">
        <f>IF(Plantilla_SCAN_EQ3_COUNT_2[[#This Row],[ID MATERIAL]]="","",$B$13)</f>
        <v/>
      </c>
      <c r="I2236" s="7" t="str">
        <f>IF(Plantilla_SCAN_EQ3_COUNT_2[[#This Row],[ID MATERIAL]]="","","Segundo Conteo")</f>
        <v/>
      </c>
    </row>
    <row r="2237" spans="1:9" s="7" customFormat="1" ht="15" x14ac:dyDescent="0.2">
      <c r="A2237" s="7" t="str">
        <f>IF(Plantilla_SCAN_EQ3_COUNT_2[[#This Row],[ID MATERIAL]]="","",SIGN(Plantilla_SCAN_EQ3_COUNT_2[[#This Row],[Cantidad]])+A2236)</f>
        <v/>
      </c>
      <c r="B2237" s="21" t="str">
        <f>IF(Plantilla_SCAN_EQ3_COUNT_2[[#This Row],[ID MATERIAL]]="","",B2236)</f>
        <v/>
      </c>
      <c r="C2237" s="21"/>
      <c r="D2237" s="21"/>
      <c r="E2237" s="7" t="str">
        <f>IF(Plantilla_SCAN_EQ3_COUNT_2[[#This Row],[ID MATERIAL]]="","",VLOOKUP(Plantilla_SCAN_EQ3_COUNT_2[[#This Row],[ID MATERIAL]],INVENTARIO!$A:$D,2,FALSE))</f>
        <v/>
      </c>
      <c r="F2237" s="7" t="str">
        <f>IF(Plantilla_SCAN_EQ3_COUNT_2[[#This Row],[ID MATERIAL]]="","",IF(Plantilla_SCAN_EQ3_COUNT_2[[#This Row],[No. Empaques]]="",1,Plantilla_SCAN_EQ3_COUNT_2[[#This Row],[No. Empaques]]*1))</f>
        <v/>
      </c>
      <c r="G2237" s="7" t="str">
        <f>IF(Plantilla_SCAN_EQ3_COUNT_2[[#This Row],[ID MATERIAL]]="","","PZ")</f>
        <v/>
      </c>
      <c r="H2237" s="7" t="str">
        <f>IF(Plantilla_SCAN_EQ3_COUNT_2[[#This Row],[ID MATERIAL]]="","",$B$13)</f>
        <v/>
      </c>
      <c r="I2237" s="7" t="str">
        <f>IF(Plantilla_SCAN_EQ3_COUNT_2[[#This Row],[ID MATERIAL]]="","","Segundo Conteo")</f>
        <v/>
      </c>
    </row>
    <row r="2238" spans="1:9" s="7" customFormat="1" ht="15" x14ac:dyDescent="0.2">
      <c r="A2238" s="7" t="str">
        <f>IF(Plantilla_SCAN_EQ3_COUNT_2[[#This Row],[ID MATERIAL]]="","",SIGN(Plantilla_SCAN_EQ3_COUNT_2[[#This Row],[Cantidad]])+A2237)</f>
        <v/>
      </c>
      <c r="B2238" s="21" t="str">
        <f>IF(Plantilla_SCAN_EQ3_COUNT_2[[#This Row],[ID MATERIAL]]="","",B2237)</f>
        <v/>
      </c>
      <c r="C2238" s="21"/>
      <c r="D2238" s="21"/>
      <c r="E2238" s="7" t="str">
        <f>IF(Plantilla_SCAN_EQ3_COUNT_2[[#This Row],[ID MATERIAL]]="","",VLOOKUP(Plantilla_SCAN_EQ3_COUNT_2[[#This Row],[ID MATERIAL]],INVENTARIO!$A:$D,2,FALSE))</f>
        <v/>
      </c>
      <c r="F2238" s="7" t="str">
        <f>IF(Plantilla_SCAN_EQ3_COUNT_2[[#This Row],[ID MATERIAL]]="","",IF(Plantilla_SCAN_EQ3_COUNT_2[[#This Row],[No. Empaques]]="",1,Plantilla_SCAN_EQ3_COUNT_2[[#This Row],[No. Empaques]]*1))</f>
        <v/>
      </c>
      <c r="G2238" s="7" t="str">
        <f>IF(Plantilla_SCAN_EQ3_COUNT_2[[#This Row],[ID MATERIAL]]="","","PZ")</f>
        <v/>
      </c>
      <c r="H2238" s="7" t="str">
        <f>IF(Plantilla_SCAN_EQ3_COUNT_2[[#This Row],[ID MATERIAL]]="","",$B$13)</f>
        <v/>
      </c>
      <c r="I2238" s="7" t="str">
        <f>IF(Plantilla_SCAN_EQ3_COUNT_2[[#This Row],[ID MATERIAL]]="","","Segundo Conteo")</f>
        <v/>
      </c>
    </row>
    <row r="2239" spans="1:9" s="7" customFormat="1" ht="15" x14ac:dyDescent="0.2">
      <c r="A2239" s="7" t="str">
        <f>IF(Plantilla_SCAN_EQ3_COUNT_2[[#This Row],[ID MATERIAL]]="","",SIGN(Plantilla_SCAN_EQ3_COUNT_2[[#This Row],[Cantidad]])+A2238)</f>
        <v/>
      </c>
      <c r="B2239" s="21" t="str">
        <f>IF(Plantilla_SCAN_EQ3_COUNT_2[[#This Row],[ID MATERIAL]]="","",B2238)</f>
        <v/>
      </c>
      <c r="C2239" s="21"/>
      <c r="D2239" s="21"/>
      <c r="E2239" s="7" t="str">
        <f>IF(Plantilla_SCAN_EQ3_COUNT_2[[#This Row],[ID MATERIAL]]="","",VLOOKUP(Plantilla_SCAN_EQ3_COUNT_2[[#This Row],[ID MATERIAL]],INVENTARIO!$A:$D,2,FALSE))</f>
        <v/>
      </c>
      <c r="F2239" s="7" t="str">
        <f>IF(Plantilla_SCAN_EQ3_COUNT_2[[#This Row],[ID MATERIAL]]="","",IF(Plantilla_SCAN_EQ3_COUNT_2[[#This Row],[No. Empaques]]="",1,Plantilla_SCAN_EQ3_COUNT_2[[#This Row],[No. Empaques]]*1))</f>
        <v/>
      </c>
      <c r="G2239" s="7" t="str">
        <f>IF(Plantilla_SCAN_EQ3_COUNT_2[[#This Row],[ID MATERIAL]]="","","PZ")</f>
        <v/>
      </c>
      <c r="H2239" s="7" t="str">
        <f>IF(Plantilla_SCAN_EQ3_COUNT_2[[#This Row],[ID MATERIAL]]="","",$B$13)</f>
        <v/>
      </c>
      <c r="I2239" s="7" t="str">
        <f>IF(Plantilla_SCAN_EQ3_COUNT_2[[#This Row],[ID MATERIAL]]="","","Segundo Conteo")</f>
        <v/>
      </c>
    </row>
    <row r="2240" spans="1:9" s="7" customFormat="1" ht="15" x14ac:dyDescent="0.2">
      <c r="A2240" s="7" t="str">
        <f>IF(Plantilla_SCAN_EQ3_COUNT_2[[#This Row],[ID MATERIAL]]="","",SIGN(Plantilla_SCAN_EQ3_COUNT_2[[#This Row],[Cantidad]])+A2239)</f>
        <v/>
      </c>
      <c r="B2240" s="21" t="str">
        <f>IF(Plantilla_SCAN_EQ3_COUNT_2[[#This Row],[ID MATERIAL]]="","",B2239)</f>
        <v/>
      </c>
      <c r="C2240" s="21"/>
      <c r="D2240" s="21"/>
      <c r="E2240" s="7" t="str">
        <f>IF(Plantilla_SCAN_EQ3_COUNT_2[[#This Row],[ID MATERIAL]]="","",VLOOKUP(Plantilla_SCAN_EQ3_COUNT_2[[#This Row],[ID MATERIAL]],INVENTARIO!$A:$D,2,FALSE))</f>
        <v/>
      </c>
      <c r="F2240" s="7" t="str">
        <f>IF(Plantilla_SCAN_EQ3_COUNT_2[[#This Row],[ID MATERIAL]]="","",IF(Plantilla_SCAN_EQ3_COUNT_2[[#This Row],[No. Empaques]]="",1,Plantilla_SCAN_EQ3_COUNT_2[[#This Row],[No. Empaques]]*1))</f>
        <v/>
      </c>
      <c r="G2240" s="7" t="str">
        <f>IF(Plantilla_SCAN_EQ3_COUNT_2[[#This Row],[ID MATERIAL]]="","","PZ")</f>
        <v/>
      </c>
      <c r="H2240" s="7" t="str">
        <f>IF(Plantilla_SCAN_EQ3_COUNT_2[[#This Row],[ID MATERIAL]]="","",$B$13)</f>
        <v/>
      </c>
      <c r="I2240" s="7" t="str">
        <f>IF(Plantilla_SCAN_EQ3_COUNT_2[[#This Row],[ID MATERIAL]]="","","Segundo Conteo")</f>
        <v/>
      </c>
    </row>
    <row r="2241" spans="1:9" s="7" customFormat="1" ht="15" x14ac:dyDescent="0.2">
      <c r="A2241" s="7" t="str">
        <f>IF(Plantilla_SCAN_EQ3_COUNT_2[[#This Row],[ID MATERIAL]]="","",SIGN(Plantilla_SCAN_EQ3_COUNT_2[[#This Row],[Cantidad]])+A2240)</f>
        <v/>
      </c>
      <c r="B2241" s="21" t="str">
        <f>IF(Plantilla_SCAN_EQ3_COUNT_2[[#This Row],[ID MATERIAL]]="","",B2240)</f>
        <v/>
      </c>
      <c r="C2241" s="21"/>
      <c r="D2241" s="21"/>
      <c r="E2241" s="7" t="str">
        <f>IF(Plantilla_SCAN_EQ3_COUNT_2[[#This Row],[ID MATERIAL]]="","",VLOOKUP(Plantilla_SCAN_EQ3_COUNT_2[[#This Row],[ID MATERIAL]],INVENTARIO!$A:$D,2,FALSE))</f>
        <v/>
      </c>
      <c r="F2241" s="7" t="str">
        <f>IF(Plantilla_SCAN_EQ3_COUNT_2[[#This Row],[ID MATERIAL]]="","",IF(Plantilla_SCAN_EQ3_COUNT_2[[#This Row],[No. Empaques]]="",1,Plantilla_SCAN_EQ3_COUNT_2[[#This Row],[No. Empaques]]*1))</f>
        <v/>
      </c>
      <c r="G2241" s="7" t="str">
        <f>IF(Plantilla_SCAN_EQ3_COUNT_2[[#This Row],[ID MATERIAL]]="","","PZ")</f>
        <v/>
      </c>
      <c r="H2241" s="7" t="str">
        <f>IF(Plantilla_SCAN_EQ3_COUNT_2[[#This Row],[ID MATERIAL]]="","",$B$13)</f>
        <v/>
      </c>
      <c r="I2241" s="7" t="str">
        <f>IF(Plantilla_SCAN_EQ3_COUNT_2[[#This Row],[ID MATERIAL]]="","","Segundo Conteo")</f>
        <v/>
      </c>
    </row>
    <row r="2242" spans="1:9" s="7" customFormat="1" ht="15" x14ac:dyDescent="0.2">
      <c r="A2242" s="7" t="str">
        <f>IF(Plantilla_SCAN_EQ3_COUNT_2[[#This Row],[ID MATERIAL]]="","",SIGN(Plantilla_SCAN_EQ3_COUNT_2[[#This Row],[Cantidad]])+A2241)</f>
        <v/>
      </c>
      <c r="B2242" s="21" t="str">
        <f>IF(Plantilla_SCAN_EQ3_COUNT_2[[#This Row],[ID MATERIAL]]="","",B2241)</f>
        <v/>
      </c>
      <c r="C2242" s="21"/>
      <c r="D2242" s="21"/>
      <c r="E2242" s="7" t="str">
        <f>IF(Plantilla_SCAN_EQ3_COUNT_2[[#This Row],[ID MATERIAL]]="","",VLOOKUP(Plantilla_SCAN_EQ3_COUNT_2[[#This Row],[ID MATERIAL]],INVENTARIO!$A:$D,2,FALSE))</f>
        <v/>
      </c>
      <c r="F2242" s="7" t="str">
        <f>IF(Plantilla_SCAN_EQ3_COUNT_2[[#This Row],[ID MATERIAL]]="","",IF(Plantilla_SCAN_EQ3_COUNT_2[[#This Row],[No. Empaques]]="",1,Plantilla_SCAN_EQ3_COUNT_2[[#This Row],[No. Empaques]]*1))</f>
        <v/>
      </c>
      <c r="G2242" s="7" t="str">
        <f>IF(Plantilla_SCAN_EQ3_COUNT_2[[#This Row],[ID MATERIAL]]="","","PZ")</f>
        <v/>
      </c>
      <c r="H2242" s="7" t="str">
        <f>IF(Plantilla_SCAN_EQ3_COUNT_2[[#This Row],[ID MATERIAL]]="","",$B$13)</f>
        <v/>
      </c>
      <c r="I2242" s="7" t="str">
        <f>IF(Plantilla_SCAN_EQ3_COUNT_2[[#This Row],[ID MATERIAL]]="","","Segundo Conteo")</f>
        <v/>
      </c>
    </row>
    <row r="2243" spans="1:9" s="7" customFormat="1" ht="15" x14ac:dyDescent="0.2">
      <c r="A2243" s="7" t="str">
        <f>IF(Plantilla_SCAN_EQ3_COUNT_2[[#This Row],[ID MATERIAL]]="","",SIGN(Plantilla_SCAN_EQ3_COUNT_2[[#This Row],[Cantidad]])+A2242)</f>
        <v/>
      </c>
      <c r="B2243" s="21" t="str">
        <f>IF(Plantilla_SCAN_EQ3_COUNT_2[[#This Row],[ID MATERIAL]]="","",B2242)</f>
        <v/>
      </c>
      <c r="C2243" s="21"/>
      <c r="D2243" s="21"/>
      <c r="E2243" s="7" t="str">
        <f>IF(Plantilla_SCAN_EQ3_COUNT_2[[#This Row],[ID MATERIAL]]="","",VLOOKUP(Plantilla_SCAN_EQ3_COUNT_2[[#This Row],[ID MATERIAL]],INVENTARIO!$A:$D,2,FALSE))</f>
        <v/>
      </c>
      <c r="F2243" s="7" t="str">
        <f>IF(Plantilla_SCAN_EQ3_COUNT_2[[#This Row],[ID MATERIAL]]="","",IF(Plantilla_SCAN_EQ3_COUNT_2[[#This Row],[No. Empaques]]="",1,Plantilla_SCAN_EQ3_COUNT_2[[#This Row],[No. Empaques]]*1))</f>
        <v/>
      </c>
      <c r="G2243" s="7" t="str">
        <f>IF(Plantilla_SCAN_EQ3_COUNT_2[[#This Row],[ID MATERIAL]]="","","PZ")</f>
        <v/>
      </c>
      <c r="H2243" s="7" t="str">
        <f>IF(Plantilla_SCAN_EQ3_COUNT_2[[#This Row],[ID MATERIAL]]="","",$B$13)</f>
        <v/>
      </c>
      <c r="I2243" s="7" t="str">
        <f>IF(Plantilla_SCAN_EQ3_COUNT_2[[#This Row],[ID MATERIAL]]="","","Segundo Conteo")</f>
        <v/>
      </c>
    </row>
    <row r="2244" spans="1:9" s="7" customFormat="1" ht="15" x14ac:dyDescent="0.2">
      <c r="A2244" s="7" t="str">
        <f>IF(Plantilla_SCAN_EQ3_COUNT_2[[#This Row],[ID MATERIAL]]="","",SIGN(Plantilla_SCAN_EQ3_COUNT_2[[#This Row],[Cantidad]])+A2243)</f>
        <v/>
      </c>
      <c r="B2244" s="21" t="str">
        <f>IF(Plantilla_SCAN_EQ3_COUNT_2[[#This Row],[ID MATERIAL]]="","",B2243)</f>
        <v/>
      </c>
      <c r="C2244" s="21"/>
      <c r="D2244" s="21"/>
      <c r="E2244" s="7" t="str">
        <f>IF(Plantilla_SCAN_EQ3_COUNT_2[[#This Row],[ID MATERIAL]]="","",VLOOKUP(Plantilla_SCAN_EQ3_COUNT_2[[#This Row],[ID MATERIAL]],INVENTARIO!$A:$D,2,FALSE))</f>
        <v/>
      </c>
      <c r="F2244" s="7" t="str">
        <f>IF(Plantilla_SCAN_EQ3_COUNT_2[[#This Row],[ID MATERIAL]]="","",IF(Plantilla_SCAN_EQ3_COUNT_2[[#This Row],[No. Empaques]]="",1,Plantilla_SCAN_EQ3_COUNT_2[[#This Row],[No. Empaques]]*1))</f>
        <v/>
      </c>
      <c r="G2244" s="7" t="str">
        <f>IF(Plantilla_SCAN_EQ3_COUNT_2[[#This Row],[ID MATERIAL]]="","","PZ")</f>
        <v/>
      </c>
      <c r="H2244" s="7" t="str">
        <f>IF(Plantilla_SCAN_EQ3_COUNT_2[[#This Row],[ID MATERIAL]]="","",$B$13)</f>
        <v/>
      </c>
      <c r="I2244" s="7" t="str">
        <f>IF(Plantilla_SCAN_EQ3_COUNT_2[[#This Row],[ID MATERIAL]]="","","Segundo Conteo")</f>
        <v/>
      </c>
    </row>
    <row r="2245" spans="1:9" s="7" customFormat="1" ht="15" x14ac:dyDescent="0.2">
      <c r="A2245" s="7" t="str">
        <f>IF(Plantilla_SCAN_EQ3_COUNT_2[[#This Row],[ID MATERIAL]]="","",SIGN(Plantilla_SCAN_EQ3_COUNT_2[[#This Row],[Cantidad]])+A2244)</f>
        <v/>
      </c>
      <c r="B2245" s="21" t="str">
        <f>IF(Plantilla_SCAN_EQ3_COUNT_2[[#This Row],[ID MATERIAL]]="","",B2244)</f>
        <v/>
      </c>
      <c r="C2245" s="21"/>
      <c r="D2245" s="21"/>
      <c r="E2245" s="7" t="str">
        <f>IF(Plantilla_SCAN_EQ3_COUNT_2[[#This Row],[ID MATERIAL]]="","",VLOOKUP(Plantilla_SCAN_EQ3_COUNT_2[[#This Row],[ID MATERIAL]],INVENTARIO!$A:$D,2,FALSE))</f>
        <v/>
      </c>
      <c r="F2245" s="7" t="str">
        <f>IF(Plantilla_SCAN_EQ3_COUNT_2[[#This Row],[ID MATERIAL]]="","",IF(Plantilla_SCAN_EQ3_COUNT_2[[#This Row],[No. Empaques]]="",1,Plantilla_SCAN_EQ3_COUNT_2[[#This Row],[No. Empaques]]*1))</f>
        <v/>
      </c>
      <c r="G2245" s="7" t="str">
        <f>IF(Plantilla_SCAN_EQ3_COUNT_2[[#This Row],[ID MATERIAL]]="","","PZ")</f>
        <v/>
      </c>
      <c r="H2245" s="7" t="str">
        <f>IF(Plantilla_SCAN_EQ3_COUNT_2[[#This Row],[ID MATERIAL]]="","",$B$13)</f>
        <v/>
      </c>
      <c r="I2245" s="7" t="str">
        <f>IF(Plantilla_SCAN_EQ3_COUNT_2[[#This Row],[ID MATERIAL]]="","","Segundo Conteo")</f>
        <v/>
      </c>
    </row>
    <row r="2246" spans="1:9" s="7" customFormat="1" ht="15" x14ac:dyDescent="0.2">
      <c r="A2246" s="7" t="str">
        <f>IF(Plantilla_SCAN_EQ3_COUNT_2[[#This Row],[ID MATERIAL]]="","",SIGN(Plantilla_SCAN_EQ3_COUNT_2[[#This Row],[Cantidad]])+A2245)</f>
        <v/>
      </c>
      <c r="B2246" s="21" t="str">
        <f>IF(Plantilla_SCAN_EQ3_COUNT_2[[#This Row],[ID MATERIAL]]="","",B2245)</f>
        <v/>
      </c>
      <c r="C2246" s="21"/>
      <c r="D2246" s="21"/>
      <c r="E2246" s="7" t="str">
        <f>IF(Plantilla_SCAN_EQ3_COUNT_2[[#This Row],[ID MATERIAL]]="","",VLOOKUP(Plantilla_SCAN_EQ3_COUNT_2[[#This Row],[ID MATERIAL]],INVENTARIO!$A:$D,2,FALSE))</f>
        <v/>
      </c>
      <c r="F2246" s="7" t="str">
        <f>IF(Plantilla_SCAN_EQ3_COUNT_2[[#This Row],[ID MATERIAL]]="","",IF(Plantilla_SCAN_EQ3_COUNT_2[[#This Row],[No. Empaques]]="",1,Plantilla_SCAN_EQ3_COUNT_2[[#This Row],[No. Empaques]]*1))</f>
        <v/>
      </c>
      <c r="G2246" s="7" t="str">
        <f>IF(Plantilla_SCAN_EQ3_COUNT_2[[#This Row],[ID MATERIAL]]="","","PZ")</f>
        <v/>
      </c>
      <c r="H2246" s="7" t="str">
        <f>IF(Plantilla_SCAN_EQ3_COUNT_2[[#This Row],[ID MATERIAL]]="","",$B$13)</f>
        <v/>
      </c>
      <c r="I2246" s="7" t="str">
        <f>IF(Plantilla_SCAN_EQ3_COUNT_2[[#This Row],[ID MATERIAL]]="","","Segundo Conteo")</f>
        <v/>
      </c>
    </row>
    <row r="2247" spans="1:9" s="7" customFormat="1" ht="15" x14ac:dyDescent="0.2">
      <c r="A2247" s="7" t="str">
        <f>IF(Plantilla_SCAN_EQ3_COUNT_2[[#This Row],[ID MATERIAL]]="","",SIGN(Plantilla_SCAN_EQ3_COUNT_2[[#This Row],[Cantidad]])+A2246)</f>
        <v/>
      </c>
      <c r="B2247" s="21" t="str">
        <f>IF(Plantilla_SCAN_EQ3_COUNT_2[[#This Row],[ID MATERIAL]]="","",B2246)</f>
        <v/>
      </c>
      <c r="C2247" s="21"/>
      <c r="D2247" s="21"/>
      <c r="E2247" s="7" t="str">
        <f>IF(Plantilla_SCAN_EQ3_COUNT_2[[#This Row],[ID MATERIAL]]="","",VLOOKUP(Plantilla_SCAN_EQ3_COUNT_2[[#This Row],[ID MATERIAL]],INVENTARIO!$A:$D,2,FALSE))</f>
        <v/>
      </c>
      <c r="F2247" s="7" t="str">
        <f>IF(Plantilla_SCAN_EQ3_COUNT_2[[#This Row],[ID MATERIAL]]="","",IF(Plantilla_SCAN_EQ3_COUNT_2[[#This Row],[No. Empaques]]="",1,Plantilla_SCAN_EQ3_COUNT_2[[#This Row],[No. Empaques]]*1))</f>
        <v/>
      </c>
      <c r="G2247" s="7" t="str">
        <f>IF(Plantilla_SCAN_EQ3_COUNT_2[[#This Row],[ID MATERIAL]]="","","PZ")</f>
        <v/>
      </c>
      <c r="H2247" s="7" t="str">
        <f>IF(Plantilla_SCAN_EQ3_COUNT_2[[#This Row],[ID MATERIAL]]="","",$B$13)</f>
        <v/>
      </c>
      <c r="I2247" s="7" t="str">
        <f>IF(Plantilla_SCAN_EQ3_COUNT_2[[#This Row],[ID MATERIAL]]="","","Segundo Conteo")</f>
        <v/>
      </c>
    </row>
    <row r="2248" spans="1:9" s="7" customFormat="1" ht="15" x14ac:dyDescent="0.2">
      <c r="A2248" s="7" t="str">
        <f>IF(Plantilla_SCAN_EQ3_COUNT_2[[#This Row],[ID MATERIAL]]="","",SIGN(Plantilla_SCAN_EQ3_COUNT_2[[#This Row],[Cantidad]])+A2247)</f>
        <v/>
      </c>
      <c r="B2248" s="21" t="str">
        <f>IF(Plantilla_SCAN_EQ3_COUNT_2[[#This Row],[ID MATERIAL]]="","",B2247)</f>
        <v/>
      </c>
      <c r="C2248" s="21"/>
      <c r="D2248" s="21"/>
      <c r="E2248" s="7" t="str">
        <f>IF(Plantilla_SCAN_EQ3_COUNT_2[[#This Row],[ID MATERIAL]]="","",VLOOKUP(Plantilla_SCAN_EQ3_COUNT_2[[#This Row],[ID MATERIAL]],INVENTARIO!$A:$D,2,FALSE))</f>
        <v/>
      </c>
      <c r="F2248" s="7" t="str">
        <f>IF(Plantilla_SCAN_EQ3_COUNT_2[[#This Row],[ID MATERIAL]]="","",IF(Plantilla_SCAN_EQ3_COUNT_2[[#This Row],[No. Empaques]]="",1,Plantilla_SCAN_EQ3_COUNT_2[[#This Row],[No. Empaques]]*1))</f>
        <v/>
      </c>
      <c r="G2248" s="7" t="str">
        <f>IF(Plantilla_SCAN_EQ3_COUNT_2[[#This Row],[ID MATERIAL]]="","","PZ")</f>
        <v/>
      </c>
      <c r="H2248" s="7" t="str">
        <f>IF(Plantilla_SCAN_EQ3_COUNT_2[[#This Row],[ID MATERIAL]]="","",$B$13)</f>
        <v/>
      </c>
      <c r="I2248" s="7" t="str">
        <f>IF(Plantilla_SCAN_EQ3_COUNT_2[[#This Row],[ID MATERIAL]]="","","Segundo Conteo")</f>
        <v/>
      </c>
    </row>
    <row r="2249" spans="1:9" s="7" customFormat="1" ht="15" x14ac:dyDescent="0.2">
      <c r="A2249" s="7" t="str">
        <f>IF(Plantilla_SCAN_EQ3_COUNT_2[[#This Row],[ID MATERIAL]]="","",SIGN(Plantilla_SCAN_EQ3_COUNT_2[[#This Row],[Cantidad]])+A2248)</f>
        <v/>
      </c>
      <c r="B2249" s="21" t="str">
        <f>IF(Plantilla_SCAN_EQ3_COUNT_2[[#This Row],[ID MATERIAL]]="","",B2248)</f>
        <v/>
      </c>
      <c r="C2249" s="21"/>
      <c r="D2249" s="21"/>
      <c r="E2249" s="7" t="str">
        <f>IF(Plantilla_SCAN_EQ3_COUNT_2[[#This Row],[ID MATERIAL]]="","",VLOOKUP(Plantilla_SCAN_EQ3_COUNT_2[[#This Row],[ID MATERIAL]],INVENTARIO!$A:$D,2,FALSE))</f>
        <v/>
      </c>
      <c r="F2249" s="7" t="str">
        <f>IF(Plantilla_SCAN_EQ3_COUNT_2[[#This Row],[ID MATERIAL]]="","",IF(Plantilla_SCAN_EQ3_COUNT_2[[#This Row],[No. Empaques]]="",1,Plantilla_SCAN_EQ3_COUNT_2[[#This Row],[No. Empaques]]*1))</f>
        <v/>
      </c>
      <c r="G2249" s="7" t="str">
        <f>IF(Plantilla_SCAN_EQ3_COUNT_2[[#This Row],[ID MATERIAL]]="","","PZ")</f>
        <v/>
      </c>
      <c r="H2249" s="7" t="str">
        <f>IF(Plantilla_SCAN_EQ3_COUNT_2[[#This Row],[ID MATERIAL]]="","",$B$13)</f>
        <v/>
      </c>
      <c r="I2249" s="7" t="str">
        <f>IF(Plantilla_SCAN_EQ3_COUNT_2[[#This Row],[ID MATERIAL]]="","","Segundo Conteo")</f>
        <v/>
      </c>
    </row>
    <row r="2250" spans="1:9" s="7" customFormat="1" ht="15" x14ac:dyDescent="0.2">
      <c r="A2250" s="7" t="str">
        <f>IF(Plantilla_SCAN_EQ3_COUNT_2[[#This Row],[ID MATERIAL]]="","",SIGN(Plantilla_SCAN_EQ3_COUNT_2[[#This Row],[Cantidad]])+A2249)</f>
        <v/>
      </c>
      <c r="B2250" s="21" t="str">
        <f>IF(Plantilla_SCAN_EQ3_COUNT_2[[#This Row],[ID MATERIAL]]="","",B2249)</f>
        <v/>
      </c>
      <c r="C2250" s="21"/>
      <c r="D2250" s="21"/>
      <c r="E2250" s="7" t="str">
        <f>IF(Plantilla_SCAN_EQ3_COUNT_2[[#This Row],[ID MATERIAL]]="","",VLOOKUP(Plantilla_SCAN_EQ3_COUNT_2[[#This Row],[ID MATERIAL]],INVENTARIO!$A:$D,2,FALSE))</f>
        <v/>
      </c>
      <c r="F2250" s="7" t="str">
        <f>IF(Plantilla_SCAN_EQ3_COUNT_2[[#This Row],[ID MATERIAL]]="","",IF(Plantilla_SCAN_EQ3_COUNT_2[[#This Row],[No. Empaques]]="",1,Plantilla_SCAN_EQ3_COUNT_2[[#This Row],[No. Empaques]]*1))</f>
        <v/>
      </c>
      <c r="G2250" s="7" t="str">
        <f>IF(Plantilla_SCAN_EQ3_COUNT_2[[#This Row],[ID MATERIAL]]="","","PZ")</f>
        <v/>
      </c>
      <c r="H2250" s="7" t="str">
        <f>IF(Plantilla_SCAN_EQ3_COUNT_2[[#This Row],[ID MATERIAL]]="","",$B$13)</f>
        <v/>
      </c>
      <c r="I2250" s="7" t="str">
        <f>IF(Plantilla_SCAN_EQ3_COUNT_2[[#This Row],[ID MATERIAL]]="","","Segundo Conteo")</f>
        <v/>
      </c>
    </row>
    <row r="2251" spans="1:9" s="7" customFormat="1" ht="15" x14ac:dyDescent="0.2">
      <c r="A2251" s="7" t="str">
        <f>IF(Plantilla_SCAN_EQ3_COUNT_2[[#This Row],[ID MATERIAL]]="","",SIGN(Plantilla_SCAN_EQ3_COUNT_2[[#This Row],[Cantidad]])+A2250)</f>
        <v/>
      </c>
      <c r="B2251" s="21" t="str">
        <f>IF(Plantilla_SCAN_EQ3_COUNT_2[[#This Row],[ID MATERIAL]]="","",B2250)</f>
        <v/>
      </c>
      <c r="C2251" s="21"/>
      <c r="D2251" s="21"/>
      <c r="E2251" s="7" t="str">
        <f>IF(Plantilla_SCAN_EQ3_COUNT_2[[#This Row],[ID MATERIAL]]="","",VLOOKUP(Plantilla_SCAN_EQ3_COUNT_2[[#This Row],[ID MATERIAL]],INVENTARIO!$A:$D,2,FALSE))</f>
        <v/>
      </c>
      <c r="F2251" s="7" t="str">
        <f>IF(Plantilla_SCAN_EQ3_COUNT_2[[#This Row],[ID MATERIAL]]="","",IF(Plantilla_SCAN_EQ3_COUNT_2[[#This Row],[No. Empaques]]="",1,Plantilla_SCAN_EQ3_COUNT_2[[#This Row],[No. Empaques]]*1))</f>
        <v/>
      </c>
      <c r="G2251" s="7" t="str">
        <f>IF(Plantilla_SCAN_EQ3_COUNT_2[[#This Row],[ID MATERIAL]]="","","PZ")</f>
        <v/>
      </c>
      <c r="H2251" s="7" t="str">
        <f>IF(Plantilla_SCAN_EQ3_COUNT_2[[#This Row],[ID MATERIAL]]="","",$B$13)</f>
        <v/>
      </c>
      <c r="I2251" s="7" t="str">
        <f>IF(Plantilla_SCAN_EQ3_COUNT_2[[#This Row],[ID MATERIAL]]="","","Segundo Conteo")</f>
        <v/>
      </c>
    </row>
    <row r="2252" spans="1:9" s="7" customFormat="1" ht="15" x14ac:dyDescent="0.2">
      <c r="A2252" s="7" t="str">
        <f>IF(Plantilla_SCAN_EQ3_COUNT_2[[#This Row],[ID MATERIAL]]="","",SIGN(Plantilla_SCAN_EQ3_COUNT_2[[#This Row],[Cantidad]])+A2251)</f>
        <v/>
      </c>
      <c r="B2252" s="21" t="str">
        <f>IF(Plantilla_SCAN_EQ3_COUNT_2[[#This Row],[ID MATERIAL]]="","",B2251)</f>
        <v/>
      </c>
      <c r="C2252" s="21"/>
      <c r="D2252" s="21"/>
      <c r="E2252" s="7" t="str">
        <f>IF(Plantilla_SCAN_EQ3_COUNT_2[[#This Row],[ID MATERIAL]]="","",VLOOKUP(Plantilla_SCAN_EQ3_COUNT_2[[#This Row],[ID MATERIAL]],INVENTARIO!$A:$D,2,FALSE))</f>
        <v/>
      </c>
      <c r="F2252" s="7" t="str">
        <f>IF(Plantilla_SCAN_EQ3_COUNT_2[[#This Row],[ID MATERIAL]]="","",IF(Plantilla_SCAN_EQ3_COUNT_2[[#This Row],[No. Empaques]]="",1,Plantilla_SCAN_EQ3_COUNT_2[[#This Row],[No. Empaques]]*1))</f>
        <v/>
      </c>
      <c r="G2252" s="7" t="str">
        <f>IF(Plantilla_SCAN_EQ3_COUNT_2[[#This Row],[ID MATERIAL]]="","","PZ")</f>
        <v/>
      </c>
      <c r="H2252" s="7" t="str">
        <f>IF(Plantilla_SCAN_EQ3_COUNT_2[[#This Row],[ID MATERIAL]]="","",$B$13)</f>
        <v/>
      </c>
      <c r="I2252" s="7" t="str">
        <f>IF(Plantilla_SCAN_EQ3_COUNT_2[[#This Row],[ID MATERIAL]]="","","Segundo Conteo")</f>
        <v/>
      </c>
    </row>
    <row r="2253" spans="1:9" s="7" customFormat="1" ht="15" x14ac:dyDescent="0.2">
      <c r="A2253" s="7" t="str">
        <f>IF(Plantilla_SCAN_EQ3_COUNT_2[[#This Row],[ID MATERIAL]]="","",SIGN(Plantilla_SCAN_EQ3_COUNT_2[[#This Row],[Cantidad]])+A2252)</f>
        <v/>
      </c>
      <c r="B2253" s="21" t="str">
        <f>IF(Plantilla_SCAN_EQ3_COUNT_2[[#This Row],[ID MATERIAL]]="","",B2252)</f>
        <v/>
      </c>
      <c r="C2253" s="21"/>
      <c r="D2253" s="21"/>
      <c r="E2253" s="7" t="str">
        <f>IF(Plantilla_SCAN_EQ3_COUNT_2[[#This Row],[ID MATERIAL]]="","",VLOOKUP(Plantilla_SCAN_EQ3_COUNT_2[[#This Row],[ID MATERIAL]],INVENTARIO!$A:$D,2,FALSE))</f>
        <v/>
      </c>
      <c r="F2253" s="7" t="str">
        <f>IF(Plantilla_SCAN_EQ3_COUNT_2[[#This Row],[ID MATERIAL]]="","",IF(Plantilla_SCAN_EQ3_COUNT_2[[#This Row],[No. Empaques]]="",1,Plantilla_SCAN_EQ3_COUNT_2[[#This Row],[No. Empaques]]*1))</f>
        <v/>
      </c>
      <c r="G2253" s="7" t="str">
        <f>IF(Plantilla_SCAN_EQ3_COUNT_2[[#This Row],[ID MATERIAL]]="","","PZ")</f>
        <v/>
      </c>
      <c r="H2253" s="7" t="str">
        <f>IF(Plantilla_SCAN_EQ3_COUNT_2[[#This Row],[ID MATERIAL]]="","",$B$13)</f>
        <v/>
      </c>
      <c r="I2253" s="7" t="str">
        <f>IF(Plantilla_SCAN_EQ3_COUNT_2[[#This Row],[ID MATERIAL]]="","","Segundo Conteo")</f>
        <v/>
      </c>
    </row>
    <row r="2254" spans="1:9" s="7" customFormat="1" ht="15" x14ac:dyDescent="0.2">
      <c r="A2254" s="7" t="str">
        <f>IF(Plantilla_SCAN_EQ3_COUNT_2[[#This Row],[ID MATERIAL]]="","",SIGN(Plantilla_SCAN_EQ3_COUNT_2[[#This Row],[Cantidad]])+A2253)</f>
        <v/>
      </c>
      <c r="B2254" s="21" t="str">
        <f>IF(Plantilla_SCAN_EQ3_COUNT_2[[#This Row],[ID MATERIAL]]="","",B2253)</f>
        <v/>
      </c>
      <c r="C2254" s="21"/>
      <c r="D2254" s="21"/>
      <c r="E2254" s="7" t="str">
        <f>IF(Plantilla_SCAN_EQ3_COUNT_2[[#This Row],[ID MATERIAL]]="","",VLOOKUP(Plantilla_SCAN_EQ3_COUNT_2[[#This Row],[ID MATERIAL]],INVENTARIO!$A:$D,2,FALSE))</f>
        <v/>
      </c>
      <c r="F2254" s="7" t="str">
        <f>IF(Plantilla_SCAN_EQ3_COUNT_2[[#This Row],[ID MATERIAL]]="","",IF(Plantilla_SCAN_EQ3_COUNT_2[[#This Row],[No. Empaques]]="",1,Plantilla_SCAN_EQ3_COUNT_2[[#This Row],[No. Empaques]]*1))</f>
        <v/>
      </c>
      <c r="G2254" s="7" t="str">
        <f>IF(Plantilla_SCAN_EQ3_COUNT_2[[#This Row],[ID MATERIAL]]="","","PZ")</f>
        <v/>
      </c>
      <c r="H2254" s="7" t="str">
        <f>IF(Plantilla_SCAN_EQ3_COUNT_2[[#This Row],[ID MATERIAL]]="","",$B$13)</f>
        <v/>
      </c>
      <c r="I2254" s="7" t="str">
        <f>IF(Plantilla_SCAN_EQ3_COUNT_2[[#This Row],[ID MATERIAL]]="","","Segundo Conteo")</f>
        <v/>
      </c>
    </row>
    <row r="2255" spans="1:9" s="7" customFormat="1" ht="15" x14ac:dyDescent="0.2">
      <c r="A2255" s="7" t="str">
        <f>IF(Plantilla_SCAN_EQ3_COUNT_2[[#This Row],[ID MATERIAL]]="","",SIGN(Plantilla_SCAN_EQ3_COUNT_2[[#This Row],[Cantidad]])+A2254)</f>
        <v/>
      </c>
      <c r="B2255" s="21" t="str">
        <f>IF(Plantilla_SCAN_EQ3_COUNT_2[[#This Row],[ID MATERIAL]]="","",B2254)</f>
        <v/>
      </c>
      <c r="C2255" s="21"/>
      <c r="D2255" s="21"/>
      <c r="E2255" s="7" t="str">
        <f>IF(Plantilla_SCAN_EQ3_COUNT_2[[#This Row],[ID MATERIAL]]="","",VLOOKUP(Plantilla_SCAN_EQ3_COUNT_2[[#This Row],[ID MATERIAL]],INVENTARIO!$A:$D,2,FALSE))</f>
        <v/>
      </c>
      <c r="F2255" s="7" t="str">
        <f>IF(Plantilla_SCAN_EQ3_COUNT_2[[#This Row],[ID MATERIAL]]="","",IF(Plantilla_SCAN_EQ3_COUNT_2[[#This Row],[No. Empaques]]="",1,Plantilla_SCAN_EQ3_COUNT_2[[#This Row],[No. Empaques]]*1))</f>
        <v/>
      </c>
      <c r="G2255" s="7" t="str">
        <f>IF(Plantilla_SCAN_EQ3_COUNT_2[[#This Row],[ID MATERIAL]]="","","PZ")</f>
        <v/>
      </c>
      <c r="H2255" s="7" t="str">
        <f>IF(Plantilla_SCAN_EQ3_COUNT_2[[#This Row],[ID MATERIAL]]="","",$B$13)</f>
        <v/>
      </c>
      <c r="I2255" s="7" t="str">
        <f>IF(Plantilla_SCAN_EQ3_COUNT_2[[#This Row],[ID MATERIAL]]="","","Segundo Conteo")</f>
        <v/>
      </c>
    </row>
    <row r="2256" spans="1:9" s="7" customFormat="1" ht="15" x14ac:dyDescent="0.2">
      <c r="A2256" s="7" t="str">
        <f>IF(Plantilla_SCAN_EQ3_COUNT_2[[#This Row],[ID MATERIAL]]="","",SIGN(Plantilla_SCAN_EQ3_COUNT_2[[#This Row],[Cantidad]])+A2255)</f>
        <v/>
      </c>
      <c r="B2256" s="21" t="str">
        <f>IF(Plantilla_SCAN_EQ3_COUNT_2[[#This Row],[ID MATERIAL]]="","",B2255)</f>
        <v/>
      </c>
      <c r="C2256" s="21"/>
      <c r="D2256" s="21"/>
      <c r="E2256" s="7" t="str">
        <f>IF(Plantilla_SCAN_EQ3_COUNT_2[[#This Row],[ID MATERIAL]]="","",VLOOKUP(Plantilla_SCAN_EQ3_COUNT_2[[#This Row],[ID MATERIAL]],INVENTARIO!$A:$D,2,FALSE))</f>
        <v/>
      </c>
      <c r="F2256" s="7" t="str">
        <f>IF(Plantilla_SCAN_EQ3_COUNT_2[[#This Row],[ID MATERIAL]]="","",IF(Plantilla_SCAN_EQ3_COUNT_2[[#This Row],[No. Empaques]]="",1,Plantilla_SCAN_EQ3_COUNT_2[[#This Row],[No. Empaques]]*1))</f>
        <v/>
      </c>
      <c r="G2256" s="7" t="str">
        <f>IF(Plantilla_SCAN_EQ3_COUNT_2[[#This Row],[ID MATERIAL]]="","","PZ")</f>
        <v/>
      </c>
      <c r="H2256" s="7" t="str">
        <f>IF(Plantilla_SCAN_EQ3_COUNT_2[[#This Row],[ID MATERIAL]]="","",$B$13)</f>
        <v/>
      </c>
      <c r="I2256" s="7" t="str">
        <f>IF(Plantilla_SCAN_EQ3_COUNT_2[[#This Row],[ID MATERIAL]]="","","Segundo Conteo")</f>
        <v/>
      </c>
    </row>
    <row r="2257" spans="1:9" s="7" customFormat="1" ht="15" x14ac:dyDescent="0.2">
      <c r="A2257" s="7" t="str">
        <f>IF(Plantilla_SCAN_EQ3_COUNT_2[[#This Row],[ID MATERIAL]]="","",SIGN(Plantilla_SCAN_EQ3_COUNT_2[[#This Row],[Cantidad]])+A2256)</f>
        <v/>
      </c>
      <c r="B2257" s="21" t="str">
        <f>IF(Plantilla_SCAN_EQ3_COUNT_2[[#This Row],[ID MATERIAL]]="","",B2256)</f>
        <v/>
      </c>
      <c r="C2257" s="21"/>
      <c r="D2257" s="21"/>
      <c r="E2257" s="7" t="str">
        <f>IF(Plantilla_SCAN_EQ3_COUNT_2[[#This Row],[ID MATERIAL]]="","",VLOOKUP(Plantilla_SCAN_EQ3_COUNT_2[[#This Row],[ID MATERIAL]],INVENTARIO!$A:$D,2,FALSE))</f>
        <v/>
      </c>
      <c r="F2257" s="7" t="str">
        <f>IF(Plantilla_SCAN_EQ3_COUNT_2[[#This Row],[ID MATERIAL]]="","",IF(Plantilla_SCAN_EQ3_COUNT_2[[#This Row],[No. Empaques]]="",1,Plantilla_SCAN_EQ3_COUNT_2[[#This Row],[No. Empaques]]*1))</f>
        <v/>
      </c>
      <c r="G2257" s="7" t="str">
        <f>IF(Plantilla_SCAN_EQ3_COUNT_2[[#This Row],[ID MATERIAL]]="","","PZ")</f>
        <v/>
      </c>
      <c r="H2257" s="7" t="str">
        <f>IF(Plantilla_SCAN_EQ3_COUNT_2[[#This Row],[ID MATERIAL]]="","",$B$13)</f>
        <v/>
      </c>
      <c r="I2257" s="7" t="str">
        <f>IF(Plantilla_SCAN_EQ3_COUNT_2[[#This Row],[ID MATERIAL]]="","","Segundo Conteo")</f>
        <v/>
      </c>
    </row>
    <row r="2258" spans="1:9" s="7" customFormat="1" ht="15" x14ac:dyDescent="0.2">
      <c r="A2258" s="7" t="str">
        <f>IF(Plantilla_SCAN_EQ3_COUNT_2[[#This Row],[ID MATERIAL]]="","",SIGN(Plantilla_SCAN_EQ3_COUNT_2[[#This Row],[Cantidad]])+A2257)</f>
        <v/>
      </c>
      <c r="B2258" s="21" t="str">
        <f>IF(Plantilla_SCAN_EQ3_COUNT_2[[#This Row],[ID MATERIAL]]="","",B2257)</f>
        <v/>
      </c>
      <c r="C2258" s="21"/>
      <c r="D2258" s="21"/>
      <c r="E2258" s="7" t="str">
        <f>IF(Plantilla_SCAN_EQ3_COUNT_2[[#This Row],[ID MATERIAL]]="","",VLOOKUP(Plantilla_SCAN_EQ3_COUNT_2[[#This Row],[ID MATERIAL]],INVENTARIO!$A:$D,2,FALSE))</f>
        <v/>
      </c>
      <c r="F2258" s="7" t="str">
        <f>IF(Plantilla_SCAN_EQ3_COUNT_2[[#This Row],[ID MATERIAL]]="","",IF(Plantilla_SCAN_EQ3_COUNT_2[[#This Row],[No. Empaques]]="",1,Plantilla_SCAN_EQ3_COUNT_2[[#This Row],[No. Empaques]]*1))</f>
        <v/>
      </c>
      <c r="G2258" s="7" t="str">
        <f>IF(Plantilla_SCAN_EQ3_COUNT_2[[#This Row],[ID MATERIAL]]="","","PZ")</f>
        <v/>
      </c>
      <c r="H2258" s="7" t="str">
        <f>IF(Plantilla_SCAN_EQ3_COUNT_2[[#This Row],[ID MATERIAL]]="","",$B$13)</f>
        <v/>
      </c>
      <c r="I2258" s="7" t="str">
        <f>IF(Plantilla_SCAN_EQ3_COUNT_2[[#This Row],[ID MATERIAL]]="","","Segundo Conteo")</f>
        <v/>
      </c>
    </row>
    <row r="2259" spans="1:9" s="7" customFormat="1" ht="15" x14ac:dyDescent="0.2">
      <c r="A2259" s="7" t="str">
        <f>IF(Plantilla_SCAN_EQ3_COUNT_2[[#This Row],[ID MATERIAL]]="","",SIGN(Plantilla_SCAN_EQ3_COUNT_2[[#This Row],[Cantidad]])+A2258)</f>
        <v/>
      </c>
      <c r="B2259" s="21" t="str">
        <f>IF(Plantilla_SCAN_EQ3_COUNT_2[[#This Row],[ID MATERIAL]]="","",B2258)</f>
        <v/>
      </c>
      <c r="C2259" s="21"/>
      <c r="D2259" s="21"/>
      <c r="E2259" s="7" t="str">
        <f>IF(Plantilla_SCAN_EQ3_COUNT_2[[#This Row],[ID MATERIAL]]="","",VLOOKUP(Plantilla_SCAN_EQ3_COUNT_2[[#This Row],[ID MATERIAL]],INVENTARIO!$A:$D,2,FALSE))</f>
        <v/>
      </c>
      <c r="F2259" s="7" t="str">
        <f>IF(Plantilla_SCAN_EQ3_COUNT_2[[#This Row],[ID MATERIAL]]="","",IF(Plantilla_SCAN_EQ3_COUNT_2[[#This Row],[No. Empaques]]="",1,Plantilla_SCAN_EQ3_COUNT_2[[#This Row],[No. Empaques]]*1))</f>
        <v/>
      </c>
      <c r="G2259" s="7" t="str">
        <f>IF(Plantilla_SCAN_EQ3_COUNT_2[[#This Row],[ID MATERIAL]]="","","PZ")</f>
        <v/>
      </c>
      <c r="H2259" s="7" t="str">
        <f>IF(Plantilla_SCAN_EQ3_COUNT_2[[#This Row],[ID MATERIAL]]="","",$B$13)</f>
        <v/>
      </c>
      <c r="I2259" s="7" t="str">
        <f>IF(Plantilla_SCAN_EQ3_COUNT_2[[#This Row],[ID MATERIAL]]="","","Segundo Conteo")</f>
        <v/>
      </c>
    </row>
    <row r="2260" spans="1:9" s="7" customFormat="1" ht="15" x14ac:dyDescent="0.2">
      <c r="A2260" s="7" t="str">
        <f>IF(Plantilla_SCAN_EQ3_COUNT_2[[#This Row],[ID MATERIAL]]="","",SIGN(Plantilla_SCAN_EQ3_COUNT_2[[#This Row],[Cantidad]])+A2259)</f>
        <v/>
      </c>
      <c r="B2260" s="21" t="str">
        <f>IF(Plantilla_SCAN_EQ3_COUNT_2[[#This Row],[ID MATERIAL]]="","",B2259)</f>
        <v/>
      </c>
      <c r="C2260" s="21"/>
      <c r="D2260" s="21"/>
      <c r="E2260" s="7" t="str">
        <f>IF(Plantilla_SCAN_EQ3_COUNT_2[[#This Row],[ID MATERIAL]]="","",VLOOKUP(Plantilla_SCAN_EQ3_COUNT_2[[#This Row],[ID MATERIAL]],INVENTARIO!$A:$D,2,FALSE))</f>
        <v/>
      </c>
      <c r="F2260" s="7" t="str">
        <f>IF(Plantilla_SCAN_EQ3_COUNT_2[[#This Row],[ID MATERIAL]]="","",IF(Plantilla_SCAN_EQ3_COUNT_2[[#This Row],[No. Empaques]]="",1,Plantilla_SCAN_EQ3_COUNT_2[[#This Row],[No. Empaques]]*1))</f>
        <v/>
      </c>
      <c r="G2260" s="7" t="str">
        <f>IF(Plantilla_SCAN_EQ3_COUNT_2[[#This Row],[ID MATERIAL]]="","","PZ")</f>
        <v/>
      </c>
      <c r="H2260" s="7" t="str">
        <f>IF(Plantilla_SCAN_EQ3_COUNT_2[[#This Row],[ID MATERIAL]]="","",$B$13)</f>
        <v/>
      </c>
      <c r="I2260" s="7" t="str">
        <f>IF(Plantilla_SCAN_EQ3_COUNT_2[[#This Row],[ID MATERIAL]]="","","Segundo Conteo")</f>
        <v/>
      </c>
    </row>
    <row r="2261" spans="1:9" s="7" customFormat="1" ht="15" x14ac:dyDescent="0.2">
      <c r="A2261" s="7" t="str">
        <f>IF(Plantilla_SCAN_EQ3_COUNT_2[[#This Row],[ID MATERIAL]]="","",SIGN(Plantilla_SCAN_EQ3_COUNT_2[[#This Row],[Cantidad]])+A2260)</f>
        <v/>
      </c>
      <c r="B2261" s="21" t="str">
        <f>IF(Plantilla_SCAN_EQ3_COUNT_2[[#This Row],[ID MATERIAL]]="","",B2260)</f>
        <v/>
      </c>
      <c r="C2261" s="21"/>
      <c r="D2261" s="21"/>
      <c r="E2261" s="7" t="str">
        <f>IF(Plantilla_SCAN_EQ3_COUNT_2[[#This Row],[ID MATERIAL]]="","",VLOOKUP(Plantilla_SCAN_EQ3_COUNT_2[[#This Row],[ID MATERIAL]],INVENTARIO!$A:$D,2,FALSE))</f>
        <v/>
      </c>
      <c r="F2261" s="7" t="str">
        <f>IF(Plantilla_SCAN_EQ3_COUNT_2[[#This Row],[ID MATERIAL]]="","",IF(Plantilla_SCAN_EQ3_COUNT_2[[#This Row],[No. Empaques]]="",1,Plantilla_SCAN_EQ3_COUNT_2[[#This Row],[No. Empaques]]*1))</f>
        <v/>
      </c>
      <c r="G2261" s="7" t="str">
        <f>IF(Plantilla_SCAN_EQ3_COUNT_2[[#This Row],[ID MATERIAL]]="","","PZ")</f>
        <v/>
      </c>
      <c r="H2261" s="7" t="str">
        <f>IF(Plantilla_SCAN_EQ3_COUNT_2[[#This Row],[ID MATERIAL]]="","",$B$13)</f>
        <v/>
      </c>
      <c r="I2261" s="7" t="str">
        <f>IF(Plantilla_SCAN_EQ3_COUNT_2[[#This Row],[ID MATERIAL]]="","","Segundo Conteo")</f>
        <v/>
      </c>
    </row>
    <row r="2262" spans="1:9" s="7" customFormat="1" ht="15" x14ac:dyDescent="0.2">
      <c r="A2262" s="7" t="str">
        <f>IF(Plantilla_SCAN_EQ3_COUNT_2[[#This Row],[ID MATERIAL]]="","",SIGN(Plantilla_SCAN_EQ3_COUNT_2[[#This Row],[Cantidad]])+A2261)</f>
        <v/>
      </c>
      <c r="B2262" s="21" t="str">
        <f>IF(Plantilla_SCAN_EQ3_COUNT_2[[#This Row],[ID MATERIAL]]="","",B2261)</f>
        <v/>
      </c>
      <c r="C2262" s="21"/>
      <c r="D2262" s="21"/>
      <c r="E2262" s="7" t="str">
        <f>IF(Plantilla_SCAN_EQ3_COUNT_2[[#This Row],[ID MATERIAL]]="","",VLOOKUP(Plantilla_SCAN_EQ3_COUNT_2[[#This Row],[ID MATERIAL]],INVENTARIO!$A:$D,2,FALSE))</f>
        <v/>
      </c>
      <c r="F2262" s="7" t="str">
        <f>IF(Plantilla_SCAN_EQ3_COUNT_2[[#This Row],[ID MATERIAL]]="","",IF(Plantilla_SCAN_EQ3_COUNT_2[[#This Row],[No. Empaques]]="",1,Plantilla_SCAN_EQ3_COUNT_2[[#This Row],[No. Empaques]]*1))</f>
        <v/>
      </c>
      <c r="G2262" s="7" t="str">
        <f>IF(Plantilla_SCAN_EQ3_COUNT_2[[#This Row],[ID MATERIAL]]="","","PZ")</f>
        <v/>
      </c>
      <c r="H2262" s="7" t="str">
        <f>IF(Plantilla_SCAN_EQ3_COUNT_2[[#This Row],[ID MATERIAL]]="","",$B$13)</f>
        <v/>
      </c>
      <c r="I2262" s="7" t="str">
        <f>IF(Plantilla_SCAN_EQ3_COUNT_2[[#This Row],[ID MATERIAL]]="","","Segundo Conteo")</f>
        <v/>
      </c>
    </row>
    <row r="2263" spans="1:9" s="7" customFormat="1" ht="15" x14ac:dyDescent="0.2">
      <c r="A2263" s="7" t="str">
        <f>IF(Plantilla_SCAN_EQ3_COUNT_2[[#This Row],[ID MATERIAL]]="","",SIGN(Plantilla_SCAN_EQ3_COUNT_2[[#This Row],[Cantidad]])+A2262)</f>
        <v/>
      </c>
      <c r="B2263" s="21" t="str">
        <f>IF(Plantilla_SCAN_EQ3_COUNT_2[[#This Row],[ID MATERIAL]]="","",B2262)</f>
        <v/>
      </c>
      <c r="C2263" s="21"/>
      <c r="D2263" s="21"/>
      <c r="E2263" s="7" t="str">
        <f>IF(Plantilla_SCAN_EQ3_COUNT_2[[#This Row],[ID MATERIAL]]="","",VLOOKUP(Plantilla_SCAN_EQ3_COUNT_2[[#This Row],[ID MATERIAL]],INVENTARIO!$A:$D,2,FALSE))</f>
        <v/>
      </c>
      <c r="F2263" s="7" t="str">
        <f>IF(Plantilla_SCAN_EQ3_COUNT_2[[#This Row],[ID MATERIAL]]="","",IF(Plantilla_SCAN_EQ3_COUNT_2[[#This Row],[No. Empaques]]="",1,Plantilla_SCAN_EQ3_COUNT_2[[#This Row],[No. Empaques]]*1))</f>
        <v/>
      </c>
      <c r="G2263" s="7" t="str">
        <f>IF(Plantilla_SCAN_EQ3_COUNT_2[[#This Row],[ID MATERIAL]]="","","PZ")</f>
        <v/>
      </c>
      <c r="H2263" s="7" t="str">
        <f>IF(Plantilla_SCAN_EQ3_COUNT_2[[#This Row],[ID MATERIAL]]="","",$B$13)</f>
        <v/>
      </c>
      <c r="I2263" s="7" t="str">
        <f>IF(Plantilla_SCAN_EQ3_COUNT_2[[#This Row],[ID MATERIAL]]="","","Segundo Conteo")</f>
        <v/>
      </c>
    </row>
    <row r="2264" spans="1:9" s="7" customFormat="1" ht="15" x14ac:dyDescent="0.2">
      <c r="A2264" s="7" t="str">
        <f>IF(Plantilla_SCAN_EQ3_COUNT_2[[#This Row],[ID MATERIAL]]="","",SIGN(Plantilla_SCAN_EQ3_COUNT_2[[#This Row],[Cantidad]])+A2263)</f>
        <v/>
      </c>
      <c r="B2264" s="21" t="str">
        <f>IF(Plantilla_SCAN_EQ3_COUNT_2[[#This Row],[ID MATERIAL]]="","",B2263)</f>
        <v/>
      </c>
      <c r="C2264" s="21"/>
      <c r="D2264" s="21"/>
      <c r="E2264" s="7" t="str">
        <f>IF(Plantilla_SCAN_EQ3_COUNT_2[[#This Row],[ID MATERIAL]]="","",VLOOKUP(Plantilla_SCAN_EQ3_COUNT_2[[#This Row],[ID MATERIAL]],INVENTARIO!$A:$D,2,FALSE))</f>
        <v/>
      </c>
      <c r="F2264" s="7" t="str">
        <f>IF(Plantilla_SCAN_EQ3_COUNT_2[[#This Row],[ID MATERIAL]]="","",IF(Plantilla_SCAN_EQ3_COUNT_2[[#This Row],[No. Empaques]]="",1,Plantilla_SCAN_EQ3_COUNT_2[[#This Row],[No. Empaques]]*1))</f>
        <v/>
      </c>
      <c r="G2264" s="7" t="str">
        <f>IF(Plantilla_SCAN_EQ3_COUNT_2[[#This Row],[ID MATERIAL]]="","","PZ")</f>
        <v/>
      </c>
      <c r="H2264" s="7" t="str">
        <f>IF(Plantilla_SCAN_EQ3_COUNT_2[[#This Row],[ID MATERIAL]]="","",$B$13)</f>
        <v/>
      </c>
      <c r="I2264" s="7" t="str">
        <f>IF(Plantilla_SCAN_EQ3_COUNT_2[[#This Row],[ID MATERIAL]]="","","Segundo Conteo")</f>
        <v/>
      </c>
    </row>
    <row r="2265" spans="1:9" s="7" customFormat="1" ht="15" x14ac:dyDescent="0.2">
      <c r="A2265" s="7" t="str">
        <f>IF(Plantilla_SCAN_EQ3_COUNT_2[[#This Row],[ID MATERIAL]]="","",SIGN(Plantilla_SCAN_EQ3_COUNT_2[[#This Row],[Cantidad]])+A2264)</f>
        <v/>
      </c>
      <c r="B2265" s="21" t="str">
        <f>IF(Plantilla_SCAN_EQ3_COUNT_2[[#This Row],[ID MATERIAL]]="","",B2264)</f>
        <v/>
      </c>
      <c r="C2265" s="21"/>
      <c r="D2265" s="21"/>
      <c r="E2265" s="7" t="str">
        <f>IF(Plantilla_SCAN_EQ3_COUNT_2[[#This Row],[ID MATERIAL]]="","",VLOOKUP(Plantilla_SCAN_EQ3_COUNT_2[[#This Row],[ID MATERIAL]],INVENTARIO!$A:$D,2,FALSE))</f>
        <v/>
      </c>
      <c r="F2265" s="7" t="str">
        <f>IF(Plantilla_SCAN_EQ3_COUNT_2[[#This Row],[ID MATERIAL]]="","",IF(Plantilla_SCAN_EQ3_COUNT_2[[#This Row],[No. Empaques]]="",1,Plantilla_SCAN_EQ3_COUNT_2[[#This Row],[No. Empaques]]*1))</f>
        <v/>
      </c>
      <c r="G2265" s="7" t="str">
        <f>IF(Plantilla_SCAN_EQ3_COUNT_2[[#This Row],[ID MATERIAL]]="","","PZ")</f>
        <v/>
      </c>
      <c r="H2265" s="7" t="str">
        <f>IF(Plantilla_SCAN_EQ3_COUNT_2[[#This Row],[ID MATERIAL]]="","",$B$13)</f>
        <v/>
      </c>
      <c r="I2265" s="7" t="str">
        <f>IF(Plantilla_SCAN_EQ3_COUNT_2[[#This Row],[ID MATERIAL]]="","","Segundo Conteo")</f>
        <v/>
      </c>
    </row>
    <row r="2266" spans="1:9" s="7" customFormat="1" ht="15" x14ac:dyDescent="0.2">
      <c r="A2266" s="7" t="str">
        <f>IF(Plantilla_SCAN_EQ3_COUNT_2[[#This Row],[ID MATERIAL]]="","",SIGN(Plantilla_SCAN_EQ3_COUNT_2[[#This Row],[Cantidad]])+A2265)</f>
        <v/>
      </c>
      <c r="B2266" s="21" t="str">
        <f>IF(Plantilla_SCAN_EQ3_COUNT_2[[#This Row],[ID MATERIAL]]="","",B2265)</f>
        <v/>
      </c>
      <c r="C2266" s="21"/>
      <c r="D2266" s="21"/>
      <c r="E2266" s="7" t="str">
        <f>IF(Plantilla_SCAN_EQ3_COUNT_2[[#This Row],[ID MATERIAL]]="","",VLOOKUP(Plantilla_SCAN_EQ3_COUNT_2[[#This Row],[ID MATERIAL]],INVENTARIO!$A:$D,2,FALSE))</f>
        <v/>
      </c>
      <c r="F2266" s="7" t="str">
        <f>IF(Plantilla_SCAN_EQ3_COUNT_2[[#This Row],[ID MATERIAL]]="","",IF(Plantilla_SCAN_EQ3_COUNT_2[[#This Row],[No. Empaques]]="",1,Plantilla_SCAN_EQ3_COUNT_2[[#This Row],[No. Empaques]]*1))</f>
        <v/>
      </c>
      <c r="G2266" s="7" t="str">
        <f>IF(Plantilla_SCAN_EQ3_COUNT_2[[#This Row],[ID MATERIAL]]="","","PZ")</f>
        <v/>
      </c>
      <c r="H2266" s="7" t="str">
        <f>IF(Plantilla_SCAN_EQ3_COUNT_2[[#This Row],[ID MATERIAL]]="","",$B$13)</f>
        <v/>
      </c>
      <c r="I2266" s="7" t="str">
        <f>IF(Plantilla_SCAN_EQ3_COUNT_2[[#This Row],[ID MATERIAL]]="","","Segundo Conteo")</f>
        <v/>
      </c>
    </row>
    <row r="2267" spans="1:9" s="7" customFormat="1" ht="15" x14ac:dyDescent="0.2">
      <c r="A2267" s="7" t="str">
        <f>IF(Plantilla_SCAN_EQ3_COUNT_2[[#This Row],[ID MATERIAL]]="","",SIGN(Plantilla_SCAN_EQ3_COUNT_2[[#This Row],[Cantidad]])+A2266)</f>
        <v/>
      </c>
      <c r="B2267" s="21" t="str">
        <f>IF(Plantilla_SCAN_EQ3_COUNT_2[[#This Row],[ID MATERIAL]]="","",B2266)</f>
        <v/>
      </c>
      <c r="C2267" s="21"/>
      <c r="D2267" s="21"/>
      <c r="E2267" s="7" t="str">
        <f>IF(Plantilla_SCAN_EQ3_COUNT_2[[#This Row],[ID MATERIAL]]="","",VLOOKUP(Plantilla_SCAN_EQ3_COUNT_2[[#This Row],[ID MATERIAL]],INVENTARIO!$A:$D,2,FALSE))</f>
        <v/>
      </c>
      <c r="F2267" s="7" t="str">
        <f>IF(Plantilla_SCAN_EQ3_COUNT_2[[#This Row],[ID MATERIAL]]="","",IF(Plantilla_SCAN_EQ3_COUNT_2[[#This Row],[No. Empaques]]="",1,Plantilla_SCAN_EQ3_COUNT_2[[#This Row],[No. Empaques]]*1))</f>
        <v/>
      </c>
      <c r="G2267" s="7" t="str">
        <f>IF(Plantilla_SCAN_EQ3_COUNT_2[[#This Row],[ID MATERIAL]]="","","PZ")</f>
        <v/>
      </c>
      <c r="H2267" s="7" t="str">
        <f>IF(Plantilla_SCAN_EQ3_COUNT_2[[#This Row],[ID MATERIAL]]="","",$B$13)</f>
        <v/>
      </c>
      <c r="I2267" s="7" t="str">
        <f>IF(Plantilla_SCAN_EQ3_COUNT_2[[#This Row],[ID MATERIAL]]="","","Segundo Conteo")</f>
        <v/>
      </c>
    </row>
    <row r="2268" spans="1:9" s="7" customFormat="1" ht="15" x14ac:dyDescent="0.2">
      <c r="A2268" s="7" t="str">
        <f>IF(Plantilla_SCAN_EQ3_COUNT_2[[#This Row],[ID MATERIAL]]="","",SIGN(Plantilla_SCAN_EQ3_COUNT_2[[#This Row],[Cantidad]])+A2267)</f>
        <v/>
      </c>
      <c r="B2268" s="21" t="str">
        <f>IF(Plantilla_SCAN_EQ3_COUNT_2[[#This Row],[ID MATERIAL]]="","",B2267)</f>
        <v/>
      </c>
      <c r="C2268" s="21"/>
      <c r="D2268" s="21"/>
      <c r="E2268" s="7" t="str">
        <f>IF(Plantilla_SCAN_EQ3_COUNT_2[[#This Row],[ID MATERIAL]]="","",VLOOKUP(Plantilla_SCAN_EQ3_COUNT_2[[#This Row],[ID MATERIAL]],INVENTARIO!$A:$D,2,FALSE))</f>
        <v/>
      </c>
      <c r="F2268" s="7" t="str">
        <f>IF(Plantilla_SCAN_EQ3_COUNT_2[[#This Row],[ID MATERIAL]]="","",IF(Plantilla_SCAN_EQ3_COUNT_2[[#This Row],[No. Empaques]]="",1,Plantilla_SCAN_EQ3_COUNT_2[[#This Row],[No. Empaques]]*1))</f>
        <v/>
      </c>
      <c r="G2268" s="7" t="str">
        <f>IF(Plantilla_SCAN_EQ3_COUNT_2[[#This Row],[ID MATERIAL]]="","","PZ")</f>
        <v/>
      </c>
      <c r="H2268" s="7" t="str">
        <f>IF(Plantilla_SCAN_EQ3_COUNT_2[[#This Row],[ID MATERIAL]]="","",$B$13)</f>
        <v/>
      </c>
      <c r="I2268" s="7" t="str">
        <f>IF(Plantilla_SCAN_EQ3_COUNT_2[[#This Row],[ID MATERIAL]]="","","Segundo Conteo")</f>
        <v/>
      </c>
    </row>
    <row r="2269" spans="1:9" s="7" customFormat="1" ht="15" x14ac:dyDescent="0.2">
      <c r="A2269" s="7" t="str">
        <f>IF(Plantilla_SCAN_EQ3_COUNT_2[[#This Row],[ID MATERIAL]]="","",SIGN(Plantilla_SCAN_EQ3_COUNT_2[[#This Row],[Cantidad]])+A2268)</f>
        <v/>
      </c>
      <c r="B2269" s="21" t="str">
        <f>IF(Plantilla_SCAN_EQ3_COUNT_2[[#This Row],[ID MATERIAL]]="","",B2268)</f>
        <v/>
      </c>
      <c r="C2269" s="21"/>
      <c r="D2269" s="21"/>
      <c r="E2269" s="7" t="str">
        <f>IF(Plantilla_SCAN_EQ3_COUNT_2[[#This Row],[ID MATERIAL]]="","",VLOOKUP(Plantilla_SCAN_EQ3_COUNT_2[[#This Row],[ID MATERIAL]],INVENTARIO!$A:$D,2,FALSE))</f>
        <v/>
      </c>
      <c r="F2269" s="7" t="str">
        <f>IF(Plantilla_SCAN_EQ3_COUNT_2[[#This Row],[ID MATERIAL]]="","",IF(Plantilla_SCAN_EQ3_COUNT_2[[#This Row],[No. Empaques]]="",1,Plantilla_SCAN_EQ3_COUNT_2[[#This Row],[No. Empaques]]*1))</f>
        <v/>
      </c>
      <c r="G2269" s="7" t="str">
        <f>IF(Plantilla_SCAN_EQ3_COUNT_2[[#This Row],[ID MATERIAL]]="","","PZ")</f>
        <v/>
      </c>
      <c r="H2269" s="7" t="str">
        <f>IF(Plantilla_SCAN_EQ3_COUNT_2[[#This Row],[ID MATERIAL]]="","",$B$13)</f>
        <v/>
      </c>
      <c r="I2269" s="7" t="str">
        <f>IF(Plantilla_SCAN_EQ3_COUNT_2[[#This Row],[ID MATERIAL]]="","","Segundo Conteo")</f>
        <v/>
      </c>
    </row>
    <row r="2270" spans="1:9" s="7" customFormat="1" ht="15" x14ac:dyDescent="0.2">
      <c r="A2270" s="7" t="str">
        <f>IF(Plantilla_SCAN_EQ3_COUNT_2[[#This Row],[ID MATERIAL]]="","",SIGN(Plantilla_SCAN_EQ3_COUNT_2[[#This Row],[Cantidad]])+A2269)</f>
        <v/>
      </c>
      <c r="B2270" s="21" t="str">
        <f>IF(Plantilla_SCAN_EQ3_COUNT_2[[#This Row],[ID MATERIAL]]="","",B2269)</f>
        <v/>
      </c>
      <c r="C2270" s="21"/>
      <c r="D2270" s="21"/>
      <c r="E2270" s="7" t="str">
        <f>IF(Plantilla_SCAN_EQ3_COUNT_2[[#This Row],[ID MATERIAL]]="","",VLOOKUP(Plantilla_SCAN_EQ3_COUNT_2[[#This Row],[ID MATERIAL]],INVENTARIO!$A:$D,2,FALSE))</f>
        <v/>
      </c>
      <c r="F2270" s="7" t="str">
        <f>IF(Plantilla_SCAN_EQ3_COUNT_2[[#This Row],[ID MATERIAL]]="","",IF(Plantilla_SCAN_EQ3_COUNT_2[[#This Row],[No. Empaques]]="",1,Plantilla_SCAN_EQ3_COUNT_2[[#This Row],[No. Empaques]]*1))</f>
        <v/>
      </c>
      <c r="G2270" s="7" t="str">
        <f>IF(Plantilla_SCAN_EQ3_COUNT_2[[#This Row],[ID MATERIAL]]="","","PZ")</f>
        <v/>
      </c>
      <c r="H2270" s="7" t="str">
        <f>IF(Plantilla_SCAN_EQ3_COUNT_2[[#This Row],[ID MATERIAL]]="","",$B$13)</f>
        <v/>
      </c>
      <c r="I2270" s="7" t="str">
        <f>IF(Plantilla_SCAN_EQ3_COUNT_2[[#This Row],[ID MATERIAL]]="","","Segundo Conteo")</f>
        <v/>
      </c>
    </row>
    <row r="2271" spans="1:9" s="7" customFormat="1" ht="15" x14ac:dyDescent="0.2">
      <c r="A2271" s="7" t="str">
        <f>IF(Plantilla_SCAN_EQ3_COUNT_2[[#This Row],[ID MATERIAL]]="","",SIGN(Plantilla_SCAN_EQ3_COUNT_2[[#This Row],[Cantidad]])+A2270)</f>
        <v/>
      </c>
      <c r="B2271" s="21" t="str">
        <f>IF(Plantilla_SCAN_EQ3_COUNT_2[[#This Row],[ID MATERIAL]]="","",B2270)</f>
        <v/>
      </c>
      <c r="C2271" s="21"/>
      <c r="D2271" s="21"/>
      <c r="E2271" s="7" t="str">
        <f>IF(Plantilla_SCAN_EQ3_COUNT_2[[#This Row],[ID MATERIAL]]="","",VLOOKUP(Plantilla_SCAN_EQ3_COUNT_2[[#This Row],[ID MATERIAL]],INVENTARIO!$A:$D,2,FALSE))</f>
        <v/>
      </c>
      <c r="F2271" s="7" t="str">
        <f>IF(Plantilla_SCAN_EQ3_COUNT_2[[#This Row],[ID MATERIAL]]="","",IF(Plantilla_SCAN_EQ3_COUNT_2[[#This Row],[No. Empaques]]="",1,Plantilla_SCAN_EQ3_COUNT_2[[#This Row],[No. Empaques]]*1))</f>
        <v/>
      </c>
      <c r="G2271" s="7" t="str">
        <f>IF(Plantilla_SCAN_EQ3_COUNT_2[[#This Row],[ID MATERIAL]]="","","PZ")</f>
        <v/>
      </c>
      <c r="H2271" s="7" t="str">
        <f>IF(Plantilla_SCAN_EQ3_COUNT_2[[#This Row],[ID MATERIAL]]="","",$B$13)</f>
        <v/>
      </c>
      <c r="I2271" s="7" t="str">
        <f>IF(Plantilla_SCAN_EQ3_COUNT_2[[#This Row],[ID MATERIAL]]="","","Segundo Conteo")</f>
        <v/>
      </c>
    </row>
    <row r="2272" spans="1:9" s="7" customFormat="1" ht="15" x14ac:dyDescent="0.2">
      <c r="A2272" s="7" t="str">
        <f>IF(Plantilla_SCAN_EQ3_COUNT_2[[#This Row],[ID MATERIAL]]="","",SIGN(Plantilla_SCAN_EQ3_COUNT_2[[#This Row],[Cantidad]])+A2271)</f>
        <v/>
      </c>
      <c r="B2272" s="21" t="str">
        <f>IF(Plantilla_SCAN_EQ3_COUNT_2[[#This Row],[ID MATERIAL]]="","",B2271)</f>
        <v/>
      </c>
      <c r="C2272" s="21"/>
      <c r="D2272" s="21"/>
      <c r="E2272" s="7" t="str">
        <f>IF(Plantilla_SCAN_EQ3_COUNT_2[[#This Row],[ID MATERIAL]]="","",VLOOKUP(Plantilla_SCAN_EQ3_COUNT_2[[#This Row],[ID MATERIAL]],INVENTARIO!$A:$D,2,FALSE))</f>
        <v/>
      </c>
      <c r="F2272" s="7" t="str">
        <f>IF(Plantilla_SCAN_EQ3_COUNT_2[[#This Row],[ID MATERIAL]]="","",IF(Plantilla_SCAN_EQ3_COUNT_2[[#This Row],[No. Empaques]]="",1,Plantilla_SCAN_EQ3_COUNT_2[[#This Row],[No. Empaques]]*1))</f>
        <v/>
      </c>
      <c r="G2272" s="7" t="str">
        <f>IF(Plantilla_SCAN_EQ3_COUNT_2[[#This Row],[ID MATERIAL]]="","","PZ")</f>
        <v/>
      </c>
      <c r="H2272" s="7" t="str">
        <f>IF(Plantilla_SCAN_EQ3_COUNT_2[[#This Row],[ID MATERIAL]]="","",$B$13)</f>
        <v/>
      </c>
      <c r="I2272" s="7" t="str">
        <f>IF(Plantilla_SCAN_EQ3_COUNT_2[[#This Row],[ID MATERIAL]]="","","Segundo Conteo")</f>
        <v/>
      </c>
    </row>
    <row r="2273" spans="1:9" s="7" customFormat="1" ht="15" x14ac:dyDescent="0.2">
      <c r="A2273" s="7" t="str">
        <f>IF(Plantilla_SCAN_EQ3_COUNT_2[[#This Row],[ID MATERIAL]]="","",SIGN(Plantilla_SCAN_EQ3_COUNT_2[[#This Row],[Cantidad]])+A2272)</f>
        <v/>
      </c>
      <c r="B2273" s="21" t="str">
        <f>IF(Plantilla_SCAN_EQ3_COUNT_2[[#This Row],[ID MATERIAL]]="","",B2272)</f>
        <v/>
      </c>
      <c r="C2273" s="21"/>
      <c r="D2273" s="21"/>
      <c r="E2273" s="7" t="str">
        <f>IF(Plantilla_SCAN_EQ3_COUNT_2[[#This Row],[ID MATERIAL]]="","",VLOOKUP(Plantilla_SCAN_EQ3_COUNT_2[[#This Row],[ID MATERIAL]],INVENTARIO!$A:$D,2,FALSE))</f>
        <v/>
      </c>
      <c r="F2273" s="7" t="str">
        <f>IF(Plantilla_SCAN_EQ3_COUNT_2[[#This Row],[ID MATERIAL]]="","",IF(Plantilla_SCAN_EQ3_COUNT_2[[#This Row],[No. Empaques]]="",1,Plantilla_SCAN_EQ3_COUNT_2[[#This Row],[No. Empaques]]*1))</f>
        <v/>
      </c>
      <c r="G2273" s="7" t="str">
        <f>IF(Plantilla_SCAN_EQ3_COUNT_2[[#This Row],[ID MATERIAL]]="","","PZ")</f>
        <v/>
      </c>
      <c r="H2273" s="7" t="str">
        <f>IF(Plantilla_SCAN_EQ3_COUNT_2[[#This Row],[ID MATERIAL]]="","",$B$13)</f>
        <v/>
      </c>
      <c r="I2273" s="7" t="str">
        <f>IF(Plantilla_SCAN_EQ3_COUNT_2[[#This Row],[ID MATERIAL]]="","","Segundo Conteo")</f>
        <v/>
      </c>
    </row>
    <row r="2274" spans="1:9" s="7" customFormat="1" ht="15" x14ac:dyDescent="0.2">
      <c r="A2274" s="7" t="str">
        <f>IF(Plantilla_SCAN_EQ3_COUNT_2[[#This Row],[ID MATERIAL]]="","",SIGN(Plantilla_SCAN_EQ3_COUNT_2[[#This Row],[Cantidad]])+A2273)</f>
        <v/>
      </c>
      <c r="B2274" s="21" t="str">
        <f>IF(Plantilla_SCAN_EQ3_COUNT_2[[#This Row],[ID MATERIAL]]="","",B2273)</f>
        <v/>
      </c>
      <c r="C2274" s="21"/>
      <c r="D2274" s="21"/>
      <c r="E2274" s="7" t="str">
        <f>IF(Plantilla_SCAN_EQ3_COUNT_2[[#This Row],[ID MATERIAL]]="","",VLOOKUP(Plantilla_SCAN_EQ3_COUNT_2[[#This Row],[ID MATERIAL]],INVENTARIO!$A:$D,2,FALSE))</f>
        <v/>
      </c>
      <c r="F2274" s="7" t="str">
        <f>IF(Plantilla_SCAN_EQ3_COUNT_2[[#This Row],[ID MATERIAL]]="","",IF(Plantilla_SCAN_EQ3_COUNT_2[[#This Row],[No. Empaques]]="",1,Plantilla_SCAN_EQ3_COUNT_2[[#This Row],[No. Empaques]]*1))</f>
        <v/>
      </c>
      <c r="G2274" s="7" t="str">
        <f>IF(Plantilla_SCAN_EQ3_COUNT_2[[#This Row],[ID MATERIAL]]="","","PZ")</f>
        <v/>
      </c>
      <c r="H2274" s="7" t="str">
        <f>IF(Plantilla_SCAN_EQ3_COUNT_2[[#This Row],[ID MATERIAL]]="","",$B$13)</f>
        <v/>
      </c>
      <c r="I2274" s="7" t="str">
        <f>IF(Plantilla_SCAN_EQ3_COUNT_2[[#This Row],[ID MATERIAL]]="","","Segundo Conteo")</f>
        <v/>
      </c>
    </row>
    <row r="2275" spans="1:9" s="7" customFormat="1" ht="15" x14ac:dyDescent="0.2">
      <c r="A2275" s="7" t="str">
        <f>IF(Plantilla_SCAN_EQ3_COUNT_2[[#This Row],[ID MATERIAL]]="","",SIGN(Plantilla_SCAN_EQ3_COUNT_2[[#This Row],[Cantidad]])+A2274)</f>
        <v/>
      </c>
      <c r="B2275" s="21" t="str">
        <f>IF(Plantilla_SCAN_EQ3_COUNT_2[[#This Row],[ID MATERIAL]]="","",B2274)</f>
        <v/>
      </c>
      <c r="C2275" s="21"/>
      <c r="D2275" s="21"/>
      <c r="E2275" s="7" t="str">
        <f>IF(Plantilla_SCAN_EQ3_COUNT_2[[#This Row],[ID MATERIAL]]="","",VLOOKUP(Plantilla_SCAN_EQ3_COUNT_2[[#This Row],[ID MATERIAL]],INVENTARIO!$A:$D,2,FALSE))</f>
        <v/>
      </c>
      <c r="F2275" s="7" t="str">
        <f>IF(Plantilla_SCAN_EQ3_COUNT_2[[#This Row],[ID MATERIAL]]="","",IF(Plantilla_SCAN_EQ3_COUNT_2[[#This Row],[No. Empaques]]="",1,Plantilla_SCAN_EQ3_COUNT_2[[#This Row],[No. Empaques]]*1))</f>
        <v/>
      </c>
      <c r="G2275" s="7" t="str">
        <f>IF(Plantilla_SCAN_EQ3_COUNT_2[[#This Row],[ID MATERIAL]]="","","PZ")</f>
        <v/>
      </c>
      <c r="H2275" s="7" t="str">
        <f>IF(Plantilla_SCAN_EQ3_COUNT_2[[#This Row],[ID MATERIAL]]="","",$B$13)</f>
        <v/>
      </c>
      <c r="I2275" s="7" t="str">
        <f>IF(Plantilla_SCAN_EQ3_COUNT_2[[#This Row],[ID MATERIAL]]="","","Segundo Conteo")</f>
        <v/>
      </c>
    </row>
    <row r="2276" spans="1:9" s="7" customFormat="1" ht="15" x14ac:dyDescent="0.2">
      <c r="A2276" s="7" t="str">
        <f>IF(Plantilla_SCAN_EQ3_COUNT_2[[#This Row],[ID MATERIAL]]="","",SIGN(Plantilla_SCAN_EQ3_COUNT_2[[#This Row],[Cantidad]])+A2275)</f>
        <v/>
      </c>
      <c r="B2276" s="21" t="str">
        <f>IF(Plantilla_SCAN_EQ3_COUNT_2[[#This Row],[ID MATERIAL]]="","",B2275)</f>
        <v/>
      </c>
      <c r="C2276" s="21"/>
      <c r="D2276" s="21"/>
      <c r="E2276" s="7" t="str">
        <f>IF(Plantilla_SCAN_EQ3_COUNT_2[[#This Row],[ID MATERIAL]]="","",VLOOKUP(Plantilla_SCAN_EQ3_COUNT_2[[#This Row],[ID MATERIAL]],INVENTARIO!$A:$D,2,FALSE))</f>
        <v/>
      </c>
      <c r="F2276" s="7" t="str">
        <f>IF(Plantilla_SCAN_EQ3_COUNT_2[[#This Row],[ID MATERIAL]]="","",IF(Plantilla_SCAN_EQ3_COUNT_2[[#This Row],[No. Empaques]]="",1,Plantilla_SCAN_EQ3_COUNT_2[[#This Row],[No. Empaques]]*1))</f>
        <v/>
      </c>
      <c r="G2276" s="7" t="str">
        <f>IF(Plantilla_SCAN_EQ3_COUNT_2[[#This Row],[ID MATERIAL]]="","","PZ")</f>
        <v/>
      </c>
      <c r="H2276" s="7" t="str">
        <f>IF(Plantilla_SCAN_EQ3_COUNT_2[[#This Row],[ID MATERIAL]]="","",$B$13)</f>
        <v/>
      </c>
      <c r="I2276" s="7" t="str">
        <f>IF(Plantilla_SCAN_EQ3_COUNT_2[[#This Row],[ID MATERIAL]]="","","Segundo Conteo")</f>
        <v/>
      </c>
    </row>
    <row r="2277" spans="1:9" s="7" customFormat="1" ht="15" x14ac:dyDescent="0.2">
      <c r="A2277" s="7" t="str">
        <f>IF(Plantilla_SCAN_EQ3_COUNT_2[[#This Row],[ID MATERIAL]]="","",SIGN(Plantilla_SCAN_EQ3_COUNT_2[[#This Row],[Cantidad]])+A2276)</f>
        <v/>
      </c>
      <c r="B2277" s="21" t="str">
        <f>IF(Plantilla_SCAN_EQ3_COUNT_2[[#This Row],[ID MATERIAL]]="","",B2276)</f>
        <v/>
      </c>
      <c r="C2277" s="21"/>
      <c r="D2277" s="21"/>
      <c r="E2277" s="7" t="str">
        <f>IF(Plantilla_SCAN_EQ3_COUNT_2[[#This Row],[ID MATERIAL]]="","",VLOOKUP(Plantilla_SCAN_EQ3_COUNT_2[[#This Row],[ID MATERIAL]],INVENTARIO!$A:$D,2,FALSE))</f>
        <v/>
      </c>
      <c r="F2277" s="7" t="str">
        <f>IF(Plantilla_SCAN_EQ3_COUNT_2[[#This Row],[ID MATERIAL]]="","",IF(Plantilla_SCAN_EQ3_COUNT_2[[#This Row],[No. Empaques]]="",1,Plantilla_SCAN_EQ3_COUNT_2[[#This Row],[No. Empaques]]*1))</f>
        <v/>
      </c>
      <c r="G2277" s="7" t="str">
        <f>IF(Plantilla_SCAN_EQ3_COUNT_2[[#This Row],[ID MATERIAL]]="","","PZ")</f>
        <v/>
      </c>
      <c r="H2277" s="7" t="str">
        <f>IF(Plantilla_SCAN_EQ3_COUNT_2[[#This Row],[ID MATERIAL]]="","",$B$13)</f>
        <v/>
      </c>
      <c r="I2277" s="7" t="str">
        <f>IF(Plantilla_SCAN_EQ3_COUNT_2[[#This Row],[ID MATERIAL]]="","","Segundo Conteo")</f>
        <v/>
      </c>
    </row>
    <row r="2278" spans="1:9" s="7" customFormat="1" ht="15" x14ac:dyDescent="0.2">
      <c r="A2278" s="7" t="str">
        <f>IF(Plantilla_SCAN_EQ3_COUNT_2[[#This Row],[ID MATERIAL]]="","",SIGN(Plantilla_SCAN_EQ3_COUNT_2[[#This Row],[Cantidad]])+A2277)</f>
        <v/>
      </c>
      <c r="B2278" s="21" t="str">
        <f>IF(Plantilla_SCAN_EQ3_COUNT_2[[#This Row],[ID MATERIAL]]="","",B2277)</f>
        <v/>
      </c>
      <c r="C2278" s="21"/>
      <c r="D2278" s="21"/>
      <c r="E2278" s="7" t="str">
        <f>IF(Plantilla_SCAN_EQ3_COUNT_2[[#This Row],[ID MATERIAL]]="","",VLOOKUP(Plantilla_SCAN_EQ3_COUNT_2[[#This Row],[ID MATERIAL]],INVENTARIO!$A:$D,2,FALSE))</f>
        <v/>
      </c>
      <c r="F2278" s="7" t="str">
        <f>IF(Plantilla_SCAN_EQ3_COUNT_2[[#This Row],[ID MATERIAL]]="","",IF(Plantilla_SCAN_EQ3_COUNT_2[[#This Row],[No. Empaques]]="",1,Plantilla_SCAN_EQ3_COUNT_2[[#This Row],[No. Empaques]]*1))</f>
        <v/>
      </c>
      <c r="G2278" s="7" t="str">
        <f>IF(Plantilla_SCAN_EQ3_COUNT_2[[#This Row],[ID MATERIAL]]="","","PZ")</f>
        <v/>
      </c>
      <c r="H2278" s="7" t="str">
        <f>IF(Plantilla_SCAN_EQ3_COUNT_2[[#This Row],[ID MATERIAL]]="","",$B$13)</f>
        <v/>
      </c>
      <c r="I2278" s="7" t="str">
        <f>IF(Plantilla_SCAN_EQ3_COUNT_2[[#This Row],[ID MATERIAL]]="","","Segundo Conteo")</f>
        <v/>
      </c>
    </row>
    <row r="2279" spans="1:9" s="7" customFormat="1" ht="15" x14ac:dyDescent="0.2">
      <c r="A2279" s="7" t="str">
        <f>IF(Plantilla_SCAN_EQ3_COUNT_2[[#This Row],[ID MATERIAL]]="","",SIGN(Plantilla_SCAN_EQ3_COUNT_2[[#This Row],[Cantidad]])+A2278)</f>
        <v/>
      </c>
      <c r="B2279" s="21" t="str">
        <f>IF(Plantilla_SCAN_EQ3_COUNT_2[[#This Row],[ID MATERIAL]]="","",B2278)</f>
        <v/>
      </c>
      <c r="C2279" s="21"/>
      <c r="D2279" s="21"/>
      <c r="E2279" s="7" t="str">
        <f>IF(Plantilla_SCAN_EQ3_COUNT_2[[#This Row],[ID MATERIAL]]="","",VLOOKUP(Plantilla_SCAN_EQ3_COUNT_2[[#This Row],[ID MATERIAL]],INVENTARIO!$A:$D,2,FALSE))</f>
        <v/>
      </c>
      <c r="F2279" s="7" t="str">
        <f>IF(Plantilla_SCAN_EQ3_COUNT_2[[#This Row],[ID MATERIAL]]="","",IF(Plantilla_SCAN_EQ3_COUNT_2[[#This Row],[No. Empaques]]="",1,Plantilla_SCAN_EQ3_COUNT_2[[#This Row],[No. Empaques]]*1))</f>
        <v/>
      </c>
      <c r="G2279" s="7" t="str">
        <f>IF(Plantilla_SCAN_EQ3_COUNT_2[[#This Row],[ID MATERIAL]]="","","PZ")</f>
        <v/>
      </c>
      <c r="H2279" s="7" t="str">
        <f>IF(Plantilla_SCAN_EQ3_COUNT_2[[#This Row],[ID MATERIAL]]="","",$B$13)</f>
        <v/>
      </c>
      <c r="I2279" s="7" t="str">
        <f>IF(Plantilla_SCAN_EQ3_COUNT_2[[#This Row],[ID MATERIAL]]="","","Segundo Conteo")</f>
        <v/>
      </c>
    </row>
    <row r="2280" spans="1:9" s="7" customFormat="1" ht="15" x14ac:dyDescent="0.2">
      <c r="A2280" s="7" t="str">
        <f>IF(Plantilla_SCAN_EQ3_COUNT_2[[#This Row],[ID MATERIAL]]="","",SIGN(Plantilla_SCAN_EQ3_COUNT_2[[#This Row],[Cantidad]])+A2279)</f>
        <v/>
      </c>
      <c r="B2280" s="21" t="str">
        <f>IF(Plantilla_SCAN_EQ3_COUNT_2[[#This Row],[ID MATERIAL]]="","",B2279)</f>
        <v/>
      </c>
      <c r="C2280" s="21"/>
      <c r="D2280" s="21"/>
      <c r="E2280" s="7" t="str">
        <f>IF(Plantilla_SCAN_EQ3_COUNT_2[[#This Row],[ID MATERIAL]]="","",VLOOKUP(Plantilla_SCAN_EQ3_COUNT_2[[#This Row],[ID MATERIAL]],INVENTARIO!$A:$D,2,FALSE))</f>
        <v/>
      </c>
      <c r="F2280" s="7" t="str">
        <f>IF(Plantilla_SCAN_EQ3_COUNT_2[[#This Row],[ID MATERIAL]]="","",IF(Plantilla_SCAN_EQ3_COUNT_2[[#This Row],[No. Empaques]]="",1,Plantilla_SCAN_EQ3_COUNT_2[[#This Row],[No. Empaques]]*1))</f>
        <v/>
      </c>
      <c r="G2280" s="7" t="str">
        <f>IF(Plantilla_SCAN_EQ3_COUNT_2[[#This Row],[ID MATERIAL]]="","","PZ")</f>
        <v/>
      </c>
      <c r="H2280" s="7" t="str">
        <f>IF(Plantilla_SCAN_EQ3_COUNT_2[[#This Row],[ID MATERIAL]]="","",$B$13)</f>
        <v/>
      </c>
      <c r="I2280" s="7" t="str">
        <f>IF(Plantilla_SCAN_EQ3_COUNT_2[[#This Row],[ID MATERIAL]]="","","Segundo Conteo")</f>
        <v/>
      </c>
    </row>
    <row r="2281" spans="1:9" s="7" customFormat="1" ht="15" x14ac:dyDescent="0.2">
      <c r="A2281" s="7" t="str">
        <f>IF(Plantilla_SCAN_EQ3_COUNT_2[[#This Row],[ID MATERIAL]]="","",SIGN(Plantilla_SCAN_EQ3_COUNT_2[[#This Row],[Cantidad]])+A2280)</f>
        <v/>
      </c>
      <c r="B2281" s="21" t="str">
        <f>IF(Plantilla_SCAN_EQ3_COUNT_2[[#This Row],[ID MATERIAL]]="","",B2280)</f>
        <v/>
      </c>
      <c r="C2281" s="21"/>
      <c r="D2281" s="21"/>
      <c r="E2281" s="7" t="str">
        <f>IF(Plantilla_SCAN_EQ3_COUNT_2[[#This Row],[ID MATERIAL]]="","",VLOOKUP(Plantilla_SCAN_EQ3_COUNT_2[[#This Row],[ID MATERIAL]],INVENTARIO!$A:$D,2,FALSE))</f>
        <v/>
      </c>
      <c r="F2281" s="7" t="str">
        <f>IF(Plantilla_SCAN_EQ3_COUNT_2[[#This Row],[ID MATERIAL]]="","",IF(Plantilla_SCAN_EQ3_COUNT_2[[#This Row],[No. Empaques]]="",1,Plantilla_SCAN_EQ3_COUNT_2[[#This Row],[No. Empaques]]*1))</f>
        <v/>
      </c>
      <c r="G2281" s="7" t="str">
        <f>IF(Plantilla_SCAN_EQ3_COUNT_2[[#This Row],[ID MATERIAL]]="","","PZ")</f>
        <v/>
      </c>
      <c r="H2281" s="7" t="str">
        <f>IF(Plantilla_SCAN_EQ3_COUNT_2[[#This Row],[ID MATERIAL]]="","",$B$13)</f>
        <v/>
      </c>
      <c r="I2281" s="7" t="str">
        <f>IF(Plantilla_SCAN_EQ3_COUNT_2[[#This Row],[ID MATERIAL]]="","","Segundo Conteo")</f>
        <v/>
      </c>
    </row>
    <row r="2282" spans="1:9" s="7" customFormat="1" ht="15" x14ac:dyDescent="0.2">
      <c r="A2282" s="7" t="str">
        <f>IF(Plantilla_SCAN_EQ3_COUNT_2[[#This Row],[ID MATERIAL]]="","",SIGN(Plantilla_SCAN_EQ3_COUNT_2[[#This Row],[Cantidad]])+A2281)</f>
        <v/>
      </c>
      <c r="B2282" s="21" t="str">
        <f>IF(Plantilla_SCAN_EQ3_COUNT_2[[#This Row],[ID MATERIAL]]="","",B2281)</f>
        <v/>
      </c>
      <c r="C2282" s="21"/>
      <c r="D2282" s="21"/>
      <c r="E2282" s="7" t="str">
        <f>IF(Plantilla_SCAN_EQ3_COUNT_2[[#This Row],[ID MATERIAL]]="","",VLOOKUP(Plantilla_SCAN_EQ3_COUNT_2[[#This Row],[ID MATERIAL]],INVENTARIO!$A:$D,2,FALSE))</f>
        <v/>
      </c>
      <c r="F2282" s="7" t="str">
        <f>IF(Plantilla_SCAN_EQ3_COUNT_2[[#This Row],[ID MATERIAL]]="","",IF(Plantilla_SCAN_EQ3_COUNT_2[[#This Row],[No. Empaques]]="",1,Plantilla_SCAN_EQ3_COUNT_2[[#This Row],[No. Empaques]]*1))</f>
        <v/>
      </c>
      <c r="G2282" s="7" t="str">
        <f>IF(Plantilla_SCAN_EQ3_COUNT_2[[#This Row],[ID MATERIAL]]="","","PZ")</f>
        <v/>
      </c>
      <c r="H2282" s="7" t="str">
        <f>IF(Plantilla_SCAN_EQ3_COUNT_2[[#This Row],[ID MATERIAL]]="","",$B$13)</f>
        <v/>
      </c>
      <c r="I2282" s="7" t="str">
        <f>IF(Plantilla_SCAN_EQ3_COUNT_2[[#This Row],[ID MATERIAL]]="","","Segundo Conteo")</f>
        <v/>
      </c>
    </row>
    <row r="2283" spans="1:9" s="7" customFormat="1" ht="15" x14ac:dyDescent="0.2">
      <c r="A2283" s="7" t="str">
        <f>IF(Plantilla_SCAN_EQ3_COUNT_2[[#This Row],[ID MATERIAL]]="","",SIGN(Plantilla_SCAN_EQ3_COUNT_2[[#This Row],[Cantidad]])+A2282)</f>
        <v/>
      </c>
      <c r="B2283" s="21" t="str">
        <f>IF(Plantilla_SCAN_EQ3_COUNT_2[[#This Row],[ID MATERIAL]]="","",B2282)</f>
        <v/>
      </c>
      <c r="C2283" s="21"/>
      <c r="D2283" s="21"/>
      <c r="E2283" s="7" t="str">
        <f>IF(Plantilla_SCAN_EQ3_COUNT_2[[#This Row],[ID MATERIAL]]="","",VLOOKUP(Plantilla_SCAN_EQ3_COUNT_2[[#This Row],[ID MATERIAL]],INVENTARIO!$A:$D,2,FALSE))</f>
        <v/>
      </c>
      <c r="F2283" s="7" t="str">
        <f>IF(Plantilla_SCAN_EQ3_COUNT_2[[#This Row],[ID MATERIAL]]="","",IF(Plantilla_SCAN_EQ3_COUNT_2[[#This Row],[No. Empaques]]="",1,Plantilla_SCAN_EQ3_COUNT_2[[#This Row],[No. Empaques]]*1))</f>
        <v/>
      </c>
      <c r="G2283" s="7" t="str">
        <f>IF(Plantilla_SCAN_EQ3_COUNT_2[[#This Row],[ID MATERIAL]]="","","PZ")</f>
        <v/>
      </c>
      <c r="H2283" s="7" t="str">
        <f>IF(Plantilla_SCAN_EQ3_COUNT_2[[#This Row],[ID MATERIAL]]="","",$B$13)</f>
        <v/>
      </c>
      <c r="I2283" s="7" t="str">
        <f>IF(Plantilla_SCAN_EQ3_COUNT_2[[#This Row],[ID MATERIAL]]="","","Segundo Conteo")</f>
        <v/>
      </c>
    </row>
    <row r="2284" spans="1:9" s="7" customFormat="1" ht="15" x14ac:dyDescent="0.2">
      <c r="A2284" s="7" t="str">
        <f>IF(Plantilla_SCAN_EQ3_COUNT_2[[#This Row],[ID MATERIAL]]="","",SIGN(Plantilla_SCAN_EQ3_COUNT_2[[#This Row],[Cantidad]])+A2283)</f>
        <v/>
      </c>
      <c r="B2284" s="21" t="str">
        <f>IF(Plantilla_SCAN_EQ3_COUNT_2[[#This Row],[ID MATERIAL]]="","",B2283)</f>
        <v/>
      </c>
      <c r="C2284" s="21"/>
      <c r="D2284" s="21"/>
      <c r="E2284" s="7" t="str">
        <f>IF(Plantilla_SCAN_EQ3_COUNT_2[[#This Row],[ID MATERIAL]]="","",VLOOKUP(Plantilla_SCAN_EQ3_COUNT_2[[#This Row],[ID MATERIAL]],INVENTARIO!$A:$D,2,FALSE))</f>
        <v/>
      </c>
      <c r="F2284" s="7" t="str">
        <f>IF(Plantilla_SCAN_EQ3_COUNT_2[[#This Row],[ID MATERIAL]]="","",IF(Plantilla_SCAN_EQ3_COUNT_2[[#This Row],[No. Empaques]]="",1,Plantilla_SCAN_EQ3_COUNT_2[[#This Row],[No. Empaques]]*1))</f>
        <v/>
      </c>
      <c r="G2284" s="7" t="str">
        <f>IF(Plantilla_SCAN_EQ3_COUNT_2[[#This Row],[ID MATERIAL]]="","","PZ")</f>
        <v/>
      </c>
      <c r="H2284" s="7" t="str">
        <f>IF(Plantilla_SCAN_EQ3_COUNT_2[[#This Row],[ID MATERIAL]]="","",$B$13)</f>
        <v/>
      </c>
      <c r="I2284" s="7" t="str">
        <f>IF(Plantilla_SCAN_EQ3_COUNT_2[[#This Row],[ID MATERIAL]]="","","Segundo Conteo")</f>
        <v/>
      </c>
    </row>
    <row r="2285" spans="1:9" s="7" customFormat="1" ht="15" x14ac:dyDescent="0.2">
      <c r="A2285" s="7" t="str">
        <f>IF(Plantilla_SCAN_EQ3_COUNT_2[[#This Row],[ID MATERIAL]]="","",SIGN(Plantilla_SCAN_EQ3_COUNT_2[[#This Row],[Cantidad]])+A2284)</f>
        <v/>
      </c>
      <c r="B2285" s="21" t="str">
        <f>IF(Plantilla_SCAN_EQ3_COUNT_2[[#This Row],[ID MATERIAL]]="","",B2284)</f>
        <v/>
      </c>
      <c r="C2285" s="21"/>
      <c r="D2285" s="21"/>
      <c r="E2285" s="7" t="str">
        <f>IF(Plantilla_SCAN_EQ3_COUNT_2[[#This Row],[ID MATERIAL]]="","",VLOOKUP(Plantilla_SCAN_EQ3_COUNT_2[[#This Row],[ID MATERIAL]],INVENTARIO!$A:$D,2,FALSE))</f>
        <v/>
      </c>
      <c r="F2285" s="7" t="str">
        <f>IF(Plantilla_SCAN_EQ3_COUNT_2[[#This Row],[ID MATERIAL]]="","",IF(Plantilla_SCAN_EQ3_COUNT_2[[#This Row],[No. Empaques]]="",1,Plantilla_SCAN_EQ3_COUNT_2[[#This Row],[No. Empaques]]*1))</f>
        <v/>
      </c>
      <c r="G2285" s="7" t="str">
        <f>IF(Plantilla_SCAN_EQ3_COUNT_2[[#This Row],[ID MATERIAL]]="","","PZ")</f>
        <v/>
      </c>
      <c r="H2285" s="7" t="str">
        <f>IF(Plantilla_SCAN_EQ3_COUNT_2[[#This Row],[ID MATERIAL]]="","",$B$13)</f>
        <v/>
      </c>
      <c r="I2285" s="7" t="str">
        <f>IF(Plantilla_SCAN_EQ3_COUNT_2[[#This Row],[ID MATERIAL]]="","","Segundo Conteo")</f>
        <v/>
      </c>
    </row>
    <row r="2286" spans="1:9" s="7" customFormat="1" ht="15" x14ac:dyDescent="0.2">
      <c r="A2286" s="7" t="str">
        <f>IF(Plantilla_SCAN_EQ3_COUNT_2[[#This Row],[ID MATERIAL]]="","",SIGN(Plantilla_SCAN_EQ3_COUNT_2[[#This Row],[Cantidad]])+A2285)</f>
        <v/>
      </c>
      <c r="B2286" s="21" t="str">
        <f>IF(Plantilla_SCAN_EQ3_COUNT_2[[#This Row],[ID MATERIAL]]="","",B2285)</f>
        <v/>
      </c>
      <c r="C2286" s="21"/>
      <c r="D2286" s="21"/>
      <c r="E2286" s="7" t="str">
        <f>IF(Plantilla_SCAN_EQ3_COUNT_2[[#This Row],[ID MATERIAL]]="","",VLOOKUP(Plantilla_SCAN_EQ3_COUNT_2[[#This Row],[ID MATERIAL]],INVENTARIO!$A:$D,2,FALSE))</f>
        <v/>
      </c>
      <c r="F2286" s="7" t="str">
        <f>IF(Plantilla_SCAN_EQ3_COUNT_2[[#This Row],[ID MATERIAL]]="","",IF(Plantilla_SCAN_EQ3_COUNT_2[[#This Row],[No. Empaques]]="",1,Plantilla_SCAN_EQ3_COUNT_2[[#This Row],[No. Empaques]]*1))</f>
        <v/>
      </c>
      <c r="G2286" s="7" t="str">
        <f>IF(Plantilla_SCAN_EQ3_COUNT_2[[#This Row],[ID MATERIAL]]="","","PZ")</f>
        <v/>
      </c>
      <c r="H2286" s="7" t="str">
        <f>IF(Plantilla_SCAN_EQ3_COUNT_2[[#This Row],[ID MATERIAL]]="","",$B$13)</f>
        <v/>
      </c>
      <c r="I2286" s="7" t="str">
        <f>IF(Plantilla_SCAN_EQ3_COUNT_2[[#This Row],[ID MATERIAL]]="","","Segundo Conteo")</f>
        <v/>
      </c>
    </row>
    <row r="2287" spans="1:9" s="7" customFormat="1" ht="15" x14ac:dyDescent="0.2">
      <c r="A2287" s="7" t="str">
        <f>IF(Plantilla_SCAN_EQ3_COUNT_2[[#This Row],[ID MATERIAL]]="","",SIGN(Plantilla_SCAN_EQ3_COUNT_2[[#This Row],[Cantidad]])+A2286)</f>
        <v/>
      </c>
      <c r="B2287" s="21" t="str">
        <f>IF(Plantilla_SCAN_EQ3_COUNT_2[[#This Row],[ID MATERIAL]]="","",B2286)</f>
        <v/>
      </c>
      <c r="C2287" s="21"/>
      <c r="D2287" s="21"/>
      <c r="E2287" s="7" t="str">
        <f>IF(Plantilla_SCAN_EQ3_COUNT_2[[#This Row],[ID MATERIAL]]="","",VLOOKUP(Plantilla_SCAN_EQ3_COUNT_2[[#This Row],[ID MATERIAL]],INVENTARIO!$A:$D,2,FALSE))</f>
        <v/>
      </c>
      <c r="F2287" s="7" t="str">
        <f>IF(Plantilla_SCAN_EQ3_COUNT_2[[#This Row],[ID MATERIAL]]="","",IF(Plantilla_SCAN_EQ3_COUNT_2[[#This Row],[No. Empaques]]="",1,Plantilla_SCAN_EQ3_COUNT_2[[#This Row],[No. Empaques]]*1))</f>
        <v/>
      </c>
      <c r="G2287" s="7" t="str">
        <f>IF(Plantilla_SCAN_EQ3_COUNT_2[[#This Row],[ID MATERIAL]]="","","PZ")</f>
        <v/>
      </c>
      <c r="H2287" s="7" t="str">
        <f>IF(Plantilla_SCAN_EQ3_COUNT_2[[#This Row],[ID MATERIAL]]="","",$B$13)</f>
        <v/>
      </c>
      <c r="I2287" s="7" t="str">
        <f>IF(Plantilla_SCAN_EQ3_COUNT_2[[#This Row],[ID MATERIAL]]="","","Segundo Conteo")</f>
        <v/>
      </c>
    </row>
    <row r="2288" spans="1:9" s="7" customFormat="1" ht="15" x14ac:dyDescent="0.2">
      <c r="A2288" s="7" t="str">
        <f>IF(Plantilla_SCAN_EQ3_COUNT_2[[#This Row],[ID MATERIAL]]="","",SIGN(Plantilla_SCAN_EQ3_COUNT_2[[#This Row],[Cantidad]])+A2287)</f>
        <v/>
      </c>
      <c r="B2288" s="21" t="str">
        <f>IF(Plantilla_SCAN_EQ3_COUNT_2[[#This Row],[ID MATERIAL]]="","",B2287)</f>
        <v/>
      </c>
      <c r="C2288" s="21"/>
      <c r="D2288" s="21"/>
      <c r="E2288" s="7" t="str">
        <f>IF(Plantilla_SCAN_EQ3_COUNT_2[[#This Row],[ID MATERIAL]]="","",VLOOKUP(Plantilla_SCAN_EQ3_COUNT_2[[#This Row],[ID MATERIAL]],INVENTARIO!$A:$D,2,FALSE))</f>
        <v/>
      </c>
      <c r="F2288" s="7" t="str">
        <f>IF(Plantilla_SCAN_EQ3_COUNT_2[[#This Row],[ID MATERIAL]]="","",IF(Plantilla_SCAN_EQ3_COUNT_2[[#This Row],[No. Empaques]]="",1,Plantilla_SCAN_EQ3_COUNT_2[[#This Row],[No. Empaques]]*1))</f>
        <v/>
      </c>
      <c r="G2288" s="7" t="str">
        <f>IF(Plantilla_SCAN_EQ3_COUNT_2[[#This Row],[ID MATERIAL]]="","","PZ")</f>
        <v/>
      </c>
      <c r="H2288" s="7" t="str">
        <f>IF(Plantilla_SCAN_EQ3_COUNT_2[[#This Row],[ID MATERIAL]]="","",$B$13)</f>
        <v/>
      </c>
      <c r="I2288" s="7" t="str">
        <f>IF(Plantilla_SCAN_EQ3_COUNT_2[[#This Row],[ID MATERIAL]]="","","Segundo Conteo")</f>
        <v/>
      </c>
    </row>
    <row r="2289" spans="1:9" s="7" customFormat="1" ht="15" x14ac:dyDescent="0.2">
      <c r="A2289" s="7" t="str">
        <f>IF(Plantilla_SCAN_EQ3_COUNT_2[[#This Row],[ID MATERIAL]]="","",SIGN(Plantilla_SCAN_EQ3_COUNT_2[[#This Row],[Cantidad]])+A2288)</f>
        <v/>
      </c>
      <c r="B2289" s="21" t="str">
        <f>IF(Plantilla_SCAN_EQ3_COUNT_2[[#This Row],[ID MATERIAL]]="","",B2288)</f>
        <v/>
      </c>
      <c r="C2289" s="21"/>
      <c r="D2289" s="21"/>
      <c r="E2289" s="7" t="str">
        <f>IF(Plantilla_SCAN_EQ3_COUNT_2[[#This Row],[ID MATERIAL]]="","",VLOOKUP(Plantilla_SCAN_EQ3_COUNT_2[[#This Row],[ID MATERIAL]],INVENTARIO!$A:$D,2,FALSE))</f>
        <v/>
      </c>
      <c r="F2289" s="7" t="str">
        <f>IF(Plantilla_SCAN_EQ3_COUNT_2[[#This Row],[ID MATERIAL]]="","",IF(Plantilla_SCAN_EQ3_COUNT_2[[#This Row],[No. Empaques]]="",1,Plantilla_SCAN_EQ3_COUNT_2[[#This Row],[No. Empaques]]*1))</f>
        <v/>
      </c>
      <c r="G2289" s="7" t="str">
        <f>IF(Plantilla_SCAN_EQ3_COUNT_2[[#This Row],[ID MATERIAL]]="","","PZ")</f>
        <v/>
      </c>
      <c r="H2289" s="7" t="str">
        <f>IF(Plantilla_SCAN_EQ3_COUNT_2[[#This Row],[ID MATERIAL]]="","",$B$13)</f>
        <v/>
      </c>
      <c r="I2289" s="7" t="str">
        <f>IF(Plantilla_SCAN_EQ3_COUNT_2[[#This Row],[ID MATERIAL]]="","","Segundo Conteo")</f>
        <v/>
      </c>
    </row>
    <row r="2290" spans="1:9" s="7" customFormat="1" ht="15" x14ac:dyDescent="0.2">
      <c r="A2290" s="7" t="str">
        <f>IF(Plantilla_SCAN_EQ3_COUNT_2[[#This Row],[ID MATERIAL]]="","",SIGN(Plantilla_SCAN_EQ3_COUNT_2[[#This Row],[Cantidad]])+A2289)</f>
        <v/>
      </c>
      <c r="B2290" s="21" t="str">
        <f>IF(Plantilla_SCAN_EQ3_COUNT_2[[#This Row],[ID MATERIAL]]="","",B2289)</f>
        <v/>
      </c>
      <c r="C2290" s="21"/>
      <c r="D2290" s="21"/>
      <c r="E2290" s="7" t="str">
        <f>IF(Plantilla_SCAN_EQ3_COUNT_2[[#This Row],[ID MATERIAL]]="","",VLOOKUP(Plantilla_SCAN_EQ3_COUNT_2[[#This Row],[ID MATERIAL]],INVENTARIO!$A:$D,2,FALSE))</f>
        <v/>
      </c>
      <c r="F2290" s="7" t="str">
        <f>IF(Plantilla_SCAN_EQ3_COUNT_2[[#This Row],[ID MATERIAL]]="","",IF(Plantilla_SCAN_EQ3_COUNT_2[[#This Row],[No. Empaques]]="",1,Plantilla_SCAN_EQ3_COUNT_2[[#This Row],[No. Empaques]]*1))</f>
        <v/>
      </c>
      <c r="G2290" s="7" t="str">
        <f>IF(Plantilla_SCAN_EQ3_COUNT_2[[#This Row],[ID MATERIAL]]="","","PZ")</f>
        <v/>
      </c>
      <c r="H2290" s="7" t="str">
        <f>IF(Plantilla_SCAN_EQ3_COUNT_2[[#This Row],[ID MATERIAL]]="","",$B$13)</f>
        <v/>
      </c>
      <c r="I2290" s="7" t="str">
        <f>IF(Plantilla_SCAN_EQ3_COUNT_2[[#This Row],[ID MATERIAL]]="","","Segundo Conteo")</f>
        <v/>
      </c>
    </row>
    <row r="2291" spans="1:9" s="7" customFormat="1" ht="15" x14ac:dyDescent="0.2">
      <c r="A2291" s="7" t="str">
        <f>IF(Plantilla_SCAN_EQ3_COUNT_2[[#This Row],[ID MATERIAL]]="","",SIGN(Plantilla_SCAN_EQ3_COUNT_2[[#This Row],[Cantidad]])+A2290)</f>
        <v/>
      </c>
      <c r="B2291" s="21" t="str">
        <f>IF(Plantilla_SCAN_EQ3_COUNT_2[[#This Row],[ID MATERIAL]]="","",B2290)</f>
        <v/>
      </c>
      <c r="C2291" s="21"/>
      <c r="D2291" s="21"/>
      <c r="E2291" s="7" t="str">
        <f>IF(Plantilla_SCAN_EQ3_COUNT_2[[#This Row],[ID MATERIAL]]="","",VLOOKUP(Plantilla_SCAN_EQ3_COUNT_2[[#This Row],[ID MATERIAL]],INVENTARIO!$A:$D,2,FALSE))</f>
        <v/>
      </c>
      <c r="F2291" s="7" t="str">
        <f>IF(Plantilla_SCAN_EQ3_COUNT_2[[#This Row],[ID MATERIAL]]="","",IF(Plantilla_SCAN_EQ3_COUNT_2[[#This Row],[No. Empaques]]="",1,Plantilla_SCAN_EQ3_COUNT_2[[#This Row],[No. Empaques]]*1))</f>
        <v/>
      </c>
      <c r="G2291" s="7" t="str">
        <f>IF(Plantilla_SCAN_EQ3_COUNT_2[[#This Row],[ID MATERIAL]]="","","PZ")</f>
        <v/>
      </c>
      <c r="H2291" s="7" t="str">
        <f>IF(Plantilla_SCAN_EQ3_COUNT_2[[#This Row],[ID MATERIAL]]="","",$B$13)</f>
        <v/>
      </c>
      <c r="I2291" s="7" t="str">
        <f>IF(Plantilla_SCAN_EQ3_COUNT_2[[#This Row],[ID MATERIAL]]="","","Segundo Conteo")</f>
        <v/>
      </c>
    </row>
    <row r="2292" spans="1:9" s="7" customFormat="1" ht="15" x14ac:dyDescent="0.2">
      <c r="A2292" s="7" t="str">
        <f>IF(Plantilla_SCAN_EQ3_COUNT_2[[#This Row],[ID MATERIAL]]="","",SIGN(Plantilla_SCAN_EQ3_COUNT_2[[#This Row],[Cantidad]])+A2291)</f>
        <v/>
      </c>
      <c r="B2292" s="21" t="str">
        <f>IF(Plantilla_SCAN_EQ3_COUNT_2[[#This Row],[ID MATERIAL]]="","",B2291)</f>
        <v/>
      </c>
      <c r="C2292" s="21"/>
      <c r="D2292" s="21"/>
      <c r="E2292" s="7" t="str">
        <f>IF(Plantilla_SCAN_EQ3_COUNT_2[[#This Row],[ID MATERIAL]]="","",VLOOKUP(Plantilla_SCAN_EQ3_COUNT_2[[#This Row],[ID MATERIAL]],INVENTARIO!$A:$D,2,FALSE))</f>
        <v/>
      </c>
      <c r="F2292" s="7" t="str">
        <f>IF(Plantilla_SCAN_EQ3_COUNT_2[[#This Row],[ID MATERIAL]]="","",IF(Plantilla_SCAN_EQ3_COUNT_2[[#This Row],[No. Empaques]]="",1,Plantilla_SCAN_EQ3_COUNT_2[[#This Row],[No. Empaques]]*1))</f>
        <v/>
      </c>
      <c r="G2292" s="7" t="str">
        <f>IF(Plantilla_SCAN_EQ3_COUNT_2[[#This Row],[ID MATERIAL]]="","","PZ")</f>
        <v/>
      </c>
      <c r="H2292" s="7" t="str">
        <f>IF(Plantilla_SCAN_EQ3_COUNT_2[[#This Row],[ID MATERIAL]]="","",$B$13)</f>
        <v/>
      </c>
      <c r="I2292" s="7" t="str">
        <f>IF(Plantilla_SCAN_EQ3_COUNT_2[[#This Row],[ID MATERIAL]]="","","Segundo Conteo")</f>
        <v/>
      </c>
    </row>
    <row r="2293" spans="1:9" s="7" customFormat="1" ht="15" x14ac:dyDescent="0.2">
      <c r="A2293" s="7" t="str">
        <f>IF(Plantilla_SCAN_EQ3_COUNT_2[[#This Row],[ID MATERIAL]]="","",SIGN(Plantilla_SCAN_EQ3_COUNT_2[[#This Row],[Cantidad]])+A2292)</f>
        <v/>
      </c>
      <c r="B2293" s="21" t="str">
        <f>IF(Plantilla_SCAN_EQ3_COUNT_2[[#This Row],[ID MATERIAL]]="","",B2292)</f>
        <v/>
      </c>
      <c r="C2293" s="21"/>
      <c r="D2293" s="21"/>
      <c r="E2293" s="7" t="str">
        <f>IF(Plantilla_SCAN_EQ3_COUNT_2[[#This Row],[ID MATERIAL]]="","",VLOOKUP(Plantilla_SCAN_EQ3_COUNT_2[[#This Row],[ID MATERIAL]],INVENTARIO!$A:$D,2,FALSE))</f>
        <v/>
      </c>
      <c r="F2293" s="7" t="str">
        <f>IF(Plantilla_SCAN_EQ3_COUNT_2[[#This Row],[ID MATERIAL]]="","",IF(Plantilla_SCAN_EQ3_COUNT_2[[#This Row],[No. Empaques]]="",1,Plantilla_SCAN_EQ3_COUNT_2[[#This Row],[No. Empaques]]*1))</f>
        <v/>
      </c>
      <c r="G2293" s="7" t="str">
        <f>IF(Plantilla_SCAN_EQ3_COUNT_2[[#This Row],[ID MATERIAL]]="","","PZ")</f>
        <v/>
      </c>
      <c r="H2293" s="7" t="str">
        <f>IF(Plantilla_SCAN_EQ3_COUNT_2[[#This Row],[ID MATERIAL]]="","",$B$13)</f>
        <v/>
      </c>
      <c r="I2293" s="7" t="str">
        <f>IF(Plantilla_SCAN_EQ3_COUNT_2[[#This Row],[ID MATERIAL]]="","","Segundo Conteo")</f>
        <v/>
      </c>
    </row>
    <row r="2294" spans="1:9" s="7" customFormat="1" ht="15" x14ac:dyDescent="0.2">
      <c r="A2294" s="7" t="str">
        <f>IF(Plantilla_SCAN_EQ3_COUNT_2[[#This Row],[ID MATERIAL]]="","",SIGN(Plantilla_SCAN_EQ3_COUNT_2[[#This Row],[Cantidad]])+A2293)</f>
        <v/>
      </c>
      <c r="B2294" s="21" t="str">
        <f>IF(Plantilla_SCAN_EQ3_COUNT_2[[#This Row],[ID MATERIAL]]="","",B2293)</f>
        <v/>
      </c>
      <c r="C2294" s="21"/>
      <c r="D2294" s="21"/>
      <c r="E2294" s="7" t="str">
        <f>IF(Plantilla_SCAN_EQ3_COUNT_2[[#This Row],[ID MATERIAL]]="","",VLOOKUP(Plantilla_SCAN_EQ3_COUNT_2[[#This Row],[ID MATERIAL]],INVENTARIO!$A:$D,2,FALSE))</f>
        <v/>
      </c>
      <c r="F2294" s="7" t="str">
        <f>IF(Plantilla_SCAN_EQ3_COUNT_2[[#This Row],[ID MATERIAL]]="","",IF(Plantilla_SCAN_EQ3_COUNT_2[[#This Row],[No. Empaques]]="",1,Plantilla_SCAN_EQ3_COUNT_2[[#This Row],[No. Empaques]]*1))</f>
        <v/>
      </c>
      <c r="G2294" s="7" t="str">
        <f>IF(Plantilla_SCAN_EQ3_COUNT_2[[#This Row],[ID MATERIAL]]="","","PZ")</f>
        <v/>
      </c>
      <c r="H2294" s="7" t="str">
        <f>IF(Plantilla_SCAN_EQ3_COUNT_2[[#This Row],[ID MATERIAL]]="","",$B$13)</f>
        <v/>
      </c>
      <c r="I2294" s="7" t="str">
        <f>IF(Plantilla_SCAN_EQ3_COUNT_2[[#This Row],[ID MATERIAL]]="","","Segundo Conteo")</f>
        <v/>
      </c>
    </row>
    <row r="2295" spans="1:9" s="7" customFormat="1" ht="15" x14ac:dyDescent="0.2">
      <c r="A2295" s="7" t="str">
        <f>IF(Plantilla_SCAN_EQ3_COUNT_2[[#This Row],[ID MATERIAL]]="","",SIGN(Plantilla_SCAN_EQ3_COUNT_2[[#This Row],[Cantidad]])+A2294)</f>
        <v/>
      </c>
      <c r="B2295" s="21" t="str">
        <f>IF(Plantilla_SCAN_EQ3_COUNT_2[[#This Row],[ID MATERIAL]]="","",B2294)</f>
        <v/>
      </c>
      <c r="C2295" s="21"/>
      <c r="D2295" s="21"/>
      <c r="E2295" s="7" t="str">
        <f>IF(Plantilla_SCAN_EQ3_COUNT_2[[#This Row],[ID MATERIAL]]="","",VLOOKUP(Plantilla_SCAN_EQ3_COUNT_2[[#This Row],[ID MATERIAL]],INVENTARIO!$A:$D,2,FALSE))</f>
        <v/>
      </c>
      <c r="F2295" s="7" t="str">
        <f>IF(Plantilla_SCAN_EQ3_COUNT_2[[#This Row],[ID MATERIAL]]="","",IF(Plantilla_SCAN_EQ3_COUNT_2[[#This Row],[No. Empaques]]="",1,Plantilla_SCAN_EQ3_COUNT_2[[#This Row],[No. Empaques]]*1))</f>
        <v/>
      </c>
      <c r="G2295" s="7" t="str">
        <f>IF(Plantilla_SCAN_EQ3_COUNT_2[[#This Row],[ID MATERIAL]]="","","PZ")</f>
        <v/>
      </c>
      <c r="H2295" s="7" t="str">
        <f>IF(Plantilla_SCAN_EQ3_COUNT_2[[#This Row],[ID MATERIAL]]="","",$B$13)</f>
        <v/>
      </c>
      <c r="I2295" s="7" t="str">
        <f>IF(Plantilla_SCAN_EQ3_COUNT_2[[#This Row],[ID MATERIAL]]="","","Segundo Conteo")</f>
        <v/>
      </c>
    </row>
    <row r="2296" spans="1:9" s="7" customFormat="1" ht="15" x14ac:dyDescent="0.2">
      <c r="A2296" s="7" t="str">
        <f>IF(Plantilla_SCAN_EQ3_COUNT_2[[#This Row],[ID MATERIAL]]="","",SIGN(Plantilla_SCAN_EQ3_COUNT_2[[#This Row],[Cantidad]])+A2295)</f>
        <v/>
      </c>
      <c r="B2296" s="21" t="str">
        <f>IF(Plantilla_SCAN_EQ3_COUNT_2[[#This Row],[ID MATERIAL]]="","",B2295)</f>
        <v/>
      </c>
      <c r="C2296" s="21"/>
      <c r="D2296" s="21"/>
      <c r="E2296" s="7" t="str">
        <f>IF(Plantilla_SCAN_EQ3_COUNT_2[[#This Row],[ID MATERIAL]]="","",VLOOKUP(Plantilla_SCAN_EQ3_COUNT_2[[#This Row],[ID MATERIAL]],INVENTARIO!$A:$D,2,FALSE))</f>
        <v/>
      </c>
      <c r="F2296" s="7" t="str">
        <f>IF(Plantilla_SCAN_EQ3_COUNT_2[[#This Row],[ID MATERIAL]]="","",IF(Plantilla_SCAN_EQ3_COUNT_2[[#This Row],[No. Empaques]]="",1,Plantilla_SCAN_EQ3_COUNT_2[[#This Row],[No. Empaques]]*1))</f>
        <v/>
      </c>
      <c r="G2296" s="7" t="str">
        <f>IF(Plantilla_SCAN_EQ3_COUNT_2[[#This Row],[ID MATERIAL]]="","","PZ")</f>
        <v/>
      </c>
      <c r="H2296" s="7" t="str">
        <f>IF(Plantilla_SCAN_EQ3_COUNT_2[[#This Row],[ID MATERIAL]]="","",$B$13)</f>
        <v/>
      </c>
      <c r="I2296" s="7" t="str">
        <f>IF(Plantilla_SCAN_EQ3_COUNT_2[[#This Row],[ID MATERIAL]]="","","Segundo Conteo")</f>
        <v/>
      </c>
    </row>
    <row r="2297" spans="1:9" s="7" customFormat="1" ht="15" x14ac:dyDescent="0.2">
      <c r="A2297" s="7" t="str">
        <f>IF(Plantilla_SCAN_EQ3_COUNT_2[[#This Row],[ID MATERIAL]]="","",SIGN(Plantilla_SCAN_EQ3_COUNT_2[[#This Row],[Cantidad]])+A2296)</f>
        <v/>
      </c>
      <c r="B2297" s="21" t="str">
        <f>IF(Plantilla_SCAN_EQ3_COUNT_2[[#This Row],[ID MATERIAL]]="","",B2296)</f>
        <v/>
      </c>
      <c r="C2297" s="21"/>
      <c r="D2297" s="21"/>
      <c r="E2297" s="7" t="str">
        <f>IF(Plantilla_SCAN_EQ3_COUNT_2[[#This Row],[ID MATERIAL]]="","",VLOOKUP(Plantilla_SCAN_EQ3_COUNT_2[[#This Row],[ID MATERIAL]],INVENTARIO!$A:$D,2,FALSE))</f>
        <v/>
      </c>
      <c r="F2297" s="7" t="str">
        <f>IF(Plantilla_SCAN_EQ3_COUNT_2[[#This Row],[ID MATERIAL]]="","",IF(Plantilla_SCAN_EQ3_COUNT_2[[#This Row],[No. Empaques]]="",1,Plantilla_SCAN_EQ3_COUNT_2[[#This Row],[No. Empaques]]*1))</f>
        <v/>
      </c>
      <c r="G2297" s="7" t="str">
        <f>IF(Plantilla_SCAN_EQ3_COUNT_2[[#This Row],[ID MATERIAL]]="","","PZ")</f>
        <v/>
      </c>
      <c r="H2297" s="7" t="str">
        <f>IF(Plantilla_SCAN_EQ3_COUNT_2[[#This Row],[ID MATERIAL]]="","",$B$13)</f>
        <v/>
      </c>
      <c r="I2297" s="7" t="str">
        <f>IF(Plantilla_SCAN_EQ3_COUNT_2[[#This Row],[ID MATERIAL]]="","","Segundo Conteo")</f>
        <v/>
      </c>
    </row>
    <row r="2298" spans="1:9" s="7" customFormat="1" ht="15" x14ac:dyDescent="0.2">
      <c r="A2298" s="7" t="str">
        <f>IF(Plantilla_SCAN_EQ3_COUNT_2[[#This Row],[ID MATERIAL]]="","",SIGN(Plantilla_SCAN_EQ3_COUNT_2[[#This Row],[Cantidad]])+A2297)</f>
        <v/>
      </c>
      <c r="B2298" s="21" t="str">
        <f>IF(Plantilla_SCAN_EQ3_COUNT_2[[#This Row],[ID MATERIAL]]="","",B2297)</f>
        <v/>
      </c>
      <c r="C2298" s="21"/>
      <c r="D2298" s="21"/>
      <c r="E2298" s="7" t="str">
        <f>IF(Plantilla_SCAN_EQ3_COUNT_2[[#This Row],[ID MATERIAL]]="","",VLOOKUP(Plantilla_SCAN_EQ3_COUNT_2[[#This Row],[ID MATERIAL]],INVENTARIO!$A:$D,2,FALSE))</f>
        <v/>
      </c>
      <c r="F2298" s="7" t="str">
        <f>IF(Plantilla_SCAN_EQ3_COUNT_2[[#This Row],[ID MATERIAL]]="","",IF(Plantilla_SCAN_EQ3_COUNT_2[[#This Row],[No. Empaques]]="",1,Plantilla_SCAN_EQ3_COUNT_2[[#This Row],[No. Empaques]]*1))</f>
        <v/>
      </c>
      <c r="G2298" s="7" t="str">
        <f>IF(Plantilla_SCAN_EQ3_COUNT_2[[#This Row],[ID MATERIAL]]="","","PZ")</f>
        <v/>
      </c>
      <c r="H2298" s="7" t="str">
        <f>IF(Plantilla_SCAN_EQ3_COUNT_2[[#This Row],[ID MATERIAL]]="","",$B$13)</f>
        <v/>
      </c>
      <c r="I2298" s="7" t="str">
        <f>IF(Plantilla_SCAN_EQ3_COUNT_2[[#This Row],[ID MATERIAL]]="","","Segundo Conteo")</f>
        <v/>
      </c>
    </row>
    <row r="2299" spans="1:9" s="7" customFormat="1" ht="15" x14ac:dyDescent="0.2">
      <c r="A2299" s="7" t="str">
        <f>IF(Plantilla_SCAN_EQ3_COUNT_2[[#This Row],[ID MATERIAL]]="","",SIGN(Plantilla_SCAN_EQ3_COUNT_2[[#This Row],[Cantidad]])+A2298)</f>
        <v/>
      </c>
      <c r="B2299" s="21" t="str">
        <f>IF(Plantilla_SCAN_EQ3_COUNT_2[[#This Row],[ID MATERIAL]]="","",B2298)</f>
        <v/>
      </c>
      <c r="C2299" s="21"/>
      <c r="D2299" s="21"/>
      <c r="E2299" s="7" t="str">
        <f>IF(Plantilla_SCAN_EQ3_COUNT_2[[#This Row],[ID MATERIAL]]="","",VLOOKUP(Plantilla_SCAN_EQ3_COUNT_2[[#This Row],[ID MATERIAL]],INVENTARIO!$A:$D,2,FALSE))</f>
        <v/>
      </c>
      <c r="F2299" s="7" t="str">
        <f>IF(Plantilla_SCAN_EQ3_COUNT_2[[#This Row],[ID MATERIAL]]="","",IF(Plantilla_SCAN_EQ3_COUNT_2[[#This Row],[No. Empaques]]="",1,Plantilla_SCAN_EQ3_COUNT_2[[#This Row],[No. Empaques]]*1))</f>
        <v/>
      </c>
      <c r="G2299" s="7" t="str">
        <f>IF(Plantilla_SCAN_EQ3_COUNT_2[[#This Row],[ID MATERIAL]]="","","PZ")</f>
        <v/>
      </c>
      <c r="H2299" s="7" t="str">
        <f>IF(Plantilla_SCAN_EQ3_COUNT_2[[#This Row],[ID MATERIAL]]="","",$B$13)</f>
        <v/>
      </c>
      <c r="I2299" s="7" t="str">
        <f>IF(Plantilla_SCAN_EQ3_COUNT_2[[#This Row],[ID MATERIAL]]="","","Segundo Conteo")</f>
        <v/>
      </c>
    </row>
    <row r="2300" spans="1:9" s="7" customFormat="1" ht="15" x14ac:dyDescent="0.2">
      <c r="A2300" s="7" t="str">
        <f>IF(Plantilla_SCAN_EQ3_COUNT_2[[#This Row],[ID MATERIAL]]="","",SIGN(Plantilla_SCAN_EQ3_COUNT_2[[#This Row],[Cantidad]])+A2299)</f>
        <v/>
      </c>
      <c r="B2300" s="21" t="str">
        <f>IF(Plantilla_SCAN_EQ3_COUNT_2[[#This Row],[ID MATERIAL]]="","",B2299)</f>
        <v/>
      </c>
      <c r="C2300" s="21"/>
      <c r="D2300" s="21"/>
      <c r="E2300" s="7" t="str">
        <f>IF(Plantilla_SCAN_EQ3_COUNT_2[[#This Row],[ID MATERIAL]]="","",VLOOKUP(Plantilla_SCAN_EQ3_COUNT_2[[#This Row],[ID MATERIAL]],INVENTARIO!$A:$D,2,FALSE))</f>
        <v/>
      </c>
      <c r="F2300" s="7" t="str">
        <f>IF(Plantilla_SCAN_EQ3_COUNT_2[[#This Row],[ID MATERIAL]]="","",IF(Plantilla_SCAN_EQ3_COUNT_2[[#This Row],[No. Empaques]]="",1,Plantilla_SCAN_EQ3_COUNT_2[[#This Row],[No. Empaques]]*1))</f>
        <v/>
      </c>
      <c r="G2300" s="7" t="str">
        <f>IF(Plantilla_SCAN_EQ3_COUNT_2[[#This Row],[ID MATERIAL]]="","","PZ")</f>
        <v/>
      </c>
      <c r="H2300" s="7" t="str">
        <f>IF(Plantilla_SCAN_EQ3_COUNT_2[[#This Row],[ID MATERIAL]]="","",$B$13)</f>
        <v/>
      </c>
      <c r="I2300" s="7" t="str">
        <f>IF(Plantilla_SCAN_EQ3_COUNT_2[[#This Row],[ID MATERIAL]]="","","Segundo Conteo")</f>
        <v/>
      </c>
    </row>
    <row r="2301" spans="1:9" s="7" customFormat="1" ht="15" x14ac:dyDescent="0.2">
      <c r="A2301" s="7" t="str">
        <f>IF(Plantilla_SCAN_EQ3_COUNT_2[[#This Row],[ID MATERIAL]]="","",SIGN(Plantilla_SCAN_EQ3_COUNT_2[[#This Row],[Cantidad]])+A2300)</f>
        <v/>
      </c>
      <c r="B2301" s="21" t="str">
        <f>IF(Plantilla_SCAN_EQ3_COUNT_2[[#This Row],[ID MATERIAL]]="","",B2300)</f>
        <v/>
      </c>
      <c r="C2301" s="21"/>
      <c r="D2301" s="21"/>
      <c r="E2301" s="7" t="str">
        <f>IF(Plantilla_SCAN_EQ3_COUNT_2[[#This Row],[ID MATERIAL]]="","",VLOOKUP(Plantilla_SCAN_EQ3_COUNT_2[[#This Row],[ID MATERIAL]],INVENTARIO!$A:$D,2,FALSE))</f>
        <v/>
      </c>
      <c r="F2301" s="7" t="str">
        <f>IF(Plantilla_SCAN_EQ3_COUNT_2[[#This Row],[ID MATERIAL]]="","",IF(Plantilla_SCAN_EQ3_COUNT_2[[#This Row],[No. Empaques]]="",1,Plantilla_SCAN_EQ3_COUNT_2[[#This Row],[No. Empaques]]*1))</f>
        <v/>
      </c>
      <c r="G2301" s="7" t="str">
        <f>IF(Plantilla_SCAN_EQ3_COUNT_2[[#This Row],[ID MATERIAL]]="","","PZ")</f>
        <v/>
      </c>
      <c r="H2301" s="7" t="str">
        <f>IF(Plantilla_SCAN_EQ3_COUNT_2[[#This Row],[ID MATERIAL]]="","",$B$13)</f>
        <v/>
      </c>
      <c r="I2301" s="7" t="str">
        <f>IF(Plantilla_SCAN_EQ3_COUNT_2[[#This Row],[ID MATERIAL]]="","","Segundo Conteo")</f>
        <v/>
      </c>
    </row>
    <row r="2302" spans="1:9" s="7" customFormat="1" ht="15" x14ac:dyDescent="0.2">
      <c r="A2302" s="7" t="str">
        <f>IF(Plantilla_SCAN_EQ3_COUNT_2[[#This Row],[ID MATERIAL]]="","",SIGN(Plantilla_SCAN_EQ3_COUNT_2[[#This Row],[Cantidad]])+A2301)</f>
        <v/>
      </c>
      <c r="B2302" s="21" t="str">
        <f>IF(Plantilla_SCAN_EQ3_COUNT_2[[#This Row],[ID MATERIAL]]="","",B2301)</f>
        <v/>
      </c>
      <c r="C2302" s="21"/>
      <c r="D2302" s="21"/>
      <c r="E2302" s="7" t="str">
        <f>IF(Plantilla_SCAN_EQ3_COUNT_2[[#This Row],[ID MATERIAL]]="","",VLOOKUP(Plantilla_SCAN_EQ3_COUNT_2[[#This Row],[ID MATERIAL]],INVENTARIO!$A:$D,2,FALSE))</f>
        <v/>
      </c>
      <c r="F2302" s="7" t="str">
        <f>IF(Plantilla_SCAN_EQ3_COUNT_2[[#This Row],[ID MATERIAL]]="","",IF(Plantilla_SCAN_EQ3_COUNT_2[[#This Row],[No. Empaques]]="",1,Plantilla_SCAN_EQ3_COUNT_2[[#This Row],[No. Empaques]]*1))</f>
        <v/>
      </c>
      <c r="G2302" s="7" t="str">
        <f>IF(Plantilla_SCAN_EQ3_COUNT_2[[#This Row],[ID MATERIAL]]="","","PZ")</f>
        <v/>
      </c>
      <c r="H2302" s="7" t="str">
        <f>IF(Plantilla_SCAN_EQ3_COUNT_2[[#This Row],[ID MATERIAL]]="","",$B$13)</f>
        <v/>
      </c>
      <c r="I2302" s="7" t="str">
        <f>IF(Plantilla_SCAN_EQ3_COUNT_2[[#This Row],[ID MATERIAL]]="","","Segundo Conteo")</f>
        <v/>
      </c>
    </row>
    <row r="2303" spans="1:9" s="7" customFormat="1" ht="15" x14ac:dyDescent="0.2">
      <c r="A2303" s="7" t="str">
        <f>IF(Plantilla_SCAN_EQ3_COUNT_2[[#This Row],[ID MATERIAL]]="","",SIGN(Plantilla_SCAN_EQ3_COUNT_2[[#This Row],[Cantidad]])+A2302)</f>
        <v/>
      </c>
      <c r="B2303" s="21" t="str">
        <f>IF(Plantilla_SCAN_EQ3_COUNT_2[[#This Row],[ID MATERIAL]]="","",B2302)</f>
        <v/>
      </c>
      <c r="C2303" s="21"/>
      <c r="D2303" s="21"/>
      <c r="E2303" s="7" t="str">
        <f>IF(Plantilla_SCAN_EQ3_COUNT_2[[#This Row],[ID MATERIAL]]="","",VLOOKUP(Plantilla_SCAN_EQ3_COUNT_2[[#This Row],[ID MATERIAL]],INVENTARIO!$A:$D,2,FALSE))</f>
        <v/>
      </c>
      <c r="F2303" s="7" t="str">
        <f>IF(Plantilla_SCAN_EQ3_COUNT_2[[#This Row],[ID MATERIAL]]="","",IF(Plantilla_SCAN_EQ3_COUNT_2[[#This Row],[No. Empaques]]="",1,Plantilla_SCAN_EQ3_COUNT_2[[#This Row],[No. Empaques]]*1))</f>
        <v/>
      </c>
      <c r="G2303" s="7" t="str">
        <f>IF(Plantilla_SCAN_EQ3_COUNT_2[[#This Row],[ID MATERIAL]]="","","PZ")</f>
        <v/>
      </c>
      <c r="H2303" s="7" t="str">
        <f>IF(Plantilla_SCAN_EQ3_COUNT_2[[#This Row],[ID MATERIAL]]="","",$B$13)</f>
        <v/>
      </c>
      <c r="I2303" s="7" t="str">
        <f>IF(Plantilla_SCAN_EQ3_COUNT_2[[#This Row],[ID MATERIAL]]="","","Segundo Conteo")</f>
        <v/>
      </c>
    </row>
    <row r="2304" spans="1:9" s="7" customFormat="1" ht="15" x14ac:dyDescent="0.2">
      <c r="A2304" s="7" t="str">
        <f>IF(Plantilla_SCAN_EQ3_COUNT_2[[#This Row],[ID MATERIAL]]="","",SIGN(Plantilla_SCAN_EQ3_COUNT_2[[#This Row],[Cantidad]])+A2303)</f>
        <v/>
      </c>
      <c r="B2304" s="21" t="str">
        <f>IF(Plantilla_SCAN_EQ3_COUNT_2[[#This Row],[ID MATERIAL]]="","",B2303)</f>
        <v/>
      </c>
      <c r="C2304" s="21"/>
      <c r="D2304" s="21"/>
      <c r="E2304" s="7" t="str">
        <f>IF(Plantilla_SCAN_EQ3_COUNT_2[[#This Row],[ID MATERIAL]]="","",VLOOKUP(Plantilla_SCAN_EQ3_COUNT_2[[#This Row],[ID MATERIAL]],INVENTARIO!$A:$D,2,FALSE))</f>
        <v/>
      </c>
      <c r="F2304" s="7" t="str">
        <f>IF(Plantilla_SCAN_EQ3_COUNT_2[[#This Row],[ID MATERIAL]]="","",IF(Plantilla_SCAN_EQ3_COUNT_2[[#This Row],[No. Empaques]]="",1,Plantilla_SCAN_EQ3_COUNT_2[[#This Row],[No. Empaques]]*1))</f>
        <v/>
      </c>
      <c r="G2304" s="7" t="str">
        <f>IF(Plantilla_SCAN_EQ3_COUNT_2[[#This Row],[ID MATERIAL]]="","","PZ")</f>
        <v/>
      </c>
      <c r="H2304" s="7" t="str">
        <f>IF(Plantilla_SCAN_EQ3_COUNT_2[[#This Row],[ID MATERIAL]]="","",$B$13)</f>
        <v/>
      </c>
      <c r="I2304" s="7" t="str">
        <f>IF(Plantilla_SCAN_EQ3_COUNT_2[[#This Row],[ID MATERIAL]]="","","Segundo Conteo")</f>
        <v/>
      </c>
    </row>
    <row r="2305" spans="1:9" s="7" customFormat="1" ht="15" x14ac:dyDescent="0.2">
      <c r="A2305" s="7" t="str">
        <f>IF(Plantilla_SCAN_EQ3_COUNT_2[[#This Row],[ID MATERIAL]]="","",SIGN(Plantilla_SCAN_EQ3_COUNT_2[[#This Row],[Cantidad]])+A2304)</f>
        <v/>
      </c>
      <c r="B2305" s="21" t="str">
        <f>IF(Plantilla_SCAN_EQ3_COUNT_2[[#This Row],[ID MATERIAL]]="","",B2304)</f>
        <v/>
      </c>
      <c r="C2305" s="21"/>
      <c r="D2305" s="21"/>
      <c r="E2305" s="7" t="str">
        <f>IF(Plantilla_SCAN_EQ3_COUNT_2[[#This Row],[ID MATERIAL]]="","",VLOOKUP(Plantilla_SCAN_EQ3_COUNT_2[[#This Row],[ID MATERIAL]],INVENTARIO!$A:$D,2,FALSE))</f>
        <v/>
      </c>
      <c r="F2305" s="7" t="str">
        <f>IF(Plantilla_SCAN_EQ3_COUNT_2[[#This Row],[ID MATERIAL]]="","",IF(Plantilla_SCAN_EQ3_COUNT_2[[#This Row],[No. Empaques]]="",1,Plantilla_SCAN_EQ3_COUNT_2[[#This Row],[No. Empaques]]*1))</f>
        <v/>
      </c>
      <c r="G2305" s="7" t="str">
        <f>IF(Plantilla_SCAN_EQ3_COUNT_2[[#This Row],[ID MATERIAL]]="","","PZ")</f>
        <v/>
      </c>
      <c r="H2305" s="7" t="str">
        <f>IF(Plantilla_SCAN_EQ3_COUNT_2[[#This Row],[ID MATERIAL]]="","",$B$13)</f>
        <v/>
      </c>
      <c r="I2305" s="7" t="str">
        <f>IF(Plantilla_SCAN_EQ3_COUNT_2[[#This Row],[ID MATERIAL]]="","","Segundo Conteo")</f>
        <v/>
      </c>
    </row>
    <row r="2306" spans="1:9" s="7" customFormat="1" ht="15" x14ac:dyDescent="0.2">
      <c r="A2306" s="7" t="str">
        <f>IF(Plantilla_SCAN_EQ3_COUNT_2[[#This Row],[ID MATERIAL]]="","",SIGN(Plantilla_SCAN_EQ3_COUNT_2[[#This Row],[Cantidad]])+A2305)</f>
        <v/>
      </c>
      <c r="B2306" s="21" t="str">
        <f>IF(Plantilla_SCAN_EQ3_COUNT_2[[#This Row],[ID MATERIAL]]="","",B2305)</f>
        <v/>
      </c>
      <c r="C2306" s="21"/>
      <c r="D2306" s="21"/>
      <c r="E2306" s="7" t="str">
        <f>IF(Plantilla_SCAN_EQ3_COUNT_2[[#This Row],[ID MATERIAL]]="","",VLOOKUP(Plantilla_SCAN_EQ3_COUNT_2[[#This Row],[ID MATERIAL]],INVENTARIO!$A:$D,2,FALSE))</f>
        <v/>
      </c>
      <c r="F2306" s="7" t="str">
        <f>IF(Plantilla_SCAN_EQ3_COUNT_2[[#This Row],[ID MATERIAL]]="","",IF(Plantilla_SCAN_EQ3_COUNT_2[[#This Row],[No. Empaques]]="",1,Plantilla_SCAN_EQ3_COUNT_2[[#This Row],[No. Empaques]]*1))</f>
        <v/>
      </c>
      <c r="G2306" s="7" t="str">
        <f>IF(Plantilla_SCAN_EQ3_COUNT_2[[#This Row],[ID MATERIAL]]="","","PZ")</f>
        <v/>
      </c>
      <c r="H2306" s="7" t="str">
        <f>IF(Plantilla_SCAN_EQ3_COUNT_2[[#This Row],[ID MATERIAL]]="","",$B$13)</f>
        <v/>
      </c>
      <c r="I2306" s="7" t="str">
        <f>IF(Plantilla_SCAN_EQ3_COUNT_2[[#This Row],[ID MATERIAL]]="","","Segundo Conteo")</f>
        <v/>
      </c>
    </row>
    <row r="2307" spans="1:9" s="7" customFormat="1" ht="15" x14ac:dyDescent="0.2">
      <c r="A2307" s="7" t="str">
        <f>IF(Plantilla_SCAN_EQ3_COUNT_2[[#This Row],[ID MATERIAL]]="","",SIGN(Plantilla_SCAN_EQ3_COUNT_2[[#This Row],[Cantidad]])+A2306)</f>
        <v/>
      </c>
      <c r="B2307" s="21" t="str">
        <f>IF(Plantilla_SCAN_EQ3_COUNT_2[[#This Row],[ID MATERIAL]]="","",B2306)</f>
        <v/>
      </c>
      <c r="C2307" s="21"/>
      <c r="D2307" s="21"/>
      <c r="E2307" s="7" t="str">
        <f>IF(Plantilla_SCAN_EQ3_COUNT_2[[#This Row],[ID MATERIAL]]="","",VLOOKUP(Plantilla_SCAN_EQ3_COUNT_2[[#This Row],[ID MATERIAL]],INVENTARIO!$A:$D,2,FALSE))</f>
        <v/>
      </c>
      <c r="F2307" s="7" t="str">
        <f>IF(Plantilla_SCAN_EQ3_COUNT_2[[#This Row],[ID MATERIAL]]="","",IF(Plantilla_SCAN_EQ3_COUNT_2[[#This Row],[No. Empaques]]="",1,Plantilla_SCAN_EQ3_COUNT_2[[#This Row],[No. Empaques]]*1))</f>
        <v/>
      </c>
      <c r="G2307" s="7" t="str">
        <f>IF(Plantilla_SCAN_EQ3_COUNT_2[[#This Row],[ID MATERIAL]]="","","PZ")</f>
        <v/>
      </c>
      <c r="H2307" s="7" t="str">
        <f>IF(Plantilla_SCAN_EQ3_COUNT_2[[#This Row],[ID MATERIAL]]="","",$B$13)</f>
        <v/>
      </c>
      <c r="I2307" s="7" t="str">
        <f>IF(Plantilla_SCAN_EQ3_COUNT_2[[#This Row],[ID MATERIAL]]="","","Segundo Conteo")</f>
        <v/>
      </c>
    </row>
    <row r="2308" spans="1:9" s="7" customFormat="1" ht="15" x14ac:dyDescent="0.2">
      <c r="A2308" s="7" t="str">
        <f>IF(Plantilla_SCAN_EQ3_COUNT_2[[#This Row],[ID MATERIAL]]="","",SIGN(Plantilla_SCAN_EQ3_COUNT_2[[#This Row],[Cantidad]])+A2307)</f>
        <v/>
      </c>
      <c r="B2308" s="21" t="str">
        <f>IF(Plantilla_SCAN_EQ3_COUNT_2[[#This Row],[ID MATERIAL]]="","",B2307)</f>
        <v/>
      </c>
      <c r="C2308" s="21"/>
      <c r="D2308" s="21"/>
      <c r="E2308" s="7" t="str">
        <f>IF(Plantilla_SCAN_EQ3_COUNT_2[[#This Row],[ID MATERIAL]]="","",VLOOKUP(Plantilla_SCAN_EQ3_COUNT_2[[#This Row],[ID MATERIAL]],INVENTARIO!$A:$D,2,FALSE))</f>
        <v/>
      </c>
      <c r="F2308" s="7" t="str">
        <f>IF(Plantilla_SCAN_EQ3_COUNT_2[[#This Row],[ID MATERIAL]]="","",IF(Plantilla_SCAN_EQ3_COUNT_2[[#This Row],[No. Empaques]]="",1,Plantilla_SCAN_EQ3_COUNT_2[[#This Row],[No. Empaques]]*1))</f>
        <v/>
      </c>
      <c r="G2308" s="7" t="str">
        <f>IF(Plantilla_SCAN_EQ3_COUNT_2[[#This Row],[ID MATERIAL]]="","","PZ")</f>
        <v/>
      </c>
      <c r="H2308" s="7" t="str">
        <f>IF(Plantilla_SCAN_EQ3_COUNT_2[[#This Row],[ID MATERIAL]]="","",$B$13)</f>
        <v/>
      </c>
      <c r="I2308" s="7" t="str">
        <f>IF(Plantilla_SCAN_EQ3_COUNT_2[[#This Row],[ID MATERIAL]]="","","Segundo Conteo")</f>
        <v/>
      </c>
    </row>
    <row r="2309" spans="1:9" s="7" customFormat="1" ht="15" x14ac:dyDescent="0.2">
      <c r="A2309" s="7" t="str">
        <f>IF(Plantilla_SCAN_EQ3_COUNT_2[[#This Row],[ID MATERIAL]]="","",SIGN(Plantilla_SCAN_EQ3_COUNT_2[[#This Row],[Cantidad]])+A2308)</f>
        <v/>
      </c>
      <c r="B2309" s="21" t="str">
        <f>IF(Plantilla_SCAN_EQ3_COUNT_2[[#This Row],[ID MATERIAL]]="","",B2308)</f>
        <v/>
      </c>
      <c r="C2309" s="21"/>
      <c r="D2309" s="21"/>
      <c r="E2309" s="7" t="str">
        <f>IF(Plantilla_SCAN_EQ3_COUNT_2[[#This Row],[ID MATERIAL]]="","",VLOOKUP(Plantilla_SCAN_EQ3_COUNT_2[[#This Row],[ID MATERIAL]],INVENTARIO!$A:$D,2,FALSE))</f>
        <v/>
      </c>
      <c r="F2309" s="7" t="str">
        <f>IF(Plantilla_SCAN_EQ3_COUNT_2[[#This Row],[ID MATERIAL]]="","",IF(Plantilla_SCAN_EQ3_COUNT_2[[#This Row],[No. Empaques]]="",1,Plantilla_SCAN_EQ3_COUNT_2[[#This Row],[No. Empaques]]*1))</f>
        <v/>
      </c>
      <c r="G2309" s="7" t="str">
        <f>IF(Plantilla_SCAN_EQ3_COUNT_2[[#This Row],[ID MATERIAL]]="","","PZ")</f>
        <v/>
      </c>
      <c r="H2309" s="7" t="str">
        <f>IF(Plantilla_SCAN_EQ3_COUNT_2[[#This Row],[ID MATERIAL]]="","",$B$13)</f>
        <v/>
      </c>
      <c r="I2309" s="7" t="str">
        <f>IF(Plantilla_SCAN_EQ3_COUNT_2[[#This Row],[ID MATERIAL]]="","","Segundo Conteo")</f>
        <v/>
      </c>
    </row>
    <row r="2310" spans="1:9" s="7" customFormat="1" ht="15" x14ac:dyDescent="0.2">
      <c r="A2310" s="7" t="str">
        <f>IF(Plantilla_SCAN_EQ3_COUNT_2[[#This Row],[ID MATERIAL]]="","",SIGN(Plantilla_SCAN_EQ3_COUNT_2[[#This Row],[Cantidad]])+A2309)</f>
        <v/>
      </c>
      <c r="B2310" s="21" t="str">
        <f>IF(Plantilla_SCAN_EQ3_COUNT_2[[#This Row],[ID MATERIAL]]="","",B2309)</f>
        <v/>
      </c>
      <c r="C2310" s="21"/>
      <c r="D2310" s="21"/>
      <c r="E2310" s="7" t="str">
        <f>IF(Plantilla_SCAN_EQ3_COUNT_2[[#This Row],[ID MATERIAL]]="","",VLOOKUP(Plantilla_SCAN_EQ3_COUNT_2[[#This Row],[ID MATERIAL]],INVENTARIO!$A:$D,2,FALSE))</f>
        <v/>
      </c>
      <c r="F2310" s="7" t="str">
        <f>IF(Plantilla_SCAN_EQ3_COUNT_2[[#This Row],[ID MATERIAL]]="","",IF(Plantilla_SCAN_EQ3_COUNT_2[[#This Row],[No. Empaques]]="",1,Plantilla_SCAN_EQ3_COUNT_2[[#This Row],[No. Empaques]]*1))</f>
        <v/>
      </c>
      <c r="G2310" s="7" t="str">
        <f>IF(Plantilla_SCAN_EQ3_COUNT_2[[#This Row],[ID MATERIAL]]="","","PZ")</f>
        <v/>
      </c>
      <c r="H2310" s="7" t="str">
        <f>IF(Plantilla_SCAN_EQ3_COUNT_2[[#This Row],[ID MATERIAL]]="","",$B$13)</f>
        <v/>
      </c>
      <c r="I2310" s="7" t="str">
        <f>IF(Plantilla_SCAN_EQ3_COUNT_2[[#This Row],[ID MATERIAL]]="","","Segundo Conteo")</f>
        <v/>
      </c>
    </row>
    <row r="2311" spans="1:9" s="7" customFormat="1" ht="15" x14ac:dyDescent="0.2">
      <c r="A2311" s="7" t="str">
        <f>IF(Plantilla_SCAN_EQ3_COUNT_2[[#This Row],[ID MATERIAL]]="","",SIGN(Plantilla_SCAN_EQ3_COUNT_2[[#This Row],[Cantidad]])+A2310)</f>
        <v/>
      </c>
      <c r="B2311" s="21" t="str">
        <f>IF(Plantilla_SCAN_EQ3_COUNT_2[[#This Row],[ID MATERIAL]]="","",B2310)</f>
        <v/>
      </c>
      <c r="C2311" s="21"/>
      <c r="D2311" s="21"/>
      <c r="E2311" s="7" t="str">
        <f>IF(Plantilla_SCAN_EQ3_COUNT_2[[#This Row],[ID MATERIAL]]="","",VLOOKUP(Plantilla_SCAN_EQ3_COUNT_2[[#This Row],[ID MATERIAL]],INVENTARIO!$A:$D,2,FALSE))</f>
        <v/>
      </c>
      <c r="F2311" s="7" t="str">
        <f>IF(Plantilla_SCAN_EQ3_COUNT_2[[#This Row],[ID MATERIAL]]="","",IF(Plantilla_SCAN_EQ3_COUNT_2[[#This Row],[No. Empaques]]="",1,Plantilla_SCAN_EQ3_COUNT_2[[#This Row],[No. Empaques]]*1))</f>
        <v/>
      </c>
      <c r="G2311" s="7" t="str">
        <f>IF(Plantilla_SCAN_EQ3_COUNT_2[[#This Row],[ID MATERIAL]]="","","PZ")</f>
        <v/>
      </c>
      <c r="H2311" s="7" t="str">
        <f>IF(Plantilla_SCAN_EQ3_COUNT_2[[#This Row],[ID MATERIAL]]="","",$B$13)</f>
        <v/>
      </c>
      <c r="I2311" s="7" t="str">
        <f>IF(Plantilla_SCAN_EQ3_COUNT_2[[#This Row],[ID MATERIAL]]="","","Segundo Conteo")</f>
        <v/>
      </c>
    </row>
    <row r="2312" spans="1:9" s="7" customFormat="1" ht="15" x14ac:dyDescent="0.2">
      <c r="A2312" s="7" t="str">
        <f>IF(Plantilla_SCAN_EQ3_COUNT_2[[#This Row],[ID MATERIAL]]="","",SIGN(Plantilla_SCAN_EQ3_COUNT_2[[#This Row],[Cantidad]])+A2311)</f>
        <v/>
      </c>
      <c r="B2312" s="21" t="str">
        <f>IF(Plantilla_SCAN_EQ3_COUNT_2[[#This Row],[ID MATERIAL]]="","",B2311)</f>
        <v/>
      </c>
      <c r="C2312" s="21"/>
      <c r="D2312" s="21"/>
      <c r="E2312" s="7" t="str">
        <f>IF(Plantilla_SCAN_EQ3_COUNT_2[[#This Row],[ID MATERIAL]]="","",VLOOKUP(Plantilla_SCAN_EQ3_COUNT_2[[#This Row],[ID MATERIAL]],INVENTARIO!$A:$D,2,FALSE))</f>
        <v/>
      </c>
      <c r="F2312" s="7" t="str">
        <f>IF(Plantilla_SCAN_EQ3_COUNT_2[[#This Row],[ID MATERIAL]]="","",IF(Plantilla_SCAN_EQ3_COUNT_2[[#This Row],[No. Empaques]]="",1,Plantilla_SCAN_EQ3_COUNT_2[[#This Row],[No. Empaques]]*1))</f>
        <v/>
      </c>
      <c r="G2312" s="7" t="str">
        <f>IF(Plantilla_SCAN_EQ3_COUNT_2[[#This Row],[ID MATERIAL]]="","","PZ")</f>
        <v/>
      </c>
      <c r="H2312" s="7" t="str">
        <f>IF(Plantilla_SCAN_EQ3_COUNT_2[[#This Row],[ID MATERIAL]]="","",$B$13)</f>
        <v/>
      </c>
      <c r="I2312" s="7" t="str">
        <f>IF(Plantilla_SCAN_EQ3_COUNT_2[[#This Row],[ID MATERIAL]]="","","Segundo Conteo")</f>
        <v/>
      </c>
    </row>
    <row r="2313" spans="1:9" s="7" customFormat="1" ht="15" x14ac:dyDescent="0.2">
      <c r="A2313" s="7" t="str">
        <f>IF(Plantilla_SCAN_EQ3_COUNT_2[[#This Row],[ID MATERIAL]]="","",SIGN(Plantilla_SCAN_EQ3_COUNT_2[[#This Row],[Cantidad]])+A2312)</f>
        <v/>
      </c>
      <c r="B2313" s="21" t="str">
        <f>IF(Plantilla_SCAN_EQ3_COUNT_2[[#This Row],[ID MATERIAL]]="","",B2312)</f>
        <v/>
      </c>
      <c r="C2313" s="21"/>
      <c r="D2313" s="21"/>
      <c r="E2313" s="7" t="str">
        <f>IF(Plantilla_SCAN_EQ3_COUNT_2[[#This Row],[ID MATERIAL]]="","",VLOOKUP(Plantilla_SCAN_EQ3_COUNT_2[[#This Row],[ID MATERIAL]],INVENTARIO!$A:$D,2,FALSE))</f>
        <v/>
      </c>
      <c r="F2313" s="7" t="str">
        <f>IF(Plantilla_SCAN_EQ3_COUNT_2[[#This Row],[ID MATERIAL]]="","",IF(Plantilla_SCAN_EQ3_COUNT_2[[#This Row],[No. Empaques]]="",1,Plantilla_SCAN_EQ3_COUNT_2[[#This Row],[No. Empaques]]*1))</f>
        <v/>
      </c>
      <c r="G2313" s="7" t="str">
        <f>IF(Plantilla_SCAN_EQ3_COUNT_2[[#This Row],[ID MATERIAL]]="","","PZ")</f>
        <v/>
      </c>
      <c r="H2313" s="7" t="str">
        <f>IF(Plantilla_SCAN_EQ3_COUNT_2[[#This Row],[ID MATERIAL]]="","",$B$13)</f>
        <v/>
      </c>
      <c r="I2313" s="7" t="str">
        <f>IF(Plantilla_SCAN_EQ3_COUNT_2[[#This Row],[ID MATERIAL]]="","","Segundo Conteo")</f>
        <v/>
      </c>
    </row>
    <row r="2314" spans="1:9" s="7" customFormat="1" ht="15" x14ac:dyDescent="0.2">
      <c r="A2314" s="7" t="str">
        <f>IF(Plantilla_SCAN_EQ3_COUNT_2[[#This Row],[ID MATERIAL]]="","",SIGN(Plantilla_SCAN_EQ3_COUNT_2[[#This Row],[Cantidad]])+A2313)</f>
        <v/>
      </c>
      <c r="B2314" s="21" t="str">
        <f>IF(Plantilla_SCAN_EQ3_COUNT_2[[#This Row],[ID MATERIAL]]="","",B2313)</f>
        <v/>
      </c>
      <c r="C2314" s="21"/>
      <c r="D2314" s="21"/>
      <c r="E2314" s="7" t="str">
        <f>IF(Plantilla_SCAN_EQ3_COUNT_2[[#This Row],[ID MATERIAL]]="","",VLOOKUP(Plantilla_SCAN_EQ3_COUNT_2[[#This Row],[ID MATERIAL]],INVENTARIO!$A:$D,2,FALSE))</f>
        <v/>
      </c>
      <c r="F2314" s="7" t="str">
        <f>IF(Plantilla_SCAN_EQ3_COUNT_2[[#This Row],[ID MATERIAL]]="","",IF(Plantilla_SCAN_EQ3_COUNT_2[[#This Row],[No. Empaques]]="",1,Plantilla_SCAN_EQ3_COUNT_2[[#This Row],[No. Empaques]]*1))</f>
        <v/>
      </c>
      <c r="G2314" s="7" t="str">
        <f>IF(Plantilla_SCAN_EQ3_COUNT_2[[#This Row],[ID MATERIAL]]="","","PZ")</f>
        <v/>
      </c>
      <c r="H2314" s="7" t="str">
        <f>IF(Plantilla_SCAN_EQ3_COUNT_2[[#This Row],[ID MATERIAL]]="","",$B$13)</f>
        <v/>
      </c>
      <c r="I2314" s="7" t="str">
        <f>IF(Plantilla_SCAN_EQ3_COUNT_2[[#This Row],[ID MATERIAL]]="","","Segundo Conteo")</f>
        <v/>
      </c>
    </row>
    <row r="2315" spans="1:9" s="7" customFormat="1" ht="15" x14ac:dyDescent="0.2">
      <c r="A2315" s="7" t="str">
        <f>IF(Plantilla_SCAN_EQ3_COUNT_2[[#This Row],[ID MATERIAL]]="","",SIGN(Plantilla_SCAN_EQ3_COUNT_2[[#This Row],[Cantidad]])+A2314)</f>
        <v/>
      </c>
      <c r="B2315" s="21" t="str">
        <f>IF(Plantilla_SCAN_EQ3_COUNT_2[[#This Row],[ID MATERIAL]]="","",B2314)</f>
        <v/>
      </c>
      <c r="C2315" s="21"/>
      <c r="D2315" s="21"/>
      <c r="E2315" s="7" t="str">
        <f>IF(Plantilla_SCAN_EQ3_COUNT_2[[#This Row],[ID MATERIAL]]="","",VLOOKUP(Plantilla_SCAN_EQ3_COUNT_2[[#This Row],[ID MATERIAL]],INVENTARIO!$A:$D,2,FALSE))</f>
        <v/>
      </c>
      <c r="F2315" s="7" t="str">
        <f>IF(Plantilla_SCAN_EQ3_COUNT_2[[#This Row],[ID MATERIAL]]="","",IF(Plantilla_SCAN_EQ3_COUNT_2[[#This Row],[No. Empaques]]="",1,Plantilla_SCAN_EQ3_COUNT_2[[#This Row],[No. Empaques]]*1))</f>
        <v/>
      </c>
      <c r="G2315" s="7" t="str">
        <f>IF(Plantilla_SCAN_EQ3_COUNT_2[[#This Row],[ID MATERIAL]]="","","PZ")</f>
        <v/>
      </c>
      <c r="H2315" s="7" t="str">
        <f>IF(Plantilla_SCAN_EQ3_COUNT_2[[#This Row],[ID MATERIAL]]="","",$B$13)</f>
        <v/>
      </c>
      <c r="I2315" s="7" t="str">
        <f>IF(Plantilla_SCAN_EQ3_COUNT_2[[#This Row],[ID MATERIAL]]="","","Segundo Conteo")</f>
        <v/>
      </c>
    </row>
    <row r="2316" spans="1:9" s="7" customFormat="1" ht="15" x14ac:dyDescent="0.2">
      <c r="A2316" s="7" t="str">
        <f>IF(Plantilla_SCAN_EQ3_COUNT_2[[#This Row],[ID MATERIAL]]="","",SIGN(Plantilla_SCAN_EQ3_COUNT_2[[#This Row],[Cantidad]])+A2315)</f>
        <v/>
      </c>
      <c r="B2316" s="21" t="str">
        <f>IF(Plantilla_SCAN_EQ3_COUNT_2[[#This Row],[ID MATERIAL]]="","",B2315)</f>
        <v/>
      </c>
      <c r="C2316" s="21"/>
      <c r="D2316" s="21"/>
      <c r="E2316" s="7" t="str">
        <f>IF(Plantilla_SCAN_EQ3_COUNT_2[[#This Row],[ID MATERIAL]]="","",VLOOKUP(Plantilla_SCAN_EQ3_COUNT_2[[#This Row],[ID MATERIAL]],INVENTARIO!$A:$D,2,FALSE))</f>
        <v/>
      </c>
      <c r="F2316" s="7" t="str">
        <f>IF(Plantilla_SCAN_EQ3_COUNT_2[[#This Row],[ID MATERIAL]]="","",IF(Plantilla_SCAN_EQ3_COUNT_2[[#This Row],[No. Empaques]]="",1,Plantilla_SCAN_EQ3_COUNT_2[[#This Row],[No. Empaques]]*1))</f>
        <v/>
      </c>
      <c r="G2316" s="7" t="str">
        <f>IF(Plantilla_SCAN_EQ3_COUNT_2[[#This Row],[ID MATERIAL]]="","","PZ")</f>
        <v/>
      </c>
      <c r="H2316" s="7" t="str">
        <f>IF(Plantilla_SCAN_EQ3_COUNT_2[[#This Row],[ID MATERIAL]]="","",$B$13)</f>
        <v/>
      </c>
      <c r="I2316" s="7" t="str">
        <f>IF(Plantilla_SCAN_EQ3_COUNT_2[[#This Row],[ID MATERIAL]]="","","Segundo Conteo")</f>
        <v/>
      </c>
    </row>
    <row r="2317" spans="1:9" s="7" customFormat="1" ht="15" x14ac:dyDescent="0.2">
      <c r="A2317" s="7" t="str">
        <f>IF(Plantilla_SCAN_EQ3_COUNT_2[[#This Row],[ID MATERIAL]]="","",SIGN(Plantilla_SCAN_EQ3_COUNT_2[[#This Row],[Cantidad]])+A2316)</f>
        <v/>
      </c>
      <c r="B2317" s="21" t="str">
        <f>IF(Plantilla_SCAN_EQ3_COUNT_2[[#This Row],[ID MATERIAL]]="","",B2316)</f>
        <v/>
      </c>
      <c r="C2317" s="21"/>
      <c r="D2317" s="21"/>
      <c r="E2317" s="7" t="str">
        <f>IF(Plantilla_SCAN_EQ3_COUNT_2[[#This Row],[ID MATERIAL]]="","",VLOOKUP(Plantilla_SCAN_EQ3_COUNT_2[[#This Row],[ID MATERIAL]],INVENTARIO!$A:$D,2,FALSE))</f>
        <v/>
      </c>
      <c r="F2317" s="7" t="str">
        <f>IF(Plantilla_SCAN_EQ3_COUNT_2[[#This Row],[ID MATERIAL]]="","",IF(Plantilla_SCAN_EQ3_COUNT_2[[#This Row],[No. Empaques]]="",1,Plantilla_SCAN_EQ3_COUNT_2[[#This Row],[No. Empaques]]*1))</f>
        <v/>
      </c>
      <c r="G2317" s="7" t="str">
        <f>IF(Plantilla_SCAN_EQ3_COUNT_2[[#This Row],[ID MATERIAL]]="","","PZ")</f>
        <v/>
      </c>
      <c r="H2317" s="7" t="str">
        <f>IF(Plantilla_SCAN_EQ3_COUNT_2[[#This Row],[ID MATERIAL]]="","",$B$13)</f>
        <v/>
      </c>
      <c r="I2317" s="7" t="str">
        <f>IF(Plantilla_SCAN_EQ3_COUNT_2[[#This Row],[ID MATERIAL]]="","","Segundo Conteo")</f>
        <v/>
      </c>
    </row>
    <row r="2318" spans="1:9" s="7" customFormat="1" ht="15" x14ac:dyDescent="0.2">
      <c r="A2318" s="7" t="str">
        <f>IF(Plantilla_SCAN_EQ3_COUNT_2[[#This Row],[ID MATERIAL]]="","",SIGN(Plantilla_SCAN_EQ3_COUNT_2[[#This Row],[Cantidad]])+A2317)</f>
        <v/>
      </c>
      <c r="B2318" s="21" t="str">
        <f>IF(Plantilla_SCAN_EQ3_COUNT_2[[#This Row],[ID MATERIAL]]="","",B2317)</f>
        <v/>
      </c>
      <c r="C2318" s="21"/>
      <c r="D2318" s="21"/>
      <c r="E2318" s="7" t="str">
        <f>IF(Plantilla_SCAN_EQ3_COUNT_2[[#This Row],[ID MATERIAL]]="","",VLOOKUP(Plantilla_SCAN_EQ3_COUNT_2[[#This Row],[ID MATERIAL]],INVENTARIO!$A:$D,2,FALSE))</f>
        <v/>
      </c>
      <c r="F2318" s="7" t="str">
        <f>IF(Plantilla_SCAN_EQ3_COUNT_2[[#This Row],[ID MATERIAL]]="","",IF(Plantilla_SCAN_EQ3_COUNT_2[[#This Row],[No. Empaques]]="",1,Plantilla_SCAN_EQ3_COUNT_2[[#This Row],[No. Empaques]]*1))</f>
        <v/>
      </c>
      <c r="G2318" s="7" t="str">
        <f>IF(Plantilla_SCAN_EQ3_COUNT_2[[#This Row],[ID MATERIAL]]="","","PZ")</f>
        <v/>
      </c>
      <c r="H2318" s="7" t="str">
        <f>IF(Plantilla_SCAN_EQ3_COUNT_2[[#This Row],[ID MATERIAL]]="","",$B$13)</f>
        <v/>
      </c>
      <c r="I2318" s="7" t="str">
        <f>IF(Plantilla_SCAN_EQ3_COUNT_2[[#This Row],[ID MATERIAL]]="","","Segundo Conteo")</f>
        <v/>
      </c>
    </row>
    <row r="2319" spans="1:9" s="7" customFormat="1" ht="15" x14ac:dyDescent="0.2">
      <c r="A2319" s="7" t="str">
        <f>IF(Plantilla_SCAN_EQ3_COUNT_2[[#This Row],[ID MATERIAL]]="","",SIGN(Plantilla_SCAN_EQ3_COUNT_2[[#This Row],[Cantidad]])+A2318)</f>
        <v/>
      </c>
      <c r="B2319" s="21" t="str">
        <f>IF(Plantilla_SCAN_EQ3_COUNT_2[[#This Row],[ID MATERIAL]]="","",B2318)</f>
        <v/>
      </c>
      <c r="C2319" s="21"/>
      <c r="D2319" s="21"/>
      <c r="E2319" s="7" t="str">
        <f>IF(Plantilla_SCAN_EQ3_COUNT_2[[#This Row],[ID MATERIAL]]="","",VLOOKUP(Plantilla_SCAN_EQ3_COUNT_2[[#This Row],[ID MATERIAL]],INVENTARIO!$A:$D,2,FALSE))</f>
        <v/>
      </c>
      <c r="F2319" s="7" t="str">
        <f>IF(Plantilla_SCAN_EQ3_COUNT_2[[#This Row],[ID MATERIAL]]="","",IF(Plantilla_SCAN_EQ3_COUNT_2[[#This Row],[No. Empaques]]="",1,Plantilla_SCAN_EQ3_COUNT_2[[#This Row],[No. Empaques]]*1))</f>
        <v/>
      </c>
      <c r="G2319" s="7" t="str">
        <f>IF(Plantilla_SCAN_EQ3_COUNT_2[[#This Row],[ID MATERIAL]]="","","PZ")</f>
        <v/>
      </c>
      <c r="H2319" s="7" t="str">
        <f>IF(Plantilla_SCAN_EQ3_COUNT_2[[#This Row],[ID MATERIAL]]="","",$B$13)</f>
        <v/>
      </c>
      <c r="I2319" s="7" t="str">
        <f>IF(Plantilla_SCAN_EQ3_COUNT_2[[#This Row],[ID MATERIAL]]="","","Segundo Conteo")</f>
        <v/>
      </c>
    </row>
    <row r="2320" spans="1:9" s="7" customFormat="1" ht="15" x14ac:dyDescent="0.2">
      <c r="A2320" s="7" t="str">
        <f>IF(Plantilla_SCAN_EQ3_COUNT_2[[#This Row],[ID MATERIAL]]="","",SIGN(Plantilla_SCAN_EQ3_COUNT_2[[#This Row],[Cantidad]])+A2319)</f>
        <v/>
      </c>
      <c r="B2320" s="21" t="str">
        <f>IF(Plantilla_SCAN_EQ3_COUNT_2[[#This Row],[ID MATERIAL]]="","",B2319)</f>
        <v/>
      </c>
      <c r="C2320" s="21"/>
      <c r="D2320" s="21"/>
      <c r="E2320" s="7" t="str">
        <f>IF(Plantilla_SCAN_EQ3_COUNT_2[[#This Row],[ID MATERIAL]]="","",VLOOKUP(Plantilla_SCAN_EQ3_COUNT_2[[#This Row],[ID MATERIAL]],INVENTARIO!$A:$D,2,FALSE))</f>
        <v/>
      </c>
      <c r="F2320" s="7" t="str">
        <f>IF(Plantilla_SCAN_EQ3_COUNT_2[[#This Row],[ID MATERIAL]]="","",IF(Plantilla_SCAN_EQ3_COUNT_2[[#This Row],[No. Empaques]]="",1,Plantilla_SCAN_EQ3_COUNT_2[[#This Row],[No. Empaques]]*1))</f>
        <v/>
      </c>
      <c r="G2320" s="7" t="str">
        <f>IF(Plantilla_SCAN_EQ3_COUNT_2[[#This Row],[ID MATERIAL]]="","","PZ")</f>
        <v/>
      </c>
      <c r="H2320" s="7" t="str">
        <f>IF(Plantilla_SCAN_EQ3_COUNT_2[[#This Row],[ID MATERIAL]]="","",$B$13)</f>
        <v/>
      </c>
      <c r="I2320" s="7" t="str">
        <f>IF(Plantilla_SCAN_EQ3_COUNT_2[[#This Row],[ID MATERIAL]]="","","Segundo Conteo")</f>
        <v/>
      </c>
    </row>
    <row r="2321" spans="1:9" s="7" customFormat="1" ht="15" x14ac:dyDescent="0.2">
      <c r="A2321" s="7" t="str">
        <f>IF(Plantilla_SCAN_EQ3_COUNT_2[[#This Row],[ID MATERIAL]]="","",SIGN(Plantilla_SCAN_EQ3_COUNT_2[[#This Row],[Cantidad]])+A2320)</f>
        <v/>
      </c>
      <c r="B2321" s="21" t="str">
        <f>IF(Plantilla_SCAN_EQ3_COUNT_2[[#This Row],[ID MATERIAL]]="","",B2320)</f>
        <v/>
      </c>
      <c r="C2321" s="21"/>
      <c r="D2321" s="21"/>
      <c r="E2321" s="7" t="str">
        <f>IF(Plantilla_SCAN_EQ3_COUNT_2[[#This Row],[ID MATERIAL]]="","",VLOOKUP(Plantilla_SCAN_EQ3_COUNT_2[[#This Row],[ID MATERIAL]],INVENTARIO!$A:$D,2,FALSE))</f>
        <v/>
      </c>
      <c r="F2321" s="7" t="str">
        <f>IF(Plantilla_SCAN_EQ3_COUNT_2[[#This Row],[ID MATERIAL]]="","",IF(Plantilla_SCAN_EQ3_COUNT_2[[#This Row],[No. Empaques]]="",1,Plantilla_SCAN_EQ3_COUNT_2[[#This Row],[No. Empaques]]*1))</f>
        <v/>
      </c>
      <c r="G2321" s="7" t="str">
        <f>IF(Plantilla_SCAN_EQ3_COUNT_2[[#This Row],[ID MATERIAL]]="","","PZ")</f>
        <v/>
      </c>
      <c r="H2321" s="7" t="str">
        <f>IF(Plantilla_SCAN_EQ3_COUNT_2[[#This Row],[ID MATERIAL]]="","",$B$13)</f>
        <v/>
      </c>
      <c r="I2321" s="7" t="str">
        <f>IF(Plantilla_SCAN_EQ3_COUNT_2[[#This Row],[ID MATERIAL]]="","","Segundo Conteo")</f>
        <v/>
      </c>
    </row>
    <row r="2322" spans="1:9" s="7" customFormat="1" ht="15" x14ac:dyDescent="0.2">
      <c r="A2322" s="7" t="str">
        <f>IF(Plantilla_SCAN_EQ3_COUNT_2[[#This Row],[ID MATERIAL]]="","",SIGN(Plantilla_SCAN_EQ3_COUNT_2[[#This Row],[Cantidad]])+A2321)</f>
        <v/>
      </c>
      <c r="B2322" s="21" t="str">
        <f>IF(Plantilla_SCAN_EQ3_COUNT_2[[#This Row],[ID MATERIAL]]="","",B2321)</f>
        <v/>
      </c>
      <c r="C2322" s="21"/>
      <c r="D2322" s="21"/>
      <c r="E2322" s="7" t="str">
        <f>IF(Plantilla_SCAN_EQ3_COUNT_2[[#This Row],[ID MATERIAL]]="","",VLOOKUP(Plantilla_SCAN_EQ3_COUNT_2[[#This Row],[ID MATERIAL]],INVENTARIO!$A:$D,2,FALSE))</f>
        <v/>
      </c>
      <c r="F2322" s="7" t="str">
        <f>IF(Plantilla_SCAN_EQ3_COUNT_2[[#This Row],[ID MATERIAL]]="","",IF(Plantilla_SCAN_EQ3_COUNT_2[[#This Row],[No. Empaques]]="",1,Plantilla_SCAN_EQ3_COUNT_2[[#This Row],[No. Empaques]]*1))</f>
        <v/>
      </c>
      <c r="G2322" s="7" t="str">
        <f>IF(Plantilla_SCAN_EQ3_COUNT_2[[#This Row],[ID MATERIAL]]="","","PZ")</f>
        <v/>
      </c>
      <c r="H2322" s="7" t="str">
        <f>IF(Plantilla_SCAN_EQ3_COUNT_2[[#This Row],[ID MATERIAL]]="","",$B$13)</f>
        <v/>
      </c>
      <c r="I2322" s="7" t="str">
        <f>IF(Plantilla_SCAN_EQ3_COUNT_2[[#This Row],[ID MATERIAL]]="","","Segundo Conteo")</f>
        <v/>
      </c>
    </row>
    <row r="2323" spans="1:9" s="7" customFormat="1" ht="15" x14ac:dyDescent="0.2">
      <c r="A2323" s="7" t="str">
        <f>IF(Plantilla_SCAN_EQ3_COUNT_2[[#This Row],[ID MATERIAL]]="","",SIGN(Plantilla_SCAN_EQ3_COUNT_2[[#This Row],[Cantidad]])+A2322)</f>
        <v/>
      </c>
      <c r="B2323" s="21" t="str">
        <f>IF(Plantilla_SCAN_EQ3_COUNT_2[[#This Row],[ID MATERIAL]]="","",B2322)</f>
        <v/>
      </c>
      <c r="C2323" s="21"/>
      <c r="D2323" s="21"/>
      <c r="E2323" s="7" t="str">
        <f>IF(Plantilla_SCAN_EQ3_COUNT_2[[#This Row],[ID MATERIAL]]="","",VLOOKUP(Plantilla_SCAN_EQ3_COUNT_2[[#This Row],[ID MATERIAL]],INVENTARIO!$A:$D,2,FALSE))</f>
        <v/>
      </c>
      <c r="F2323" s="7" t="str">
        <f>IF(Plantilla_SCAN_EQ3_COUNT_2[[#This Row],[ID MATERIAL]]="","",IF(Plantilla_SCAN_EQ3_COUNT_2[[#This Row],[No. Empaques]]="",1,Plantilla_SCAN_EQ3_COUNT_2[[#This Row],[No. Empaques]]*1))</f>
        <v/>
      </c>
      <c r="G2323" s="7" t="str">
        <f>IF(Plantilla_SCAN_EQ3_COUNT_2[[#This Row],[ID MATERIAL]]="","","PZ")</f>
        <v/>
      </c>
      <c r="H2323" s="7" t="str">
        <f>IF(Plantilla_SCAN_EQ3_COUNT_2[[#This Row],[ID MATERIAL]]="","",$B$13)</f>
        <v/>
      </c>
      <c r="I2323" s="7" t="str">
        <f>IF(Plantilla_SCAN_EQ3_COUNT_2[[#This Row],[ID MATERIAL]]="","","Segundo Conteo")</f>
        <v/>
      </c>
    </row>
    <row r="2324" spans="1:9" s="7" customFormat="1" ht="15" x14ac:dyDescent="0.2">
      <c r="A2324" s="7" t="str">
        <f>IF(Plantilla_SCAN_EQ3_COUNT_2[[#This Row],[ID MATERIAL]]="","",SIGN(Plantilla_SCAN_EQ3_COUNT_2[[#This Row],[Cantidad]])+A2323)</f>
        <v/>
      </c>
      <c r="B2324" s="21" t="str">
        <f>IF(Plantilla_SCAN_EQ3_COUNT_2[[#This Row],[ID MATERIAL]]="","",B2323)</f>
        <v/>
      </c>
      <c r="C2324" s="21"/>
      <c r="D2324" s="21"/>
      <c r="E2324" s="7" t="str">
        <f>IF(Plantilla_SCAN_EQ3_COUNT_2[[#This Row],[ID MATERIAL]]="","",VLOOKUP(Plantilla_SCAN_EQ3_COUNT_2[[#This Row],[ID MATERIAL]],INVENTARIO!$A:$D,2,FALSE))</f>
        <v/>
      </c>
      <c r="F2324" s="7" t="str">
        <f>IF(Plantilla_SCAN_EQ3_COUNT_2[[#This Row],[ID MATERIAL]]="","",IF(Plantilla_SCAN_EQ3_COUNT_2[[#This Row],[No. Empaques]]="",1,Plantilla_SCAN_EQ3_COUNT_2[[#This Row],[No. Empaques]]*1))</f>
        <v/>
      </c>
      <c r="G2324" s="7" t="str">
        <f>IF(Plantilla_SCAN_EQ3_COUNT_2[[#This Row],[ID MATERIAL]]="","","PZ")</f>
        <v/>
      </c>
      <c r="H2324" s="7" t="str">
        <f>IF(Plantilla_SCAN_EQ3_COUNT_2[[#This Row],[ID MATERIAL]]="","",$B$13)</f>
        <v/>
      </c>
      <c r="I2324" s="7" t="str">
        <f>IF(Plantilla_SCAN_EQ3_COUNT_2[[#This Row],[ID MATERIAL]]="","","Segundo Conteo")</f>
        <v/>
      </c>
    </row>
    <row r="2325" spans="1:9" s="7" customFormat="1" ht="15" x14ac:dyDescent="0.2">
      <c r="A2325" s="7" t="str">
        <f>IF(Plantilla_SCAN_EQ3_COUNT_2[[#This Row],[ID MATERIAL]]="","",SIGN(Plantilla_SCAN_EQ3_COUNT_2[[#This Row],[Cantidad]])+A2324)</f>
        <v/>
      </c>
      <c r="B2325" s="21" t="str">
        <f>IF(Plantilla_SCAN_EQ3_COUNT_2[[#This Row],[ID MATERIAL]]="","",B2324)</f>
        <v/>
      </c>
      <c r="C2325" s="21"/>
      <c r="D2325" s="21"/>
      <c r="E2325" s="7" t="str">
        <f>IF(Plantilla_SCAN_EQ3_COUNT_2[[#This Row],[ID MATERIAL]]="","",VLOOKUP(Plantilla_SCAN_EQ3_COUNT_2[[#This Row],[ID MATERIAL]],INVENTARIO!$A:$D,2,FALSE))</f>
        <v/>
      </c>
      <c r="F2325" s="7" t="str">
        <f>IF(Plantilla_SCAN_EQ3_COUNT_2[[#This Row],[ID MATERIAL]]="","",IF(Plantilla_SCAN_EQ3_COUNT_2[[#This Row],[No. Empaques]]="",1,Plantilla_SCAN_EQ3_COUNT_2[[#This Row],[No. Empaques]]*1))</f>
        <v/>
      </c>
      <c r="G2325" s="7" t="str">
        <f>IF(Plantilla_SCAN_EQ3_COUNT_2[[#This Row],[ID MATERIAL]]="","","PZ")</f>
        <v/>
      </c>
      <c r="H2325" s="7" t="str">
        <f>IF(Plantilla_SCAN_EQ3_COUNT_2[[#This Row],[ID MATERIAL]]="","",$B$13)</f>
        <v/>
      </c>
      <c r="I2325" s="7" t="str">
        <f>IF(Plantilla_SCAN_EQ3_COUNT_2[[#This Row],[ID MATERIAL]]="","","Segundo Conteo")</f>
        <v/>
      </c>
    </row>
    <row r="2326" spans="1:9" s="7" customFormat="1" ht="15" x14ac:dyDescent="0.2">
      <c r="A2326" s="7" t="str">
        <f>IF(Plantilla_SCAN_EQ3_COUNT_2[[#This Row],[ID MATERIAL]]="","",SIGN(Plantilla_SCAN_EQ3_COUNT_2[[#This Row],[Cantidad]])+A2325)</f>
        <v/>
      </c>
      <c r="B2326" s="21" t="str">
        <f>IF(Plantilla_SCAN_EQ3_COUNT_2[[#This Row],[ID MATERIAL]]="","",B2325)</f>
        <v/>
      </c>
      <c r="C2326" s="21"/>
      <c r="D2326" s="21"/>
      <c r="E2326" s="7" t="str">
        <f>IF(Plantilla_SCAN_EQ3_COUNT_2[[#This Row],[ID MATERIAL]]="","",VLOOKUP(Plantilla_SCAN_EQ3_COUNT_2[[#This Row],[ID MATERIAL]],INVENTARIO!$A:$D,2,FALSE))</f>
        <v/>
      </c>
      <c r="F2326" s="7" t="str">
        <f>IF(Plantilla_SCAN_EQ3_COUNT_2[[#This Row],[ID MATERIAL]]="","",IF(Plantilla_SCAN_EQ3_COUNT_2[[#This Row],[No. Empaques]]="",1,Plantilla_SCAN_EQ3_COUNT_2[[#This Row],[No. Empaques]]*1))</f>
        <v/>
      </c>
      <c r="G2326" s="7" t="str">
        <f>IF(Plantilla_SCAN_EQ3_COUNT_2[[#This Row],[ID MATERIAL]]="","","PZ")</f>
        <v/>
      </c>
      <c r="H2326" s="7" t="str">
        <f>IF(Plantilla_SCAN_EQ3_COUNT_2[[#This Row],[ID MATERIAL]]="","",$B$13)</f>
        <v/>
      </c>
      <c r="I2326" s="7" t="str">
        <f>IF(Plantilla_SCAN_EQ3_COUNT_2[[#This Row],[ID MATERIAL]]="","","Segundo Conteo")</f>
        <v/>
      </c>
    </row>
    <row r="2327" spans="1:9" s="7" customFormat="1" ht="15" x14ac:dyDescent="0.2">
      <c r="A2327" s="7" t="str">
        <f>IF(Plantilla_SCAN_EQ3_COUNT_2[[#This Row],[ID MATERIAL]]="","",SIGN(Plantilla_SCAN_EQ3_COUNT_2[[#This Row],[Cantidad]])+A2326)</f>
        <v/>
      </c>
      <c r="B2327" s="21" t="str">
        <f>IF(Plantilla_SCAN_EQ3_COUNT_2[[#This Row],[ID MATERIAL]]="","",B2326)</f>
        <v/>
      </c>
      <c r="C2327" s="21"/>
      <c r="D2327" s="21"/>
      <c r="E2327" s="7" t="str">
        <f>IF(Plantilla_SCAN_EQ3_COUNT_2[[#This Row],[ID MATERIAL]]="","",VLOOKUP(Plantilla_SCAN_EQ3_COUNT_2[[#This Row],[ID MATERIAL]],INVENTARIO!$A:$D,2,FALSE))</f>
        <v/>
      </c>
      <c r="F2327" s="7" t="str">
        <f>IF(Plantilla_SCAN_EQ3_COUNT_2[[#This Row],[ID MATERIAL]]="","",IF(Plantilla_SCAN_EQ3_COUNT_2[[#This Row],[No. Empaques]]="",1,Plantilla_SCAN_EQ3_COUNT_2[[#This Row],[No. Empaques]]*1))</f>
        <v/>
      </c>
      <c r="G2327" s="7" t="str">
        <f>IF(Plantilla_SCAN_EQ3_COUNT_2[[#This Row],[ID MATERIAL]]="","","PZ")</f>
        <v/>
      </c>
      <c r="H2327" s="7" t="str">
        <f>IF(Plantilla_SCAN_EQ3_COUNT_2[[#This Row],[ID MATERIAL]]="","",$B$13)</f>
        <v/>
      </c>
      <c r="I2327" s="7" t="str">
        <f>IF(Plantilla_SCAN_EQ3_COUNT_2[[#This Row],[ID MATERIAL]]="","","Segundo Conteo")</f>
        <v/>
      </c>
    </row>
    <row r="2328" spans="1:9" s="7" customFormat="1" ht="15" x14ac:dyDescent="0.2">
      <c r="A2328" s="7" t="str">
        <f>IF(Plantilla_SCAN_EQ3_COUNT_2[[#This Row],[ID MATERIAL]]="","",SIGN(Plantilla_SCAN_EQ3_COUNT_2[[#This Row],[Cantidad]])+A2327)</f>
        <v/>
      </c>
      <c r="B2328" s="21" t="str">
        <f>IF(Plantilla_SCAN_EQ3_COUNT_2[[#This Row],[ID MATERIAL]]="","",B2327)</f>
        <v/>
      </c>
      <c r="C2328" s="21"/>
      <c r="D2328" s="21"/>
      <c r="E2328" s="7" t="str">
        <f>IF(Plantilla_SCAN_EQ3_COUNT_2[[#This Row],[ID MATERIAL]]="","",VLOOKUP(Plantilla_SCAN_EQ3_COUNT_2[[#This Row],[ID MATERIAL]],INVENTARIO!$A:$D,2,FALSE))</f>
        <v/>
      </c>
      <c r="F2328" s="7" t="str">
        <f>IF(Plantilla_SCAN_EQ3_COUNT_2[[#This Row],[ID MATERIAL]]="","",IF(Plantilla_SCAN_EQ3_COUNT_2[[#This Row],[No. Empaques]]="",1,Plantilla_SCAN_EQ3_COUNT_2[[#This Row],[No. Empaques]]*1))</f>
        <v/>
      </c>
      <c r="G2328" s="7" t="str">
        <f>IF(Plantilla_SCAN_EQ3_COUNT_2[[#This Row],[ID MATERIAL]]="","","PZ")</f>
        <v/>
      </c>
      <c r="H2328" s="7" t="str">
        <f>IF(Plantilla_SCAN_EQ3_COUNT_2[[#This Row],[ID MATERIAL]]="","",$B$13)</f>
        <v/>
      </c>
      <c r="I2328" s="7" t="str">
        <f>IF(Plantilla_SCAN_EQ3_COUNT_2[[#This Row],[ID MATERIAL]]="","","Segundo Conteo")</f>
        <v/>
      </c>
    </row>
    <row r="2329" spans="1:9" s="7" customFormat="1" ht="15" x14ac:dyDescent="0.2">
      <c r="A2329" s="7" t="str">
        <f>IF(Plantilla_SCAN_EQ3_COUNT_2[[#This Row],[ID MATERIAL]]="","",SIGN(Plantilla_SCAN_EQ3_COUNT_2[[#This Row],[Cantidad]])+A2328)</f>
        <v/>
      </c>
      <c r="B2329" s="21" t="str">
        <f>IF(Plantilla_SCAN_EQ3_COUNT_2[[#This Row],[ID MATERIAL]]="","",B2328)</f>
        <v/>
      </c>
      <c r="C2329" s="21"/>
      <c r="D2329" s="21"/>
      <c r="E2329" s="7" t="str">
        <f>IF(Plantilla_SCAN_EQ3_COUNT_2[[#This Row],[ID MATERIAL]]="","",VLOOKUP(Plantilla_SCAN_EQ3_COUNT_2[[#This Row],[ID MATERIAL]],INVENTARIO!$A:$D,2,FALSE))</f>
        <v/>
      </c>
      <c r="F2329" s="7" t="str">
        <f>IF(Plantilla_SCAN_EQ3_COUNT_2[[#This Row],[ID MATERIAL]]="","",IF(Plantilla_SCAN_EQ3_COUNT_2[[#This Row],[No. Empaques]]="",1,Plantilla_SCAN_EQ3_COUNT_2[[#This Row],[No. Empaques]]*1))</f>
        <v/>
      </c>
      <c r="G2329" s="7" t="str">
        <f>IF(Plantilla_SCAN_EQ3_COUNT_2[[#This Row],[ID MATERIAL]]="","","PZ")</f>
        <v/>
      </c>
      <c r="H2329" s="7" t="str">
        <f>IF(Plantilla_SCAN_EQ3_COUNT_2[[#This Row],[ID MATERIAL]]="","",$B$13)</f>
        <v/>
      </c>
      <c r="I2329" s="7" t="str">
        <f>IF(Plantilla_SCAN_EQ3_COUNT_2[[#This Row],[ID MATERIAL]]="","","Segundo Conteo")</f>
        <v/>
      </c>
    </row>
    <row r="2330" spans="1:9" s="7" customFormat="1" ht="15" x14ac:dyDescent="0.2">
      <c r="A2330" s="7" t="str">
        <f>IF(Plantilla_SCAN_EQ3_COUNT_2[[#This Row],[ID MATERIAL]]="","",SIGN(Plantilla_SCAN_EQ3_COUNT_2[[#This Row],[Cantidad]])+A2329)</f>
        <v/>
      </c>
      <c r="B2330" s="21" t="str">
        <f>IF(Plantilla_SCAN_EQ3_COUNT_2[[#This Row],[ID MATERIAL]]="","",B2329)</f>
        <v/>
      </c>
      <c r="C2330" s="21"/>
      <c r="D2330" s="21"/>
      <c r="E2330" s="7" t="str">
        <f>IF(Plantilla_SCAN_EQ3_COUNT_2[[#This Row],[ID MATERIAL]]="","",VLOOKUP(Plantilla_SCAN_EQ3_COUNT_2[[#This Row],[ID MATERIAL]],INVENTARIO!$A:$D,2,FALSE))</f>
        <v/>
      </c>
      <c r="F2330" s="7" t="str">
        <f>IF(Plantilla_SCAN_EQ3_COUNT_2[[#This Row],[ID MATERIAL]]="","",IF(Plantilla_SCAN_EQ3_COUNT_2[[#This Row],[No. Empaques]]="",1,Plantilla_SCAN_EQ3_COUNT_2[[#This Row],[No. Empaques]]*1))</f>
        <v/>
      </c>
      <c r="G2330" s="7" t="str">
        <f>IF(Plantilla_SCAN_EQ3_COUNT_2[[#This Row],[ID MATERIAL]]="","","PZ")</f>
        <v/>
      </c>
      <c r="H2330" s="7" t="str">
        <f>IF(Plantilla_SCAN_EQ3_COUNT_2[[#This Row],[ID MATERIAL]]="","",$B$13)</f>
        <v/>
      </c>
      <c r="I2330" s="7" t="str">
        <f>IF(Plantilla_SCAN_EQ3_COUNT_2[[#This Row],[ID MATERIAL]]="","","Segundo Conteo")</f>
        <v/>
      </c>
    </row>
    <row r="2331" spans="1:9" s="7" customFormat="1" ht="15" x14ac:dyDescent="0.2">
      <c r="A2331" s="7" t="str">
        <f>IF(Plantilla_SCAN_EQ3_COUNT_2[[#This Row],[ID MATERIAL]]="","",SIGN(Plantilla_SCAN_EQ3_COUNT_2[[#This Row],[Cantidad]])+A2330)</f>
        <v/>
      </c>
      <c r="B2331" s="21" t="str">
        <f>IF(Plantilla_SCAN_EQ3_COUNT_2[[#This Row],[ID MATERIAL]]="","",B2330)</f>
        <v/>
      </c>
      <c r="C2331" s="21"/>
      <c r="D2331" s="21"/>
      <c r="E2331" s="7" t="str">
        <f>IF(Plantilla_SCAN_EQ3_COUNT_2[[#This Row],[ID MATERIAL]]="","",VLOOKUP(Plantilla_SCAN_EQ3_COUNT_2[[#This Row],[ID MATERIAL]],INVENTARIO!$A:$D,2,FALSE))</f>
        <v/>
      </c>
      <c r="F2331" s="7" t="str">
        <f>IF(Plantilla_SCAN_EQ3_COUNT_2[[#This Row],[ID MATERIAL]]="","",IF(Plantilla_SCAN_EQ3_COUNT_2[[#This Row],[No. Empaques]]="",1,Plantilla_SCAN_EQ3_COUNT_2[[#This Row],[No. Empaques]]*1))</f>
        <v/>
      </c>
      <c r="G2331" s="7" t="str">
        <f>IF(Plantilla_SCAN_EQ3_COUNT_2[[#This Row],[ID MATERIAL]]="","","PZ")</f>
        <v/>
      </c>
      <c r="H2331" s="7" t="str">
        <f>IF(Plantilla_SCAN_EQ3_COUNT_2[[#This Row],[ID MATERIAL]]="","",$B$13)</f>
        <v/>
      </c>
      <c r="I2331" s="7" t="str">
        <f>IF(Plantilla_SCAN_EQ3_COUNT_2[[#This Row],[ID MATERIAL]]="","","Segundo Conteo")</f>
        <v/>
      </c>
    </row>
    <row r="2332" spans="1:9" s="7" customFormat="1" ht="15" x14ac:dyDescent="0.2">
      <c r="A2332" s="7" t="str">
        <f>IF(Plantilla_SCAN_EQ3_COUNT_2[[#This Row],[ID MATERIAL]]="","",SIGN(Plantilla_SCAN_EQ3_COUNT_2[[#This Row],[Cantidad]])+A2331)</f>
        <v/>
      </c>
      <c r="B2332" s="21" t="str">
        <f>IF(Plantilla_SCAN_EQ3_COUNT_2[[#This Row],[ID MATERIAL]]="","",B2331)</f>
        <v/>
      </c>
      <c r="C2332" s="21"/>
      <c r="D2332" s="21"/>
      <c r="E2332" s="7" t="str">
        <f>IF(Plantilla_SCAN_EQ3_COUNT_2[[#This Row],[ID MATERIAL]]="","",VLOOKUP(Plantilla_SCAN_EQ3_COUNT_2[[#This Row],[ID MATERIAL]],INVENTARIO!$A:$D,2,FALSE))</f>
        <v/>
      </c>
      <c r="F2332" s="7" t="str">
        <f>IF(Plantilla_SCAN_EQ3_COUNT_2[[#This Row],[ID MATERIAL]]="","",IF(Plantilla_SCAN_EQ3_COUNT_2[[#This Row],[No. Empaques]]="",1,Plantilla_SCAN_EQ3_COUNT_2[[#This Row],[No. Empaques]]*1))</f>
        <v/>
      </c>
      <c r="G2332" s="7" t="str">
        <f>IF(Plantilla_SCAN_EQ3_COUNT_2[[#This Row],[ID MATERIAL]]="","","PZ")</f>
        <v/>
      </c>
      <c r="H2332" s="7" t="str">
        <f>IF(Plantilla_SCAN_EQ3_COUNT_2[[#This Row],[ID MATERIAL]]="","",$B$13)</f>
        <v/>
      </c>
      <c r="I2332" s="7" t="str">
        <f>IF(Plantilla_SCAN_EQ3_COUNT_2[[#This Row],[ID MATERIAL]]="","","Segundo Conteo")</f>
        <v/>
      </c>
    </row>
    <row r="2333" spans="1:9" s="7" customFormat="1" ht="15" x14ac:dyDescent="0.2">
      <c r="A2333" s="7" t="str">
        <f>IF(Plantilla_SCAN_EQ3_COUNT_2[[#This Row],[ID MATERIAL]]="","",SIGN(Plantilla_SCAN_EQ3_COUNT_2[[#This Row],[Cantidad]])+A2332)</f>
        <v/>
      </c>
      <c r="B2333" s="21" t="str">
        <f>IF(Plantilla_SCAN_EQ3_COUNT_2[[#This Row],[ID MATERIAL]]="","",B2332)</f>
        <v/>
      </c>
      <c r="C2333" s="21"/>
      <c r="D2333" s="21"/>
      <c r="E2333" s="7" t="str">
        <f>IF(Plantilla_SCAN_EQ3_COUNT_2[[#This Row],[ID MATERIAL]]="","",VLOOKUP(Plantilla_SCAN_EQ3_COUNT_2[[#This Row],[ID MATERIAL]],INVENTARIO!$A:$D,2,FALSE))</f>
        <v/>
      </c>
      <c r="F2333" s="7" t="str">
        <f>IF(Plantilla_SCAN_EQ3_COUNT_2[[#This Row],[ID MATERIAL]]="","",IF(Plantilla_SCAN_EQ3_COUNT_2[[#This Row],[No. Empaques]]="",1,Plantilla_SCAN_EQ3_COUNT_2[[#This Row],[No. Empaques]]*1))</f>
        <v/>
      </c>
      <c r="G2333" s="7" t="str">
        <f>IF(Plantilla_SCAN_EQ3_COUNT_2[[#This Row],[ID MATERIAL]]="","","PZ")</f>
        <v/>
      </c>
      <c r="H2333" s="7" t="str">
        <f>IF(Plantilla_SCAN_EQ3_COUNT_2[[#This Row],[ID MATERIAL]]="","",$B$13)</f>
        <v/>
      </c>
      <c r="I2333" s="7" t="str">
        <f>IF(Plantilla_SCAN_EQ3_COUNT_2[[#This Row],[ID MATERIAL]]="","","Segundo Conteo")</f>
        <v/>
      </c>
    </row>
    <row r="2334" spans="1:9" s="7" customFormat="1" ht="15" x14ac:dyDescent="0.2">
      <c r="A2334" s="7" t="str">
        <f>IF(Plantilla_SCAN_EQ3_COUNT_2[[#This Row],[ID MATERIAL]]="","",SIGN(Plantilla_SCAN_EQ3_COUNT_2[[#This Row],[Cantidad]])+A2333)</f>
        <v/>
      </c>
      <c r="B2334" s="21" t="str">
        <f>IF(Plantilla_SCAN_EQ3_COUNT_2[[#This Row],[ID MATERIAL]]="","",B2333)</f>
        <v/>
      </c>
      <c r="C2334" s="21"/>
      <c r="D2334" s="21"/>
      <c r="E2334" s="7" t="str">
        <f>IF(Plantilla_SCAN_EQ3_COUNT_2[[#This Row],[ID MATERIAL]]="","",VLOOKUP(Plantilla_SCAN_EQ3_COUNT_2[[#This Row],[ID MATERIAL]],INVENTARIO!$A:$D,2,FALSE))</f>
        <v/>
      </c>
      <c r="F2334" s="7" t="str">
        <f>IF(Plantilla_SCAN_EQ3_COUNT_2[[#This Row],[ID MATERIAL]]="","",IF(Plantilla_SCAN_EQ3_COUNT_2[[#This Row],[No. Empaques]]="",1,Plantilla_SCAN_EQ3_COUNT_2[[#This Row],[No. Empaques]]*1))</f>
        <v/>
      </c>
      <c r="G2334" s="7" t="str">
        <f>IF(Plantilla_SCAN_EQ3_COUNT_2[[#This Row],[ID MATERIAL]]="","","PZ")</f>
        <v/>
      </c>
      <c r="H2334" s="7" t="str">
        <f>IF(Plantilla_SCAN_EQ3_COUNT_2[[#This Row],[ID MATERIAL]]="","",$B$13)</f>
        <v/>
      </c>
      <c r="I2334" s="7" t="str">
        <f>IF(Plantilla_SCAN_EQ3_COUNT_2[[#This Row],[ID MATERIAL]]="","","Segundo Conteo")</f>
        <v/>
      </c>
    </row>
    <row r="2335" spans="1:9" s="7" customFormat="1" ht="15" x14ac:dyDescent="0.2">
      <c r="A2335" s="7" t="str">
        <f>IF(Plantilla_SCAN_EQ3_COUNT_2[[#This Row],[ID MATERIAL]]="","",SIGN(Plantilla_SCAN_EQ3_COUNT_2[[#This Row],[Cantidad]])+A2334)</f>
        <v/>
      </c>
      <c r="B2335" s="21" t="str">
        <f>IF(Plantilla_SCAN_EQ3_COUNT_2[[#This Row],[ID MATERIAL]]="","",B2334)</f>
        <v/>
      </c>
      <c r="C2335" s="21"/>
      <c r="D2335" s="21"/>
      <c r="E2335" s="7" t="str">
        <f>IF(Plantilla_SCAN_EQ3_COUNT_2[[#This Row],[ID MATERIAL]]="","",VLOOKUP(Plantilla_SCAN_EQ3_COUNT_2[[#This Row],[ID MATERIAL]],INVENTARIO!$A:$D,2,FALSE))</f>
        <v/>
      </c>
      <c r="F2335" s="7" t="str">
        <f>IF(Plantilla_SCAN_EQ3_COUNT_2[[#This Row],[ID MATERIAL]]="","",IF(Plantilla_SCAN_EQ3_COUNT_2[[#This Row],[No. Empaques]]="",1,Plantilla_SCAN_EQ3_COUNT_2[[#This Row],[No. Empaques]]*1))</f>
        <v/>
      </c>
      <c r="G2335" s="7" t="str">
        <f>IF(Plantilla_SCAN_EQ3_COUNT_2[[#This Row],[ID MATERIAL]]="","","PZ")</f>
        <v/>
      </c>
      <c r="H2335" s="7" t="str">
        <f>IF(Plantilla_SCAN_EQ3_COUNT_2[[#This Row],[ID MATERIAL]]="","",$B$13)</f>
        <v/>
      </c>
      <c r="I2335" s="7" t="str">
        <f>IF(Plantilla_SCAN_EQ3_COUNT_2[[#This Row],[ID MATERIAL]]="","","Segundo Conteo")</f>
        <v/>
      </c>
    </row>
    <row r="2336" spans="1:9" s="7" customFormat="1" ht="15" x14ac:dyDescent="0.2">
      <c r="A2336" s="7" t="str">
        <f>IF(Plantilla_SCAN_EQ3_COUNT_2[[#This Row],[ID MATERIAL]]="","",SIGN(Plantilla_SCAN_EQ3_COUNT_2[[#This Row],[Cantidad]])+A2335)</f>
        <v/>
      </c>
      <c r="B2336" s="21" t="str">
        <f>IF(Plantilla_SCAN_EQ3_COUNT_2[[#This Row],[ID MATERIAL]]="","",B2335)</f>
        <v/>
      </c>
      <c r="C2336" s="21"/>
      <c r="D2336" s="21"/>
      <c r="E2336" s="7" t="str">
        <f>IF(Plantilla_SCAN_EQ3_COUNT_2[[#This Row],[ID MATERIAL]]="","",VLOOKUP(Plantilla_SCAN_EQ3_COUNT_2[[#This Row],[ID MATERIAL]],INVENTARIO!$A:$D,2,FALSE))</f>
        <v/>
      </c>
      <c r="F2336" s="7" t="str">
        <f>IF(Plantilla_SCAN_EQ3_COUNT_2[[#This Row],[ID MATERIAL]]="","",IF(Plantilla_SCAN_EQ3_COUNT_2[[#This Row],[No. Empaques]]="",1,Plantilla_SCAN_EQ3_COUNT_2[[#This Row],[No. Empaques]]*1))</f>
        <v/>
      </c>
      <c r="G2336" s="7" t="str">
        <f>IF(Plantilla_SCAN_EQ3_COUNT_2[[#This Row],[ID MATERIAL]]="","","PZ")</f>
        <v/>
      </c>
      <c r="H2336" s="7" t="str">
        <f>IF(Plantilla_SCAN_EQ3_COUNT_2[[#This Row],[ID MATERIAL]]="","",$B$13)</f>
        <v/>
      </c>
      <c r="I2336" s="7" t="str">
        <f>IF(Plantilla_SCAN_EQ3_COUNT_2[[#This Row],[ID MATERIAL]]="","","Segundo Conteo")</f>
        <v/>
      </c>
    </row>
    <row r="2337" spans="1:9" s="7" customFormat="1" ht="15" x14ac:dyDescent="0.2">
      <c r="A2337" s="7" t="str">
        <f>IF(Plantilla_SCAN_EQ3_COUNT_2[[#This Row],[ID MATERIAL]]="","",SIGN(Plantilla_SCAN_EQ3_COUNT_2[[#This Row],[Cantidad]])+A2336)</f>
        <v/>
      </c>
      <c r="B2337" s="21" t="str">
        <f>IF(Plantilla_SCAN_EQ3_COUNT_2[[#This Row],[ID MATERIAL]]="","",B2336)</f>
        <v/>
      </c>
      <c r="C2337" s="21"/>
      <c r="D2337" s="21"/>
      <c r="E2337" s="7" t="str">
        <f>IF(Plantilla_SCAN_EQ3_COUNT_2[[#This Row],[ID MATERIAL]]="","",VLOOKUP(Plantilla_SCAN_EQ3_COUNT_2[[#This Row],[ID MATERIAL]],INVENTARIO!$A:$D,2,FALSE))</f>
        <v/>
      </c>
      <c r="F2337" s="7" t="str">
        <f>IF(Plantilla_SCAN_EQ3_COUNT_2[[#This Row],[ID MATERIAL]]="","",IF(Plantilla_SCAN_EQ3_COUNT_2[[#This Row],[No. Empaques]]="",1,Plantilla_SCAN_EQ3_COUNT_2[[#This Row],[No. Empaques]]*1))</f>
        <v/>
      </c>
      <c r="G2337" s="7" t="str">
        <f>IF(Plantilla_SCAN_EQ3_COUNT_2[[#This Row],[ID MATERIAL]]="","","PZ")</f>
        <v/>
      </c>
      <c r="H2337" s="7" t="str">
        <f>IF(Plantilla_SCAN_EQ3_COUNT_2[[#This Row],[ID MATERIAL]]="","",$B$13)</f>
        <v/>
      </c>
      <c r="I2337" s="7" t="str">
        <f>IF(Plantilla_SCAN_EQ3_COUNT_2[[#This Row],[ID MATERIAL]]="","","Segundo Conteo")</f>
        <v/>
      </c>
    </row>
    <row r="2338" spans="1:9" s="7" customFormat="1" ht="15" x14ac:dyDescent="0.2">
      <c r="A2338" s="7" t="str">
        <f>IF(Plantilla_SCAN_EQ3_COUNT_2[[#This Row],[ID MATERIAL]]="","",SIGN(Plantilla_SCAN_EQ3_COUNT_2[[#This Row],[Cantidad]])+A2337)</f>
        <v/>
      </c>
      <c r="B2338" s="21" t="str">
        <f>IF(Plantilla_SCAN_EQ3_COUNT_2[[#This Row],[ID MATERIAL]]="","",B2337)</f>
        <v/>
      </c>
      <c r="C2338" s="21"/>
      <c r="D2338" s="21"/>
      <c r="E2338" s="7" t="str">
        <f>IF(Plantilla_SCAN_EQ3_COUNT_2[[#This Row],[ID MATERIAL]]="","",VLOOKUP(Plantilla_SCAN_EQ3_COUNT_2[[#This Row],[ID MATERIAL]],INVENTARIO!$A:$D,2,FALSE))</f>
        <v/>
      </c>
      <c r="F2338" s="7" t="str">
        <f>IF(Plantilla_SCAN_EQ3_COUNT_2[[#This Row],[ID MATERIAL]]="","",IF(Plantilla_SCAN_EQ3_COUNT_2[[#This Row],[No. Empaques]]="",1,Plantilla_SCAN_EQ3_COUNT_2[[#This Row],[No. Empaques]]*1))</f>
        <v/>
      </c>
      <c r="G2338" s="7" t="str">
        <f>IF(Plantilla_SCAN_EQ3_COUNT_2[[#This Row],[ID MATERIAL]]="","","PZ")</f>
        <v/>
      </c>
      <c r="H2338" s="7" t="str">
        <f>IF(Plantilla_SCAN_EQ3_COUNT_2[[#This Row],[ID MATERIAL]]="","",$B$13)</f>
        <v/>
      </c>
      <c r="I2338" s="7" t="str">
        <f>IF(Plantilla_SCAN_EQ3_COUNT_2[[#This Row],[ID MATERIAL]]="","","Segundo Conteo")</f>
        <v/>
      </c>
    </row>
    <row r="2339" spans="1:9" s="7" customFormat="1" ht="15" x14ac:dyDescent="0.2">
      <c r="A2339" s="7" t="str">
        <f>IF(Plantilla_SCAN_EQ3_COUNT_2[[#This Row],[ID MATERIAL]]="","",SIGN(Plantilla_SCAN_EQ3_COUNT_2[[#This Row],[Cantidad]])+A2338)</f>
        <v/>
      </c>
      <c r="B2339" s="21" t="str">
        <f>IF(Plantilla_SCAN_EQ3_COUNT_2[[#This Row],[ID MATERIAL]]="","",B2338)</f>
        <v/>
      </c>
      <c r="C2339" s="21"/>
      <c r="D2339" s="21"/>
      <c r="E2339" s="7" t="str">
        <f>IF(Plantilla_SCAN_EQ3_COUNT_2[[#This Row],[ID MATERIAL]]="","",VLOOKUP(Plantilla_SCAN_EQ3_COUNT_2[[#This Row],[ID MATERIAL]],INVENTARIO!$A:$D,2,FALSE))</f>
        <v/>
      </c>
      <c r="F2339" s="7" t="str">
        <f>IF(Plantilla_SCAN_EQ3_COUNT_2[[#This Row],[ID MATERIAL]]="","",IF(Plantilla_SCAN_EQ3_COUNT_2[[#This Row],[No. Empaques]]="",1,Plantilla_SCAN_EQ3_COUNT_2[[#This Row],[No. Empaques]]*1))</f>
        <v/>
      </c>
      <c r="G2339" s="7" t="str">
        <f>IF(Plantilla_SCAN_EQ3_COUNT_2[[#This Row],[ID MATERIAL]]="","","PZ")</f>
        <v/>
      </c>
      <c r="H2339" s="7" t="str">
        <f>IF(Plantilla_SCAN_EQ3_COUNT_2[[#This Row],[ID MATERIAL]]="","",$B$13)</f>
        <v/>
      </c>
      <c r="I2339" s="7" t="str">
        <f>IF(Plantilla_SCAN_EQ3_COUNT_2[[#This Row],[ID MATERIAL]]="","","Segundo Conteo")</f>
        <v/>
      </c>
    </row>
    <row r="2340" spans="1:9" s="7" customFormat="1" ht="15" x14ac:dyDescent="0.2">
      <c r="A2340" s="7" t="str">
        <f>IF(Plantilla_SCAN_EQ3_COUNT_2[[#This Row],[ID MATERIAL]]="","",SIGN(Plantilla_SCAN_EQ3_COUNT_2[[#This Row],[Cantidad]])+A2339)</f>
        <v/>
      </c>
      <c r="B2340" s="21" t="str">
        <f>IF(Plantilla_SCAN_EQ3_COUNT_2[[#This Row],[ID MATERIAL]]="","",B2339)</f>
        <v/>
      </c>
      <c r="C2340" s="21"/>
      <c r="D2340" s="21"/>
      <c r="E2340" s="7" t="str">
        <f>IF(Plantilla_SCAN_EQ3_COUNT_2[[#This Row],[ID MATERIAL]]="","",VLOOKUP(Plantilla_SCAN_EQ3_COUNT_2[[#This Row],[ID MATERIAL]],INVENTARIO!$A:$D,2,FALSE))</f>
        <v/>
      </c>
      <c r="F2340" s="7" t="str">
        <f>IF(Plantilla_SCAN_EQ3_COUNT_2[[#This Row],[ID MATERIAL]]="","",IF(Plantilla_SCAN_EQ3_COUNT_2[[#This Row],[No. Empaques]]="",1,Plantilla_SCAN_EQ3_COUNT_2[[#This Row],[No. Empaques]]*1))</f>
        <v/>
      </c>
      <c r="G2340" s="7" t="str">
        <f>IF(Plantilla_SCAN_EQ3_COUNT_2[[#This Row],[ID MATERIAL]]="","","PZ")</f>
        <v/>
      </c>
      <c r="H2340" s="7" t="str">
        <f>IF(Plantilla_SCAN_EQ3_COUNT_2[[#This Row],[ID MATERIAL]]="","",$B$13)</f>
        <v/>
      </c>
      <c r="I2340" s="7" t="str">
        <f>IF(Plantilla_SCAN_EQ3_COUNT_2[[#This Row],[ID MATERIAL]]="","","Segundo Conteo")</f>
        <v/>
      </c>
    </row>
    <row r="2341" spans="1:9" s="7" customFormat="1" ht="15" x14ac:dyDescent="0.2">
      <c r="A2341" s="7" t="str">
        <f>IF(Plantilla_SCAN_EQ3_COUNT_2[[#This Row],[ID MATERIAL]]="","",SIGN(Plantilla_SCAN_EQ3_COUNT_2[[#This Row],[Cantidad]])+A2340)</f>
        <v/>
      </c>
      <c r="B2341" s="21" t="str">
        <f>IF(Plantilla_SCAN_EQ3_COUNT_2[[#This Row],[ID MATERIAL]]="","",B2340)</f>
        <v/>
      </c>
      <c r="C2341" s="21"/>
      <c r="D2341" s="21"/>
      <c r="E2341" s="7" t="str">
        <f>IF(Plantilla_SCAN_EQ3_COUNT_2[[#This Row],[ID MATERIAL]]="","",VLOOKUP(Plantilla_SCAN_EQ3_COUNT_2[[#This Row],[ID MATERIAL]],INVENTARIO!$A:$D,2,FALSE))</f>
        <v/>
      </c>
      <c r="F2341" s="7" t="str">
        <f>IF(Plantilla_SCAN_EQ3_COUNT_2[[#This Row],[ID MATERIAL]]="","",IF(Plantilla_SCAN_EQ3_COUNT_2[[#This Row],[No. Empaques]]="",1,Plantilla_SCAN_EQ3_COUNT_2[[#This Row],[No. Empaques]]*1))</f>
        <v/>
      </c>
      <c r="G2341" s="7" t="str">
        <f>IF(Plantilla_SCAN_EQ3_COUNT_2[[#This Row],[ID MATERIAL]]="","","PZ")</f>
        <v/>
      </c>
      <c r="H2341" s="7" t="str">
        <f>IF(Plantilla_SCAN_EQ3_COUNT_2[[#This Row],[ID MATERIAL]]="","",$B$13)</f>
        <v/>
      </c>
      <c r="I2341" s="7" t="str">
        <f>IF(Plantilla_SCAN_EQ3_COUNT_2[[#This Row],[ID MATERIAL]]="","","Segundo Conteo")</f>
        <v/>
      </c>
    </row>
    <row r="2342" spans="1:9" s="7" customFormat="1" ht="15" x14ac:dyDescent="0.2">
      <c r="A2342" s="7" t="str">
        <f>IF(Plantilla_SCAN_EQ3_COUNT_2[[#This Row],[ID MATERIAL]]="","",SIGN(Plantilla_SCAN_EQ3_COUNT_2[[#This Row],[Cantidad]])+A2341)</f>
        <v/>
      </c>
      <c r="B2342" s="21" t="str">
        <f>IF(Plantilla_SCAN_EQ3_COUNT_2[[#This Row],[ID MATERIAL]]="","",B2341)</f>
        <v/>
      </c>
      <c r="C2342" s="21"/>
      <c r="D2342" s="21"/>
      <c r="E2342" s="7" t="str">
        <f>IF(Plantilla_SCAN_EQ3_COUNT_2[[#This Row],[ID MATERIAL]]="","",VLOOKUP(Plantilla_SCAN_EQ3_COUNT_2[[#This Row],[ID MATERIAL]],INVENTARIO!$A:$D,2,FALSE))</f>
        <v/>
      </c>
      <c r="F2342" s="7" t="str">
        <f>IF(Plantilla_SCAN_EQ3_COUNT_2[[#This Row],[ID MATERIAL]]="","",IF(Plantilla_SCAN_EQ3_COUNT_2[[#This Row],[No. Empaques]]="",1,Plantilla_SCAN_EQ3_COUNT_2[[#This Row],[No. Empaques]]*1))</f>
        <v/>
      </c>
      <c r="G2342" s="7" t="str">
        <f>IF(Plantilla_SCAN_EQ3_COUNT_2[[#This Row],[ID MATERIAL]]="","","PZ")</f>
        <v/>
      </c>
      <c r="H2342" s="7" t="str">
        <f>IF(Plantilla_SCAN_EQ3_COUNT_2[[#This Row],[ID MATERIAL]]="","",$B$13)</f>
        <v/>
      </c>
      <c r="I2342" s="7" t="str">
        <f>IF(Plantilla_SCAN_EQ3_COUNT_2[[#This Row],[ID MATERIAL]]="","","Segundo Conteo")</f>
        <v/>
      </c>
    </row>
    <row r="2343" spans="1:9" s="7" customFormat="1" ht="15" x14ac:dyDescent="0.2">
      <c r="A2343" s="7" t="str">
        <f>IF(Plantilla_SCAN_EQ3_COUNT_2[[#This Row],[ID MATERIAL]]="","",SIGN(Plantilla_SCAN_EQ3_COUNT_2[[#This Row],[Cantidad]])+A2342)</f>
        <v/>
      </c>
      <c r="B2343" s="21" t="str">
        <f>IF(Plantilla_SCAN_EQ3_COUNT_2[[#This Row],[ID MATERIAL]]="","",B2342)</f>
        <v/>
      </c>
      <c r="C2343" s="21"/>
      <c r="D2343" s="21"/>
      <c r="E2343" s="7" t="str">
        <f>IF(Plantilla_SCAN_EQ3_COUNT_2[[#This Row],[ID MATERIAL]]="","",VLOOKUP(Plantilla_SCAN_EQ3_COUNT_2[[#This Row],[ID MATERIAL]],INVENTARIO!$A:$D,2,FALSE))</f>
        <v/>
      </c>
      <c r="F2343" s="7" t="str">
        <f>IF(Plantilla_SCAN_EQ3_COUNT_2[[#This Row],[ID MATERIAL]]="","",IF(Plantilla_SCAN_EQ3_COUNT_2[[#This Row],[No. Empaques]]="",1,Plantilla_SCAN_EQ3_COUNT_2[[#This Row],[No. Empaques]]*1))</f>
        <v/>
      </c>
      <c r="G2343" s="7" t="str">
        <f>IF(Plantilla_SCAN_EQ3_COUNT_2[[#This Row],[ID MATERIAL]]="","","PZ")</f>
        <v/>
      </c>
      <c r="H2343" s="7" t="str">
        <f>IF(Plantilla_SCAN_EQ3_COUNT_2[[#This Row],[ID MATERIAL]]="","",$B$13)</f>
        <v/>
      </c>
      <c r="I2343" s="7" t="str">
        <f>IF(Plantilla_SCAN_EQ3_COUNT_2[[#This Row],[ID MATERIAL]]="","","Segundo Conteo")</f>
        <v/>
      </c>
    </row>
    <row r="2344" spans="1:9" s="7" customFormat="1" ht="15" x14ac:dyDescent="0.2">
      <c r="A2344" s="7" t="str">
        <f>IF(Plantilla_SCAN_EQ3_COUNT_2[[#This Row],[ID MATERIAL]]="","",SIGN(Plantilla_SCAN_EQ3_COUNT_2[[#This Row],[Cantidad]])+A2343)</f>
        <v/>
      </c>
      <c r="B2344" s="21" t="str">
        <f>IF(Plantilla_SCAN_EQ3_COUNT_2[[#This Row],[ID MATERIAL]]="","",B2343)</f>
        <v/>
      </c>
      <c r="C2344" s="21"/>
      <c r="D2344" s="21"/>
      <c r="E2344" s="7" t="str">
        <f>IF(Plantilla_SCAN_EQ3_COUNT_2[[#This Row],[ID MATERIAL]]="","",VLOOKUP(Plantilla_SCAN_EQ3_COUNT_2[[#This Row],[ID MATERIAL]],INVENTARIO!$A:$D,2,FALSE))</f>
        <v/>
      </c>
      <c r="F2344" s="7" t="str">
        <f>IF(Plantilla_SCAN_EQ3_COUNT_2[[#This Row],[ID MATERIAL]]="","",IF(Plantilla_SCAN_EQ3_COUNT_2[[#This Row],[No. Empaques]]="",1,Plantilla_SCAN_EQ3_COUNT_2[[#This Row],[No. Empaques]]*1))</f>
        <v/>
      </c>
      <c r="G2344" s="7" t="str">
        <f>IF(Plantilla_SCAN_EQ3_COUNT_2[[#This Row],[ID MATERIAL]]="","","PZ")</f>
        <v/>
      </c>
      <c r="H2344" s="7" t="str">
        <f>IF(Plantilla_SCAN_EQ3_COUNT_2[[#This Row],[ID MATERIAL]]="","",$B$13)</f>
        <v/>
      </c>
      <c r="I2344" s="7" t="str">
        <f>IF(Plantilla_SCAN_EQ3_COUNT_2[[#This Row],[ID MATERIAL]]="","","Segundo Conteo")</f>
        <v/>
      </c>
    </row>
    <row r="2345" spans="1:9" s="7" customFormat="1" ht="15" x14ac:dyDescent="0.2">
      <c r="A2345" s="7" t="str">
        <f>IF(Plantilla_SCAN_EQ3_COUNT_2[[#This Row],[ID MATERIAL]]="","",SIGN(Plantilla_SCAN_EQ3_COUNT_2[[#This Row],[Cantidad]])+A2344)</f>
        <v/>
      </c>
      <c r="B2345" s="21" t="str">
        <f>IF(Plantilla_SCAN_EQ3_COUNT_2[[#This Row],[ID MATERIAL]]="","",B2344)</f>
        <v/>
      </c>
      <c r="C2345" s="21"/>
      <c r="D2345" s="21"/>
      <c r="E2345" s="7" t="str">
        <f>IF(Plantilla_SCAN_EQ3_COUNT_2[[#This Row],[ID MATERIAL]]="","",VLOOKUP(Plantilla_SCAN_EQ3_COUNT_2[[#This Row],[ID MATERIAL]],INVENTARIO!$A:$D,2,FALSE))</f>
        <v/>
      </c>
      <c r="F2345" s="7" t="str">
        <f>IF(Plantilla_SCAN_EQ3_COUNT_2[[#This Row],[ID MATERIAL]]="","",IF(Plantilla_SCAN_EQ3_COUNT_2[[#This Row],[No. Empaques]]="",1,Plantilla_SCAN_EQ3_COUNT_2[[#This Row],[No. Empaques]]*1))</f>
        <v/>
      </c>
      <c r="G2345" s="7" t="str">
        <f>IF(Plantilla_SCAN_EQ3_COUNT_2[[#This Row],[ID MATERIAL]]="","","PZ")</f>
        <v/>
      </c>
      <c r="H2345" s="7" t="str">
        <f>IF(Plantilla_SCAN_EQ3_COUNT_2[[#This Row],[ID MATERIAL]]="","",$B$13)</f>
        <v/>
      </c>
      <c r="I2345" s="7" t="str">
        <f>IF(Plantilla_SCAN_EQ3_COUNT_2[[#This Row],[ID MATERIAL]]="","","Segundo Conteo")</f>
        <v/>
      </c>
    </row>
    <row r="2346" spans="1:9" s="7" customFormat="1" ht="15" x14ac:dyDescent="0.2">
      <c r="A2346" s="7" t="str">
        <f>IF(Plantilla_SCAN_EQ3_COUNT_2[[#This Row],[ID MATERIAL]]="","",SIGN(Plantilla_SCAN_EQ3_COUNT_2[[#This Row],[Cantidad]])+A2345)</f>
        <v/>
      </c>
      <c r="B2346" s="21" t="str">
        <f>IF(Plantilla_SCAN_EQ3_COUNT_2[[#This Row],[ID MATERIAL]]="","",B2345)</f>
        <v/>
      </c>
      <c r="C2346" s="21"/>
      <c r="D2346" s="21"/>
      <c r="E2346" s="7" t="str">
        <f>IF(Plantilla_SCAN_EQ3_COUNT_2[[#This Row],[ID MATERIAL]]="","",VLOOKUP(Plantilla_SCAN_EQ3_COUNT_2[[#This Row],[ID MATERIAL]],INVENTARIO!$A:$D,2,FALSE))</f>
        <v/>
      </c>
      <c r="F2346" s="7" t="str">
        <f>IF(Plantilla_SCAN_EQ3_COUNT_2[[#This Row],[ID MATERIAL]]="","",IF(Plantilla_SCAN_EQ3_COUNT_2[[#This Row],[No. Empaques]]="",1,Plantilla_SCAN_EQ3_COUNT_2[[#This Row],[No. Empaques]]*1))</f>
        <v/>
      </c>
      <c r="G2346" s="7" t="str">
        <f>IF(Plantilla_SCAN_EQ3_COUNT_2[[#This Row],[ID MATERIAL]]="","","PZ")</f>
        <v/>
      </c>
      <c r="H2346" s="7" t="str">
        <f>IF(Plantilla_SCAN_EQ3_COUNT_2[[#This Row],[ID MATERIAL]]="","",$B$13)</f>
        <v/>
      </c>
      <c r="I2346" s="7" t="str">
        <f>IF(Plantilla_SCAN_EQ3_COUNT_2[[#This Row],[ID MATERIAL]]="","","Segundo Conteo")</f>
        <v/>
      </c>
    </row>
    <row r="2347" spans="1:9" s="7" customFormat="1" ht="15" x14ac:dyDescent="0.2">
      <c r="A2347" s="7" t="str">
        <f>IF(Plantilla_SCAN_EQ3_COUNT_2[[#This Row],[ID MATERIAL]]="","",SIGN(Plantilla_SCAN_EQ3_COUNT_2[[#This Row],[Cantidad]])+A2346)</f>
        <v/>
      </c>
      <c r="B2347" s="21" t="str">
        <f>IF(Plantilla_SCAN_EQ3_COUNT_2[[#This Row],[ID MATERIAL]]="","",B2346)</f>
        <v/>
      </c>
      <c r="C2347" s="21"/>
      <c r="D2347" s="21"/>
      <c r="E2347" s="7" t="str">
        <f>IF(Plantilla_SCAN_EQ3_COUNT_2[[#This Row],[ID MATERIAL]]="","",VLOOKUP(Plantilla_SCAN_EQ3_COUNT_2[[#This Row],[ID MATERIAL]],INVENTARIO!$A:$D,2,FALSE))</f>
        <v/>
      </c>
      <c r="F2347" s="7" t="str">
        <f>IF(Plantilla_SCAN_EQ3_COUNT_2[[#This Row],[ID MATERIAL]]="","",IF(Plantilla_SCAN_EQ3_COUNT_2[[#This Row],[No. Empaques]]="",1,Plantilla_SCAN_EQ3_COUNT_2[[#This Row],[No. Empaques]]*1))</f>
        <v/>
      </c>
      <c r="G2347" s="7" t="str">
        <f>IF(Plantilla_SCAN_EQ3_COUNT_2[[#This Row],[ID MATERIAL]]="","","PZ")</f>
        <v/>
      </c>
      <c r="H2347" s="7" t="str">
        <f>IF(Plantilla_SCAN_EQ3_COUNT_2[[#This Row],[ID MATERIAL]]="","",$B$13)</f>
        <v/>
      </c>
      <c r="I2347" s="7" t="str">
        <f>IF(Plantilla_SCAN_EQ3_COUNT_2[[#This Row],[ID MATERIAL]]="","","Segundo Conteo")</f>
        <v/>
      </c>
    </row>
    <row r="2348" spans="1:9" s="7" customFormat="1" ht="15" x14ac:dyDescent="0.2">
      <c r="A2348" s="7" t="str">
        <f>IF(Plantilla_SCAN_EQ3_COUNT_2[[#This Row],[ID MATERIAL]]="","",SIGN(Plantilla_SCAN_EQ3_COUNT_2[[#This Row],[Cantidad]])+A2347)</f>
        <v/>
      </c>
      <c r="B2348" s="21" t="str">
        <f>IF(Plantilla_SCAN_EQ3_COUNT_2[[#This Row],[ID MATERIAL]]="","",B2347)</f>
        <v/>
      </c>
      <c r="C2348" s="21"/>
      <c r="D2348" s="21"/>
      <c r="E2348" s="7" t="str">
        <f>IF(Plantilla_SCAN_EQ3_COUNT_2[[#This Row],[ID MATERIAL]]="","",VLOOKUP(Plantilla_SCAN_EQ3_COUNT_2[[#This Row],[ID MATERIAL]],INVENTARIO!$A:$D,2,FALSE))</f>
        <v/>
      </c>
      <c r="F2348" s="7" t="str">
        <f>IF(Plantilla_SCAN_EQ3_COUNT_2[[#This Row],[ID MATERIAL]]="","",IF(Plantilla_SCAN_EQ3_COUNT_2[[#This Row],[No. Empaques]]="",1,Plantilla_SCAN_EQ3_COUNT_2[[#This Row],[No. Empaques]]*1))</f>
        <v/>
      </c>
      <c r="G2348" s="7" t="str">
        <f>IF(Plantilla_SCAN_EQ3_COUNT_2[[#This Row],[ID MATERIAL]]="","","PZ")</f>
        <v/>
      </c>
      <c r="H2348" s="7" t="str">
        <f>IF(Plantilla_SCAN_EQ3_COUNT_2[[#This Row],[ID MATERIAL]]="","",$B$13)</f>
        <v/>
      </c>
      <c r="I2348" s="7" t="str">
        <f>IF(Plantilla_SCAN_EQ3_COUNT_2[[#This Row],[ID MATERIAL]]="","","Segundo Conteo")</f>
        <v/>
      </c>
    </row>
    <row r="2349" spans="1:9" s="7" customFormat="1" ht="15" x14ac:dyDescent="0.2">
      <c r="A2349" s="7" t="str">
        <f>IF(Plantilla_SCAN_EQ3_COUNT_2[[#This Row],[ID MATERIAL]]="","",SIGN(Plantilla_SCAN_EQ3_COUNT_2[[#This Row],[Cantidad]])+A2348)</f>
        <v/>
      </c>
      <c r="B2349" s="21" t="str">
        <f>IF(Plantilla_SCAN_EQ3_COUNT_2[[#This Row],[ID MATERIAL]]="","",B2348)</f>
        <v/>
      </c>
      <c r="C2349" s="21"/>
      <c r="D2349" s="21"/>
      <c r="E2349" s="7" t="str">
        <f>IF(Plantilla_SCAN_EQ3_COUNT_2[[#This Row],[ID MATERIAL]]="","",VLOOKUP(Plantilla_SCAN_EQ3_COUNT_2[[#This Row],[ID MATERIAL]],INVENTARIO!$A:$D,2,FALSE))</f>
        <v/>
      </c>
      <c r="F2349" s="7" t="str">
        <f>IF(Plantilla_SCAN_EQ3_COUNT_2[[#This Row],[ID MATERIAL]]="","",IF(Plantilla_SCAN_EQ3_COUNT_2[[#This Row],[No. Empaques]]="",1,Plantilla_SCAN_EQ3_COUNT_2[[#This Row],[No. Empaques]]*1))</f>
        <v/>
      </c>
      <c r="G2349" s="7" t="str">
        <f>IF(Plantilla_SCAN_EQ3_COUNT_2[[#This Row],[ID MATERIAL]]="","","PZ")</f>
        <v/>
      </c>
      <c r="H2349" s="7" t="str">
        <f>IF(Plantilla_SCAN_EQ3_COUNT_2[[#This Row],[ID MATERIAL]]="","",$B$13)</f>
        <v/>
      </c>
      <c r="I2349" s="7" t="str">
        <f>IF(Plantilla_SCAN_EQ3_COUNT_2[[#This Row],[ID MATERIAL]]="","","Segundo Conteo")</f>
        <v/>
      </c>
    </row>
    <row r="2350" spans="1:9" s="7" customFormat="1" ht="15" x14ac:dyDescent="0.2">
      <c r="A2350" s="7" t="str">
        <f>IF(Plantilla_SCAN_EQ3_COUNT_2[[#This Row],[ID MATERIAL]]="","",SIGN(Plantilla_SCAN_EQ3_COUNT_2[[#This Row],[Cantidad]])+A2349)</f>
        <v/>
      </c>
      <c r="B2350" s="21" t="str">
        <f>IF(Plantilla_SCAN_EQ3_COUNT_2[[#This Row],[ID MATERIAL]]="","",B2349)</f>
        <v/>
      </c>
      <c r="C2350" s="21"/>
      <c r="D2350" s="21"/>
      <c r="E2350" s="7" t="str">
        <f>IF(Plantilla_SCAN_EQ3_COUNT_2[[#This Row],[ID MATERIAL]]="","",VLOOKUP(Plantilla_SCAN_EQ3_COUNT_2[[#This Row],[ID MATERIAL]],INVENTARIO!$A:$D,2,FALSE))</f>
        <v/>
      </c>
      <c r="F2350" s="7" t="str">
        <f>IF(Plantilla_SCAN_EQ3_COUNT_2[[#This Row],[ID MATERIAL]]="","",IF(Plantilla_SCAN_EQ3_COUNT_2[[#This Row],[No. Empaques]]="",1,Plantilla_SCAN_EQ3_COUNT_2[[#This Row],[No. Empaques]]*1))</f>
        <v/>
      </c>
      <c r="G2350" s="7" t="str">
        <f>IF(Plantilla_SCAN_EQ3_COUNT_2[[#This Row],[ID MATERIAL]]="","","PZ")</f>
        <v/>
      </c>
      <c r="H2350" s="7" t="str">
        <f>IF(Plantilla_SCAN_EQ3_COUNT_2[[#This Row],[ID MATERIAL]]="","",$B$13)</f>
        <v/>
      </c>
      <c r="I2350" s="7" t="str">
        <f>IF(Plantilla_SCAN_EQ3_COUNT_2[[#This Row],[ID MATERIAL]]="","","Segundo Conteo")</f>
        <v/>
      </c>
    </row>
    <row r="2351" spans="1:9" s="7" customFormat="1" ht="15" x14ac:dyDescent="0.2">
      <c r="A2351" s="7" t="str">
        <f>IF(Plantilla_SCAN_EQ3_COUNT_2[[#This Row],[ID MATERIAL]]="","",SIGN(Plantilla_SCAN_EQ3_COUNT_2[[#This Row],[Cantidad]])+A2350)</f>
        <v/>
      </c>
      <c r="B2351" s="21" t="str">
        <f>IF(Plantilla_SCAN_EQ3_COUNT_2[[#This Row],[ID MATERIAL]]="","",B2350)</f>
        <v/>
      </c>
      <c r="C2351" s="21"/>
      <c r="D2351" s="21"/>
      <c r="E2351" s="7" t="str">
        <f>IF(Plantilla_SCAN_EQ3_COUNT_2[[#This Row],[ID MATERIAL]]="","",VLOOKUP(Plantilla_SCAN_EQ3_COUNT_2[[#This Row],[ID MATERIAL]],INVENTARIO!$A:$D,2,FALSE))</f>
        <v/>
      </c>
      <c r="F2351" s="7" t="str">
        <f>IF(Plantilla_SCAN_EQ3_COUNT_2[[#This Row],[ID MATERIAL]]="","",IF(Plantilla_SCAN_EQ3_COUNT_2[[#This Row],[No. Empaques]]="",1,Plantilla_SCAN_EQ3_COUNT_2[[#This Row],[No. Empaques]]*1))</f>
        <v/>
      </c>
      <c r="G2351" s="7" t="str">
        <f>IF(Plantilla_SCAN_EQ3_COUNT_2[[#This Row],[ID MATERIAL]]="","","PZ")</f>
        <v/>
      </c>
      <c r="H2351" s="7" t="str">
        <f>IF(Plantilla_SCAN_EQ3_COUNT_2[[#This Row],[ID MATERIAL]]="","",$B$13)</f>
        <v/>
      </c>
      <c r="I2351" s="7" t="str">
        <f>IF(Plantilla_SCAN_EQ3_COUNT_2[[#This Row],[ID MATERIAL]]="","","Segundo Conteo")</f>
        <v/>
      </c>
    </row>
    <row r="2352" spans="1:9" s="7" customFormat="1" ht="15" x14ac:dyDescent="0.2">
      <c r="A2352" s="7" t="str">
        <f>IF(Plantilla_SCAN_EQ3_COUNT_2[[#This Row],[ID MATERIAL]]="","",SIGN(Plantilla_SCAN_EQ3_COUNT_2[[#This Row],[Cantidad]])+A2351)</f>
        <v/>
      </c>
      <c r="B2352" s="21" t="str">
        <f>IF(Plantilla_SCAN_EQ3_COUNT_2[[#This Row],[ID MATERIAL]]="","",B2351)</f>
        <v/>
      </c>
      <c r="C2352" s="21"/>
      <c r="D2352" s="21"/>
      <c r="E2352" s="7" t="str">
        <f>IF(Plantilla_SCAN_EQ3_COUNT_2[[#This Row],[ID MATERIAL]]="","",VLOOKUP(Plantilla_SCAN_EQ3_COUNT_2[[#This Row],[ID MATERIAL]],INVENTARIO!$A:$D,2,FALSE))</f>
        <v/>
      </c>
      <c r="F2352" s="7" t="str">
        <f>IF(Plantilla_SCAN_EQ3_COUNT_2[[#This Row],[ID MATERIAL]]="","",IF(Plantilla_SCAN_EQ3_COUNT_2[[#This Row],[No. Empaques]]="",1,Plantilla_SCAN_EQ3_COUNT_2[[#This Row],[No. Empaques]]*1))</f>
        <v/>
      </c>
      <c r="G2352" s="7" t="str">
        <f>IF(Plantilla_SCAN_EQ3_COUNT_2[[#This Row],[ID MATERIAL]]="","","PZ")</f>
        <v/>
      </c>
      <c r="H2352" s="7" t="str">
        <f>IF(Plantilla_SCAN_EQ3_COUNT_2[[#This Row],[ID MATERIAL]]="","",$B$13)</f>
        <v/>
      </c>
      <c r="I2352" s="7" t="str">
        <f>IF(Plantilla_SCAN_EQ3_COUNT_2[[#This Row],[ID MATERIAL]]="","","Segundo Conteo")</f>
        <v/>
      </c>
    </row>
    <row r="2353" spans="1:9" s="7" customFormat="1" ht="15" x14ac:dyDescent="0.2">
      <c r="A2353" s="7" t="str">
        <f>IF(Plantilla_SCAN_EQ3_COUNT_2[[#This Row],[ID MATERIAL]]="","",SIGN(Plantilla_SCAN_EQ3_COUNT_2[[#This Row],[Cantidad]])+A2352)</f>
        <v/>
      </c>
      <c r="B2353" s="21" t="str">
        <f>IF(Plantilla_SCAN_EQ3_COUNT_2[[#This Row],[ID MATERIAL]]="","",B2352)</f>
        <v/>
      </c>
      <c r="C2353" s="21"/>
      <c r="D2353" s="21"/>
      <c r="E2353" s="7" t="str">
        <f>IF(Plantilla_SCAN_EQ3_COUNT_2[[#This Row],[ID MATERIAL]]="","",VLOOKUP(Plantilla_SCAN_EQ3_COUNT_2[[#This Row],[ID MATERIAL]],INVENTARIO!$A:$D,2,FALSE))</f>
        <v/>
      </c>
      <c r="F2353" s="7" t="str">
        <f>IF(Plantilla_SCAN_EQ3_COUNT_2[[#This Row],[ID MATERIAL]]="","",IF(Plantilla_SCAN_EQ3_COUNT_2[[#This Row],[No. Empaques]]="",1,Plantilla_SCAN_EQ3_COUNT_2[[#This Row],[No. Empaques]]*1))</f>
        <v/>
      </c>
      <c r="G2353" s="7" t="str">
        <f>IF(Plantilla_SCAN_EQ3_COUNT_2[[#This Row],[ID MATERIAL]]="","","PZ")</f>
        <v/>
      </c>
      <c r="H2353" s="7" t="str">
        <f>IF(Plantilla_SCAN_EQ3_COUNT_2[[#This Row],[ID MATERIAL]]="","",$B$13)</f>
        <v/>
      </c>
      <c r="I2353" s="7" t="str">
        <f>IF(Plantilla_SCAN_EQ3_COUNT_2[[#This Row],[ID MATERIAL]]="","","Segundo Conteo")</f>
        <v/>
      </c>
    </row>
    <row r="2354" spans="1:9" s="7" customFormat="1" ht="15" x14ac:dyDescent="0.2">
      <c r="A2354" s="7" t="str">
        <f>IF(Plantilla_SCAN_EQ3_COUNT_2[[#This Row],[ID MATERIAL]]="","",SIGN(Plantilla_SCAN_EQ3_COUNT_2[[#This Row],[Cantidad]])+A2353)</f>
        <v/>
      </c>
      <c r="B2354" s="21" t="str">
        <f>IF(Plantilla_SCAN_EQ3_COUNT_2[[#This Row],[ID MATERIAL]]="","",B2353)</f>
        <v/>
      </c>
      <c r="C2354" s="21"/>
      <c r="D2354" s="21"/>
      <c r="E2354" s="7" t="str">
        <f>IF(Plantilla_SCAN_EQ3_COUNT_2[[#This Row],[ID MATERIAL]]="","",VLOOKUP(Plantilla_SCAN_EQ3_COUNT_2[[#This Row],[ID MATERIAL]],INVENTARIO!$A:$D,2,FALSE))</f>
        <v/>
      </c>
      <c r="F2354" s="7" t="str">
        <f>IF(Plantilla_SCAN_EQ3_COUNT_2[[#This Row],[ID MATERIAL]]="","",IF(Plantilla_SCAN_EQ3_COUNT_2[[#This Row],[No. Empaques]]="",1,Plantilla_SCAN_EQ3_COUNT_2[[#This Row],[No. Empaques]]*1))</f>
        <v/>
      </c>
      <c r="G2354" s="7" t="str">
        <f>IF(Plantilla_SCAN_EQ3_COUNT_2[[#This Row],[ID MATERIAL]]="","","PZ")</f>
        <v/>
      </c>
      <c r="H2354" s="7" t="str">
        <f>IF(Plantilla_SCAN_EQ3_COUNT_2[[#This Row],[ID MATERIAL]]="","",$B$13)</f>
        <v/>
      </c>
      <c r="I2354" s="7" t="str">
        <f>IF(Plantilla_SCAN_EQ3_COUNT_2[[#This Row],[ID MATERIAL]]="","","Segundo Conteo")</f>
        <v/>
      </c>
    </row>
    <row r="2355" spans="1:9" s="7" customFormat="1" ht="15" x14ac:dyDescent="0.2">
      <c r="A2355" s="7" t="str">
        <f>IF(Plantilla_SCAN_EQ3_COUNT_2[[#This Row],[ID MATERIAL]]="","",SIGN(Plantilla_SCAN_EQ3_COUNT_2[[#This Row],[Cantidad]])+A2354)</f>
        <v/>
      </c>
      <c r="B2355" s="21" t="str">
        <f>IF(Plantilla_SCAN_EQ3_COUNT_2[[#This Row],[ID MATERIAL]]="","",B2354)</f>
        <v/>
      </c>
      <c r="C2355" s="21"/>
      <c r="D2355" s="21"/>
      <c r="E2355" s="7" t="str">
        <f>IF(Plantilla_SCAN_EQ3_COUNT_2[[#This Row],[ID MATERIAL]]="","",VLOOKUP(Plantilla_SCAN_EQ3_COUNT_2[[#This Row],[ID MATERIAL]],INVENTARIO!$A:$D,2,FALSE))</f>
        <v/>
      </c>
      <c r="F2355" s="7" t="str">
        <f>IF(Plantilla_SCAN_EQ3_COUNT_2[[#This Row],[ID MATERIAL]]="","",IF(Plantilla_SCAN_EQ3_COUNT_2[[#This Row],[No. Empaques]]="",1,Plantilla_SCAN_EQ3_COUNT_2[[#This Row],[No. Empaques]]*1))</f>
        <v/>
      </c>
      <c r="G2355" s="7" t="str">
        <f>IF(Plantilla_SCAN_EQ3_COUNT_2[[#This Row],[ID MATERIAL]]="","","PZ")</f>
        <v/>
      </c>
      <c r="H2355" s="7" t="str">
        <f>IF(Plantilla_SCAN_EQ3_COUNT_2[[#This Row],[ID MATERIAL]]="","",$B$13)</f>
        <v/>
      </c>
      <c r="I2355" s="7" t="str">
        <f>IF(Plantilla_SCAN_EQ3_COUNT_2[[#This Row],[ID MATERIAL]]="","","Segundo Conteo")</f>
        <v/>
      </c>
    </row>
    <row r="2356" spans="1:9" s="7" customFormat="1" ht="15" x14ac:dyDescent="0.2">
      <c r="A2356" s="7" t="str">
        <f>IF(Plantilla_SCAN_EQ3_COUNT_2[[#This Row],[ID MATERIAL]]="","",SIGN(Plantilla_SCAN_EQ3_COUNT_2[[#This Row],[Cantidad]])+A2355)</f>
        <v/>
      </c>
      <c r="B2356" s="21" t="str">
        <f>IF(Plantilla_SCAN_EQ3_COUNT_2[[#This Row],[ID MATERIAL]]="","",B2355)</f>
        <v/>
      </c>
      <c r="C2356" s="21"/>
      <c r="D2356" s="21"/>
      <c r="E2356" s="7" t="str">
        <f>IF(Plantilla_SCAN_EQ3_COUNT_2[[#This Row],[ID MATERIAL]]="","",VLOOKUP(Plantilla_SCAN_EQ3_COUNT_2[[#This Row],[ID MATERIAL]],INVENTARIO!$A:$D,2,FALSE))</f>
        <v/>
      </c>
      <c r="F2356" s="7" t="str">
        <f>IF(Plantilla_SCAN_EQ3_COUNT_2[[#This Row],[ID MATERIAL]]="","",IF(Plantilla_SCAN_EQ3_COUNT_2[[#This Row],[No. Empaques]]="",1,Plantilla_SCAN_EQ3_COUNT_2[[#This Row],[No. Empaques]]*1))</f>
        <v/>
      </c>
      <c r="G2356" s="7" t="str">
        <f>IF(Plantilla_SCAN_EQ3_COUNT_2[[#This Row],[ID MATERIAL]]="","","PZ")</f>
        <v/>
      </c>
      <c r="H2356" s="7" t="str">
        <f>IF(Plantilla_SCAN_EQ3_COUNT_2[[#This Row],[ID MATERIAL]]="","",$B$13)</f>
        <v/>
      </c>
      <c r="I2356" s="7" t="str">
        <f>IF(Plantilla_SCAN_EQ3_COUNT_2[[#This Row],[ID MATERIAL]]="","","Segundo Conteo")</f>
        <v/>
      </c>
    </row>
    <row r="2357" spans="1:9" s="7" customFormat="1" ht="15" x14ac:dyDescent="0.2">
      <c r="A2357" s="7" t="str">
        <f>IF(Plantilla_SCAN_EQ3_COUNT_2[[#This Row],[ID MATERIAL]]="","",SIGN(Plantilla_SCAN_EQ3_COUNT_2[[#This Row],[Cantidad]])+A2356)</f>
        <v/>
      </c>
      <c r="B2357" s="21" t="str">
        <f>IF(Plantilla_SCAN_EQ3_COUNT_2[[#This Row],[ID MATERIAL]]="","",B2356)</f>
        <v/>
      </c>
      <c r="C2357" s="21"/>
      <c r="D2357" s="21"/>
      <c r="E2357" s="7" t="str">
        <f>IF(Plantilla_SCAN_EQ3_COUNT_2[[#This Row],[ID MATERIAL]]="","",VLOOKUP(Plantilla_SCAN_EQ3_COUNT_2[[#This Row],[ID MATERIAL]],INVENTARIO!$A:$D,2,FALSE))</f>
        <v/>
      </c>
      <c r="F2357" s="7" t="str">
        <f>IF(Plantilla_SCAN_EQ3_COUNT_2[[#This Row],[ID MATERIAL]]="","",IF(Plantilla_SCAN_EQ3_COUNT_2[[#This Row],[No. Empaques]]="",1,Plantilla_SCAN_EQ3_COUNT_2[[#This Row],[No. Empaques]]*1))</f>
        <v/>
      </c>
      <c r="G2357" s="7" t="str">
        <f>IF(Plantilla_SCAN_EQ3_COUNT_2[[#This Row],[ID MATERIAL]]="","","PZ")</f>
        <v/>
      </c>
      <c r="H2357" s="7" t="str">
        <f>IF(Plantilla_SCAN_EQ3_COUNT_2[[#This Row],[ID MATERIAL]]="","",$B$13)</f>
        <v/>
      </c>
      <c r="I2357" s="7" t="str">
        <f>IF(Plantilla_SCAN_EQ3_COUNT_2[[#This Row],[ID MATERIAL]]="","","Segundo Conteo")</f>
        <v/>
      </c>
    </row>
    <row r="2358" spans="1:9" s="7" customFormat="1" ht="15" x14ac:dyDescent="0.2">
      <c r="A2358" s="7" t="str">
        <f>IF(Plantilla_SCAN_EQ3_COUNT_2[[#This Row],[ID MATERIAL]]="","",SIGN(Plantilla_SCAN_EQ3_COUNT_2[[#This Row],[Cantidad]])+A2357)</f>
        <v/>
      </c>
      <c r="B2358" s="21" t="str">
        <f>IF(Plantilla_SCAN_EQ3_COUNT_2[[#This Row],[ID MATERIAL]]="","",B2357)</f>
        <v/>
      </c>
      <c r="C2358" s="21"/>
      <c r="D2358" s="21"/>
      <c r="E2358" s="7" t="str">
        <f>IF(Plantilla_SCAN_EQ3_COUNT_2[[#This Row],[ID MATERIAL]]="","",VLOOKUP(Plantilla_SCAN_EQ3_COUNT_2[[#This Row],[ID MATERIAL]],INVENTARIO!$A:$D,2,FALSE))</f>
        <v/>
      </c>
      <c r="F2358" s="7" t="str">
        <f>IF(Plantilla_SCAN_EQ3_COUNT_2[[#This Row],[ID MATERIAL]]="","",IF(Plantilla_SCAN_EQ3_COUNT_2[[#This Row],[No. Empaques]]="",1,Plantilla_SCAN_EQ3_COUNT_2[[#This Row],[No. Empaques]]*1))</f>
        <v/>
      </c>
      <c r="G2358" s="7" t="str">
        <f>IF(Plantilla_SCAN_EQ3_COUNT_2[[#This Row],[ID MATERIAL]]="","","PZ")</f>
        <v/>
      </c>
      <c r="H2358" s="7" t="str">
        <f>IF(Plantilla_SCAN_EQ3_COUNT_2[[#This Row],[ID MATERIAL]]="","",$B$13)</f>
        <v/>
      </c>
      <c r="I2358" s="7" t="str">
        <f>IF(Plantilla_SCAN_EQ3_COUNT_2[[#This Row],[ID MATERIAL]]="","","Segundo Conteo")</f>
        <v/>
      </c>
    </row>
    <row r="2359" spans="1:9" s="7" customFormat="1" ht="15" x14ac:dyDescent="0.2">
      <c r="A2359" s="7" t="str">
        <f>IF(Plantilla_SCAN_EQ3_COUNT_2[[#This Row],[ID MATERIAL]]="","",SIGN(Plantilla_SCAN_EQ3_COUNT_2[[#This Row],[Cantidad]])+A2358)</f>
        <v/>
      </c>
      <c r="B2359" s="21" t="str">
        <f>IF(Plantilla_SCAN_EQ3_COUNT_2[[#This Row],[ID MATERIAL]]="","",B2358)</f>
        <v/>
      </c>
      <c r="C2359" s="21"/>
      <c r="D2359" s="21"/>
      <c r="E2359" s="7" t="str">
        <f>IF(Plantilla_SCAN_EQ3_COUNT_2[[#This Row],[ID MATERIAL]]="","",VLOOKUP(Plantilla_SCAN_EQ3_COUNT_2[[#This Row],[ID MATERIAL]],INVENTARIO!$A:$D,2,FALSE))</f>
        <v/>
      </c>
      <c r="F2359" s="7" t="str">
        <f>IF(Plantilla_SCAN_EQ3_COUNT_2[[#This Row],[ID MATERIAL]]="","",IF(Plantilla_SCAN_EQ3_COUNT_2[[#This Row],[No. Empaques]]="",1,Plantilla_SCAN_EQ3_COUNT_2[[#This Row],[No. Empaques]]*1))</f>
        <v/>
      </c>
      <c r="G2359" s="7" t="str">
        <f>IF(Plantilla_SCAN_EQ3_COUNT_2[[#This Row],[ID MATERIAL]]="","","PZ")</f>
        <v/>
      </c>
      <c r="H2359" s="7" t="str">
        <f>IF(Plantilla_SCAN_EQ3_COUNT_2[[#This Row],[ID MATERIAL]]="","",$B$13)</f>
        <v/>
      </c>
      <c r="I2359" s="7" t="str">
        <f>IF(Plantilla_SCAN_EQ3_COUNT_2[[#This Row],[ID MATERIAL]]="","","Segundo Conteo")</f>
        <v/>
      </c>
    </row>
    <row r="2360" spans="1:9" s="7" customFormat="1" ht="15" x14ac:dyDescent="0.2">
      <c r="A2360" s="7" t="str">
        <f>IF(Plantilla_SCAN_EQ3_COUNT_2[[#This Row],[ID MATERIAL]]="","",SIGN(Plantilla_SCAN_EQ3_COUNT_2[[#This Row],[Cantidad]])+A2359)</f>
        <v/>
      </c>
      <c r="B2360" s="21" t="str">
        <f>IF(Plantilla_SCAN_EQ3_COUNT_2[[#This Row],[ID MATERIAL]]="","",B2359)</f>
        <v/>
      </c>
      <c r="C2360" s="21"/>
      <c r="D2360" s="21"/>
      <c r="E2360" s="7" t="str">
        <f>IF(Plantilla_SCAN_EQ3_COUNT_2[[#This Row],[ID MATERIAL]]="","",VLOOKUP(Plantilla_SCAN_EQ3_COUNT_2[[#This Row],[ID MATERIAL]],INVENTARIO!$A:$D,2,FALSE))</f>
        <v/>
      </c>
      <c r="F2360" s="7" t="str">
        <f>IF(Plantilla_SCAN_EQ3_COUNT_2[[#This Row],[ID MATERIAL]]="","",IF(Plantilla_SCAN_EQ3_COUNT_2[[#This Row],[No. Empaques]]="",1,Plantilla_SCAN_EQ3_COUNT_2[[#This Row],[No. Empaques]]*1))</f>
        <v/>
      </c>
      <c r="G2360" s="7" t="str">
        <f>IF(Plantilla_SCAN_EQ3_COUNT_2[[#This Row],[ID MATERIAL]]="","","PZ")</f>
        <v/>
      </c>
      <c r="H2360" s="7" t="str">
        <f>IF(Plantilla_SCAN_EQ3_COUNT_2[[#This Row],[ID MATERIAL]]="","",$B$13)</f>
        <v/>
      </c>
      <c r="I2360" s="7" t="str">
        <f>IF(Plantilla_SCAN_EQ3_COUNT_2[[#This Row],[ID MATERIAL]]="","","Segundo Conteo")</f>
        <v/>
      </c>
    </row>
    <row r="2361" spans="1:9" s="7" customFormat="1" ht="15" x14ac:dyDescent="0.2">
      <c r="A2361" s="7" t="str">
        <f>IF(Plantilla_SCAN_EQ3_COUNT_2[[#This Row],[ID MATERIAL]]="","",SIGN(Plantilla_SCAN_EQ3_COUNT_2[[#This Row],[Cantidad]])+A2360)</f>
        <v/>
      </c>
      <c r="B2361" s="21" t="str">
        <f>IF(Plantilla_SCAN_EQ3_COUNT_2[[#This Row],[ID MATERIAL]]="","",B2360)</f>
        <v/>
      </c>
      <c r="C2361" s="21"/>
      <c r="D2361" s="21"/>
      <c r="E2361" s="7" t="str">
        <f>IF(Plantilla_SCAN_EQ3_COUNT_2[[#This Row],[ID MATERIAL]]="","",VLOOKUP(Plantilla_SCAN_EQ3_COUNT_2[[#This Row],[ID MATERIAL]],INVENTARIO!$A:$D,2,FALSE))</f>
        <v/>
      </c>
      <c r="F2361" s="7" t="str">
        <f>IF(Plantilla_SCAN_EQ3_COUNT_2[[#This Row],[ID MATERIAL]]="","",IF(Plantilla_SCAN_EQ3_COUNT_2[[#This Row],[No. Empaques]]="",1,Plantilla_SCAN_EQ3_COUNT_2[[#This Row],[No. Empaques]]*1))</f>
        <v/>
      </c>
      <c r="G2361" s="7" t="str">
        <f>IF(Plantilla_SCAN_EQ3_COUNT_2[[#This Row],[ID MATERIAL]]="","","PZ")</f>
        <v/>
      </c>
      <c r="H2361" s="7" t="str">
        <f>IF(Plantilla_SCAN_EQ3_COUNT_2[[#This Row],[ID MATERIAL]]="","",$B$13)</f>
        <v/>
      </c>
      <c r="I2361" s="7" t="str">
        <f>IF(Plantilla_SCAN_EQ3_COUNT_2[[#This Row],[ID MATERIAL]]="","","Segundo Conteo")</f>
        <v/>
      </c>
    </row>
    <row r="2362" spans="1:9" s="7" customFormat="1" ht="15" x14ac:dyDescent="0.2">
      <c r="A2362" s="7" t="str">
        <f>IF(Plantilla_SCAN_EQ3_COUNT_2[[#This Row],[ID MATERIAL]]="","",SIGN(Plantilla_SCAN_EQ3_COUNT_2[[#This Row],[Cantidad]])+A2361)</f>
        <v/>
      </c>
      <c r="B2362" s="21" t="str">
        <f>IF(Plantilla_SCAN_EQ3_COUNT_2[[#This Row],[ID MATERIAL]]="","",B2361)</f>
        <v/>
      </c>
      <c r="C2362" s="21"/>
      <c r="D2362" s="21"/>
      <c r="E2362" s="7" t="str">
        <f>IF(Plantilla_SCAN_EQ3_COUNT_2[[#This Row],[ID MATERIAL]]="","",VLOOKUP(Plantilla_SCAN_EQ3_COUNT_2[[#This Row],[ID MATERIAL]],INVENTARIO!$A:$D,2,FALSE))</f>
        <v/>
      </c>
      <c r="F2362" s="7" t="str">
        <f>IF(Plantilla_SCAN_EQ3_COUNT_2[[#This Row],[ID MATERIAL]]="","",IF(Plantilla_SCAN_EQ3_COUNT_2[[#This Row],[No. Empaques]]="",1,Plantilla_SCAN_EQ3_COUNT_2[[#This Row],[No. Empaques]]*1))</f>
        <v/>
      </c>
      <c r="G2362" s="7" t="str">
        <f>IF(Plantilla_SCAN_EQ3_COUNT_2[[#This Row],[ID MATERIAL]]="","","PZ")</f>
        <v/>
      </c>
      <c r="H2362" s="7" t="str">
        <f>IF(Plantilla_SCAN_EQ3_COUNT_2[[#This Row],[ID MATERIAL]]="","",$B$13)</f>
        <v/>
      </c>
      <c r="I2362" s="7" t="str">
        <f>IF(Plantilla_SCAN_EQ3_COUNT_2[[#This Row],[ID MATERIAL]]="","","Segundo Conteo")</f>
        <v/>
      </c>
    </row>
    <row r="2363" spans="1:9" s="7" customFormat="1" ht="15" x14ac:dyDescent="0.2">
      <c r="A2363" s="7" t="str">
        <f>IF(Plantilla_SCAN_EQ3_COUNT_2[[#This Row],[ID MATERIAL]]="","",SIGN(Plantilla_SCAN_EQ3_COUNT_2[[#This Row],[Cantidad]])+A2362)</f>
        <v/>
      </c>
      <c r="B2363" s="21" t="str">
        <f>IF(Plantilla_SCAN_EQ3_COUNT_2[[#This Row],[ID MATERIAL]]="","",B2362)</f>
        <v/>
      </c>
      <c r="C2363" s="21"/>
      <c r="D2363" s="21"/>
      <c r="E2363" s="7" t="str">
        <f>IF(Plantilla_SCAN_EQ3_COUNT_2[[#This Row],[ID MATERIAL]]="","",VLOOKUP(Plantilla_SCAN_EQ3_COUNT_2[[#This Row],[ID MATERIAL]],INVENTARIO!$A:$D,2,FALSE))</f>
        <v/>
      </c>
      <c r="F2363" s="7" t="str">
        <f>IF(Plantilla_SCAN_EQ3_COUNT_2[[#This Row],[ID MATERIAL]]="","",IF(Plantilla_SCAN_EQ3_COUNT_2[[#This Row],[No. Empaques]]="",1,Plantilla_SCAN_EQ3_COUNT_2[[#This Row],[No. Empaques]]*1))</f>
        <v/>
      </c>
      <c r="G2363" s="7" t="str">
        <f>IF(Plantilla_SCAN_EQ3_COUNT_2[[#This Row],[ID MATERIAL]]="","","PZ")</f>
        <v/>
      </c>
      <c r="H2363" s="7" t="str">
        <f>IF(Plantilla_SCAN_EQ3_COUNT_2[[#This Row],[ID MATERIAL]]="","",$B$13)</f>
        <v/>
      </c>
      <c r="I2363" s="7" t="str">
        <f>IF(Plantilla_SCAN_EQ3_COUNT_2[[#This Row],[ID MATERIAL]]="","","Segundo Conteo")</f>
        <v/>
      </c>
    </row>
    <row r="2364" spans="1:9" s="7" customFormat="1" ht="15" x14ac:dyDescent="0.2">
      <c r="A2364" s="7" t="str">
        <f>IF(Plantilla_SCAN_EQ3_COUNT_2[[#This Row],[ID MATERIAL]]="","",SIGN(Plantilla_SCAN_EQ3_COUNT_2[[#This Row],[Cantidad]])+A2363)</f>
        <v/>
      </c>
      <c r="B2364" s="21" t="str">
        <f>IF(Plantilla_SCAN_EQ3_COUNT_2[[#This Row],[ID MATERIAL]]="","",B2363)</f>
        <v/>
      </c>
      <c r="C2364" s="21"/>
      <c r="D2364" s="21"/>
      <c r="E2364" s="7" t="str">
        <f>IF(Plantilla_SCAN_EQ3_COUNT_2[[#This Row],[ID MATERIAL]]="","",VLOOKUP(Plantilla_SCAN_EQ3_COUNT_2[[#This Row],[ID MATERIAL]],INVENTARIO!$A:$D,2,FALSE))</f>
        <v/>
      </c>
      <c r="F2364" s="7" t="str">
        <f>IF(Plantilla_SCAN_EQ3_COUNT_2[[#This Row],[ID MATERIAL]]="","",IF(Plantilla_SCAN_EQ3_COUNT_2[[#This Row],[No. Empaques]]="",1,Plantilla_SCAN_EQ3_COUNT_2[[#This Row],[No. Empaques]]*1))</f>
        <v/>
      </c>
      <c r="G2364" s="7" t="str">
        <f>IF(Plantilla_SCAN_EQ3_COUNT_2[[#This Row],[ID MATERIAL]]="","","PZ")</f>
        <v/>
      </c>
      <c r="H2364" s="7" t="str">
        <f>IF(Plantilla_SCAN_EQ3_COUNT_2[[#This Row],[ID MATERIAL]]="","",$B$13)</f>
        <v/>
      </c>
      <c r="I2364" s="7" t="str">
        <f>IF(Plantilla_SCAN_EQ3_COUNT_2[[#This Row],[ID MATERIAL]]="","","Segundo Conteo")</f>
        <v/>
      </c>
    </row>
    <row r="2365" spans="1:9" s="7" customFormat="1" ht="15" x14ac:dyDescent="0.2">
      <c r="A2365" s="7" t="str">
        <f>IF(Plantilla_SCAN_EQ3_COUNT_2[[#This Row],[ID MATERIAL]]="","",SIGN(Plantilla_SCAN_EQ3_COUNT_2[[#This Row],[Cantidad]])+A2364)</f>
        <v/>
      </c>
      <c r="B2365" s="21" t="str">
        <f>IF(Plantilla_SCAN_EQ3_COUNT_2[[#This Row],[ID MATERIAL]]="","",B2364)</f>
        <v/>
      </c>
      <c r="C2365" s="21"/>
      <c r="D2365" s="21"/>
      <c r="E2365" s="7" t="str">
        <f>IF(Plantilla_SCAN_EQ3_COUNT_2[[#This Row],[ID MATERIAL]]="","",VLOOKUP(Plantilla_SCAN_EQ3_COUNT_2[[#This Row],[ID MATERIAL]],INVENTARIO!$A:$D,2,FALSE))</f>
        <v/>
      </c>
      <c r="F2365" s="7" t="str">
        <f>IF(Plantilla_SCAN_EQ3_COUNT_2[[#This Row],[ID MATERIAL]]="","",IF(Plantilla_SCAN_EQ3_COUNT_2[[#This Row],[No. Empaques]]="",1,Plantilla_SCAN_EQ3_COUNT_2[[#This Row],[No. Empaques]]*1))</f>
        <v/>
      </c>
      <c r="G2365" s="7" t="str">
        <f>IF(Plantilla_SCAN_EQ3_COUNT_2[[#This Row],[ID MATERIAL]]="","","PZ")</f>
        <v/>
      </c>
      <c r="H2365" s="7" t="str">
        <f>IF(Plantilla_SCAN_EQ3_COUNT_2[[#This Row],[ID MATERIAL]]="","",$B$13)</f>
        <v/>
      </c>
      <c r="I2365" s="7" t="str">
        <f>IF(Plantilla_SCAN_EQ3_COUNT_2[[#This Row],[ID MATERIAL]]="","","Segundo Conteo")</f>
        <v/>
      </c>
    </row>
    <row r="2366" spans="1:9" s="7" customFormat="1" ht="15" x14ac:dyDescent="0.2">
      <c r="A2366" s="7" t="str">
        <f>IF(Plantilla_SCAN_EQ3_COUNT_2[[#This Row],[ID MATERIAL]]="","",SIGN(Plantilla_SCAN_EQ3_COUNT_2[[#This Row],[Cantidad]])+A2365)</f>
        <v/>
      </c>
      <c r="B2366" s="21" t="str">
        <f>IF(Plantilla_SCAN_EQ3_COUNT_2[[#This Row],[ID MATERIAL]]="","",B2365)</f>
        <v/>
      </c>
      <c r="C2366" s="21"/>
      <c r="D2366" s="21"/>
      <c r="E2366" s="7" t="str">
        <f>IF(Plantilla_SCAN_EQ3_COUNT_2[[#This Row],[ID MATERIAL]]="","",VLOOKUP(Plantilla_SCAN_EQ3_COUNT_2[[#This Row],[ID MATERIAL]],INVENTARIO!$A:$D,2,FALSE))</f>
        <v/>
      </c>
      <c r="F2366" s="7" t="str">
        <f>IF(Plantilla_SCAN_EQ3_COUNT_2[[#This Row],[ID MATERIAL]]="","",IF(Plantilla_SCAN_EQ3_COUNT_2[[#This Row],[No. Empaques]]="",1,Plantilla_SCAN_EQ3_COUNT_2[[#This Row],[No. Empaques]]*1))</f>
        <v/>
      </c>
      <c r="G2366" s="7" t="str">
        <f>IF(Plantilla_SCAN_EQ3_COUNT_2[[#This Row],[ID MATERIAL]]="","","PZ")</f>
        <v/>
      </c>
      <c r="H2366" s="7" t="str">
        <f>IF(Plantilla_SCAN_EQ3_COUNT_2[[#This Row],[ID MATERIAL]]="","",$B$13)</f>
        <v/>
      </c>
      <c r="I2366" s="7" t="str">
        <f>IF(Plantilla_SCAN_EQ3_COUNT_2[[#This Row],[ID MATERIAL]]="","","Segundo Conteo")</f>
        <v/>
      </c>
    </row>
    <row r="2367" spans="1:9" s="7" customFormat="1" ht="15" x14ac:dyDescent="0.2">
      <c r="A2367" s="7" t="str">
        <f>IF(Plantilla_SCAN_EQ3_COUNT_2[[#This Row],[ID MATERIAL]]="","",SIGN(Plantilla_SCAN_EQ3_COUNT_2[[#This Row],[Cantidad]])+A2366)</f>
        <v/>
      </c>
      <c r="B2367" s="21" t="str">
        <f>IF(Plantilla_SCAN_EQ3_COUNT_2[[#This Row],[ID MATERIAL]]="","",B2366)</f>
        <v/>
      </c>
      <c r="C2367" s="21"/>
      <c r="D2367" s="21"/>
      <c r="E2367" s="7" t="str">
        <f>IF(Plantilla_SCAN_EQ3_COUNT_2[[#This Row],[ID MATERIAL]]="","",VLOOKUP(Plantilla_SCAN_EQ3_COUNT_2[[#This Row],[ID MATERIAL]],INVENTARIO!$A:$D,2,FALSE))</f>
        <v/>
      </c>
      <c r="F2367" s="7" t="str">
        <f>IF(Plantilla_SCAN_EQ3_COUNT_2[[#This Row],[ID MATERIAL]]="","",IF(Plantilla_SCAN_EQ3_COUNT_2[[#This Row],[No. Empaques]]="",1,Plantilla_SCAN_EQ3_COUNT_2[[#This Row],[No. Empaques]]*1))</f>
        <v/>
      </c>
      <c r="G2367" s="7" t="str">
        <f>IF(Plantilla_SCAN_EQ3_COUNT_2[[#This Row],[ID MATERIAL]]="","","PZ")</f>
        <v/>
      </c>
      <c r="H2367" s="7" t="str">
        <f>IF(Plantilla_SCAN_EQ3_COUNT_2[[#This Row],[ID MATERIAL]]="","",$B$13)</f>
        <v/>
      </c>
      <c r="I2367" s="7" t="str">
        <f>IF(Plantilla_SCAN_EQ3_COUNT_2[[#This Row],[ID MATERIAL]]="","","Segundo Conteo")</f>
        <v/>
      </c>
    </row>
    <row r="2368" spans="1:9" s="7" customFormat="1" ht="15" x14ac:dyDescent="0.2">
      <c r="A2368" s="7" t="str">
        <f>IF(Plantilla_SCAN_EQ3_COUNT_2[[#This Row],[ID MATERIAL]]="","",SIGN(Plantilla_SCAN_EQ3_COUNT_2[[#This Row],[Cantidad]])+A2367)</f>
        <v/>
      </c>
      <c r="B2368" s="21" t="str">
        <f>IF(Plantilla_SCAN_EQ3_COUNT_2[[#This Row],[ID MATERIAL]]="","",B2367)</f>
        <v/>
      </c>
      <c r="C2368" s="21"/>
      <c r="D2368" s="21"/>
      <c r="E2368" s="7" t="str">
        <f>IF(Plantilla_SCAN_EQ3_COUNT_2[[#This Row],[ID MATERIAL]]="","",VLOOKUP(Plantilla_SCAN_EQ3_COUNT_2[[#This Row],[ID MATERIAL]],INVENTARIO!$A:$D,2,FALSE))</f>
        <v/>
      </c>
      <c r="F2368" s="7" t="str">
        <f>IF(Plantilla_SCAN_EQ3_COUNT_2[[#This Row],[ID MATERIAL]]="","",IF(Plantilla_SCAN_EQ3_COUNT_2[[#This Row],[No. Empaques]]="",1,Plantilla_SCAN_EQ3_COUNT_2[[#This Row],[No. Empaques]]*1))</f>
        <v/>
      </c>
      <c r="G2368" s="7" t="str">
        <f>IF(Plantilla_SCAN_EQ3_COUNT_2[[#This Row],[ID MATERIAL]]="","","PZ")</f>
        <v/>
      </c>
      <c r="H2368" s="7" t="str">
        <f>IF(Plantilla_SCAN_EQ3_COUNT_2[[#This Row],[ID MATERIAL]]="","",$B$13)</f>
        <v/>
      </c>
      <c r="I2368" s="7" t="str">
        <f>IF(Plantilla_SCAN_EQ3_COUNT_2[[#This Row],[ID MATERIAL]]="","","Segundo Conteo")</f>
        <v/>
      </c>
    </row>
    <row r="2369" spans="1:9" s="7" customFormat="1" ht="15" x14ac:dyDescent="0.2">
      <c r="A2369" s="7" t="str">
        <f>IF(Plantilla_SCAN_EQ3_COUNT_2[[#This Row],[ID MATERIAL]]="","",SIGN(Plantilla_SCAN_EQ3_COUNT_2[[#This Row],[Cantidad]])+A2368)</f>
        <v/>
      </c>
      <c r="B2369" s="21" t="str">
        <f>IF(Plantilla_SCAN_EQ3_COUNT_2[[#This Row],[ID MATERIAL]]="","",B2368)</f>
        <v/>
      </c>
      <c r="C2369" s="21"/>
      <c r="D2369" s="21"/>
      <c r="E2369" s="7" t="str">
        <f>IF(Plantilla_SCAN_EQ3_COUNT_2[[#This Row],[ID MATERIAL]]="","",VLOOKUP(Plantilla_SCAN_EQ3_COUNT_2[[#This Row],[ID MATERIAL]],INVENTARIO!$A:$D,2,FALSE))</f>
        <v/>
      </c>
      <c r="F2369" s="7" t="str">
        <f>IF(Plantilla_SCAN_EQ3_COUNT_2[[#This Row],[ID MATERIAL]]="","",IF(Plantilla_SCAN_EQ3_COUNT_2[[#This Row],[No. Empaques]]="",1,Plantilla_SCAN_EQ3_COUNT_2[[#This Row],[No. Empaques]]*1))</f>
        <v/>
      </c>
      <c r="G2369" s="7" t="str">
        <f>IF(Plantilla_SCAN_EQ3_COUNT_2[[#This Row],[ID MATERIAL]]="","","PZ")</f>
        <v/>
      </c>
      <c r="H2369" s="7" t="str">
        <f>IF(Plantilla_SCAN_EQ3_COUNT_2[[#This Row],[ID MATERIAL]]="","",$B$13)</f>
        <v/>
      </c>
      <c r="I2369" s="7" t="str">
        <f>IF(Plantilla_SCAN_EQ3_COUNT_2[[#This Row],[ID MATERIAL]]="","","Segundo Conteo")</f>
        <v/>
      </c>
    </row>
    <row r="2370" spans="1:9" s="7" customFormat="1" ht="15" x14ac:dyDescent="0.2">
      <c r="A2370" s="7" t="str">
        <f>IF(Plantilla_SCAN_EQ3_COUNT_2[[#This Row],[ID MATERIAL]]="","",SIGN(Plantilla_SCAN_EQ3_COUNT_2[[#This Row],[Cantidad]])+A2369)</f>
        <v/>
      </c>
      <c r="B2370" s="21" t="str">
        <f>IF(Plantilla_SCAN_EQ3_COUNT_2[[#This Row],[ID MATERIAL]]="","",B2369)</f>
        <v/>
      </c>
      <c r="C2370" s="21"/>
      <c r="D2370" s="21"/>
      <c r="E2370" s="7" t="str">
        <f>IF(Plantilla_SCAN_EQ3_COUNT_2[[#This Row],[ID MATERIAL]]="","",VLOOKUP(Plantilla_SCAN_EQ3_COUNT_2[[#This Row],[ID MATERIAL]],INVENTARIO!$A:$D,2,FALSE))</f>
        <v/>
      </c>
      <c r="F2370" s="7" t="str">
        <f>IF(Plantilla_SCAN_EQ3_COUNT_2[[#This Row],[ID MATERIAL]]="","",IF(Plantilla_SCAN_EQ3_COUNT_2[[#This Row],[No. Empaques]]="",1,Plantilla_SCAN_EQ3_COUNT_2[[#This Row],[No. Empaques]]*1))</f>
        <v/>
      </c>
      <c r="G2370" s="7" t="str">
        <f>IF(Plantilla_SCAN_EQ3_COUNT_2[[#This Row],[ID MATERIAL]]="","","PZ")</f>
        <v/>
      </c>
      <c r="H2370" s="7" t="str">
        <f>IF(Plantilla_SCAN_EQ3_COUNT_2[[#This Row],[ID MATERIAL]]="","",$B$13)</f>
        <v/>
      </c>
      <c r="I2370" s="7" t="str">
        <f>IF(Plantilla_SCAN_EQ3_COUNT_2[[#This Row],[ID MATERIAL]]="","","Segundo Conteo")</f>
        <v/>
      </c>
    </row>
    <row r="2371" spans="1:9" s="7" customFormat="1" ht="15" x14ac:dyDescent="0.2">
      <c r="A2371" s="7" t="str">
        <f>IF(Plantilla_SCAN_EQ3_COUNT_2[[#This Row],[ID MATERIAL]]="","",SIGN(Plantilla_SCAN_EQ3_COUNT_2[[#This Row],[Cantidad]])+A2370)</f>
        <v/>
      </c>
      <c r="B2371" s="21" t="str">
        <f>IF(Plantilla_SCAN_EQ3_COUNT_2[[#This Row],[ID MATERIAL]]="","",B2370)</f>
        <v/>
      </c>
      <c r="C2371" s="21"/>
      <c r="D2371" s="21"/>
      <c r="E2371" s="7" t="str">
        <f>IF(Plantilla_SCAN_EQ3_COUNT_2[[#This Row],[ID MATERIAL]]="","",VLOOKUP(Plantilla_SCAN_EQ3_COUNT_2[[#This Row],[ID MATERIAL]],INVENTARIO!$A:$D,2,FALSE))</f>
        <v/>
      </c>
      <c r="F2371" s="7" t="str">
        <f>IF(Plantilla_SCAN_EQ3_COUNT_2[[#This Row],[ID MATERIAL]]="","",IF(Plantilla_SCAN_EQ3_COUNT_2[[#This Row],[No. Empaques]]="",1,Plantilla_SCAN_EQ3_COUNT_2[[#This Row],[No. Empaques]]*1))</f>
        <v/>
      </c>
      <c r="G2371" s="7" t="str">
        <f>IF(Plantilla_SCAN_EQ3_COUNT_2[[#This Row],[ID MATERIAL]]="","","PZ")</f>
        <v/>
      </c>
      <c r="H2371" s="7" t="str">
        <f>IF(Plantilla_SCAN_EQ3_COUNT_2[[#This Row],[ID MATERIAL]]="","",$B$13)</f>
        <v/>
      </c>
      <c r="I2371" s="7" t="str">
        <f>IF(Plantilla_SCAN_EQ3_COUNT_2[[#This Row],[ID MATERIAL]]="","","Segundo Conteo")</f>
        <v/>
      </c>
    </row>
    <row r="2372" spans="1:9" s="7" customFormat="1" ht="15" x14ac:dyDescent="0.2">
      <c r="A2372" s="7" t="str">
        <f>IF(Plantilla_SCAN_EQ3_COUNT_2[[#This Row],[ID MATERIAL]]="","",SIGN(Plantilla_SCAN_EQ3_COUNT_2[[#This Row],[Cantidad]])+A2371)</f>
        <v/>
      </c>
      <c r="B2372" s="21" t="str">
        <f>IF(Plantilla_SCAN_EQ3_COUNT_2[[#This Row],[ID MATERIAL]]="","",B2371)</f>
        <v/>
      </c>
      <c r="C2372" s="21"/>
      <c r="D2372" s="21"/>
      <c r="E2372" s="7" t="str">
        <f>IF(Plantilla_SCAN_EQ3_COUNT_2[[#This Row],[ID MATERIAL]]="","",VLOOKUP(Plantilla_SCAN_EQ3_COUNT_2[[#This Row],[ID MATERIAL]],INVENTARIO!$A:$D,2,FALSE))</f>
        <v/>
      </c>
      <c r="F2372" s="7" t="str">
        <f>IF(Plantilla_SCAN_EQ3_COUNT_2[[#This Row],[ID MATERIAL]]="","",IF(Plantilla_SCAN_EQ3_COUNT_2[[#This Row],[No. Empaques]]="",1,Plantilla_SCAN_EQ3_COUNT_2[[#This Row],[No. Empaques]]*1))</f>
        <v/>
      </c>
      <c r="G2372" s="7" t="str">
        <f>IF(Plantilla_SCAN_EQ3_COUNT_2[[#This Row],[ID MATERIAL]]="","","PZ")</f>
        <v/>
      </c>
      <c r="H2372" s="7" t="str">
        <f>IF(Plantilla_SCAN_EQ3_COUNT_2[[#This Row],[ID MATERIAL]]="","",$B$13)</f>
        <v/>
      </c>
      <c r="I2372" s="7" t="str">
        <f>IF(Plantilla_SCAN_EQ3_COUNT_2[[#This Row],[ID MATERIAL]]="","","Segundo Conteo")</f>
        <v/>
      </c>
    </row>
    <row r="2373" spans="1:9" s="7" customFormat="1" ht="15" x14ac:dyDescent="0.2">
      <c r="A2373" s="7" t="str">
        <f>IF(Plantilla_SCAN_EQ3_COUNT_2[[#This Row],[ID MATERIAL]]="","",SIGN(Plantilla_SCAN_EQ3_COUNT_2[[#This Row],[Cantidad]])+A2372)</f>
        <v/>
      </c>
      <c r="B2373" s="21" t="str">
        <f>IF(Plantilla_SCAN_EQ3_COUNT_2[[#This Row],[ID MATERIAL]]="","",B2372)</f>
        <v/>
      </c>
      <c r="C2373" s="21"/>
      <c r="D2373" s="21"/>
      <c r="E2373" s="7" t="str">
        <f>IF(Plantilla_SCAN_EQ3_COUNT_2[[#This Row],[ID MATERIAL]]="","",VLOOKUP(Plantilla_SCAN_EQ3_COUNT_2[[#This Row],[ID MATERIAL]],INVENTARIO!$A:$D,2,FALSE))</f>
        <v/>
      </c>
      <c r="F2373" s="7" t="str">
        <f>IF(Plantilla_SCAN_EQ3_COUNT_2[[#This Row],[ID MATERIAL]]="","",IF(Plantilla_SCAN_EQ3_COUNT_2[[#This Row],[No. Empaques]]="",1,Plantilla_SCAN_EQ3_COUNT_2[[#This Row],[No. Empaques]]*1))</f>
        <v/>
      </c>
      <c r="G2373" s="7" t="str">
        <f>IF(Plantilla_SCAN_EQ3_COUNT_2[[#This Row],[ID MATERIAL]]="","","PZ")</f>
        <v/>
      </c>
      <c r="H2373" s="7" t="str">
        <f>IF(Plantilla_SCAN_EQ3_COUNT_2[[#This Row],[ID MATERIAL]]="","",$B$13)</f>
        <v/>
      </c>
      <c r="I2373" s="7" t="str">
        <f>IF(Plantilla_SCAN_EQ3_COUNT_2[[#This Row],[ID MATERIAL]]="","","Segundo Conteo")</f>
        <v/>
      </c>
    </row>
    <row r="2374" spans="1:9" s="7" customFormat="1" ht="15" x14ac:dyDescent="0.2">
      <c r="A2374" s="7" t="str">
        <f>IF(Plantilla_SCAN_EQ3_COUNT_2[[#This Row],[ID MATERIAL]]="","",SIGN(Plantilla_SCAN_EQ3_COUNT_2[[#This Row],[Cantidad]])+A2373)</f>
        <v/>
      </c>
      <c r="B2374" s="21" t="str">
        <f>IF(Plantilla_SCAN_EQ3_COUNT_2[[#This Row],[ID MATERIAL]]="","",B2373)</f>
        <v/>
      </c>
      <c r="C2374" s="21"/>
      <c r="D2374" s="21"/>
      <c r="E2374" s="7" t="str">
        <f>IF(Plantilla_SCAN_EQ3_COUNT_2[[#This Row],[ID MATERIAL]]="","",VLOOKUP(Plantilla_SCAN_EQ3_COUNT_2[[#This Row],[ID MATERIAL]],INVENTARIO!$A:$D,2,FALSE))</f>
        <v/>
      </c>
      <c r="F2374" s="7" t="str">
        <f>IF(Plantilla_SCAN_EQ3_COUNT_2[[#This Row],[ID MATERIAL]]="","",IF(Plantilla_SCAN_EQ3_COUNT_2[[#This Row],[No. Empaques]]="",1,Plantilla_SCAN_EQ3_COUNT_2[[#This Row],[No. Empaques]]*1))</f>
        <v/>
      </c>
      <c r="G2374" s="7" t="str">
        <f>IF(Plantilla_SCAN_EQ3_COUNT_2[[#This Row],[ID MATERIAL]]="","","PZ")</f>
        <v/>
      </c>
      <c r="H2374" s="7" t="str">
        <f>IF(Plantilla_SCAN_EQ3_COUNT_2[[#This Row],[ID MATERIAL]]="","",$B$13)</f>
        <v/>
      </c>
      <c r="I2374" s="7" t="str">
        <f>IF(Plantilla_SCAN_EQ3_COUNT_2[[#This Row],[ID MATERIAL]]="","","Segundo Conteo")</f>
        <v/>
      </c>
    </row>
    <row r="2375" spans="1:9" s="7" customFormat="1" ht="15" x14ac:dyDescent="0.2">
      <c r="A2375" s="7" t="str">
        <f>IF(Plantilla_SCAN_EQ3_COUNT_2[[#This Row],[ID MATERIAL]]="","",SIGN(Plantilla_SCAN_EQ3_COUNT_2[[#This Row],[Cantidad]])+A2374)</f>
        <v/>
      </c>
      <c r="B2375" s="21" t="str">
        <f>IF(Plantilla_SCAN_EQ3_COUNT_2[[#This Row],[ID MATERIAL]]="","",B2374)</f>
        <v/>
      </c>
      <c r="C2375" s="21"/>
      <c r="D2375" s="21"/>
      <c r="E2375" s="7" t="str">
        <f>IF(Plantilla_SCAN_EQ3_COUNT_2[[#This Row],[ID MATERIAL]]="","",VLOOKUP(Plantilla_SCAN_EQ3_COUNT_2[[#This Row],[ID MATERIAL]],INVENTARIO!$A:$D,2,FALSE))</f>
        <v/>
      </c>
      <c r="F2375" s="7" t="str">
        <f>IF(Plantilla_SCAN_EQ3_COUNT_2[[#This Row],[ID MATERIAL]]="","",IF(Plantilla_SCAN_EQ3_COUNT_2[[#This Row],[No. Empaques]]="",1,Plantilla_SCAN_EQ3_COUNT_2[[#This Row],[No. Empaques]]*1))</f>
        <v/>
      </c>
      <c r="G2375" s="7" t="str">
        <f>IF(Plantilla_SCAN_EQ3_COUNT_2[[#This Row],[ID MATERIAL]]="","","PZ")</f>
        <v/>
      </c>
      <c r="H2375" s="7" t="str">
        <f>IF(Plantilla_SCAN_EQ3_COUNT_2[[#This Row],[ID MATERIAL]]="","",$B$13)</f>
        <v/>
      </c>
      <c r="I2375" s="7" t="str">
        <f>IF(Plantilla_SCAN_EQ3_COUNT_2[[#This Row],[ID MATERIAL]]="","","Segundo Conteo")</f>
        <v/>
      </c>
    </row>
    <row r="2376" spans="1:9" s="7" customFormat="1" ht="15" x14ac:dyDescent="0.2">
      <c r="A2376" s="7" t="str">
        <f>IF(Plantilla_SCAN_EQ3_COUNT_2[[#This Row],[ID MATERIAL]]="","",SIGN(Plantilla_SCAN_EQ3_COUNT_2[[#This Row],[Cantidad]])+A2375)</f>
        <v/>
      </c>
      <c r="B2376" s="21" t="str">
        <f>IF(Plantilla_SCAN_EQ3_COUNT_2[[#This Row],[ID MATERIAL]]="","",B2375)</f>
        <v/>
      </c>
      <c r="C2376" s="21"/>
      <c r="D2376" s="21"/>
      <c r="E2376" s="7" t="str">
        <f>IF(Plantilla_SCAN_EQ3_COUNT_2[[#This Row],[ID MATERIAL]]="","",VLOOKUP(Plantilla_SCAN_EQ3_COUNT_2[[#This Row],[ID MATERIAL]],INVENTARIO!$A:$D,2,FALSE))</f>
        <v/>
      </c>
      <c r="F2376" s="7" t="str">
        <f>IF(Plantilla_SCAN_EQ3_COUNT_2[[#This Row],[ID MATERIAL]]="","",IF(Plantilla_SCAN_EQ3_COUNT_2[[#This Row],[No. Empaques]]="",1,Plantilla_SCAN_EQ3_COUNT_2[[#This Row],[No. Empaques]]*1))</f>
        <v/>
      </c>
      <c r="G2376" s="7" t="str">
        <f>IF(Plantilla_SCAN_EQ3_COUNT_2[[#This Row],[ID MATERIAL]]="","","PZ")</f>
        <v/>
      </c>
      <c r="H2376" s="7" t="str">
        <f>IF(Plantilla_SCAN_EQ3_COUNT_2[[#This Row],[ID MATERIAL]]="","",$B$13)</f>
        <v/>
      </c>
      <c r="I2376" s="7" t="str">
        <f>IF(Plantilla_SCAN_EQ3_COUNT_2[[#This Row],[ID MATERIAL]]="","","Segundo Conteo")</f>
        <v/>
      </c>
    </row>
    <row r="2377" spans="1:9" s="7" customFormat="1" ht="15" x14ac:dyDescent="0.2">
      <c r="A2377" s="7" t="str">
        <f>IF(Plantilla_SCAN_EQ3_COUNT_2[[#This Row],[ID MATERIAL]]="","",SIGN(Plantilla_SCAN_EQ3_COUNT_2[[#This Row],[Cantidad]])+A2376)</f>
        <v/>
      </c>
      <c r="B2377" s="21" t="str">
        <f>IF(Plantilla_SCAN_EQ3_COUNT_2[[#This Row],[ID MATERIAL]]="","",B2376)</f>
        <v/>
      </c>
      <c r="C2377" s="21"/>
      <c r="D2377" s="21"/>
      <c r="E2377" s="7" t="str">
        <f>IF(Plantilla_SCAN_EQ3_COUNT_2[[#This Row],[ID MATERIAL]]="","",VLOOKUP(Plantilla_SCAN_EQ3_COUNT_2[[#This Row],[ID MATERIAL]],INVENTARIO!$A:$D,2,FALSE))</f>
        <v/>
      </c>
      <c r="F2377" s="7" t="str">
        <f>IF(Plantilla_SCAN_EQ3_COUNT_2[[#This Row],[ID MATERIAL]]="","",IF(Plantilla_SCAN_EQ3_COUNT_2[[#This Row],[No. Empaques]]="",1,Plantilla_SCAN_EQ3_COUNT_2[[#This Row],[No. Empaques]]*1))</f>
        <v/>
      </c>
      <c r="G2377" s="7" t="str">
        <f>IF(Plantilla_SCAN_EQ3_COUNT_2[[#This Row],[ID MATERIAL]]="","","PZ")</f>
        <v/>
      </c>
      <c r="H2377" s="7" t="str">
        <f>IF(Plantilla_SCAN_EQ3_COUNT_2[[#This Row],[ID MATERIAL]]="","",$B$13)</f>
        <v/>
      </c>
      <c r="I2377" s="7" t="str">
        <f>IF(Plantilla_SCAN_EQ3_COUNT_2[[#This Row],[ID MATERIAL]]="","","Segundo Conteo")</f>
        <v/>
      </c>
    </row>
    <row r="2378" spans="1:9" s="7" customFormat="1" ht="15" x14ac:dyDescent="0.2">
      <c r="A2378" s="7" t="str">
        <f>IF(Plantilla_SCAN_EQ3_COUNT_2[[#This Row],[ID MATERIAL]]="","",SIGN(Plantilla_SCAN_EQ3_COUNT_2[[#This Row],[Cantidad]])+A2377)</f>
        <v/>
      </c>
      <c r="B2378" s="21" t="str">
        <f>IF(Plantilla_SCAN_EQ3_COUNT_2[[#This Row],[ID MATERIAL]]="","",B2377)</f>
        <v/>
      </c>
      <c r="C2378" s="21"/>
      <c r="D2378" s="21"/>
      <c r="E2378" s="7" t="str">
        <f>IF(Plantilla_SCAN_EQ3_COUNT_2[[#This Row],[ID MATERIAL]]="","",VLOOKUP(Plantilla_SCAN_EQ3_COUNT_2[[#This Row],[ID MATERIAL]],INVENTARIO!$A:$D,2,FALSE))</f>
        <v/>
      </c>
      <c r="F2378" s="7" t="str">
        <f>IF(Plantilla_SCAN_EQ3_COUNT_2[[#This Row],[ID MATERIAL]]="","",IF(Plantilla_SCAN_EQ3_COUNT_2[[#This Row],[No. Empaques]]="",1,Plantilla_SCAN_EQ3_COUNT_2[[#This Row],[No. Empaques]]*1))</f>
        <v/>
      </c>
      <c r="G2378" s="7" t="str">
        <f>IF(Plantilla_SCAN_EQ3_COUNT_2[[#This Row],[ID MATERIAL]]="","","PZ")</f>
        <v/>
      </c>
      <c r="H2378" s="7" t="str">
        <f>IF(Plantilla_SCAN_EQ3_COUNT_2[[#This Row],[ID MATERIAL]]="","",$B$13)</f>
        <v/>
      </c>
      <c r="I2378" s="7" t="str">
        <f>IF(Plantilla_SCAN_EQ3_COUNT_2[[#This Row],[ID MATERIAL]]="","","Segundo Conteo")</f>
        <v/>
      </c>
    </row>
    <row r="2379" spans="1:9" s="7" customFormat="1" ht="15" x14ac:dyDescent="0.2">
      <c r="A2379" s="7" t="str">
        <f>IF(Plantilla_SCAN_EQ3_COUNT_2[[#This Row],[ID MATERIAL]]="","",SIGN(Plantilla_SCAN_EQ3_COUNT_2[[#This Row],[Cantidad]])+A2378)</f>
        <v/>
      </c>
      <c r="B2379" s="21" t="str">
        <f>IF(Plantilla_SCAN_EQ3_COUNT_2[[#This Row],[ID MATERIAL]]="","",B2378)</f>
        <v/>
      </c>
      <c r="C2379" s="21"/>
      <c r="D2379" s="21"/>
      <c r="E2379" s="7" t="str">
        <f>IF(Plantilla_SCAN_EQ3_COUNT_2[[#This Row],[ID MATERIAL]]="","",VLOOKUP(Plantilla_SCAN_EQ3_COUNT_2[[#This Row],[ID MATERIAL]],INVENTARIO!$A:$D,2,FALSE))</f>
        <v/>
      </c>
      <c r="F2379" s="7" t="str">
        <f>IF(Plantilla_SCAN_EQ3_COUNT_2[[#This Row],[ID MATERIAL]]="","",IF(Plantilla_SCAN_EQ3_COUNT_2[[#This Row],[No. Empaques]]="",1,Plantilla_SCAN_EQ3_COUNT_2[[#This Row],[No. Empaques]]*1))</f>
        <v/>
      </c>
      <c r="G2379" s="7" t="str">
        <f>IF(Plantilla_SCAN_EQ3_COUNT_2[[#This Row],[ID MATERIAL]]="","","PZ")</f>
        <v/>
      </c>
      <c r="H2379" s="7" t="str">
        <f>IF(Plantilla_SCAN_EQ3_COUNT_2[[#This Row],[ID MATERIAL]]="","",$B$13)</f>
        <v/>
      </c>
      <c r="I2379" s="7" t="str">
        <f>IF(Plantilla_SCAN_EQ3_COUNT_2[[#This Row],[ID MATERIAL]]="","","Segundo Conteo")</f>
        <v/>
      </c>
    </row>
    <row r="2380" spans="1:9" s="7" customFormat="1" ht="15" x14ac:dyDescent="0.2">
      <c r="A2380" s="7" t="str">
        <f>IF(Plantilla_SCAN_EQ3_COUNT_2[[#This Row],[ID MATERIAL]]="","",SIGN(Plantilla_SCAN_EQ3_COUNT_2[[#This Row],[Cantidad]])+A2379)</f>
        <v/>
      </c>
      <c r="B2380" s="21" t="str">
        <f>IF(Plantilla_SCAN_EQ3_COUNT_2[[#This Row],[ID MATERIAL]]="","",B2379)</f>
        <v/>
      </c>
      <c r="C2380" s="21"/>
      <c r="D2380" s="21"/>
      <c r="E2380" s="7" t="str">
        <f>IF(Plantilla_SCAN_EQ3_COUNT_2[[#This Row],[ID MATERIAL]]="","",VLOOKUP(Plantilla_SCAN_EQ3_COUNT_2[[#This Row],[ID MATERIAL]],INVENTARIO!$A:$D,2,FALSE))</f>
        <v/>
      </c>
      <c r="F2380" s="7" t="str">
        <f>IF(Plantilla_SCAN_EQ3_COUNT_2[[#This Row],[ID MATERIAL]]="","",IF(Plantilla_SCAN_EQ3_COUNT_2[[#This Row],[No. Empaques]]="",1,Plantilla_SCAN_EQ3_COUNT_2[[#This Row],[No. Empaques]]*1))</f>
        <v/>
      </c>
      <c r="G2380" s="7" t="str">
        <f>IF(Plantilla_SCAN_EQ3_COUNT_2[[#This Row],[ID MATERIAL]]="","","PZ")</f>
        <v/>
      </c>
      <c r="H2380" s="7" t="str">
        <f>IF(Plantilla_SCAN_EQ3_COUNT_2[[#This Row],[ID MATERIAL]]="","",$B$13)</f>
        <v/>
      </c>
      <c r="I2380" s="7" t="str">
        <f>IF(Plantilla_SCAN_EQ3_COUNT_2[[#This Row],[ID MATERIAL]]="","","Segundo Conteo")</f>
        <v/>
      </c>
    </row>
    <row r="2381" spans="1:9" s="7" customFormat="1" ht="15" x14ac:dyDescent="0.2">
      <c r="A2381" s="7" t="str">
        <f>IF(Plantilla_SCAN_EQ3_COUNT_2[[#This Row],[ID MATERIAL]]="","",SIGN(Plantilla_SCAN_EQ3_COUNT_2[[#This Row],[Cantidad]])+A2380)</f>
        <v/>
      </c>
      <c r="B2381" s="21" t="str">
        <f>IF(Plantilla_SCAN_EQ3_COUNT_2[[#This Row],[ID MATERIAL]]="","",B2380)</f>
        <v/>
      </c>
      <c r="C2381" s="21"/>
      <c r="D2381" s="21"/>
      <c r="E2381" s="7" t="str">
        <f>IF(Plantilla_SCAN_EQ3_COUNT_2[[#This Row],[ID MATERIAL]]="","",VLOOKUP(Plantilla_SCAN_EQ3_COUNT_2[[#This Row],[ID MATERIAL]],INVENTARIO!$A:$D,2,FALSE))</f>
        <v/>
      </c>
      <c r="F2381" s="7" t="str">
        <f>IF(Plantilla_SCAN_EQ3_COUNT_2[[#This Row],[ID MATERIAL]]="","",IF(Plantilla_SCAN_EQ3_COUNT_2[[#This Row],[No. Empaques]]="",1,Plantilla_SCAN_EQ3_COUNT_2[[#This Row],[No. Empaques]]*1))</f>
        <v/>
      </c>
      <c r="G2381" s="7" t="str">
        <f>IF(Plantilla_SCAN_EQ3_COUNT_2[[#This Row],[ID MATERIAL]]="","","PZ")</f>
        <v/>
      </c>
      <c r="H2381" s="7" t="str">
        <f>IF(Plantilla_SCAN_EQ3_COUNT_2[[#This Row],[ID MATERIAL]]="","",$B$13)</f>
        <v/>
      </c>
      <c r="I2381" s="7" t="str">
        <f>IF(Plantilla_SCAN_EQ3_COUNT_2[[#This Row],[ID MATERIAL]]="","","Segundo Conteo")</f>
        <v/>
      </c>
    </row>
    <row r="2382" spans="1:9" s="7" customFormat="1" ht="15" x14ac:dyDescent="0.2">
      <c r="A2382" s="7" t="str">
        <f>IF(Plantilla_SCAN_EQ3_COUNT_2[[#This Row],[ID MATERIAL]]="","",SIGN(Plantilla_SCAN_EQ3_COUNT_2[[#This Row],[Cantidad]])+A2381)</f>
        <v/>
      </c>
      <c r="B2382" s="21" t="str">
        <f>IF(Plantilla_SCAN_EQ3_COUNT_2[[#This Row],[ID MATERIAL]]="","",B2381)</f>
        <v/>
      </c>
      <c r="C2382" s="21"/>
      <c r="D2382" s="21"/>
      <c r="E2382" s="7" t="str">
        <f>IF(Plantilla_SCAN_EQ3_COUNT_2[[#This Row],[ID MATERIAL]]="","",VLOOKUP(Plantilla_SCAN_EQ3_COUNT_2[[#This Row],[ID MATERIAL]],INVENTARIO!$A:$D,2,FALSE))</f>
        <v/>
      </c>
      <c r="F2382" s="7" t="str">
        <f>IF(Plantilla_SCAN_EQ3_COUNT_2[[#This Row],[ID MATERIAL]]="","",IF(Plantilla_SCAN_EQ3_COUNT_2[[#This Row],[No. Empaques]]="",1,Plantilla_SCAN_EQ3_COUNT_2[[#This Row],[No. Empaques]]*1))</f>
        <v/>
      </c>
      <c r="G2382" s="7" t="str">
        <f>IF(Plantilla_SCAN_EQ3_COUNT_2[[#This Row],[ID MATERIAL]]="","","PZ")</f>
        <v/>
      </c>
      <c r="H2382" s="7" t="str">
        <f>IF(Plantilla_SCAN_EQ3_COUNT_2[[#This Row],[ID MATERIAL]]="","",$B$13)</f>
        <v/>
      </c>
      <c r="I2382" s="7" t="str">
        <f>IF(Plantilla_SCAN_EQ3_COUNT_2[[#This Row],[ID MATERIAL]]="","","Segundo Conteo")</f>
        <v/>
      </c>
    </row>
    <row r="2383" spans="1:9" s="7" customFormat="1" ht="15" x14ac:dyDescent="0.2">
      <c r="A2383" s="7" t="str">
        <f>IF(Plantilla_SCAN_EQ3_COUNT_2[[#This Row],[ID MATERIAL]]="","",SIGN(Plantilla_SCAN_EQ3_COUNT_2[[#This Row],[Cantidad]])+A2382)</f>
        <v/>
      </c>
      <c r="B2383" s="21" t="str">
        <f>IF(Plantilla_SCAN_EQ3_COUNT_2[[#This Row],[ID MATERIAL]]="","",B2382)</f>
        <v/>
      </c>
      <c r="C2383" s="21"/>
      <c r="D2383" s="21"/>
      <c r="E2383" s="7" t="str">
        <f>IF(Plantilla_SCAN_EQ3_COUNT_2[[#This Row],[ID MATERIAL]]="","",VLOOKUP(Plantilla_SCAN_EQ3_COUNT_2[[#This Row],[ID MATERIAL]],INVENTARIO!$A:$D,2,FALSE))</f>
        <v/>
      </c>
      <c r="F2383" s="7" t="str">
        <f>IF(Plantilla_SCAN_EQ3_COUNT_2[[#This Row],[ID MATERIAL]]="","",IF(Plantilla_SCAN_EQ3_COUNT_2[[#This Row],[No. Empaques]]="",1,Plantilla_SCAN_EQ3_COUNT_2[[#This Row],[No. Empaques]]*1))</f>
        <v/>
      </c>
      <c r="G2383" s="7" t="str">
        <f>IF(Plantilla_SCAN_EQ3_COUNT_2[[#This Row],[ID MATERIAL]]="","","PZ")</f>
        <v/>
      </c>
      <c r="H2383" s="7" t="str">
        <f>IF(Plantilla_SCAN_EQ3_COUNT_2[[#This Row],[ID MATERIAL]]="","",$B$13)</f>
        <v/>
      </c>
      <c r="I2383" s="7" t="str">
        <f>IF(Plantilla_SCAN_EQ3_COUNT_2[[#This Row],[ID MATERIAL]]="","","Segundo Conteo")</f>
        <v/>
      </c>
    </row>
    <row r="2384" spans="1:9" s="7" customFormat="1" ht="15" x14ac:dyDescent="0.2">
      <c r="A2384" s="7" t="str">
        <f>IF(Plantilla_SCAN_EQ3_COUNT_2[[#This Row],[ID MATERIAL]]="","",SIGN(Plantilla_SCAN_EQ3_COUNT_2[[#This Row],[Cantidad]])+A2383)</f>
        <v/>
      </c>
      <c r="B2384" s="21" t="str">
        <f>IF(Plantilla_SCAN_EQ3_COUNT_2[[#This Row],[ID MATERIAL]]="","",B2383)</f>
        <v/>
      </c>
      <c r="C2384" s="21"/>
      <c r="D2384" s="21"/>
      <c r="E2384" s="7" t="str">
        <f>IF(Plantilla_SCAN_EQ3_COUNT_2[[#This Row],[ID MATERIAL]]="","",VLOOKUP(Plantilla_SCAN_EQ3_COUNT_2[[#This Row],[ID MATERIAL]],INVENTARIO!$A:$D,2,FALSE))</f>
        <v/>
      </c>
      <c r="F2384" s="7" t="str">
        <f>IF(Plantilla_SCAN_EQ3_COUNT_2[[#This Row],[ID MATERIAL]]="","",IF(Plantilla_SCAN_EQ3_COUNT_2[[#This Row],[No. Empaques]]="",1,Plantilla_SCAN_EQ3_COUNT_2[[#This Row],[No. Empaques]]*1))</f>
        <v/>
      </c>
      <c r="G2384" s="7" t="str">
        <f>IF(Plantilla_SCAN_EQ3_COUNT_2[[#This Row],[ID MATERIAL]]="","","PZ")</f>
        <v/>
      </c>
      <c r="H2384" s="7" t="str">
        <f>IF(Plantilla_SCAN_EQ3_COUNT_2[[#This Row],[ID MATERIAL]]="","",$B$13)</f>
        <v/>
      </c>
      <c r="I2384" s="7" t="str">
        <f>IF(Plantilla_SCAN_EQ3_COUNT_2[[#This Row],[ID MATERIAL]]="","","Segundo Conteo")</f>
        <v/>
      </c>
    </row>
    <row r="2385" spans="1:9" s="7" customFormat="1" ht="15" x14ac:dyDescent="0.2">
      <c r="A2385" s="7" t="str">
        <f>IF(Plantilla_SCAN_EQ3_COUNT_2[[#This Row],[ID MATERIAL]]="","",SIGN(Plantilla_SCAN_EQ3_COUNT_2[[#This Row],[Cantidad]])+A2384)</f>
        <v/>
      </c>
      <c r="B2385" s="21" t="str">
        <f>IF(Plantilla_SCAN_EQ3_COUNT_2[[#This Row],[ID MATERIAL]]="","",B2384)</f>
        <v/>
      </c>
      <c r="C2385" s="21"/>
      <c r="D2385" s="21"/>
      <c r="E2385" s="7" t="str">
        <f>IF(Plantilla_SCAN_EQ3_COUNT_2[[#This Row],[ID MATERIAL]]="","",VLOOKUP(Plantilla_SCAN_EQ3_COUNT_2[[#This Row],[ID MATERIAL]],INVENTARIO!$A:$D,2,FALSE))</f>
        <v/>
      </c>
      <c r="F2385" s="7" t="str">
        <f>IF(Plantilla_SCAN_EQ3_COUNT_2[[#This Row],[ID MATERIAL]]="","",IF(Plantilla_SCAN_EQ3_COUNT_2[[#This Row],[No. Empaques]]="",1,Plantilla_SCAN_EQ3_COUNT_2[[#This Row],[No. Empaques]]*1))</f>
        <v/>
      </c>
      <c r="G2385" s="7" t="str">
        <f>IF(Plantilla_SCAN_EQ3_COUNT_2[[#This Row],[ID MATERIAL]]="","","PZ")</f>
        <v/>
      </c>
      <c r="H2385" s="7" t="str">
        <f>IF(Plantilla_SCAN_EQ3_COUNT_2[[#This Row],[ID MATERIAL]]="","",$B$13)</f>
        <v/>
      </c>
      <c r="I2385" s="7" t="str">
        <f>IF(Plantilla_SCAN_EQ3_COUNT_2[[#This Row],[ID MATERIAL]]="","","Segundo Conteo")</f>
        <v/>
      </c>
    </row>
    <row r="2386" spans="1:9" s="7" customFormat="1" ht="15" x14ac:dyDescent="0.2">
      <c r="A2386" s="7" t="str">
        <f>IF(Plantilla_SCAN_EQ3_COUNT_2[[#This Row],[ID MATERIAL]]="","",SIGN(Plantilla_SCAN_EQ3_COUNT_2[[#This Row],[Cantidad]])+A2385)</f>
        <v/>
      </c>
      <c r="B2386" s="21" t="str">
        <f>IF(Plantilla_SCAN_EQ3_COUNT_2[[#This Row],[ID MATERIAL]]="","",B2385)</f>
        <v/>
      </c>
      <c r="C2386" s="21"/>
      <c r="D2386" s="21"/>
      <c r="E2386" s="7" t="str">
        <f>IF(Plantilla_SCAN_EQ3_COUNT_2[[#This Row],[ID MATERIAL]]="","",VLOOKUP(Plantilla_SCAN_EQ3_COUNT_2[[#This Row],[ID MATERIAL]],INVENTARIO!$A:$D,2,FALSE))</f>
        <v/>
      </c>
      <c r="F2386" s="7" t="str">
        <f>IF(Plantilla_SCAN_EQ3_COUNT_2[[#This Row],[ID MATERIAL]]="","",IF(Plantilla_SCAN_EQ3_COUNT_2[[#This Row],[No. Empaques]]="",1,Plantilla_SCAN_EQ3_COUNT_2[[#This Row],[No. Empaques]]*1))</f>
        <v/>
      </c>
      <c r="G2386" s="7" t="str">
        <f>IF(Plantilla_SCAN_EQ3_COUNT_2[[#This Row],[ID MATERIAL]]="","","PZ")</f>
        <v/>
      </c>
      <c r="H2386" s="7" t="str">
        <f>IF(Plantilla_SCAN_EQ3_COUNT_2[[#This Row],[ID MATERIAL]]="","",$B$13)</f>
        <v/>
      </c>
      <c r="I2386" s="7" t="str">
        <f>IF(Plantilla_SCAN_EQ3_COUNT_2[[#This Row],[ID MATERIAL]]="","","Segundo Conteo")</f>
        <v/>
      </c>
    </row>
    <row r="2387" spans="1:9" s="7" customFormat="1" ht="15" x14ac:dyDescent="0.2">
      <c r="A2387" s="7" t="str">
        <f>IF(Plantilla_SCAN_EQ3_COUNT_2[[#This Row],[ID MATERIAL]]="","",SIGN(Plantilla_SCAN_EQ3_COUNT_2[[#This Row],[Cantidad]])+A2386)</f>
        <v/>
      </c>
      <c r="B2387" s="21" t="str">
        <f>IF(Plantilla_SCAN_EQ3_COUNT_2[[#This Row],[ID MATERIAL]]="","",B2386)</f>
        <v/>
      </c>
      <c r="C2387" s="21"/>
      <c r="D2387" s="21"/>
      <c r="E2387" s="7" t="str">
        <f>IF(Plantilla_SCAN_EQ3_COUNT_2[[#This Row],[ID MATERIAL]]="","",VLOOKUP(Plantilla_SCAN_EQ3_COUNT_2[[#This Row],[ID MATERIAL]],INVENTARIO!$A:$D,2,FALSE))</f>
        <v/>
      </c>
      <c r="F2387" s="7" t="str">
        <f>IF(Plantilla_SCAN_EQ3_COUNT_2[[#This Row],[ID MATERIAL]]="","",IF(Plantilla_SCAN_EQ3_COUNT_2[[#This Row],[No. Empaques]]="",1,Plantilla_SCAN_EQ3_COUNT_2[[#This Row],[No. Empaques]]*1))</f>
        <v/>
      </c>
      <c r="G2387" s="7" t="str">
        <f>IF(Plantilla_SCAN_EQ3_COUNT_2[[#This Row],[ID MATERIAL]]="","","PZ")</f>
        <v/>
      </c>
      <c r="H2387" s="7" t="str">
        <f>IF(Plantilla_SCAN_EQ3_COUNT_2[[#This Row],[ID MATERIAL]]="","",$B$13)</f>
        <v/>
      </c>
      <c r="I2387" s="7" t="str">
        <f>IF(Plantilla_SCAN_EQ3_COUNT_2[[#This Row],[ID MATERIAL]]="","","Segundo Conteo")</f>
        <v/>
      </c>
    </row>
    <row r="2388" spans="1:9" s="7" customFormat="1" ht="15" x14ac:dyDescent="0.2">
      <c r="A2388" s="7" t="str">
        <f>IF(Plantilla_SCAN_EQ3_COUNT_2[[#This Row],[ID MATERIAL]]="","",SIGN(Plantilla_SCAN_EQ3_COUNT_2[[#This Row],[Cantidad]])+A2387)</f>
        <v/>
      </c>
      <c r="B2388" s="21" t="str">
        <f>IF(Plantilla_SCAN_EQ3_COUNT_2[[#This Row],[ID MATERIAL]]="","",B2387)</f>
        <v/>
      </c>
      <c r="C2388" s="21"/>
      <c r="D2388" s="21"/>
      <c r="E2388" s="7" t="str">
        <f>IF(Plantilla_SCAN_EQ3_COUNT_2[[#This Row],[ID MATERIAL]]="","",VLOOKUP(Plantilla_SCAN_EQ3_COUNT_2[[#This Row],[ID MATERIAL]],INVENTARIO!$A:$D,2,FALSE))</f>
        <v/>
      </c>
      <c r="F2388" s="7" t="str">
        <f>IF(Plantilla_SCAN_EQ3_COUNT_2[[#This Row],[ID MATERIAL]]="","",IF(Plantilla_SCAN_EQ3_COUNT_2[[#This Row],[No. Empaques]]="",1,Plantilla_SCAN_EQ3_COUNT_2[[#This Row],[No. Empaques]]*1))</f>
        <v/>
      </c>
      <c r="G2388" s="7" t="str">
        <f>IF(Plantilla_SCAN_EQ3_COUNT_2[[#This Row],[ID MATERIAL]]="","","PZ")</f>
        <v/>
      </c>
      <c r="H2388" s="7" t="str">
        <f>IF(Plantilla_SCAN_EQ3_COUNT_2[[#This Row],[ID MATERIAL]]="","",$B$13)</f>
        <v/>
      </c>
      <c r="I2388" s="7" t="str">
        <f>IF(Plantilla_SCAN_EQ3_COUNT_2[[#This Row],[ID MATERIAL]]="","","Segundo Conteo")</f>
        <v/>
      </c>
    </row>
    <row r="2389" spans="1:9" s="7" customFormat="1" ht="15" x14ac:dyDescent="0.2">
      <c r="A2389" s="7" t="str">
        <f>IF(Plantilla_SCAN_EQ3_COUNT_2[[#This Row],[ID MATERIAL]]="","",SIGN(Plantilla_SCAN_EQ3_COUNT_2[[#This Row],[Cantidad]])+A2388)</f>
        <v/>
      </c>
      <c r="B2389" s="21" t="str">
        <f>IF(Plantilla_SCAN_EQ3_COUNT_2[[#This Row],[ID MATERIAL]]="","",B2388)</f>
        <v/>
      </c>
      <c r="C2389" s="21"/>
      <c r="D2389" s="21"/>
      <c r="E2389" s="7" t="str">
        <f>IF(Plantilla_SCAN_EQ3_COUNT_2[[#This Row],[ID MATERIAL]]="","",VLOOKUP(Plantilla_SCAN_EQ3_COUNT_2[[#This Row],[ID MATERIAL]],INVENTARIO!$A:$D,2,FALSE))</f>
        <v/>
      </c>
      <c r="F2389" s="7" t="str">
        <f>IF(Plantilla_SCAN_EQ3_COUNT_2[[#This Row],[ID MATERIAL]]="","",IF(Plantilla_SCAN_EQ3_COUNT_2[[#This Row],[No. Empaques]]="",1,Plantilla_SCAN_EQ3_COUNT_2[[#This Row],[No. Empaques]]*1))</f>
        <v/>
      </c>
      <c r="G2389" s="7" t="str">
        <f>IF(Plantilla_SCAN_EQ3_COUNT_2[[#This Row],[ID MATERIAL]]="","","PZ")</f>
        <v/>
      </c>
      <c r="H2389" s="7" t="str">
        <f>IF(Plantilla_SCAN_EQ3_COUNT_2[[#This Row],[ID MATERIAL]]="","",$B$13)</f>
        <v/>
      </c>
      <c r="I2389" s="7" t="str">
        <f>IF(Plantilla_SCAN_EQ3_COUNT_2[[#This Row],[ID MATERIAL]]="","","Segundo Conteo")</f>
        <v/>
      </c>
    </row>
    <row r="2390" spans="1:9" s="7" customFormat="1" ht="15" x14ac:dyDescent="0.2">
      <c r="A2390" s="7" t="str">
        <f>IF(Plantilla_SCAN_EQ3_COUNT_2[[#This Row],[ID MATERIAL]]="","",SIGN(Plantilla_SCAN_EQ3_COUNT_2[[#This Row],[Cantidad]])+A2389)</f>
        <v/>
      </c>
      <c r="B2390" s="21" t="str">
        <f>IF(Plantilla_SCAN_EQ3_COUNT_2[[#This Row],[ID MATERIAL]]="","",B2389)</f>
        <v/>
      </c>
      <c r="C2390" s="21"/>
      <c r="D2390" s="21"/>
      <c r="E2390" s="7" t="str">
        <f>IF(Plantilla_SCAN_EQ3_COUNT_2[[#This Row],[ID MATERIAL]]="","",VLOOKUP(Plantilla_SCAN_EQ3_COUNT_2[[#This Row],[ID MATERIAL]],INVENTARIO!$A:$D,2,FALSE))</f>
        <v/>
      </c>
      <c r="F2390" s="7" t="str">
        <f>IF(Plantilla_SCAN_EQ3_COUNT_2[[#This Row],[ID MATERIAL]]="","",IF(Plantilla_SCAN_EQ3_COUNT_2[[#This Row],[No. Empaques]]="",1,Plantilla_SCAN_EQ3_COUNT_2[[#This Row],[No. Empaques]]*1))</f>
        <v/>
      </c>
      <c r="G2390" s="7" t="str">
        <f>IF(Plantilla_SCAN_EQ3_COUNT_2[[#This Row],[ID MATERIAL]]="","","PZ")</f>
        <v/>
      </c>
      <c r="H2390" s="7" t="str">
        <f>IF(Plantilla_SCAN_EQ3_COUNT_2[[#This Row],[ID MATERIAL]]="","",$B$13)</f>
        <v/>
      </c>
      <c r="I2390" s="7" t="str">
        <f>IF(Plantilla_SCAN_EQ3_COUNT_2[[#This Row],[ID MATERIAL]]="","","Segundo Conteo")</f>
        <v/>
      </c>
    </row>
    <row r="2391" spans="1:9" s="7" customFormat="1" ht="15" x14ac:dyDescent="0.2">
      <c r="A2391" s="7" t="str">
        <f>IF(Plantilla_SCAN_EQ3_COUNT_2[[#This Row],[ID MATERIAL]]="","",SIGN(Plantilla_SCAN_EQ3_COUNT_2[[#This Row],[Cantidad]])+A2390)</f>
        <v/>
      </c>
      <c r="B2391" s="21" t="str">
        <f>IF(Plantilla_SCAN_EQ3_COUNT_2[[#This Row],[ID MATERIAL]]="","",B2390)</f>
        <v/>
      </c>
      <c r="C2391" s="21"/>
      <c r="D2391" s="21"/>
      <c r="E2391" s="7" t="str">
        <f>IF(Plantilla_SCAN_EQ3_COUNT_2[[#This Row],[ID MATERIAL]]="","",VLOOKUP(Plantilla_SCAN_EQ3_COUNT_2[[#This Row],[ID MATERIAL]],INVENTARIO!$A:$D,2,FALSE))</f>
        <v/>
      </c>
      <c r="F2391" s="7" t="str">
        <f>IF(Plantilla_SCAN_EQ3_COUNT_2[[#This Row],[ID MATERIAL]]="","",IF(Plantilla_SCAN_EQ3_COUNT_2[[#This Row],[No. Empaques]]="",1,Plantilla_SCAN_EQ3_COUNT_2[[#This Row],[No. Empaques]]*1))</f>
        <v/>
      </c>
      <c r="G2391" s="7" t="str">
        <f>IF(Plantilla_SCAN_EQ3_COUNT_2[[#This Row],[ID MATERIAL]]="","","PZ")</f>
        <v/>
      </c>
      <c r="H2391" s="7" t="str">
        <f>IF(Plantilla_SCAN_EQ3_COUNT_2[[#This Row],[ID MATERIAL]]="","",$B$13)</f>
        <v/>
      </c>
      <c r="I2391" s="7" t="str">
        <f>IF(Plantilla_SCAN_EQ3_COUNT_2[[#This Row],[ID MATERIAL]]="","","Segundo Conteo")</f>
        <v/>
      </c>
    </row>
    <row r="2392" spans="1:9" s="7" customFormat="1" ht="15" x14ac:dyDescent="0.2">
      <c r="A2392" s="7" t="str">
        <f>IF(Plantilla_SCAN_EQ3_COUNT_2[[#This Row],[ID MATERIAL]]="","",SIGN(Plantilla_SCAN_EQ3_COUNT_2[[#This Row],[Cantidad]])+A2391)</f>
        <v/>
      </c>
      <c r="B2392" s="21" t="str">
        <f>IF(Plantilla_SCAN_EQ3_COUNT_2[[#This Row],[ID MATERIAL]]="","",B2391)</f>
        <v/>
      </c>
      <c r="C2392" s="21"/>
      <c r="D2392" s="21"/>
      <c r="E2392" s="7" t="str">
        <f>IF(Plantilla_SCAN_EQ3_COUNT_2[[#This Row],[ID MATERIAL]]="","",VLOOKUP(Plantilla_SCAN_EQ3_COUNT_2[[#This Row],[ID MATERIAL]],INVENTARIO!$A:$D,2,FALSE))</f>
        <v/>
      </c>
      <c r="F2392" s="7" t="str">
        <f>IF(Plantilla_SCAN_EQ3_COUNT_2[[#This Row],[ID MATERIAL]]="","",IF(Plantilla_SCAN_EQ3_COUNT_2[[#This Row],[No. Empaques]]="",1,Plantilla_SCAN_EQ3_COUNT_2[[#This Row],[No. Empaques]]*1))</f>
        <v/>
      </c>
      <c r="G2392" s="7" t="str">
        <f>IF(Plantilla_SCAN_EQ3_COUNT_2[[#This Row],[ID MATERIAL]]="","","PZ")</f>
        <v/>
      </c>
      <c r="H2392" s="7" t="str">
        <f>IF(Plantilla_SCAN_EQ3_COUNT_2[[#This Row],[ID MATERIAL]]="","",$B$13)</f>
        <v/>
      </c>
      <c r="I2392" s="7" t="str">
        <f>IF(Plantilla_SCAN_EQ3_COUNT_2[[#This Row],[ID MATERIAL]]="","","Segundo Conteo")</f>
        <v/>
      </c>
    </row>
    <row r="2393" spans="1:9" s="7" customFormat="1" ht="15" x14ac:dyDescent="0.2">
      <c r="A2393" s="7" t="str">
        <f>IF(Plantilla_SCAN_EQ3_COUNT_2[[#This Row],[ID MATERIAL]]="","",SIGN(Plantilla_SCAN_EQ3_COUNT_2[[#This Row],[Cantidad]])+A2392)</f>
        <v/>
      </c>
      <c r="B2393" s="21" t="str">
        <f>IF(Plantilla_SCAN_EQ3_COUNT_2[[#This Row],[ID MATERIAL]]="","",B2392)</f>
        <v/>
      </c>
      <c r="C2393" s="21"/>
      <c r="D2393" s="21"/>
      <c r="E2393" s="7" t="str">
        <f>IF(Plantilla_SCAN_EQ3_COUNT_2[[#This Row],[ID MATERIAL]]="","",VLOOKUP(Plantilla_SCAN_EQ3_COUNT_2[[#This Row],[ID MATERIAL]],INVENTARIO!$A:$D,2,FALSE))</f>
        <v/>
      </c>
      <c r="F2393" s="7" t="str">
        <f>IF(Plantilla_SCAN_EQ3_COUNT_2[[#This Row],[ID MATERIAL]]="","",IF(Plantilla_SCAN_EQ3_COUNT_2[[#This Row],[No. Empaques]]="",1,Plantilla_SCAN_EQ3_COUNT_2[[#This Row],[No. Empaques]]*1))</f>
        <v/>
      </c>
      <c r="G2393" s="7" t="str">
        <f>IF(Plantilla_SCAN_EQ3_COUNT_2[[#This Row],[ID MATERIAL]]="","","PZ")</f>
        <v/>
      </c>
      <c r="H2393" s="7" t="str">
        <f>IF(Plantilla_SCAN_EQ3_COUNT_2[[#This Row],[ID MATERIAL]]="","",$B$13)</f>
        <v/>
      </c>
      <c r="I2393" s="7" t="str">
        <f>IF(Plantilla_SCAN_EQ3_COUNT_2[[#This Row],[ID MATERIAL]]="","","Segundo Conteo")</f>
        <v/>
      </c>
    </row>
    <row r="2394" spans="1:9" s="7" customFormat="1" ht="15" x14ac:dyDescent="0.2">
      <c r="A2394" s="7" t="str">
        <f>IF(Plantilla_SCAN_EQ3_COUNT_2[[#This Row],[ID MATERIAL]]="","",SIGN(Plantilla_SCAN_EQ3_COUNT_2[[#This Row],[Cantidad]])+A2393)</f>
        <v/>
      </c>
      <c r="B2394" s="21" t="str">
        <f>IF(Plantilla_SCAN_EQ3_COUNT_2[[#This Row],[ID MATERIAL]]="","",B2393)</f>
        <v/>
      </c>
      <c r="C2394" s="21"/>
      <c r="D2394" s="21"/>
      <c r="E2394" s="7" t="str">
        <f>IF(Plantilla_SCAN_EQ3_COUNT_2[[#This Row],[ID MATERIAL]]="","",VLOOKUP(Plantilla_SCAN_EQ3_COUNT_2[[#This Row],[ID MATERIAL]],INVENTARIO!$A:$D,2,FALSE))</f>
        <v/>
      </c>
      <c r="F2394" s="7" t="str">
        <f>IF(Plantilla_SCAN_EQ3_COUNT_2[[#This Row],[ID MATERIAL]]="","",IF(Plantilla_SCAN_EQ3_COUNT_2[[#This Row],[No. Empaques]]="",1,Plantilla_SCAN_EQ3_COUNT_2[[#This Row],[No. Empaques]]*1))</f>
        <v/>
      </c>
      <c r="G2394" s="7" t="str">
        <f>IF(Plantilla_SCAN_EQ3_COUNT_2[[#This Row],[ID MATERIAL]]="","","PZ")</f>
        <v/>
      </c>
      <c r="H2394" s="7" t="str">
        <f>IF(Plantilla_SCAN_EQ3_COUNT_2[[#This Row],[ID MATERIAL]]="","",$B$13)</f>
        <v/>
      </c>
      <c r="I2394" s="7" t="str">
        <f>IF(Plantilla_SCAN_EQ3_COUNT_2[[#This Row],[ID MATERIAL]]="","","Segundo Conteo")</f>
        <v/>
      </c>
    </row>
    <row r="2395" spans="1:9" s="7" customFormat="1" ht="15" x14ac:dyDescent="0.2">
      <c r="A2395" s="7" t="str">
        <f>IF(Plantilla_SCAN_EQ3_COUNT_2[[#This Row],[ID MATERIAL]]="","",SIGN(Plantilla_SCAN_EQ3_COUNT_2[[#This Row],[Cantidad]])+A2394)</f>
        <v/>
      </c>
      <c r="B2395" s="21" t="str">
        <f>IF(Plantilla_SCAN_EQ3_COUNT_2[[#This Row],[ID MATERIAL]]="","",B2394)</f>
        <v/>
      </c>
      <c r="C2395" s="21"/>
      <c r="D2395" s="21"/>
      <c r="E2395" s="7" t="str">
        <f>IF(Plantilla_SCAN_EQ3_COUNT_2[[#This Row],[ID MATERIAL]]="","",VLOOKUP(Plantilla_SCAN_EQ3_COUNT_2[[#This Row],[ID MATERIAL]],INVENTARIO!$A:$D,2,FALSE))</f>
        <v/>
      </c>
      <c r="F2395" s="7" t="str">
        <f>IF(Plantilla_SCAN_EQ3_COUNT_2[[#This Row],[ID MATERIAL]]="","",IF(Plantilla_SCAN_EQ3_COUNT_2[[#This Row],[No. Empaques]]="",1,Plantilla_SCAN_EQ3_COUNT_2[[#This Row],[No. Empaques]]*1))</f>
        <v/>
      </c>
      <c r="G2395" s="7" t="str">
        <f>IF(Plantilla_SCAN_EQ3_COUNT_2[[#This Row],[ID MATERIAL]]="","","PZ")</f>
        <v/>
      </c>
      <c r="H2395" s="7" t="str">
        <f>IF(Plantilla_SCAN_EQ3_COUNT_2[[#This Row],[ID MATERIAL]]="","",$B$13)</f>
        <v/>
      </c>
      <c r="I2395" s="7" t="str">
        <f>IF(Plantilla_SCAN_EQ3_COUNT_2[[#This Row],[ID MATERIAL]]="","","Segundo Conteo")</f>
        <v/>
      </c>
    </row>
    <row r="2396" spans="1:9" s="7" customFormat="1" ht="15" x14ac:dyDescent="0.2">
      <c r="A2396" s="7" t="str">
        <f>IF(Plantilla_SCAN_EQ3_COUNT_2[[#This Row],[ID MATERIAL]]="","",SIGN(Plantilla_SCAN_EQ3_COUNT_2[[#This Row],[Cantidad]])+A2395)</f>
        <v/>
      </c>
      <c r="B2396" s="21" t="str">
        <f>IF(Plantilla_SCAN_EQ3_COUNT_2[[#This Row],[ID MATERIAL]]="","",B2395)</f>
        <v/>
      </c>
      <c r="C2396" s="21"/>
      <c r="D2396" s="21"/>
      <c r="E2396" s="7" t="str">
        <f>IF(Plantilla_SCAN_EQ3_COUNT_2[[#This Row],[ID MATERIAL]]="","",VLOOKUP(Plantilla_SCAN_EQ3_COUNT_2[[#This Row],[ID MATERIAL]],INVENTARIO!$A:$D,2,FALSE))</f>
        <v/>
      </c>
      <c r="F2396" s="7" t="str">
        <f>IF(Plantilla_SCAN_EQ3_COUNT_2[[#This Row],[ID MATERIAL]]="","",IF(Plantilla_SCAN_EQ3_COUNT_2[[#This Row],[No. Empaques]]="",1,Plantilla_SCAN_EQ3_COUNT_2[[#This Row],[No. Empaques]]*1))</f>
        <v/>
      </c>
      <c r="G2396" s="7" t="str">
        <f>IF(Plantilla_SCAN_EQ3_COUNT_2[[#This Row],[ID MATERIAL]]="","","PZ")</f>
        <v/>
      </c>
      <c r="H2396" s="7" t="str">
        <f>IF(Plantilla_SCAN_EQ3_COUNT_2[[#This Row],[ID MATERIAL]]="","",$B$13)</f>
        <v/>
      </c>
      <c r="I2396" s="7" t="str">
        <f>IF(Plantilla_SCAN_EQ3_COUNT_2[[#This Row],[ID MATERIAL]]="","","Segundo Conteo")</f>
        <v/>
      </c>
    </row>
    <row r="2397" spans="1:9" s="7" customFormat="1" ht="15" x14ac:dyDescent="0.2">
      <c r="A2397" s="7" t="str">
        <f>IF(Plantilla_SCAN_EQ3_COUNT_2[[#This Row],[ID MATERIAL]]="","",SIGN(Plantilla_SCAN_EQ3_COUNT_2[[#This Row],[Cantidad]])+A2396)</f>
        <v/>
      </c>
      <c r="B2397" s="21" t="str">
        <f>IF(Plantilla_SCAN_EQ3_COUNT_2[[#This Row],[ID MATERIAL]]="","",B2396)</f>
        <v/>
      </c>
      <c r="C2397" s="21"/>
      <c r="D2397" s="21"/>
      <c r="E2397" s="7" t="str">
        <f>IF(Plantilla_SCAN_EQ3_COUNT_2[[#This Row],[ID MATERIAL]]="","",VLOOKUP(Plantilla_SCAN_EQ3_COUNT_2[[#This Row],[ID MATERIAL]],INVENTARIO!$A:$D,2,FALSE))</f>
        <v/>
      </c>
      <c r="F2397" s="7" t="str">
        <f>IF(Plantilla_SCAN_EQ3_COUNT_2[[#This Row],[ID MATERIAL]]="","",IF(Plantilla_SCAN_EQ3_COUNT_2[[#This Row],[No. Empaques]]="",1,Plantilla_SCAN_EQ3_COUNT_2[[#This Row],[No. Empaques]]*1))</f>
        <v/>
      </c>
      <c r="G2397" s="7" t="str">
        <f>IF(Plantilla_SCAN_EQ3_COUNT_2[[#This Row],[ID MATERIAL]]="","","PZ")</f>
        <v/>
      </c>
      <c r="H2397" s="7" t="str">
        <f>IF(Plantilla_SCAN_EQ3_COUNT_2[[#This Row],[ID MATERIAL]]="","",$B$13)</f>
        <v/>
      </c>
      <c r="I2397" s="7" t="str">
        <f>IF(Plantilla_SCAN_EQ3_COUNT_2[[#This Row],[ID MATERIAL]]="","","Segundo Conteo")</f>
        <v/>
      </c>
    </row>
    <row r="2398" spans="1:9" s="7" customFormat="1" ht="15" x14ac:dyDescent="0.2">
      <c r="A2398" s="7" t="str">
        <f>IF(Plantilla_SCAN_EQ3_COUNT_2[[#This Row],[ID MATERIAL]]="","",SIGN(Plantilla_SCAN_EQ3_COUNT_2[[#This Row],[Cantidad]])+A2397)</f>
        <v/>
      </c>
      <c r="B2398" s="21" t="str">
        <f>IF(Plantilla_SCAN_EQ3_COUNT_2[[#This Row],[ID MATERIAL]]="","",B2397)</f>
        <v/>
      </c>
      <c r="C2398" s="21"/>
      <c r="D2398" s="21"/>
      <c r="E2398" s="7" t="str">
        <f>IF(Plantilla_SCAN_EQ3_COUNT_2[[#This Row],[ID MATERIAL]]="","",VLOOKUP(Plantilla_SCAN_EQ3_COUNT_2[[#This Row],[ID MATERIAL]],INVENTARIO!$A:$D,2,FALSE))</f>
        <v/>
      </c>
      <c r="F2398" s="7" t="str">
        <f>IF(Plantilla_SCAN_EQ3_COUNT_2[[#This Row],[ID MATERIAL]]="","",IF(Plantilla_SCAN_EQ3_COUNT_2[[#This Row],[No. Empaques]]="",1,Plantilla_SCAN_EQ3_COUNT_2[[#This Row],[No. Empaques]]*1))</f>
        <v/>
      </c>
      <c r="G2398" s="7" t="str">
        <f>IF(Plantilla_SCAN_EQ3_COUNT_2[[#This Row],[ID MATERIAL]]="","","PZ")</f>
        <v/>
      </c>
      <c r="H2398" s="7" t="str">
        <f>IF(Plantilla_SCAN_EQ3_COUNT_2[[#This Row],[ID MATERIAL]]="","",$B$13)</f>
        <v/>
      </c>
      <c r="I2398" s="7" t="str">
        <f>IF(Plantilla_SCAN_EQ3_COUNT_2[[#This Row],[ID MATERIAL]]="","","Segundo Conteo")</f>
        <v/>
      </c>
    </row>
    <row r="2399" spans="1:9" s="7" customFormat="1" ht="15" x14ac:dyDescent="0.2">
      <c r="A2399" s="7" t="str">
        <f>IF(Plantilla_SCAN_EQ3_COUNT_2[[#This Row],[ID MATERIAL]]="","",SIGN(Plantilla_SCAN_EQ3_COUNT_2[[#This Row],[Cantidad]])+A2398)</f>
        <v/>
      </c>
      <c r="B2399" s="21" t="str">
        <f>IF(Plantilla_SCAN_EQ3_COUNT_2[[#This Row],[ID MATERIAL]]="","",B2398)</f>
        <v/>
      </c>
      <c r="C2399" s="21"/>
      <c r="D2399" s="21"/>
      <c r="E2399" s="7" t="str">
        <f>IF(Plantilla_SCAN_EQ3_COUNT_2[[#This Row],[ID MATERIAL]]="","",VLOOKUP(Plantilla_SCAN_EQ3_COUNT_2[[#This Row],[ID MATERIAL]],INVENTARIO!$A:$D,2,FALSE))</f>
        <v/>
      </c>
      <c r="F2399" s="7" t="str">
        <f>IF(Plantilla_SCAN_EQ3_COUNT_2[[#This Row],[ID MATERIAL]]="","",IF(Plantilla_SCAN_EQ3_COUNT_2[[#This Row],[No. Empaques]]="",1,Plantilla_SCAN_EQ3_COUNT_2[[#This Row],[No. Empaques]]*1))</f>
        <v/>
      </c>
      <c r="G2399" s="7" t="str">
        <f>IF(Plantilla_SCAN_EQ3_COUNT_2[[#This Row],[ID MATERIAL]]="","","PZ")</f>
        <v/>
      </c>
      <c r="H2399" s="7" t="str">
        <f>IF(Plantilla_SCAN_EQ3_COUNT_2[[#This Row],[ID MATERIAL]]="","",$B$13)</f>
        <v/>
      </c>
      <c r="I2399" s="7" t="str">
        <f>IF(Plantilla_SCAN_EQ3_COUNT_2[[#This Row],[ID MATERIAL]]="","","Segundo Conteo")</f>
        <v/>
      </c>
    </row>
    <row r="2400" spans="1:9" s="7" customFormat="1" ht="15" x14ac:dyDescent="0.2">
      <c r="A2400" s="7" t="str">
        <f>IF(Plantilla_SCAN_EQ3_COUNT_2[[#This Row],[ID MATERIAL]]="","",SIGN(Plantilla_SCAN_EQ3_COUNT_2[[#This Row],[Cantidad]])+A2399)</f>
        <v/>
      </c>
      <c r="B2400" s="21" t="str">
        <f>IF(Plantilla_SCAN_EQ3_COUNT_2[[#This Row],[ID MATERIAL]]="","",B2399)</f>
        <v/>
      </c>
      <c r="C2400" s="21"/>
      <c r="D2400" s="21"/>
      <c r="E2400" s="7" t="str">
        <f>IF(Plantilla_SCAN_EQ3_COUNT_2[[#This Row],[ID MATERIAL]]="","",VLOOKUP(Plantilla_SCAN_EQ3_COUNT_2[[#This Row],[ID MATERIAL]],INVENTARIO!$A:$D,2,FALSE))</f>
        <v/>
      </c>
      <c r="F2400" s="7" t="str">
        <f>IF(Plantilla_SCAN_EQ3_COUNT_2[[#This Row],[ID MATERIAL]]="","",IF(Plantilla_SCAN_EQ3_COUNT_2[[#This Row],[No. Empaques]]="",1,Plantilla_SCAN_EQ3_COUNT_2[[#This Row],[No. Empaques]]*1))</f>
        <v/>
      </c>
      <c r="G2400" s="7" t="str">
        <f>IF(Plantilla_SCAN_EQ3_COUNT_2[[#This Row],[ID MATERIAL]]="","","PZ")</f>
        <v/>
      </c>
      <c r="H2400" s="7" t="str">
        <f>IF(Plantilla_SCAN_EQ3_COUNT_2[[#This Row],[ID MATERIAL]]="","",$B$13)</f>
        <v/>
      </c>
      <c r="I2400" s="7" t="str">
        <f>IF(Plantilla_SCAN_EQ3_COUNT_2[[#This Row],[ID MATERIAL]]="","","Segundo Conteo")</f>
        <v/>
      </c>
    </row>
    <row r="2401" spans="1:9" s="7" customFormat="1" ht="15" x14ac:dyDescent="0.2">
      <c r="A2401" s="7" t="str">
        <f>IF(Plantilla_SCAN_EQ3_COUNT_2[[#This Row],[ID MATERIAL]]="","",SIGN(Plantilla_SCAN_EQ3_COUNT_2[[#This Row],[Cantidad]])+A2400)</f>
        <v/>
      </c>
      <c r="B2401" s="21" t="str">
        <f>IF(Plantilla_SCAN_EQ3_COUNT_2[[#This Row],[ID MATERIAL]]="","",B2400)</f>
        <v/>
      </c>
      <c r="C2401" s="21"/>
      <c r="D2401" s="21"/>
      <c r="E2401" s="7" t="str">
        <f>IF(Plantilla_SCAN_EQ3_COUNT_2[[#This Row],[ID MATERIAL]]="","",VLOOKUP(Plantilla_SCAN_EQ3_COUNT_2[[#This Row],[ID MATERIAL]],INVENTARIO!$A:$D,2,FALSE))</f>
        <v/>
      </c>
      <c r="F2401" s="7" t="str">
        <f>IF(Plantilla_SCAN_EQ3_COUNT_2[[#This Row],[ID MATERIAL]]="","",IF(Plantilla_SCAN_EQ3_COUNT_2[[#This Row],[No. Empaques]]="",1,Plantilla_SCAN_EQ3_COUNT_2[[#This Row],[No. Empaques]]*1))</f>
        <v/>
      </c>
      <c r="G2401" s="7" t="str">
        <f>IF(Plantilla_SCAN_EQ3_COUNT_2[[#This Row],[ID MATERIAL]]="","","PZ")</f>
        <v/>
      </c>
      <c r="H2401" s="7" t="str">
        <f>IF(Plantilla_SCAN_EQ3_COUNT_2[[#This Row],[ID MATERIAL]]="","",$B$13)</f>
        <v/>
      </c>
      <c r="I2401" s="7" t="str">
        <f>IF(Plantilla_SCAN_EQ3_COUNT_2[[#This Row],[ID MATERIAL]]="","","Segundo Conteo")</f>
        <v/>
      </c>
    </row>
    <row r="2402" spans="1:9" s="7" customFormat="1" ht="15" x14ac:dyDescent="0.2">
      <c r="A2402" s="7" t="str">
        <f>IF(Plantilla_SCAN_EQ3_COUNT_2[[#This Row],[ID MATERIAL]]="","",SIGN(Plantilla_SCAN_EQ3_COUNT_2[[#This Row],[Cantidad]])+A2401)</f>
        <v/>
      </c>
      <c r="B2402" s="21" t="str">
        <f>IF(Plantilla_SCAN_EQ3_COUNT_2[[#This Row],[ID MATERIAL]]="","",B2401)</f>
        <v/>
      </c>
      <c r="C2402" s="21"/>
      <c r="D2402" s="21"/>
      <c r="E2402" s="7" t="str">
        <f>IF(Plantilla_SCAN_EQ3_COUNT_2[[#This Row],[ID MATERIAL]]="","",VLOOKUP(Plantilla_SCAN_EQ3_COUNT_2[[#This Row],[ID MATERIAL]],INVENTARIO!$A:$D,2,FALSE))</f>
        <v/>
      </c>
      <c r="F2402" s="7" t="str">
        <f>IF(Plantilla_SCAN_EQ3_COUNT_2[[#This Row],[ID MATERIAL]]="","",IF(Plantilla_SCAN_EQ3_COUNT_2[[#This Row],[No. Empaques]]="",1,Plantilla_SCAN_EQ3_COUNT_2[[#This Row],[No. Empaques]]*1))</f>
        <v/>
      </c>
      <c r="G2402" s="7" t="str">
        <f>IF(Plantilla_SCAN_EQ3_COUNT_2[[#This Row],[ID MATERIAL]]="","","PZ")</f>
        <v/>
      </c>
      <c r="H2402" s="7" t="str">
        <f>IF(Plantilla_SCAN_EQ3_COUNT_2[[#This Row],[ID MATERIAL]]="","",$B$13)</f>
        <v/>
      </c>
      <c r="I2402" s="7" t="str">
        <f>IF(Plantilla_SCAN_EQ3_COUNT_2[[#This Row],[ID MATERIAL]]="","","Segundo Conteo")</f>
        <v/>
      </c>
    </row>
    <row r="2403" spans="1:9" s="7" customFormat="1" ht="15" x14ac:dyDescent="0.2">
      <c r="A2403" s="7" t="str">
        <f>IF(Plantilla_SCAN_EQ3_COUNT_2[[#This Row],[ID MATERIAL]]="","",SIGN(Plantilla_SCAN_EQ3_COUNT_2[[#This Row],[Cantidad]])+A2402)</f>
        <v/>
      </c>
      <c r="B2403" s="21" t="str">
        <f>IF(Plantilla_SCAN_EQ3_COUNT_2[[#This Row],[ID MATERIAL]]="","",B2402)</f>
        <v/>
      </c>
      <c r="C2403" s="21"/>
      <c r="D2403" s="21"/>
      <c r="E2403" s="7" t="str">
        <f>IF(Plantilla_SCAN_EQ3_COUNT_2[[#This Row],[ID MATERIAL]]="","",VLOOKUP(Plantilla_SCAN_EQ3_COUNT_2[[#This Row],[ID MATERIAL]],INVENTARIO!$A:$D,2,FALSE))</f>
        <v/>
      </c>
      <c r="F2403" s="7" t="str">
        <f>IF(Plantilla_SCAN_EQ3_COUNT_2[[#This Row],[ID MATERIAL]]="","",IF(Plantilla_SCAN_EQ3_COUNT_2[[#This Row],[No. Empaques]]="",1,Plantilla_SCAN_EQ3_COUNT_2[[#This Row],[No. Empaques]]*1))</f>
        <v/>
      </c>
      <c r="G2403" s="7" t="str">
        <f>IF(Plantilla_SCAN_EQ3_COUNT_2[[#This Row],[ID MATERIAL]]="","","PZ")</f>
        <v/>
      </c>
      <c r="H2403" s="7" t="str">
        <f>IF(Plantilla_SCAN_EQ3_COUNT_2[[#This Row],[ID MATERIAL]]="","",$B$13)</f>
        <v/>
      </c>
      <c r="I2403" s="7" t="str">
        <f>IF(Plantilla_SCAN_EQ3_COUNT_2[[#This Row],[ID MATERIAL]]="","","Segundo Conteo")</f>
        <v/>
      </c>
    </row>
    <row r="2404" spans="1:9" s="7" customFormat="1" ht="15" x14ac:dyDescent="0.2">
      <c r="A2404" s="7" t="str">
        <f>IF(Plantilla_SCAN_EQ3_COUNT_2[[#This Row],[ID MATERIAL]]="","",SIGN(Plantilla_SCAN_EQ3_COUNT_2[[#This Row],[Cantidad]])+A2403)</f>
        <v/>
      </c>
      <c r="B2404" s="21" t="str">
        <f>IF(Plantilla_SCAN_EQ3_COUNT_2[[#This Row],[ID MATERIAL]]="","",B2403)</f>
        <v/>
      </c>
      <c r="C2404" s="21"/>
      <c r="D2404" s="21"/>
      <c r="E2404" s="7" t="str">
        <f>IF(Plantilla_SCAN_EQ3_COUNT_2[[#This Row],[ID MATERIAL]]="","",VLOOKUP(Plantilla_SCAN_EQ3_COUNT_2[[#This Row],[ID MATERIAL]],INVENTARIO!$A:$D,2,FALSE))</f>
        <v/>
      </c>
      <c r="F2404" s="7" t="str">
        <f>IF(Plantilla_SCAN_EQ3_COUNT_2[[#This Row],[ID MATERIAL]]="","",IF(Plantilla_SCAN_EQ3_COUNT_2[[#This Row],[No. Empaques]]="",1,Plantilla_SCAN_EQ3_COUNT_2[[#This Row],[No. Empaques]]*1))</f>
        <v/>
      </c>
      <c r="G2404" s="7" t="str">
        <f>IF(Plantilla_SCAN_EQ3_COUNT_2[[#This Row],[ID MATERIAL]]="","","PZ")</f>
        <v/>
      </c>
      <c r="H2404" s="7" t="str">
        <f>IF(Plantilla_SCAN_EQ3_COUNT_2[[#This Row],[ID MATERIAL]]="","",$B$13)</f>
        <v/>
      </c>
      <c r="I2404" s="7" t="str">
        <f>IF(Plantilla_SCAN_EQ3_COUNT_2[[#This Row],[ID MATERIAL]]="","","Segundo Conteo")</f>
        <v/>
      </c>
    </row>
    <row r="2405" spans="1:9" s="7" customFormat="1" ht="15" x14ac:dyDescent="0.2">
      <c r="A2405" s="7" t="str">
        <f>IF(Plantilla_SCAN_EQ3_COUNT_2[[#This Row],[ID MATERIAL]]="","",SIGN(Plantilla_SCAN_EQ3_COUNT_2[[#This Row],[Cantidad]])+A2404)</f>
        <v/>
      </c>
      <c r="B2405" s="21" t="str">
        <f>IF(Plantilla_SCAN_EQ3_COUNT_2[[#This Row],[ID MATERIAL]]="","",B2404)</f>
        <v/>
      </c>
      <c r="C2405" s="21"/>
      <c r="D2405" s="21"/>
      <c r="E2405" s="7" t="str">
        <f>IF(Plantilla_SCAN_EQ3_COUNT_2[[#This Row],[ID MATERIAL]]="","",VLOOKUP(Plantilla_SCAN_EQ3_COUNT_2[[#This Row],[ID MATERIAL]],INVENTARIO!$A:$D,2,FALSE))</f>
        <v/>
      </c>
      <c r="F2405" s="7" t="str">
        <f>IF(Plantilla_SCAN_EQ3_COUNT_2[[#This Row],[ID MATERIAL]]="","",IF(Plantilla_SCAN_EQ3_COUNT_2[[#This Row],[No. Empaques]]="",1,Plantilla_SCAN_EQ3_COUNT_2[[#This Row],[No. Empaques]]*1))</f>
        <v/>
      </c>
      <c r="G2405" s="7" t="str">
        <f>IF(Plantilla_SCAN_EQ3_COUNT_2[[#This Row],[ID MATERIAL]]="","","PZ")</f>
        <v/>
      </c>
      <c r="H2405" s="7" t="str">
        <f>IF(Plantilla_SCAN_EQ3_COUNT_2[[#This Row],[ID MATERIAL]]="","",$B$13)</f>
        <v/>
      </c>
      <c r="I2405" s="7" t="str">
        <f>IF(Plantilla_SCAN_EQ3_COUNT_2[[#This Row],[ID MATERIAL]]="","","Segundo Conteo")</f>
        <v/>
      </c>
    </row>
    <row r="2406" spans="1:9" s="7" customFormat="1" ht="15" x14ac:dyDescent="0.2">
      <c r="A2406" s="7" t="str">
        <f>IF(Plantilla_SCAN_EQ3_COUNT_2[[#This Row],[ID MATERIAL]]="","",SIGN(Plantilla_SCAN_EQ3_COUNT_2[[#This Row],[Cantidad]])+A2405)</f>
        <v/>
      </c>
      <c r="B2406" s="21" t="str">
        <f>IF(Plantilla_SCAN_EQ3_COUNT_2[[#This Row],[ID MATERIAL]]="","",B2405)</f>
        <v/>
      </c>
      <c r="C2406" s="21"/>
      <c r="D2406" s="21"/>
      <c r="E2406" s="7" t="str">
        <f>IF(Plantilla_SCAN_EQ3_COUNT_2[[#This Row],[ID MATERIAL]]="","",VLOOKUP(Plantilla_SCAN_EQ3_COUNT_2[[#This Row],[ID MATERIAL]],INVENTARIO!$A:$D,2,FALSE))</f>
        <v/>
      </c>
      <c r="F2406" s="7" t="str">
        <f>IF(Plantilla_SCAN_EQ3_COUNT_2[[#This Row],[ID MATERIAL]]="","",IF(Plantilla_SCAN_EQ3_COUNT_2[[#This Row],[No. Empaques]]="",1,Plantilla_SCAN_EQ3_COUNT_2[[#This Row],[No. Empaques]]*1))</f>
        <v/>
      </c>
      <c r="G2406" s="7" t="str">
        <f>IF(Plantilla_SCAN_EQ3_COUNT_2[[#This Row],[ID MATERIAL]]="","","PZ")</f>
        <v/>
      </c>
      <c r="H2406" s="7" t="str">
        <f>IF(Plantilla_SCAN_EQ3_COUNT_2[[#This Row],[ID MATERIAL]]="","",$B$13)</f>
        <v/>
      </c>
      <c r="I2406" s="7" t="str">
        <f>IF(Plantilla_SCAN_EQ3_COUNT_2[[#This Row],[ID MATERIAL]]="","","Segundo Conteo")</f>
        <v/>
      </c>
    </row>
    <row r="2407" spans="1:9" s="7" customFormat="1" ht="15" x14ac:dyDescent="0.2">
      <c r="A2407" s="7" t="str">
        <f>IF(Plantilla_SCAN_EQ3_COUNT_2[[#This Row],[ID MATERIAL]]="","",SIGN(Plantilla_SCAN_EQ3_COUNT_2[[#This Row],[Cantidad]])+A2406)</f>
        <v/>
      </c>
      <c r="B2407" s="21" t="str">
        <f>IF(Plantilla_SCAN_EQ3_COUNT_2[[#This Row],[ID MATERIAL]]="","",B2406)</f>
        <v/>
      </c>
      <c r="C2407" s="21"/>
      <c r="D2407" s="21"/>
      <c r="E2407" s="7" t="str">
        <f>IF(Plantilla_SCAN_EQ3_COUNT_2[[#This Row],[ID MATERIAL]]="","",VLOOKUP(Plantilla_SCAN_EQ3_COUNT_2[[#This Row],[ID MATERIAL]],INVENTARIO!$A:$D,2,FALSE))</f>
        <v/>
      </c>
      <c r="F2407" s="7" t="str">
        <f>IF(Plantilla_SCAN_EQ3_COUNT_2[[#This Row],[ID MATERIAL]]="","",IF(Plantilla_SCAN_EQ3_COUNT_2[[#This Row],[No. Empaques]]="",1,Plantilla_SCAN_EQ3_COUNT_2[[#This Row],[No. Empaques]]*1))</f>
        <v/>
      </c>
      <c r="G2407" s="7" t="str">
        <f>IF(Plantilla_SCAN_EQ3_COUNT_2[[#This Row],[ID MATERIAL]]="","","PZ")</f>
        <v/>
      </c>
      <c r="H2407" s="7" t="str">
        <f>IF(Plantilla_SCAN_EQ3_COUNT_2[[#This Row],[ID MATERIAL]]="","",$B$13)</f>
        <v/>
      </c>
      <c r="I2407" s="7" t="str">
        <f>IF(Plantilla_SCAN_EQ3_COUNT_2[[#This Row],[ID MATERIAL]]="","","Segundo Conteo")</f>
        <v/>
      </c>
    </row>
    <row r="2408" spans="1:9" s="7" customFormat="1" ht="15" x14ac:dyDescent="0.2">
      <c r="A2408" s="7" t="str">
        <f>IF(Plantilla_SCAN_EQ3_COUNT_2[[#This Row],[ID MATERIAL]]="","",SIGN(Plantilla_SCAN_EQ3_COUNT_2[[#This Row],[Cantidad]])+A2407)</f>
        <v/>
      </c>
      <c r="B2408" s="21" t="str">
        <f>IF(Plantilla_SCAN_EQ3_COUNT_2[[#This Row],[ID MATERIAL]]="","",B2407)</f>
        <v/>
      </c>
      <c r="C2408" s="21"/>
      <c r="D2408" s="21"/>
      <c r="E2408" s="7" t="str">
        <f>IF(Plantilla_SCAN_EQ3_COUNT_2[[#This Row],[ID MATERIAL]]="","",VLOOKUP(Plantilla_SCAN_EQ3_COUNT_2[[#This Row],[ID MATERIAL]],INVENTARIO!$A:$D,2,FALSE))</f>
        <v/>
      </c>
      <c r="F2408" s="7" t="str">
        <f>IF(Plantilla_SCAN_EQ3_COUNT_2[[#This Row],[ID MATERIAL]]="","",IF(Plantilla_SCAN_EQ3_COUNT_2[[#This Row],[No. Empaques]]="",1,Plantilla_SCAN_EQ3_COUNT_2[[#This Row],[No. Empaques]]*1))</f>
        <v/>
      </c>
      <c r="G2408" s="7" t="str">
        <f>IF(Plantilla_SCAN_EQ3_COUNT_2[[#This Row],[ID MATERIAL]]="","","PZ")</f>
        <v/>
      </c>
      <c r="H2408" s="7" t="str">
        <f>IF(Plantilla_SCAN_EQ3_COUNT_2[[#This Row],[ID MATERIAL]]="","",$B$13)</f>
        <v/>
      </c>
      <c r="I2408" s="7" t="str">
        <f>IF(Plantilla_SCAN_EQ3_COUNT_2[[#This Row],[ID MATERIAL]]="","","Segundo Conteo")</f>
        <v/>
      </c>
    </row>
    <row r="2409" spans="1:9" s="7" customFormat="1" ht="15" x14ac:dyDescent="0.2">
      <c r="A2409" s="7" t="str">
        <f>IF(Plantilla_SCAN_EQ3_COUNT_2[[#This Row],[ID MATERIAL]]="","",SIGN(Plantilla_SCAN_EQ3_COUNT_2[[#This Row],[Cantidad]])+A2408)</f>
        <v/>
      </c>
      <c r="B2409" s="21" t="str">
        <f>IF(Plantilla_SCAN_EQ3_COUNT_2[[#This Row],[ID MATERIAL]]="","",B2408)</f>
        <v/>
      </c>
      <c r="C2409" s="21"/>
      <c r="D2409" s="21"/>
      <c r="E2409" s="7" t="str">
        <f>IF(Plantilla_SCAN_EQ3_COUNT_2[[#This Row],[ID MATERIAL]]="","",VLOOKUP(Plantilla_SCAN_EQ3_COUNT_2[[#This Row],[ID MATERIAL]],INVENTARIO!$A:$D,2,FALSE))</f>
        <v/>
      </c>
      <c r="F2409" s="7" t="str">
        <f>IF(Plantilla_SCAN_EQ3_COUNT_2[[#This Row],[ID MATERIAL]]="","",IF(Plantilla_SCAN_EQ3_COUNT_2[[#This Row],[No. Empaques]]="",1,Plantilla_SCAN_EQ3_COUNT_2[[#This Row],[No. Empaques]]*1))</f>
        <v/>
      </c>
      <c r="G2409" s="7" t="str">
        <f>IF(Plantilla_SCAN_EQ3_COUNT_2[[#This Row],[ID MATERIAL]]="","","PZ")</f>
        <v/>
      </c>
      <c r="H2409" s="7" t="str">
        <f>IF(Plantilla_SCAN_EQ3_COUNT_2[[#This Row],[ID MATERIAL]]="","",$B$13)</f>
        <v/>
      </c>
      <c r="I2409" s="7" t="str">
        <f>IF(Plantilla_SCAN_EQ3_COUNT_2[[#This Row],[ID MATERIAL]]="","","Segundo Conteo")</f>
        <v/>
      </c>
    </row>
    <row r="2410" spans="1:9" s="7" customFormat="1" ht="15" x14ac:dyDescent="0.2">
      <c r="A2410" s="7" t="str">
        <f>IF(Plantilla_SCAN_EQ3_COUNT_2[[#This Row],[ID MATERIAL]]="","",SIGN(Plantilla_SCAN_EQ3_COUNT_2[[#This Row],[Cantidad]])+A2409)</f>
        <v/>
      </c>
      <c r="B2410" s="21" t="str">
        <f>IF(Plantilla_SCAN_EQ3_COUNT_2[[#This Row],[ID MATERIAL]]="","",B2409)</f>
        <v/>
      </c>
      <c r="C2410" s="21"/>
      <c r="D2410" s="21"/>
      <c r="E2410" s="7" t="str">
        <f>IF(Plantilla_SCAN_EQ3_COUNT_2[[#This Row],[ID MATERIAL]]="","",VLOOKUP(Plantilla_SCAN_EQ3_COUNT_2[[#This Row],[ID MATERIAL]],INVENTARIO!$A:$D,2,FALSE))</f>
        <v/>
      </c>
      <c r="F2410" s="7" t="str">
        <f>IF(Plantilla_SCAN_EQ3_COUNT_2[[#This Row],[ID MATERIAL]]="","",IF(Plantilla_SCAN_EQ3_COUNT_2[[#This Row],[No. Empaques]]="",1,Plantilla_SCAN_EQ3_COUNT_2[[#This Row],[No. Empaques]]*1))</f>
        <v/>
      </c>
      <c r="G2410" s="7" t="str">
        <f>IF(Plantilla_SCAN_EQ3_COUNT_2[[#This Row],[ID MATERIAL]]="","","PZ")</f>
        <v/>
      </c>
      <c r="H2410" s="7" t="str">
        <f>IF(Plantilla_SCAN_EQ3_COUNT_2[[#This Row],[ID MATERIAL]]="","",$B$13)</f>
        <v/>
      </c>
      <c r="I2410" s="7" t="str">
        <f>IF(Plantilla_SCAN_EQ3_COUNT_2[[#This Row],[ID MATERIAL]]="","","Segundo Conteo")</f>
        <v/>
      </c>
    </row>
    <row r="2411" spans="1:9" s="7" customFormat="1" ht="15" x14ac:dyDescent="0.2">
      <c r="A2411" s="7" t="str">
        <f>IF(Plantilla_SCAN_EQ3_COUNT_2[[#This Row],[ID MATERIAL]]="","",SIGN(Plantilla_SCAN_EQ3_COUNT_2[[#This Row],[Cantidad]])+A2410)</f>
        <v/>
      </c>
      <c r="B2411" s="21" t="str">
        <f>IF(Plantilla_SCAN_EQ3_COUNT_2[[#This Row],[ID MATERIAL]]="","",B2410)</f>
        <v/>
      </c>
      <c r="C2411" s="21"/>
      <c r="D2411" s="21"/>
      <c r="E2411" s="7" t="str">
        <f>IF(Plantilla_SCAN_EQ3_COUNT_2[[#This Row],[ID MATERIAL]]="","",VLOOKUP(Plantilla_SCAN_EQ3_COUNT_2[[#This Row],[ID MATERIAL]],INVENTARIO!$A:$D,2,FALSE))</f>
        <v/>
      </c>
      <c r="F2411" s="7" t="str">
        <f>IF(Plantilla_SCAN_EQ3_COUNT_2[[#This Row],[ID MATERIAL]]="","",IF(Plantilla_SCAN_EQ3_COUNT_2[[#This Row],[No. Empaques]]="",1,Plantilla_SCAN_EQ3_COUNT_2[[#This Row],[No. Empaques]]*1))</f>
        <v/>
      </c>
      <c r="G2411" s="7" t="str">
        <f>IF(Plantilla_SCAN_EQ3_COUNT_2[[#This Row],[ID MATERIAL]]="","","PZ")</f>
        <v/>
      </c>
      <c r="H2411" s="7" t="str">
        <f>IF(Plantilla_SCAN_EQ3_COUNT_2[[#This Row],[ID MATERIAL]]="","",$B$13)</f>
        <v/>
      </c>
      <c r="I2411" s="7" t="str">
        <f>IF(Plantilla_SCAN_EQ3_COUNT_2[[#This Row],[ID MATERIAL]]="","","Segundo Conteo")</f>
        <v/>
      </c>
    </row>
    <row r="2412" spans="1:9" s="7" customFormat="1" ht="15" x14ac:dyDescent="0.2">
      <c r="A2412" s="7" t="str">
        <f>IF(Plantilla_SCAN_EQ3_COUNT_2[[#This Row],[ID MATERIAL]]="","",SIGN(Plantilla_SCAN_EQ3_COUNT_2[[#This Row],[Cantidad]])+A2411)</f>
        <v/>
      </c>
      <c r="B2412" s="21" t="str">
        <f>IF(Plantilla_SCAN_EQ3_COUNT_2[[#This Row],[ID MATERIAL]]="","",B2411)</f>
        <v/>
      </c>
      <c r="C2412" s="21"/>
      <c r="D2412" s="21"/>
      <c r="E2412" s="7" t="str">
        <f>IF(Plantilla_SCAN_EQ3_COUNT_2[[#This Row],[ID MATERIAL]]="","",VLOOKUP(Plantilla_SCAN_EQ3_COUNT_2[[#This Row],[ID MATERIAL]],INVENTARIO!$A:$D,2,FALSE))</f>
        <v/>
      </c>
      <c r="F2412" s="7" t="str">
        <f>IF(Plantilla_SCAN_EQ3_COUNT_2[[#This Row],[ID MATERIAL]]="","",IF(Plantilla_SCAN_EQ3_COUNT_2[[#This Row],[No. Empaques]]="",1,Plantilla_SCAN_EQ3_COUNT_2[[#This Row],[No. Empaques]]*1))</f>
        <v/>
      </c>
      <c r="G2412" s="7" t="str">
        <f>IF(Plantilla_SCAN_EQ3_COUNT_2[[#This Row],[ID MATERIAL]]="","","PZ")</f>
        <v/>
      </c>
      <c r="H2412" s="7" t="str">
        <f>IF(Plantilla_SCAN_EQ3_COUNT_2[[#This Row],[ID MATERIAL]]="","",$B$13)</f>
        <v/>
      </c>
      <c r="I2412" s="7" t="str">
        <f>IF(Plantilla_SCAN_EQ3_COUNT_2[[#This Row],[ID MATERIAL]]="","","Segundo Conteo")</f>
        <v/>
      </c>
    </row>
    <row r="2413" spans="1:9" s="7" customFormat="1" ht="15" x14ac:dyDescent="0.2">
      <c r="A2413" s="7" t="str">
        <f>IF(Plantilla_SCAN_EQ3_COUNT_2[[#This Row],[ID MATERIAL]]="","",SIGN(Plantilla_SCAN_EQ3_COUNT_2[[#This Row],[Cantidad]])+A2412)</f>
        <v/>
      </c>
      <c r="B2413" s="21" t="str">
        <f>IF(Plantilla_SCAN_EQ3_COUNT_2[[#This Row],[ID MATERIAL]]="","",B2412)</f>
        <v/>
      </c>
      <c r="C2413" s="21"/>
      <c r="D2413" s="21"/>
      <c r="E2413" s="7" t="str">
        <f>IF(Plantilla_SCAN_EQ3_COUNT_2[[#This Row],[ID MATERIAL]]="","",VLOOKUP(Plantilla_SCAN_EQ3_COUNT_2[[#This Row],[ID MATERIAL]],INVENTARIO!$A:$D,2,FALSE))</f>
        <v/>
      </c>
      <c r="F2413" s="7" t="str">
        <f>IF(Plantilla_SCAN_EQ3_COUNT_2[[#This Row],[ID MATERIAL]]="","",IF(Plantilla_SCAN_EQ3_COUNT_2[[#This Row],[No. Empaques]]="",1,Plantilla_SCAN_EQ3_COUNT_2[[#This Row],[No. Empaques]]*1))</f>
        <v/>
      </c>
      <c r="G2413" s="7" t="str">
        <f>IF(Plantilla_SCAN_EQ3_COUNT_2[[#This Row],[ID MATERIAL]]="","","PZ")</f>
        <v/>
      </c>
      <c r="H2413" s="7" t="str">
        <f>IF(Plantilla_SCAN_EQ3_COUNT_2[[#This Row],[ID MATERIAL]]="","",$B$13)</f>
        <v/>
      </c>
      <c r="I2413" s="7" t="str">
        <f>IF(Plantilla_SCAN_EQ3_COUNT_2[[#This Row],[ID MATERIAL]]="","","Segundo Conteo")</f>
        <v/>
      </c>
    </row>
    <row r="2414" spans="1:9" s="7" customFormat="1" ht="15" x14ac:dyDescent="0.2">
      <c r="A2414" s="7" t="str">
        <f>IF(Plantilla_SCAN_EQ3_COUNT_2[[#This Row],[ID MATERIAL]]="","",SIGN(Plantilla_SCAN_EQ3_COUNT_2[[#This Row],[Cantidad]])+A2413)</f>
        <v/>
      </c>
      <c r="B2414" s="21" t="str">
        <f>IF(Plantilla_SCAN_EQ3_COUNT_2[[#This Row],[ID MATERIAL]]="","",B2413)</f>
        <v/>
      </c>
      <c r="C2414" s="21"/>
      <c r="D2414" s="21"/>
      <c r="E2414" s="7" t="str">
        <f>IF(Plantilla_SCAN_EQ3_COUNT_2[[#This Row],[ID MATERIAL]]="","",VLOOKUP(Plantilla_SCAN_EQ3_COUNT_2[[#This Row],[ID MATERIAL]],INVENTARIO!$A:$D,2,FALSE))</f>
        <v/>
      </c>
      <c r="F2414" s="7" t="str">
        <f>IF(Plantilla_SCAN_EQ3_COUNT_2[[#This Row],[ID MATERIAL]]="","",IF(Plantilla_SCAN_EQ3_COUNT_2[[#This Row],[No. Empaques]]="",1,Plantilla_SCAN_EQ3_COUNT_2[[#This Row],[No. Empaques]]*1))</f>
        <v/>
      </c>
      <c r="G2414" s="7" t="str">
        <f>IF(Plantilla_SCAN_EQ3_COUNT_2[[#This Row],[ID MATERIAL]]="","","PZ")</f>
        <v/>
      </c>
      <c r="H2414" s="7" t="str">
        <f>IF(Plantilla_SCAN_EQ3_COUNT_2[[#This Row],[ID MATERIAL]]="","",$B$13)</f>
        <v/>
      </c>
      <c r="I2414" s="7" t="str">
        <f>IF(Plantilla_SCAN_EQ3_COUNT_2[[#This Row],[ID MATERIAL]]="","","Segundo Conteo")</f>
        <v/>
      </c>
    </row>
    <row r="2415" spans="1:9" s="7" customFormat="1" ht="15" x14ac:dyDescent="0.2">
      <c r="A2415" s="7" t="str">
        <f>IF(Plantilla_SCAN_EQ3_COUNT_2[[#This Row],[ID MATERIAL]]="","",SIGN(Plantilla_SCAN_EQ3_COUNT_2[[#This Row],[Cantidad]])+A2414)</f>
        <v/>
      </c>
      <c r="B2415" s="21" t="str">
        <f>IF(Plantilla_SCAN_EQ3_COUNT_2[[#This Row],[ID MATERIAL]]="","",B2414)</f>
        <v/>
      </c>
      <c r="C2415" s="21"/>
      <c r="D2415" s="21"/>
      <c r="E2415" s="7" t="str">
        <f>IF(Plantilla_SCAN_EQ3_COUNT_2[[#This Row],[ID MATERIAL]]="","",VLOOKUP(Plantilla_SCAN_EQ3_COUNT_2[[#This Row],[ID MATERIAL]],INVENTARIO!$A:$D,2,FALSE))</f>
        <v/>
      </c>
      <c r="F2415" s="7" t="str">
        <f>IF(Plantilla_SCAN_EQ3_COUNT_2[[#This Row],[ID MATERIAL]]="","",IF(Plantilla_SCAN_EQ3_COUNT_2[[#This Row],[No. Empaques]]="",1,Plantilla_SCAN_EQ3_COUNT_2[[#This Row],[No. Empaques]]*1))</f>
        <v/>
      </c>
      <c r="G2415" s="7" t="str">
        <f>IF(Plantilla_SCAN_EQ3_COUNT_2[[#This Row],[ID MATERIAL]]="","","PZ")</f>
        <v/>
      </c>
      <c r="H2415" s="7" t="str">
        <f>IF(Plantilla_SCAN_EQ3_COUNT_2[[#This Row],[ID MATERIAL]]="","",$B$13)</f>
        <v/>
      </c>
      <c r="I2415" s="7" t="str">
        <f>IF(Plantilla_SCAN_EQ3_COUNT_2[[#This Row],[ID MATERIAL]]="","","Segundo Conteo")</f>
        <v/>
      </c>
    </row>
    <row r="2416" spans="1:9" s="7" customFormat="1" ht="15" x14ac:dyDescent="0.2">
      <c r="A2416" s="7" t="str">
        <f>IF(Plantilla_SCAN_EQ3_COUNT_2[[#This Row],[ID MATERIAL]]="","",SIGN(Plantilla_SCAN_EQ3_COUNT_2[[#This Row],[Cantidad]])+A2415)</f>
        <v/>
      </c>
      <c r="B2416" s="21" t="str">
        <f>IF(Plantilla_SCAN_EQ3_COUNT_2[[#This Row],[ID MATERIAL]]="","",B2415)</f>
        <v/>
      </c>
      <c r="C2416" s="21"/>
      <c r="D2416" s="21"/>
      <c r="E2416" s="7" t="str">
        <f>IF(Plantilla_SCAN_EQ3_COUNT_2[[#This Row],[ID MATERIAL]]="","",VLOOKUP(Plantilla_SCAN_EQ3_COUNT_2[[#This Row],[ID MATERIAL]],INVENTARIO!$A:$D,2,FALSE))</f>
        <v/>
      </c>
      <c r="F2416" s="7" t="str">
        <f>IF(Plantilla_SCAN_EQ3_COUNT_2[[#This Row],[ID MATERIAL]]="","",IF(Plantilla_SCAN_EQ3_COUNT_2[[#This Row],[No. Empaques]]="",1,Plantilla_SCAN_EQ3_COUNT_2[[#This Row],[No. Empaques]]*1))</f>
        <v/>
      </c>
      <c r="G2416" s="7" t="str">
        <f>IF(Plantilla_SCAN_EQ3_COUNT_2[[#This Row],[ID MATERIAL]]="","","PZ")</f>
        <v/>
      </c>
      <c r="H2416" s="7" t="str">
        <f>IF(Plantilla_SCAN_EQ3_COUNT_2[[#This Row],[ID MATERIAL]]="","",$B$13)</f>
        <v/>
      </c>
      <c r="I2416" s="7" t="str">
        <f>IF(Plantilla_SCAN_EQ3_COUNT_2[[#This Row],[ID MATERIAL]]="","","Segundo Conteo")</f>
        <v/>
      </c>
    </row>
    <row r="2417" spans="1:9" s="7" customFormat="1" ht="15" x14ac:dyDescent="0.2">
      <c r="A2417" s="7" t="str">
        <f>IF(Plantilla_SCAN_EQ3_COUNT_2[[#This Row],[ID MATERIAL]]="","",SIGN(Plantilla_SCAN_EQ3_COUNT_2[[#This Row],[Cantidad]])+A2416)</f>
        <v/>
      </c>
      <c r="B2417" s="21" t="str">
        <f>IF(Plantilla_SCAN_EQ3_COUNT_2[[#This Row],[ID MATERIAL]]="","",B2416)</f>
        <v/>
      </c>
      <c r="C2417" s="21"/>
      <c r="D2417" s="21"/>
      <c r="E2417" s="7" t="str">
        <f>IF(Plantilla_SCAN_EQ3_COUNT_2[[#This Row],[ID MATERIAL]]="","",VLOOKUP(Plantilla_SCAN_EQ3_COUNT_2[[#This Row],[ID MATERIAL]],INVENTARIO!$A:$D,2,FALSE))</f>
        <v/>
      </c>
      <c r="F2417" s="7" t="str">
        <f>IF(Plantilla_SCAN_EQ3_COUNT_2[[#This Row],[ID MATERIAL]]="","",IF(Plantilla_SCAN_EQ3_COUNT_2[[#This Row],[No. Empaques]]="",1,Plantilla_SCAN_EQ3_COUNT_2[[#This Row],[No. Empaques]]*1))</f>
        <v/>
      </c>
      <c r="G2417" s="7" t="str">
        <f>IF(Plantilla_SCAN_EQ3_COUNT_2[[#This Row],[ID MATERIAL]]="","","PZ")</f>
        <v/>
      </c>
      <c r="H2417" s="7" t="str">
        <f>IF(Plantilla_SCAN_EQ3_COUNT_2[[#This Row],[ID MATERIAL]]="","",$B$13)</f>
        <v/>
      </c>
      <c r="I2417" s="7" t="str">
        <f>IF(Plantilla_SCAN_EQ3_COUNT_2[[#This Row],[ID MATERIAL]]="","","Segundo Conteo")</f>
        <v/>
      </c>
    </row>
    <row r="2418" spans="1:9" s="7" customFormat="1" ht="15" x14ac:dyDescent="0.2">
      <c r="A2418" s="7" t="str">
        <f>IF(Plantilla_SCAN_EQ3_COUNT_2[[#This Row],[ID MATERIAL]]="","",SIGN(Plantilla_SCAN_EQ3_COUNT_2[[#This Row],[Cantidad]])+A2417)</f>
        <v/>
      </c>
      <c r="B2418" s="21" t="str">
        <f>IF(Plantilla_SCAN_EQ3_COUNT_2[[#This Row],[ID MATERIAL]]="","",B2417)</f>
        <v/>
      </c>
      <c r="C2418" s="21"/>
      <c r="D2418" s="21"/>
      <c r="E2418" s="7" t="str">
        <f>IF(Plantilla_SCAN_EQ3_COUNT_2[[#This Row],[ID MATERIAL]]="","",VLOOKUP(Plantilla_SCAN_EQ3_COUNT_2[[#This Row],[ID MATERIAL]],INVENTARIO!$A:$D,2,FALSE))</f>
        <v/>
      </c>
      <c r="F2418" s="7" t="str">
        <f>IF(Plantilla_SCAN_EQ3_COUNT_2[[#This Row],[ID MATERIAL]]="","",IF(Plantilla_SCAN_EQ3_COUNT_2[[#This Row],[No. Empaques]]="",1,Plantilla_SCAN_EQ3_COUNT_2[[#This Row],[No. Empaques]]*1))</f>
        <v/>
      </c>
      <c r="G2418" s="7" t="str">
        <f>IF(Plantilla_SCAN_EQ3_COUNT_2[[#This Row],[ID MATERIAL]]="","","PZ")</f>
        <v/>
      </c>
      <c r="H2418" s="7" t="str">
        <f>IF(Plantilla_SCAN_EQ3_COUNT_2[[#This Row],[ID MATERIAL]]="","",$B$13)</f>
        <v/>
      </c>
      <c r="I2418" s="7" t="str">
        <f>IF(Plantilla_SCAN_EQ3_COUNT_2[[#This Row],[ID MATERIAL]]="","","Segundo Conteo")</f>
        <v/>
      </c>
    </row>
    <row r="2419" spans="1:9" s="7" customFormat="1" ht="15" x14ac:dyDescent="0.2">
      <c r="A2419" s="7" t="str">
        <f>IF(Plantilla_SCAN_EQ3_COUNT_2[[#This Row],[ID MATERIAL]]="","",SIGN(Plantilla_SCAN_EQ3_COUNT_2[[#This Row],[Cantidad]])+A2418)</f>
        <v/>
      </c>
      <c r="B2419" s="21" t="str">
        <f>IF(Plantilla_SCAN_EQ3_COUNT_2[[#This Row],[ID MATERIAL]]="","",B2418)</f>
        <v/>
      </c>
      <c r="C2419" s="21"/>
      <c r="D2419" s="21"/>
      <c r="E2419" s="7" t="str">
        <f>IF(Plantilla_SCAN_EQ3_COUNT_2[[#This Row],[ID MATERIAL]]="","",VLOOKUP(Plantilla_SCAN_EQ3_COUNT_2[[#This Row],[ID MATERIAL]],INVENTARIO!$A:$D,2,FALSE))</f>
        <v/>
      </c>
      <c r="F2419" s="7" t="str">
        <f>IF(Plantilla_SCAN_EQ3_COUNT_2[[#This Row],[ID MATERIAL]]="","",IF(Plantilla_SCAN_EQ3_COUNT_2[[#This Row],[No. Empaques]]="",1,Plantilla_SCAN_EQ3_COUNT_2[[#This Row],[No. Empaques]]*1))</f>
        <v/>
      </c>
      <c r="G2419" s="7" t="str">
        <f>IF(Plantilla_SCAN_EQ3_COUNT_2[[#This Row],[ID MATERIAL]]="","","PZ")</f>
        <v/>
      </c>
      <c r="H2419" s="7" t="str">
        <f>IF(Plantilla_SCAN_EQ3_COUNT_2[[#This Row],[ID MATERIAL]]="","",$B$13)</f>
        <v/>
      </c>
      <c r="I2419" s="7" t="str">
        <f>IF(Plantilla_SCAN_EQ3_COUNT_2[[#This Row],[ID MATERIAL]]="","","Segundo Conteo")</f>
        <v/>
      </c>
    </row>
    <row r="2420" spans="1:9" s="7" customFormat="1" ht="15" x14ac:dyDescent="0.2">
      <c r="A2420" s="7" t="str">
        <f>IF(Plantilla_SCAN_EQ3_COUNT_2[[#This Row],[ID MATERIAL]]="","",SIGN(Plantilla_SCAN_EQ3_COUNT_2[[#This Row],[Cantidad]])+A2419)</f>
        <v/>
      </c>
      <c r="B2420" s="21" t="str">
        <f>IF(Plantilla_SCAN_EQ3_COUNT_2[[#This Row],[ID MATERIAL]]="","",B2419)</f>
        <v/>
      </c>
      <c r="C2420" s="21"/>
      <c r="D2420" s="21"/>
      <c r="E2420" s="7" t="str">
        <f>IF(Plantilla_SCAN_EQ3_COUNT_2[[#This Row],[ID MATERIAL]]="","",VLOOKUP(Plantilla_SCAN_EQ3_COUNT_2[[#This Row],[ID MATERIAL]],INVENTARIO!$A:$D,2,FALSE))</f>
        <v/>
      </c>
      <c r="F2420" s="7" t="str">
        <f>IF(Plantilla_SCAN_EQ3_COUNT_2[[#This Row],[ID MATERIAL]]="","",IF(Plantilla_SCAN_EQ3_COUNT_2[[#This Row],[No. Empaques]]="",1,Plantilla_SCAN_EQ3_COUNT_2[[#This Row],[No. Empaques]]*1))</f>
        <v/>
      </c>
      <c r="G2420" s="7" t="str">
        <f>IF(Plantilla_SCAN_EQ3_COUNT_2[[#This Row],[ID MATERIAL]]="","","PZ")</f>
        <v/>
      </c>
      <c r="H2420" s="7" t="str">
        <f>IF(Plantilla_SCAN_EQ3_COUNT_2[[#This Row],[ID MATERIAL]]="","",$B$13)</f>
        <v/>
      </c>
      <c r="I2420" s="7" t="str">
        <f>IF(Plantilla_SCAN_EQ3_COUNT_2[[#This Row],[ID MATERIAL]]="","","Segundo Conteo")</f>
        <v/>
      </c>
    </row>
    <row r="2421" spans="1:9" s="7" customFormat="1" ht="15" x14ac:dyDescent="0.2">
      <c r="A2421" s="7" t="str">
        <f>IF(Plantilla_SCAN_EQ3_COUNT_2[[#This Row],[ID MATERIAL]]="","",SIGN(Plantilla_SCAN_EQ3_COUNT_2[[#This Row],[Cantidad]])+A2420)</f>
        <v/>
      </c>
      <c r="B2421" s="21" t="str">
        <f>IF(Plantilla_SCAN_EQ3_COUNT_2[[#This Row],[ID MATERIAL]]="","",B2420)</f>
        <v/>
      </c>
      <c r="C2421" s="21"/>
      <c r="D2421" s="21"/>
      <c r="E2421" s="7" t="str">
        <f>IF(Plantilla_SCAN_EQ3_COUNT_2[[#This Row],[ID MATERIAL]]="","",VLOOKUP(Plantilla_SCAN_EQ3_COUNT_2[[#This Row],[ID MATERIAL]],INVENTARIO!$A:$D,2,FALSE))</f>
        <v/>
      </c>
      <c r="F2421" s="7" t="str">
        <f>IF(Plantilla_SCAN_EQ3_COUNT_2[[#This Row],[ID MATERIAL]]="","",IF(Plantilla_SCAN_EQ3_COUNT_2[[#This Row],[No. Empaques]]="",1,Plantilla_SCAN_EQ3_COUNT_2[[#This Row],[No. Empaques]]*1))</f>
        <v/>
      </c>
      <c r="G2421" s="7" t="str">
        <f>IF(Plantilla_SCAN_EQ3_COUNT_2[[#This Row],[ID MATERIAL]]="","","PZ")</f>
        <v/>
      </c>
      <c r="H2421" s="7" t="str">
        <f>IF(Plantilla_SCAN_EQ3_COUNT_2[[#This Row],[ID MATERIAL]]="","",$B$13)</f>
        <v/>
      </c>
      <c r="I2421" s="7" t="str">
        <f>IF(Plantilla_SCAN_EQ3_COUNT_2[[#This Row],[ID MATERIAL]]="","","Segundo Conteo")</f>
        <v/>
      </c>
    </row>
    <row r="2422" spans="1:9" s="7" customFormat="1" ht="15" x14ac:dyDescent="0.2">
      <c r="A2422" s="7" t="str">
        <f>IF(Plantilla_SCAN_EQ3_COUNT_2[[#This Row],[ID MATERIAL]]="","",SIGN(Plantilla_SCAN_EQ3_COUNT_2[[#This Row],[Cantidad]])+A2421)</f>
        <v/>
      </c>
      <c r="B2422" s="21" t="str">
        <f>IF(Plantilla_SCAN_EQ3_COUNT_2[[#This Row],[ID MATERIAL]]="","",B2421)</f>
        <v/>
      </c>
      <c r="C2422" s="21"/>
      <c r="D2422" s="21"/>
      <c r="E2422" s="7" t="str">
        <f>IF(Plantilla_SCAN_EQ3_COUNT_2[[#This Row],[ID MATERIAL]]="","",VLOOKUP(Plantilla_SCAN_EQ3_COUNT_2[[#This Row],[ID MATERIAL]],INVENTARIO!$A:$D,2,FALSE))</f>
        <v/>
      </c>
      <c r="F2422" s="7" t="str">
        <f>IF(Plantilla_SCAN_EQ3_COUNT_2[[#This Row],[ID MATERIAL]]="","",IF(Plantilla_SCAN_EQ3_COUNT_2[[#This Row],[No. Empaques]]="",1,Plantilla_SCAN_EQ3_COUNT_2[[#This Row],[No. Empaques]]*1))</f>
        <v/>
      </c>
      <c r="G2422" s="7" t="str">
        <f>IF(Plantilla_SCAN_EQ3_COUNT_2[[#This Row],[ID MATERIAL]]="","","PZ")</f>
        <v/>
      </c>
      <c r="H2422" s="7" t="str">
        <f>IF(Plantilla_SCAN_EQ3_COUNT_2[[#This Row],[ID MATERIAL]]="","",$B$13)</f>
        <v/>
      </c>
      <c r="I2422" s="7" t="str">
        <f>IF(Plantilla_SCAN_EQ3_COUNT_2[[#This Row],[ID MATERIAL]]="","","Segundo Conteo")</f>
        <v/>
      </c>
    </row>
    <row r="2423" spans="1:9" s="7" customFormat="1" ht="15" x14ac:dyDescent="0.2">
      <c r="A2423" s="7" t="str">
        <f>IF(Plantilla_SCAN_EQ3_COUNT_2[[#This Row],[ID MATERIAL]]="","",SIGN(Plantilla_SCAN_EQ3_COUNT_2[[#This Row],[Cantidad]])+A2422)</f>
        <v/>
      </c>
      <c r="B2423" s="21" t="str">
        <f>IF(Plantilla_SCAN_EQ3_COUNT_2[[#This Row],[ID MATERIAL]]="","",B2422)</f>
        <v/>
      </c>
      <c r="C2423" s="21"/>
      <c r="D2423" s="21"/>
      <c r="E2423" s="7" t="str">
        <f>IF(Plantilla_SCAN_EQ3_COUNT_2[[#This Row],[ID MATERIAL]]="","",VLOOKUP(Plantilla_SCAN_EQ3_COUNT_2[[#This Row],[ID MATERIAL]],INVENTARIO!$A:$D,2,FALSE))</f>
        <v/>
      </c>
      <c r="F2423" s="7" t="str">
        <f>IF(Plantilla_SCAN_EQ3_COUNT_2[[#This Row],[ID MATERIAL]]="","",IF(Plantilla_SCAN_EQ3_COUNT_2[[#This Row],[No. Empaques]]="",1,Plantilla_SCAN_EQ3_COUNT_2[[#This Row],[No. Empaques]]*1))</f>
        <v/>
      </c>
      <c r="G2423" s="7" t="str">
        <f>IF(Plantilla_SCAN_EQ3_COUNT_2[[#This Row],[ID MATERIAL]]="","","PZ")</f>
        <v/>
      </c>
      <c r="H2423" s="7" t="str">
        <f>IF(Plantilla_SCAN_EQ3_COUNT_2[[#This Row],[ID MATERIAL]]="","",$B$13)</f>
        <v/>
      </c>
      <c r="I2423" s="7" t="str">
        <f>IF(Plantilla_SCAN_EQ3_COUNT_2[[#This Row],[ID MATERIAL]]="","","Segundo Conteo")</f>
        <v/>
      </c>
    </row>
    <row r="2424" spans="1:9" s="7" customFormat="1" ht="15" x14ac:dyDescent="0.2">
      <c r="A2424" s="7" t="str">
        <f>IF(Plantilla_SCAN_EQ3_COUNT_2[[#This Row],[ID MATERIAL]]="","",SIGN(Plantilla_SCAN_EQ3_COUNT_2[[#This Row],[Cantidad]])+A2423)</f>
        <v/>
      </c>
      <c r="B2424" s="21" t="str">
        <f>IF(Plantilla_SCAN_EQ3_COUNT_2[[#This Row],[ID MATERIAL]]="","",B2423)</f>
        <v/>
      </c>
      <c r="C2424" s="21"/>
      <c r="D2424" s="21"/>
      <c r="E2424" s="7" t="str">
        <f>IF(Plantilla_SCAN_EQ3_COUNT_2[[#This Row],[ID MATERIAL]]="","",VLOOKUP(Plantilla_SCAN_EQ3_COUNT_2[[#This Row],[ID MATERIAL]],INVENTARIO!$A:$D,2,FALSE))</f>
        <v/>
      </c>
      <c r="F2424" s="7" t="str">
        <f>IF(Plantilla_SCAN_EQ3_COUNT_2[[#This Row],[ID MATERIAL]]="","",IF(Plantilla_SCAN_EQ3_COUNT_2[[#This Row],[No. Empaques]]="",1,Plantilla_SCAN_EQ3_COUNT_2[[#This Row],[No. Empaques]]*1))</f>
        <v/>
      </c>
      <c r="G2424" s="7" t="str">
        <f>IF(Plantilla_SCAN_EQ3_COUNT_2[[#This Row],[ID MATERIAL]]="","","PZ")</f>
        <v/>
      </c>
      <c r="H2424" s="7" t="str">
        <f>IF(Plantilla_SCAN_EQ3_COUNT_2[[#This Row],[ID MATERIAL]]="","",$B$13)</f>
        <v/>
      </c>
      <c r="I2424" s="7" t="str">
        <f>IF(Plantilla_SCAN_EQ3_COUNT_2[[#This Row],[ID MATERIAL]]="","","Segundo Conteo")</f>
        <v/>
      </c>
    </row>
    <row r="2425" spans="1:9" s="7" customFormat="1" ht="15" x14ac:dyDescent="0.2">
      <c r="A2425" s="7" t="str">
        <f>IF(Plantilla_SCAN_EQ3_COUNT_2[[#This Row],[ID MATERIAL]]="","",SIGN(Plantilla_SCAN_EQ3_COUNT_2[[#This Row],[Cantidad]])+A2424)</f>
        <v/>
      </c>
      <c r="B2425" s="21" t="str">
        <f>IF(Plantilla_SCAN_EQ3_COUNT_2[[#This Row],[ID MATERIAL]]="","",B2424)</f>
        <v/>
      </c>
      <c r="C2425" s="21"/>
      <c r="D2425" s="21"/>
      <c r="E2425" s="7" t="str">
        <f>IF(Plantilla_SCAN_EQ3_COUNT_2[[#This Row],[ID MATERIAL]]="","",VLOOKUP(Plantilla_SCAN_EQ3_COUNT_2[[#This Row],[ID MATERIAL]],INVENTARIO!$A:$D,2,FALSE))</f>
        <v/>
      </c>
      <c r="F2425" s="7" t="str">
        <f>IF(Plantilla_SCAN_EQ3_COUNT_2[[#This Row],[ID MATERIAL]]="","",IF(Plantilla_SCAN_EQ3_COUNT_2[[#This Row],[No. Empaques]]="",1,Plantilla_SCAN_EQ3_COUNT_2[[#This Row],[No. Empaques]]*1))</f>
        <v/>
      </c>
      <c r="G2425" s="7" t="str">
        <f>IF(Plantilla_SCAN_EQ3_COUNT_2[[#This Row],[ID MATERIAL]]="","","PZ")</f>
        <v/>
      </c>
      <c r="H2425" s="7" t="str">
        <f>IF(Plantilla_SCAN_EQ3_COUNT_2[[#This Row],[ID MATERIAL]]="","",$B$13)</f>
        <v/>
      </c>
      <c r="I2425" s="7" t="str">
        <f>IF(Plantilla_SCAN_EQ3_COUNT_2[[#This Row],[ID MATERIAL]]="","","Segundo Conteo")</f>
        <v/>
      </c>
    </row>
    <row r="2426" spans="1:9" s="7" customFormat="1" ht="15" x14ac:dyDescent="0.2">
      <c r="A2426" s="7" t="str">
        <f>IF(Plantilla_SCAN_EQ3_COUNT_2[[#This Row],[ID MATERIAL]]="","",SIGN(Plantilla_SCAN_EQ3_COUNT_2[[#This Row],[Cantidad]])+A2425)</f>
        <v/>
      </c>
      <c r="B2426" s="21" t="str">
        <f>IF(Plantilla_SCAN_EQ3_COUNT_2[[#This Row],[ID MATERIAL]]="","",B2425)</f>
        <v/>
      </c>
      <c r="C2426" s="21"/>
      <c r="D2426" s="21"/>
      <c r="E2426" s="7" t="str">
        <f>IF(Plantilla_SCAN_EQ3_COUNT_2[[#This Row],[ID MATERIAL]]="","",VLOOKUP(Plantilla_SCAN_EQ3_COUNT_2[[#This Row],[ID MATERIAL]],INVENTARIO!$A:$D,2,FALSE))</f>
        <v/>
      </c>
      <c r="F2426" s="7" t="str">
        <f>IF(Plantilla_SCAN_EQ3_COUNT_2[[#This Row],[ID MATERIAL]]="","",IF(Plantilla_SCAN_EQ3_COUNT_2[[#This Row],[No. Empaques]]="",1,Plantilla_SCAN_EQ3_COUNT_2[[#This Row],[No. Empaques]]*1))</f>
        <v/>
      </c>
      <c r="G2426" s="7" t="str">
        <f>IF(Plantilla_SCAN_EQ3_COUNT_2[[#This Row],[ID MATERIAL]]="","","PZ")</f>
        <v/>
      </c>
      <c r="H2426" s="7" t="str">
        <f>IF(Plantilla_SCAN_EQ3_COUNT_2[[#This Row],[ID MATERIAL]]="","",$B$13)</f>
        <v/>
      </c>
      <c r="I2426" s="7" t="str">
        <f>IF(Plantilla_SCAN_EQ3_COUNT_2[[#This Row],[ID MATERIAL]]="","","Segundo Conteo")</f>
        <v/>
      </c>
    </row>
    <row r="2427" spans="1:9" s="7" customFormat="1" ht="15" x14ac:dyDescent="0.2">
      <c r="A2427" s="7" t="str">
        <f>IF(Plantilla_SCAN_EQ3_COUNT_2[[#This Row],[ID MATERIAL]]="","",SIGN(Plantilla_SCAN_EQ3_COUNT_2[[#This Row],[Cantidad]])+A2426)</f>
        <v/>
      </c>
      <c r="B2427" s="21" t="str">
        <f>IF(Plantilla_SCAN_EQ3_COUNT_2[[#This Row],[ID MATERIAL]]="","",B2426)</f>
        <v/>
      </c>
      <c r="C2427" s="21"/>
      <c r="D2427" s="21"/>
      <c r="E2427" s="7" t="str">
        <f>IF(Plantilla_SCAN_EQ3_COUNT_2[[#This Row],[ID MATERIAL]]="","",VLOOKUP(Plantilla_SCAN_EQ3_COUNT_2[[#This Row],[ID MATERIAL]],INVENTARIO!$A:$D,2,FALSE))</f>
        <v/>
      </c>
      <c r="F2427" s="7" t="str">
        <f>IF(Plantilla_SCAN_EQ3_COUNT_2[[#This Row],[ID MATERIAL]]="","",IF(Plantilla_SCAN_EQ3_COUNT_2[[#This Row],[No. Empaques]]="",1,Plantilla_SCAN_EQ3_COUNT_2[[#This Row],[No. Empaques]]*1))</f>
        <v/>
      </c>
      <c r="G2427" s="7" t="str">
        <f>IF(Plantilla_SCAN_EQ3_COUNT_2[[#This Row],[ID MATERIAL]]="","","PZ")</f>
        <v/>
      </c>
      <c r="H2427" s="7" t="str">
        <f>IF(Plantilla_SCAN_EQ3_COUNT_2[[#This Row],[ID MATERIAL]]="","",$B$13)</f>
        <v/>
      </c>
      <c r="I2427" s="7" t="str">
        <f>IF(Plantilla_SCAN_EQ3_COUNT_2[[#This Row],[ID MATERIAL]]="","","Segundo Conteo")</f>
        <v/>
      </c>
    </row>
    <row r="2428" spans="1:9" s="7" customFormat="1" ht="15" x14ac:dyDescent="0.2">
      <c r="A2428" s="7" t="str">
        <f>IF(Plantilla_SCAN_EQ3_COUNT_2[[#This Row],[ID MATERIAL]]="","",SIGN(Plantilla_SCAN_EQ3_COUNT_2[[#This Row],[Cantidad]])+A2427)</f>
        <v/>
      </c>
      <c r="B2428" s="21" t="str">
        <f>IF(Plantilla_SCAN_EQ3_COUNT_2[[#This Row],[ID MATERIAL]]="","",B2427)</f>
        <v/>
      </c>
      <c r="C2428" s="21"/>
      <c r="D2428" s="21"/>
      <c r="E2428" s="7" t="str">
        <f>IF(Plantilla_SCAN_EQ3_COUNT_2[[#This Row],[ID MATERIAL]]="","",VLOOKUP(Plantilla_SCAN_EQ3_COUNT_2[[#This Row],[ID MATERIAL]],INVENTARIO!$A:$D,2,FALSE))</f>
        <v/>
      </c>
      <c r="F2428" s="7" t="str">
        <f>IF(Plantilla_SCAN_EQ3_COUNT_2[[#This Row],[ID MATERIAL]]="","",IF(Plantilla_SCAN_EQ3_COUNT_2[[#This Row],[No. Empaques]]="",1,Plantilla_SCAN_EQ3_COUNT_2[[#This Row],[No. Empaques]]*1))</f>
        <v/>
      </c>
      <c r="G2428" s="7" t="str">
        <f>IF(Plantilla_SCAN_EQ3_COUNT_2[[#This Row],[ID MATERIAL]]="","","PZ")</f>
        <v/>
      </c>
      <c r="H2428" s="7" t="str">
        <f>IF(Plantilla_SCAN_EQ3_COUNT_2[[#This Row],[ID MATERIAL]]="","",$B$13)</f>
        <v/>
      </c>
      <c r="I2428" s="7" t="str">
        <f>IF(Plantilla_SCAN_EQ3_COUNT_2[[#This Row],[ID MATERIAL]]="","","Segundo Conteo")</f>
        <v/>
      </c>
    </row>
    <row r="2429" spans="1:9" s="7" customFormat="1" ht="15" x14ac:dyDescent="0.2">
      <c r="A2429" s="7" t="str">
        <f>IF(Plantilla_SCAN_EQ3_COUNT_2[[#This Row],[ID MATERIAL]]="","",SIGN(Plantilla_SCAN_EQ3_COUNT_2[[#This Row],[Cantidad]])+A2428)</f>
        <v/>
      </c>
      <c r="B2429" s="21" t="str">
        <f>IF(Plantilla_SCAN_EQ3_COUNT_2[[#This Row],[ID MATERIAL]]="","",B2428)</f>
        <v/>
      </c>
      <c r="C2429" s="21"/>
      <c r="D2429" s="21"/>
      <c r="E2429" s="7" t="str">
        <f>IF(Plantilla_SCAN_EQ3_COUNT_2[[#This Row],[ID MATERIAL]]="","",VLOOKUP(Plantilla_SCAN_EQ3_COUNT_2[[#This Row],[ID MATERIAL]],INVENTARIO!$A:$D,2,FALSE))</f>
        <v/>
      </c>
      <c r="F2429" s="7" t="str">
        <f>IF(Plantilla_SCAN_EQ3_COUNT_2[[#This Row],[ID MATERIAL]]="","",IF(Plantilla_SCAN_EQ3_COUNT_2[[#This Row],[No. Empaques]]="",1,Plantilla_SCAN_EQ3_COUNT_2[[#This Row],[No. Empaques]]*1))</f>
        <v/>
      </c>
      <c r="G2429" s="7" t="str">
        <f>IF(Plantilla_SCAN_EQ3_COUNT_2[[#This Row],[ID MATERIAL]]="","","PZ")</f>
        <v/>
      </c>
      <c r="H2429" s="7" t="str">
        <f>IF(Plantilla_SCAN_EQ3_COUNT_2[[#This Row],[ID MATERIAL]]="","",$B$13)</f>
        <v/>
      </c>
      <c r="I2429" s="7" t="str">
        <f>IF(Plantilla_SCAN_EQ3_COUNT_2[[#This Row],[ID MATERIAL]]="","","Segundo Conteo")</f>
        <v/>
      </c>
    </row>
    <row r="2430" spans="1:9" s="7" customFormat="1" ht="15" x14ac:dyDescent="0.2">
      <c r="A2430" s="7" t="str">
        <f>IF(Plantilla_SCAN_EQ3_COUNT_2[[#This Row],[ID MATERIAL]]="","",SIGN(Plantilla_SCAN_EQ3_COUNT_2[[#This Row],[Cantidad]])+A2429)</f>
        <v/>
      </c>
      <c r="B2430" s="21" t="str">
        <f>IF(Plantilla_SCAN_EQ3_COUNT_2[[#This Row],[ID MATERIAL]]="","",B2429)</f>
        <v/>
      </c>
      <c r="C2430" s="21"/>
      <c r="D2430" s="21"/>
      <c r="E2430" s="7" t="str">
        <f>IF(Plantilla_SCAN_EQ3_COUNT_2[[#This Row],[ID MATERIAL]]="","",VLOOKUP(Plantilla_SCAN_EQ3_COUNT_2[[#This Row],[ID MATERIAL]],INVENTARIO!$A:$D,2,FALSE))</f>
        <v/>
      </c>
      <c r="F2430" s="7" t="str">
        <f>IF(Plantilla_SCAN_EQ3_COUNT_2[[#This Row],[ID MATERIAL]]="","",IF(Plantilla_SCAN_EQ3_COUNT_2[[#This Row],[No. Empaques]]="",1,Plantilla_SCAN_EQ3_COUNT_2[[#This Row],[No. Empaques]]*1))</f>
        <v/>
      </c>
      <c r="G2430" s="7" t="str">
        <f>IF(Plantilla_SCAN_EQ3_COUNT_2[[#This Row],[ID MATERIAL]]="","","PZ")</f>
        <v/>
      </c>
      <c r="H2430" s="7" t="str">
        <f>IF(Plantilla_SCAN_EQ3_COUNT_2[[#This Row],[ID MATERIAL]]="","",$B$13)</f>
        <v/>
      </c>
      <c r="I2430" s="7" t="str">
        <f>IF(Plantilla_SCAN_EQ3_COUNT_2[[#This Row],[ID MATERIAL]]="","","Segundo Conteo")</f>
        <v/>
      </c>
    </row>
    <row r="2431" spans="1:9" s="7" customFormat="1" ht="15" x14ac:dyDescent="0.2">
      <c r="A2431" s="7" t="str">
        <f>IF(Plantilla_SCAN_EQ3_COUNT_2[[#This Row],[ID MATERIAL]]="","",SIGN(Plantilla_SCAN_EQ3_COUNT_2[[#This Row],[Cantidad]])+A2430)</f>
        <v/>
      </c>
      <c r="B2431" s="21" t="str">
        <f>IF(Plantilla_SCAN_EQ3_COUNT_2[[#This Row],[ID MATERIAL]]="","",B2430)</f>
        <v/>
      </c>
      <c r="C2431" s="21"/>
      <c r="D2431" s="21"/>
      <c r="E2431" s="7" t="str">
        <f>IF(Plantilla_SCAN_EQ3_COUNT_2[[#This Row],[ID MATERIAL]]="","",VLOOKUP(Plantilla_SCAN_EQ3_COUNT_2[[#This Row],[ID MATERIAL]],INVENTARIO!$A:$D,2,FALSE))</f>
        <v/>
      </c>
      <c r="F2431" s="7" t="str">
        <f>IF(Plantilla_SCAN_EQ3_COUNT_2[[#This Row],[ID MATERIAL]]="","",IF(Plantilla_SCAN_EQ3_COUNT_2[[#This Row],[No. Empaques]]="",1,Plantilla_SCAN_EQ3_COUNT_2[[#This Row],[No. Empaques]]*1))</f>
        <v/>
      </c>
      <c r="G2431" s="7" t="str">
        <f>IF(Plantilla_SCAN_EQ3_COUNT_2[[#This Row],[ID MATERIAL]]="","","PZ")</f>
        <v/>
      </c>
      <c r="H2431" s="7" t="str">
        <f>IF(Plantilla_SCAN_EQ3_COUNT_2[[#This Row],[ID MATERIAL]]="","",$B$13)</f>
        <v/>
      </c>
      <c r="I2431" s="7" t="str">
        <f>IF(Plantilla_SCAN_EQ3_COUNT_2[[#This Row],[ID MATERIAL]]="","","Segundo Conteo")</f>
        <v/>
      </c>
    </row>
    <row r="2432" spans="1:9" s="7" customFormat="1" ht="15" x14ac:dyDescent="0.2">
      <c r="A2432" s="7" t="str">
        <f>IF(Plantilla_SCAN_EQ3_COUNT_2[[#This Row],[ID MATERIAL]]="","",SIGN(Plantilla_SCAN_EQ3_COUNT_2[[#This Row],[Cantidad]])+A2431)</f>
        <v/>
      </c>
      <c r="B2432" s="21" t="str">
        <f>IF(Plantilla_SCAN_EQ3_COUNT_2[[#This Row],[ID MATERIAL]]="","",B2431)</f>
        <v/>
      </c>
      <c r="C2432" s="21"/>
      <c r="D2432" s="21"/>
      <c r="E2432" s="7" t="str">
        <f>IF(Plantilla_SCAN_EQ3_COUNT_2[[#This Row],[ID MATERIAL]]="","",VLOOKUP(Plantilla_SCAN_EQ3_COUNT_2[[#This Row],[ID MATERIAL]],INVENTARIO!$A:$D,2,FALSE))</f>
        <v/>
      </c>
      <c r="F2432" s="7" t="str">
        <f>IF(Plantilla_SCAN_EQ3_COUNT_2[[#This Row],[ID MATERIAL]]="","",IF(Plantilla_SCAN_EQ3_COUNT_2[[#This Row],[No. Empaques]]="",1,Plantilla_SCAN_EQ3_COUNT_2[[#This Row],[No. Empaques]]*1))</f>
        <v/>
      </c>
      <c r="G2432" s="7" t="str">
        <f>IF(Plantilla_SCAN_EQ3_COUNT_2[[#This Row],[ID MATERIAL]]="","","PZ")</f>
        <v/>
      </c>
      <c r="H2432" s="7" t="str">
        <f>IF(Plantilla_SCAN_EQ3_COUNT_2[[#This Row],[ID MATERIAL]]="","",$B$13)</f>
        <v/>
      </c>
      <c r="I2432" s="7" t="str">
        <f>IF(Plantilla_SCAN_EQ3_COUNT_2[[#This Row],[ID MATERIAL]]="","","Segundo Conteo")</f>
        <v/>
      </c>
    </row>
    <row r="2433" spans="1:9" s="7" customFormat="1" ht="15" x14ac:dyDescent="0.2">
      <c r="A2433" s="7" t="str">
        <f>IF(Plantilla_SCAN_EQ3_COUNT_2[[#This Row],[ID MATERIAL]]="","",SIGN(Plantilla_SCAN_EQ3_COUNT_2[[#This Row],[Cantidad]])+A2432)</f>
        <v/>
      </c>
      <c r="B2433" s="21" t="str">
        <f>IF(Plantilla_SCAN_EQ3_COUNT_2[[#This Row],[ID MATERIAL]]="","",B2432)</f>
        <v/>
      </c>
      <c r="C2433" s="21"/>
      <c r="D2433" s="21"/>
      <c r="E2433" s="7" t="str">
        <f>IF(Plantilla_SCAN_EQ3_COUNT_2[[#This Row],[ID MATERIAL]]="","",VLOOKUP(Plantilla_SCAN_EQ3_COUNT_2[[#This Row],[ID MATERIAL]],INVENTARIO!$A:$D,2,FALSE))</f>
        <v/>
      </c>
      <c r="F2433" s="7" t="str">
        <f>IF(Plantilla_SCAN_EQ3_COUNT_2[[#This Row],[ID MATERIAL]]="","",IF(Plantilla_SCAN_EQ3_COUNT_2[[#This Row],[No. Empaques]]="",1,Plantilla_SCAN_EQ3_COUNT_2[[#This Row],[No. Empaques]]*1))</f>
        <v/>
      </c>
      <c r="G2433" s="7" t="str">
        <f>IF(Plantilla_SCAN_EQ3_COUNT_2[[#This Row],[ID MATERIAL]]="","","PZ")</f>
        <v/>
      </c>
      <c r="H2433" s="7" t="str">
        <f>IF(Plantilla_SCAN_EQ3_COUNT_2[[#This Row],[ID MATERIAL]]="","",$B$13)</f>
        <v/>
      </c>
      <c r="I2433" s="7" t="str">
        <f>IF(Plantilla_SCAN_EQ3_COUNT_2[[#This Row],[ID MATERIAL]]="","","Segundo Conteo")</f>
        <v/>
      </c>
    </row>
    <row r="2434" spans="1:9" s="7" customFormat="1" ht="15" x14ac:dyDescent="0.2">
      <c r="A2434" s="7" t="str">
        <f>IF(Plantilla_SCAN_EQ3_COUNT_2[[#This Row],[ID MATERIAL]]="","",SIGN(Plantilla_SCAN_EQ3_COUNT_2[[#This Row],[Cantidad]])+A2433)</f>
        <v/>
      </c>
      <c r="B2434" s="21" t="str">
        <f>IF(Plantilla_SCAN_EQ3_COUNT_2[[#This Row],[ID MATERIAL]]="","",B2433)</f>
        <v/>
      </c>
      <c r="C2434" s="21"/>
      <c r="D2434" s="21"/>
      <c r="E2434" s="7" t="str">
        <f>IF(Plantilla_SCAN_EQ3_COUNT_2[[#This Row],[ID MATERIAL]]="","",VLOOKUP(Plantilla_SCAN_EQ3_COUNT_2[[#This Row],[ID MATERIAL]],INVENTARIO!$A:$D,2,FALSE))</f>
        <v/>
      </c>
      <c r="F2434" s="7" t="str">
        <f>IF(Plantilla_SCAN_EQ3_COUNT_2[[#This Row],[ID MATERIAL]]="","",IF(Plantilla_SCAN_EQ3_COUNT_2[[#This Row],[No. Empaques]]="",1,Plantilla_SCAN_EQ3_COUNT_2[[#This Row],[No. Empaques]]*1))</f>
        <v/>
      </c>
      <c r="G2434" s="7" t="str">
        <f>IF(Plantilla_SCAN_EQ3_COUNT_2[[#This Row],[ID MATERIAL]]="","","PZ")</f>
        <v/>
      </c>
      <c r="H2434" s="7" t="str">
        <f>IF(Plantilla_SCAN_EQ3_COUNT_2[[#This Row],[ID MATERIAL]]="","",$B$13)</f>
        <v/>
      </c>
      <c r="I2434" s="7" t="str">
        <f>IF(Plantilla_SCAN_EQ3_COUNT_2[[#This Row],[ID MATERIAL]]="","","Segundo Conteo")</f>
        <v/>
      </c>
    </row>
    <row r="2435" spans="1:9" s="7" customFormat="1" ht="15" x14ac:dyDescent="0.2">
      <c r="A2435" s="7" t="str">
        <f>IF(Plantilla_SCAN_EQ3_COUNT_2[[#This Row],[ID MATERIAL]]="","",SIGN(Plantilla_SCAN_EQ3_COUNT_2[[#This Row],[Cantidad]])+A2434)</f>
        <v/>
      </c>
      <c r="B2435" s="21" t="str">
        <f>IF(Plantilla_SCAN_EQ3_COUNT_2[[#This Row],[ID MATERIAL]]="","",B2434)</f>
        <v/>
      </c>
      <c r="C2435" s="21"/>
      <c r="D2435" s="21"/>
      <c r="E2435" s="7" t="str">
        <f>IF(Plantilla_SCAN_EQ3_COUNT_2[[#This Row],[ID MATERIAL]]="","",VLOOKUP(Plantilla_SCAN_EQ3_COUNT_2[[#This Row],[ID MATERIAL]],INVENTARIO!$A:$D,2,FALSE))</f>
        <v/>
      </c>
      <c r="F2435" s="7" t="str">
        <f>IF(Plantilla_SCAN_EQ3_COUNT_2[[#This Row],[ID MATERIAL]]="","",IF(Plantilla_SCAN_EQ3_COUNT_2[[#This Row],[No. Empaques]]="",1,Plantilla_SCAN_EQ3_COUNT_2[[#This Row],[No. Empaques]]*1))</f>
        <v/>
      </c>
      <c r="G2435" s="7" t="str">
        <f>IF(Plantilla_SCAN_EQ3_COUNT_2[[#This Row],[ID MATERIAL]]="","","PZ")</f>
        <v/>
      </c>
      <c r="H2435" s="7" t="str">
        <f>IF(Plantilla_SCAN_EQ3_COUNT_2[[#This Row],[ID MATERIAL]]="","",$B$13)</f>
        <v/>
      </c>
      <c r="I2435" s="7" t="str">
        <f>IF(Plantilla_SCAN_EQ3_COUNT_2[[#This Row],[ID MATERIAL]]="","","Segundo Conteo")</f>
        <v/>
      </c>
    </row>
    <row r="2436" spans="1:9" s="7" customFormat="1" ht="15" x14ac:dyDescent="0.2">
      <c r="A2436" s="7" t="str">
        <f>IF(Plantilla_SCAN_EQ3_COUNT_2[[#This Row],[ID MATERIAL]]="","",SIGN(Plantilla_SCAN_EQ3_COUNT_2[[#This Row],[Cantidad]])+A2435)</f>
        <v/>
      </c>
      <c r="B2436" s="21" t="str">
        <f>IF(Plantilla_SCAN_EQ3_COUNT_2[[#This Row],[ID MATERIAL]]="","",B2435)</f>
        <v/>
      </c>
      <c r="C2436" s="21"/>
      <c r="D2436" s="21"/>
      <c r="E2436" s="7" t="str">
        <f>IF(Plantilla_SCAN_EQ3_COUNT_2[[#This Row],[ID MATERIAL]]="","",VLOOKUP(Plantilla_SCAN_EQ3_COUNT_2[[#This Row],[ID MATERIAL]],INVENTARIO!$A:$D,2,FALSE))</f>
        <v/>
      </c>
      <c r="F2436" s="7" t="str">
        <f>IF(Plantilla_SCAN_EQ3_COUNT_2[[#This Row],[ID MATERIAL]]="","",IF(Plantilla_SCAN_EQ3_COUNT_2[[#This Row],[No. Empaques]]="",1,Plantilla_SCAN_EQ3_COUNT_2[[#This Row],[No. Empaques]]*1))</f>
        <v/>
      </c>
      <c r="G2436" s="7" t="str">
        <f>IF(Plantilla_SCAN_EQ3_COUNT_2[[#This Row],[ID MATERIAL]]="","","PZ")</f>
        <v/>
      </c>
      <c r="H2436" s="7" t="str">
        <f>IF(Plantilla_SCAN_EQ3_COUNT_2[[#This Row],[ID MATERIAL]]="","",$B$13)</f>
        <v/>
      </c>
      <c r="I2436" s="7" t="str">
        <f>IF(Plantilla_SCAN_EQ3_COUNT_2[[#This Row],[ID MATERIAL]]="","","Segundo Conteo")</f>
        <v/>
      </c>
    </row>
    <row r="2437" spans="1:9" s="7" customFormat="1" ht="15" x14ac:dyDescent="0.2">
      <c r="A2437" s="7" t="str">
        <f>IF(Plantilla_SCAN_EQ3_COUNT_2[[#This Row],[ID MATERIAL]]="","",SIGN(Plantilla_SCAN_EQ3_COUNT_2[[#This Row],[Cantidad]])+A2436)</f>
        <v/>
      </c>
      <c r="B2437" s="21" t="str">
        <f>IF(Plantilla_SCAN_EQ3_COUNT_2[[#This Row],[ID MATERIAL]]="","",B2436)</f>
        <v/>
      </c>
      <c r="C2437" s="21"/>
      <c r="D2437" s="21"/>
      <c r="E2437" s="7" t="str">
        <f>IF(Plantilla_SCAN_EQ3_COUNT_2[[#This Row],[ID MATERIAL]]="","",VLOOKUP(Plantilla_SCAN_EQ3_COUNT_2[[#This Row],[ID MATERIAL]],INVENTARIO!$A:$D,2,FALSE))</f>
        <v/>
      </c>
      <c r="F2437" s="7" t="str">
        <f>IF(Plantilla_SCAN_EQ3_COUNT_2[[#This Row],[ID MATERIAL]]="","",IF(Plantilla_SCAN_EQ3_COUNT_2[[#This Row],[No. Empaques]]="",1,Plantilla_SCAN_EQ3_COUNT_2[[#This Row],[No. Empaques]]*1))</f>
        <v/>
      </c>
      <c r="G2437" s="7" t="str">
        <f>IF(Plantilla_SCAN_EQ3_COUNT_2[[#This Row],[ID MATERIAL]]="","","PZ")</f>
        <v/>
      </c>
      <c r="H2437" s="7" t="str">
        <f>IF(Plantilla_SCAN_EQ3_COUNT_2[[#This Row],[ID MATERIAL]]="","",$B$13)</f>
        <v/>
      </c>
      <c r="I2437" s="7" t="str">
        <f>IF(Plantilla_SCAN_EQ3_COUNT_2[[#This Row],[ID MATERIAL]]="","","Segundo Conteo")</f>
        <v/>
      </c>
    </row>
    <row r="2438" spans="1:9" s="7" customFormat="1" ht="15" x14ac:dyDescent="0.2">
      <c r="A2438" s="7" t="str">
        <f>IF(Plantilla_SCAN_EQ3_COUNT_2[[#This Row],[ID MATERIAL]]="","",SIGN(Plantilla_SCAN_EQ3_COUNT_2[[#This Row],[Cantidad]])+A2437)</f>
        <v/>
      </c>
      <c r="B2438" s="21" t="str">
        <f>IF(Plantilla_SCAN_EQ3_COUNT_2[[#This Row],[ID MATERIAL]]="","",B2437)</f>
        <v/>
      </c>
      <c r="C2438" s="21"/>
      <c r="D2438" s="21"/>
      <c r="E2438" s="7" t="str">
        <f>IF(Plantilla_SCAN_EQ3_COUNT_2[[#This Row],[ID MATERIAL]]="","",VLOOKUP(Plantilla_SCAN_EQ3_COUNT_2[[#This Row],[ID MATERIAL]],INVENTARIO!$A:$D,2,FALSE))</f>
        <v/>
      </c>
      <c r="F2438" s="7" t="str">
        <f>IF(Plantilla_SCAN_EQ3_COUNT_2[[#This Row],[ID MATERIAL]]="","",IF(Plantilla_SCAN_EQ3_COUNT_2[[#This Row],[No. Empaques]]="",1,Plantilla_SCAN_EQ3_COUNT_2[[#This Row],[No. Empaques]]*1))</f>
        <v/>
      </c>
      <c r="G2438" s="7" t="str">
        <f>IF(Plantilla_SCAN_EQ3_COUNT_2[[#This Row],[ID MATERIAL]]="","","PZ")</f>
        <v/>
      </c>
      <c r="H2438" s="7" t="str">
        <f>IF(Plantilla_SCAN_EQ3_COUNT_2[[#This Row],[ID MATERIAL]]="","",$B$13)</f>
        <v/>
      </c>
      <c r="I2438" s="7" t="str">
        <f>IF(Plantilla_SCAN_EQ3_COUNT_2[[#This Row],[ID MATERIAL]]="","","Segundo Conteo")</f>
        <v/>
      </c>
    </row>
    <row r="2439" spans="1:9" s="7" customFormat="1" ht="15" x14ac:dyDescent="0.2">
      <c r="A2439" s="7" t="str">
        <f>IF(Plantilla_SCAN_EQ3_COUNT_2[[#This Row],[ID MATERIAL]]="","",SIGN(Plantilla_SCAN_EQ3_COUNT_2[[#This Row],[Cantidad]])+A2438)</f>
        <v/>
      </c>
      <c r="B2439" s="21" t="str">
        <f>IF(Plantilla_SCAN_EQ3_COUNT_2[[#This Row],[ID MATERIAL]]="","",B2438)</f>
        <v/>
      </c>
      <c r="C2439" s="21"/>
      <c r="D2439" s="21"/>
      <c r="E2439" s="7" t="str">
        <f>IF(Plantilla_SCAN_EQ3_COUNT_2[[#This Row],[ID MATERIAL]]="","",VLOOKUP(Plantilla_SCAN_EQ3_COUNT_2[[#This Row],[ID MATERIAL]],INVENTARIO!$A:$D,2,FALSE))</f>
        <v/>
      </c>
      <c r="F2439" s="7" t="str">
        <f>IF(Plantilla_SCAN_EQ3_COUNT_2[[#This Row],[ID MATERIAL]]="","",IF(Plantilla_SCAN_EQ3_COUNT_2[[#This Row],[No. Empaques]]="",1,Plantilla_SCAN_EQ3_COUNT_2[[#This Row],[No. Empaques]]*1))</f>
        <v/>
      </c>
      <c r="G2439" s="7" t="str">
        <f>IF(Plantilla_SCAN_EQ3_COUNT_2[[#This Row],[ID MATERIAL]]="","","PZ")</f>
        <v/>
      </c>
      <c r="H2439" s="7" t="str">
        <f>IF(Plantilla_SCAN_EQ3_COUNT_2[[#This Row],[ID MATERIAL]]="","",$B$13)</f>
        <v/>
      </c>
      <c r="I2439" s="7" t="str">
        <f>IF(Plantilla_SCAN_EQ3_COUNT_2[[#This Row],[ID MATERIAL]]="","","Segundo Conteo")</f>
        <v/>
      </c>
    </row>
    <row r="2440" spans="1:9" s="7" customFormat="1" ht="15" x14ac:dyDescent="0.2">
      <c r="A2440" s="7" t="str">
        <f>IF(Plantilla_SCAN_EQ3_COUNT_2[[#This Row],[ID MATERIAL]]="","",SIGN(Plantilla_SCAN_EQ3_COUNT_2[[#This Row],[Cantidad]])+A2439)</f>
        <v/>
      </c>
      <c r="B2440" s="21" t="str">
        <f>IF(Plantilla_SCAN_EQ3_COUNT_2[[#This Row],[ID MATERIAL]]="","",B2439)</f>
        <v/>
      </c>
      <c r="C2440" s="21"/>
      <c r="D2440" s="21"/>
      <c r="E2440" s="7" t="str">
        <f>IF(Plantilla_SCAN_EQ3_COUNT_2[[#This Row],[ID MATERIAL]]="","",VLOOKUP(Plantilla_SCAN_EQ3_COUNT_2[[#This Row],[ID MATERIAL]],INVENTARIO!$A:$D,2,FALSE))</f>
        <v/>
      </c>
      <c r="F2440" s="7" t="str">
        <f>IF(Plantilla_SCAN_EQ3_COUNT_2[[#This Row],[ID MATERIAL]]="","",IF(Plantilla_SCAN_EQ3_COUNT_2[[#This Row],[No. Empaques]]="",1,Plantilla_SCAN_EQ3_COUNT_2[[#This Row],[No. Empaques]]*1))</f>
        <v/>
      </c>
      <c r="G2440" s="7" t="str">
        <f>IF(Plantilla_SCAN_EQ3_COUNT_2[[#This Row],[ID MATERIAL]]="","","PZ")</f>
        <v/>
      </c>
      <c r="H2440" s="7" t="str">
        <f>IF(Plantilla_SCAN_EQ3_COUNT_2[[#This Row],[ID MATERIAL]]="","",$B$13)</f>
        <v/>
      </c>
      <c r="I2440" s="7" t="str">
        <f>IF(Plantilla_SCAN_EQ3_COUNT_2[[#This Row],[ID MATERIAL]]="","","Segundo Conteo")</f>
        <v/>
      </c>
    </row>
    <row r="2441" spans="1:9" s="7" customFormat="1" ht="15" x14ac:dyDescent="0.2">
      <c r="A2441" s="7" t="str">
        <f>IF(Plantilla_SCAN_EQ3_COUNT_2[[#This Row],[ID MATERIAL]]="","",SIGN(Plantilla_SCAN_EQ3_COUNT_2[[#This Row],[Cantidad]])+A2440)</f>
        <v/>
      </c>
      <c r="B2441" s="21" t="str">
        <f>IF(Plantilla_SCAN_EQ3_COUNT_2[[#This Row],[ID MATERIAL]]="","",B2440)</f>
        <v/>
      </c>
      <c r="C2441" s="21"/>
      <c r="D2441" s="21"/>
      <c r="E2441" s="7" t="str">
        <f>IF(Plantilla_SCAN_EQ3_COUNT_2[[#This Row],[ID MATERIAL]]="","",VLOOKUP(Plantilla_SCAN_EQ3_COUNT_2[[#This Row],[ID MATERIAL]],INVENTARIO!$A:$D,2,FALSE))</f>
        <v/>
      </c>
      <c r="F2441" s="7" t="str">
        <f>IF(Plantilla_SCAN_EQ3_COUNT_2[[#This Row],[ID MATERIAL]]="","",IF(Plantilla_SCAN_EQ3_COUNT_2[[#This Row],[No. Empaques]]="",1,Plantilla_SCAN_EQ3_COUNT_2[[#This Row],[No. Empaques]]*1))</f>
        <v/>
      </c>
      <c r="G2441" s="7" t="str">
        <f>IF(Plantilla_SCAN_EQ3_COUNT_2[[#This Row],[ID MATERIAL]]="","","PZ")</f>
        <v/>
      </c>
      <c r="H2441" s="7" t="str">
        <f>IF(Plantilla_SCAN_EQ3_COUNT_2[[#This Row],[ID MATERIAL]]="","",$B$13)</f>
        <v/>
      </c>
      <c r="I2441" s="7" t="str">
        <f>IF(Plantilla_SCAN_EQ3_COUNT_2[[#This Row],[ID MATERIAL]]="","","Segundo Conteo")</f>
        <v/>
      </c>
    </row>
    <row r="2442" spans="1:9" s="7" customFormat="1" ht="15" x14ac:dyDescent="0.2">
      <c r="A2442" s="7" t="str">
        <f>IF(Plantilla_SCAN_EQ3_COUNT_2[[#This Row],[ID MATERIAL]]="","",SIGN(Plantilla_SCAN_EQ3_COUNT_2[[#This Row],[Cantidad]])+A2441)</f>
        <v/>
      </c>
      <c r="B2442" s="21" t="str">
        <f>IF(Plantilla_SCAN_EQ3_COUNT_2[[#This Row],[ID MATERIAL]]="","",B2441)</f>
        <v/>
      </c>
      <c r="C2442" s="21"/>
      <c r="D2442" s="21"/>
      <c r="E2442" s="7" t="str">
        <f>IF(Plantilla_SCAN_EQ3_COUNT_2[[#This Row],[ID MATERIAL]]="","",VLOOKUP(Plantilla_SCAN_EQ3_COUNT_2[[#This Row],[ID MATERIAL]],INVENTARIO!$A:$D,2,FALSE))</f>
        <v/>
      </c>
      <c r="F2442" s="7" t="str">
        <f>IF(Plantilla_SCAN_EQ3_COUNT_2[[#This Row],[ID MATERIAL]]="","",IF(Plantilla_SCAN_EQ3_COUNT_2[[#This Row],[No. Empaques]]="",1,Plantilla_SCAN_EQ3_COUNT_2[[#This Row],[No. Empaques]]*1))</f>
        <v/>
      </c>
      <c r="G2442" s="7" t="str">
        <f>IF(Plantilla_SCAN_EQ3_COUNT_2[[#This Row],[ID MATERIAL]]="","","PZ")</f>
        <v/>
      </c>
      <c r="H2442" s="7" t="str">
        <f>IF(Plantilla_SCAN_EQ3_COUNT_2[[#This Row],[ID MATERIAL]]="","",$B$13)</f>
        <v/>
      </c>
      <c r="I2442" s="7" t="str">
        <f>IF(Plantilla_SCAN_EQ3_COUNT_2[[#This Row],[ID MATERIAL]]="","","Segundo Conteo")</f>
        <v/>
      </c>
    </row>
    <row r="2443" spans="1:9" s="7" customFormat="1" ht="15" x14ac:dyDescent="0.2">
      <c r="A2443" s="7" t="str">
        <f>IF(Plantilla_SCAN_EQ3_COUNT_2[[#This Row],[ID MATERIAL]]="","",SIGN(Plantilla_SCAN_EQ3_COUNT_2[[#This Row],[Cantidad]])+A2442)</f>
        <v/>
      </c>
      <c r="B2443" s="21" t="str">
        <f>IF(Plantilla_SCAN_EQ3_COUNT_2[[#This Row],[ID MATERIAL]]="","",B2442)</f>
        <v/>
      </c>
      <c r="C2443" s="21"/>
      <c r="D2443" s="21"/>
      <c r="E2443" s="7" t="str">
        <f>IF(Plantilla_SCAN_EQ3_COUNT_2[[#This Row],[ID MATERIAL]]="","",VLOOKUP(Plantilla_SCAN_EQ3_COUNT_2[[#This Row],[ID MATERIAL]],INVENTARIO!$A:$D,2,FALSE))</f>
        <v/>
      </c>
      <c r="F2443" s="7" t="str">
        <f>IF(Plantilla_SCAN_EQ3_COUNT_2[[#This Row],[ID MATERIAL]]="","",IF(Plantilla_SCAN_EQ3_COUNT_2[[#This Row],[No. Empaques]]="",1,Plantilla_SCAN_EQ3_COUNT_2[[#This Row],[No. Empaques]]*1))</f>
        <v/>
      </c>
      <c r="G2443" s="7" t="str">
        <f>IF(Plantilla_SCAN_EQ3_COUNT_2[[#This Row],[ID MATERIAL]]="","","PZ")</f>
        <v/>
      </c>
      <c r="H2443" s="7" t="str">
        <f>IF(Plantilla_SCAN_EQ3_COUNT_2[[#This Row],[ID MATERIAL]]="","",$B$13)</f>
        <v/>
      </c>
      <c r="I2443" s="7" t="str">
        <f>IF(Plantilla_SCAN_EQ3_COUNT_2[[#This Row],[ID MATERIAL]]="","","Segundo Conteo")</f>
        <v/>
      </c>
    </row>
    <row r="2444" spans="1:9" s="7" customFormat="1" ht="15" x14ac:dyDescent="0.2">
      <c r="A2444" s="7" t="str">
        <f>IF(Plantilla_SCAN_EQ3_COUNT_2[[#This Row],[ID MATERIAL]]="","",SIGN(Plantilla_SCAN_EQ3_COUNT_2[[#This Row],[Cantidad]])+A2443)</f>
        <v/>
      </c>
      <c r="B2444" s="21" t="str">
        <f>IF(Plantilla_SCAN_EQ3_COUNT_2[[#This Row],[ID MATERIAL]]="","",B2443)</f>
        <v/>
      </c>
      <c r="C2444" s="21"/>
      <c r="D2444" s="21"/>
      <c r="E2444" s="7" t="str">
        <f>IF(Plantilla_SCAN_EQ3_COUNT_2[[#This Row],[ID MATERIAL]]="","",VLOOKUP(Plantilla_SCAN_EQ3_COUNT_2[[#This Row],[ID MATERIAL]],INVENTARIO!$A:$D,2,FALSE))</f>
        <v/>
      </c>
      <c r="F2444" s="7" t="str">
        <f>IF(Plantilla_SCAN_EQ3_COUNT_2[[#This Row],[ID MATERIAL]]="","",IF(Plantilla_SCAN_EQ3_COUNT_2[[#This Row],[No. Empaques]]="",1,Plantilla_SCAN_EQ3_COUNT_2[[#This Row],[No. Empaques]]*1))</f>
        <v/>
      </c>
      <c r="G2444" s="7" t="str">
        <f>IF(Plantilla_SCAN_EQ3_COUNT_2[[#This Row],[ID MATERIAL]]="","","PZ")</f>
        <v/>
      </c>
      <c r="H2444" s="7" t="str">
        <f>IF(Plantilla_SCAN_EQ3_COUNT_2[[#This Row],[ID MATERIAL]]="","",$B$13)</f>
        <v/>
      </c>
      <c r="I2444" s="7" t="str">
        <f>IF(Plantilla_SCAN_EQ3_COUNT_2[[#This Row],[ID MATERIAL]]="","","Segundo Conteo")</f>
        <v/>
      </c>
    </row>
    <row r="2445" spans="1:9" s="7" customFormat="1" ht="15" x14ac:dyDescent="0.2">
      <c r="A2445" s="7" t="str">
        <f>IF(Plantilla_SCAN_EQ3_COUNT_2[[#This Row],[ID MATERIAL]]="","",SIGN(Plantilla_SCAN_EQ3_COUNT_2[[#This Row],[Cantidad]])+A2444)</f>
        <v/>
      </c>
      <c r="B2445" s="21" t="str">
        <f>IF(Plantilla_SCAN_EQ3_COUNT_2[[#This Row],[ID MATERIAL]]="","",B2444)</f>
        <v/>
      </c>
      <c r="C2445" s="21"/>
      <c r="D2445" s="21"/>
      <c r="E2445" s="7" t="str">
        <f>IF(Plantilla_SCAN_EQ3_COUNT_2[[#This Row],[ID MATERIAL]]="","",VLOOKUP(Plantilla_SCAN_EQ3_COUNT_2[[#This Row],[ID MATERIAL]],INVENTARIO!$A:$D,2,FALSE))</f>
        <v/>
      </c>
      <c r="F2445" s="7" t="str">
        <f>IF(Plantilla_SCAN_EQ3_COUNT_2[[#This Row],[ID MATERIAL]]="","",IF(Plantilla_SCAN_EQ3_COUNT_2[[#This Row],[No. Empaques]]="",1,Plantilla_SCAN_EQ3_COUNT_2[[#This Row],[No. Empaques]]*1))</f>
        <v/>
      </c>
      <c r="G2445" s="7" t="str">
        <f>IF(Plantilla_SCAN_EQ3_COUNT_2[[#This Row],[ID MATERIAL]]="","","PZ")</f>
        <v/>
      </c>
      <c r="H2445" s="7" t="str">
        <f>IF(Plantilla_SCAN_EQ3_COUNT_2[[#This Row],[ID MATERIAL]]="","",$B$13)</f>
        <v/>
      </c>
      <c r="I2445" s="7" t="str">
        <f>IF(Plantilla_SCAN_EQ3_COUNT_2[[#This Row],[ID MATERIAL]]="","","Segundo Conteo")</f>
        <v/>
      </c>
    </row>
    <row r="2446" spans="1:9" s="7" customFormat="1" ht="15" x14ac:dyDescent="0.2">
      <c r="A2446" s="7" t="str">
        <f>IF(Plantilla_SCAN_EQ3_COUNT_2[[#This Row],[ID MATERIAL]]="","",SIGN(Plantilla_SCAN_EQ3_COUNT_2[[#This Row],[Cantidad]])+A2445)</f>
        <v/>
      </c>
      <c r="B2446" s="21" t="str">
        <f>IF(Plantilla_SCAN_EQ3_COUNT_2[[#This Row],[ID MATERIAL]]="","",B2445)</f>
        <v/>
      </c>
      <c r="C2446" s="21"/>
      <c r="D2446" s="21"/>
      <c r="E2446" s="7" t="str">
        <f>IF(Plantilla_SCAN_EQ3_COUNT_2[[#This Row],[ID MATERIAL]]="","",VLOOKUP(Plantilla_SCAN_EQ3_COUNT_2[[#This Row],[ID MATERIAL]],INVENTARIO!$A:$D,2,FALSE))</f>
        <v/>
      </c>
      <c r="F2446" s="7" t="str">
        <f>IF(Plantilla_SCAN_EQ3_COUNT_2[[#This Row],[ID MATERIAL]]="","",IF(Plantilla_SCAN_EQ3_COUNT_2[[#This Row],[No. Empaques]]="",1,Plantilla_SCAN_EQ3_COUNT_2[[#This Row],[No. Empaques]]*1))</f>
        <v/>
      </c>
      <c r="G2446" s="7" t="str">
        <f>IF(Plantilla_SCAN_EQ3_COUNT_2[[#This Row],[ID MATERIAL]]="","","PZ")</f>
        <v/>
      </c>
      <c r="H2446" s="7" t="str">
        <f>IF(Plantilla_SCAN_EQ3_COUNT_2[[#This Row],[ID MATERIAL]]="","",$B$13)</f>
        <v/>
      </c>
      <c r="I2446" s="7" t="str">
        <f>IF(Plantilla_SCAN_EQ3_COUNT_2[[#This Row],[ID MATERIAL]]="","","Segundo Conteo")</f>
        <v/>
      </c>
    </row>
    <row r="2447" spans="1:9" s="7" customFormat="1" ht="15" x14ac:dyDescent="0.2">
      <c r="A2447" s="7" t="str">
        <f>IF(Plantilla_SCAN_EQ3_COUNT_2[[#This Row],[ID MATERIAL]]="","",SIGN(Plantilla_SCAN_EQ3_COUNT_2[[#This Row],[Cantidad]])+A2446)</f>
        <v/>
      </c>
      <c r="B2447" s="21" t="str">
        <f>IF(Plantilla_SCAN_EQ3_COUNT_2[[#This Row],[ID MATERIAL]]="","",B2446)</f>
        <v/>
      </c>
      <c r="C2447" s="21"/>
      <c r="D2447" s="21"/>
      <c r="E2447" s="7" t="str">
        <f>IF(Plantilla_SCAN_EQ3_COUNT_2[[#This Row],[ID MATERIAL]]="","",VLOOKUP(Plantilla_SCAN_EQ3_COUNT_2[[#This Row],[ID MATERIAL]],INVENTARIO!$A:$D,2,FALSE))</f>
        <v/>
      </c>
      <c r="F2447" s="7" t="str">
        <f>IF(Plantilla_SCAN_EQ3_COUNT_2[[#This Row],[ID MATERIAL]]="","",IF(Plantilla_SCAN_EQ3_COUNT_2[[#This Row],[No. Empaques]]="",1,Plantilla_SCAN_EQ3_COUNT_2[[#This Row],[No. Empaques]]*1))</f>
        <v/>
      </c>
      <c r="G2447" s="7" t="str">
        <f>IF(Plantilla_SCAN_EQ3_COUNT_2[[#This Row],[ID MATERIAL]]="","","PZ")</f>
        <v/>
      </c>
      <c r="H2447" s="7" t="str">
        <f>IF(Plantilla_SCAN_EQ3_COUNT_2[[#This Row],[ID MATERIAL]]="","",$B$13)</f>
        <v/>
      </c>
      <c r="I2447" s="7" t="str">
        <f>IF(Plantilla_SCAN_EQ3_COUNT_2[[#This Row],[ID MATERIAL]]="","","Segundo Conteo")</f>
        <v/>
      </c>
    </row>
    <row r="2448" spans="1:9" s="7" customFormat="1" ht="15" x14ac:dyDescent="0.2">
      <c r="A2448" s="7" t="str">
        <f>IF(Plantilla_SCAN_EQ3_COUNT_2[[#This Row],[ID MATERIAL]]="","",SIGN(Plantilla_SCAN_EQ3_COUNT_2[[#This Row],[Cantidad]])+A2447)</f>
        <v/>
      </c>
      <c r="B2448" s="21" t="str">
        <f>IF(Plantilla_SCAN_EQ3_COUNT_2[[#This Row],[ID MATERIAL]]="","",B2447)</f>
        <v/>
      </c>
      <c r="C2448" s="21"/>
      <c r="D2448" s="21"/>
      <c r="E2448" s="7" t="str">
        <f>IF(Plantilla_SCAN_EQ3_COUNT_2[[#This Row],[ID MATERIAL]]="","",VLOOKUP(Plantilla_SCAN_EQ3_COUNT_2[[#This Row],[ID MATERIAL]],INVENTARIO!$A:$D,2,FALSE))</f>
        <v/>
      </c>
      <c r="F2448" s="7" t="str">
        <f>IF(Plantilla_SCAN_EQ3_COUNT_2[[#This Row],[ID MATERIAL]]="","",IF(Plantilla_SCAN_EQ3_COUNT_2[[#This Row],[No. Empaques]]="",1,Plantilla_SCAN_EQ3_COUNT_2[[#This Row],[No. Empaques]]*1))</f>
        <v/>
      </c>
      <c r="G2448" s="7" t="str">
        <f>IF(Plantilla_SCAN_EQ3_COUNT_2[[#This Row],[ID MATERIAL]]="","","PZ")</f>
        <v/>
      </c>
      <c r="H2448" s="7" t="str">
        <f>IF(Plantilla_SCAN_EQ3_COUNT_2[[#This Row],[ID MATERIAL]]="","",$B$13)</f>
        <v/>
      </c>
      <c r="I2448" s="7" t="str">
        <f>IF(Plantilla_SCAN_EQ3_COUNT_2[[#This Row],[ID MATERIAL]]="","","Segundo Conteo")</f>
        <v/>
      </c>
    </row>
    <row r="2449" spans="1:9" s="7" customFormat="1" ht="15" x14ac:dyDescent="0.2">
      <c r="A2449" s="7" t="str">
        <f>IF(Plantilla_SCAN_EQ3_COUNT_2[[#This Row],[ID MATERIAL]]="","",SIGN(Plantilla_SCAN_EQ3_COUNT_2[[#This Row],[Cantidad]])+A2448)</f>
        <v/>
      </c>
      <c r="B2449" s="21" t="str">
        <f>IF(Plantilla_SCAN_EQ3_COUNT_2[[#This Row],[ID MATERIAL]]="","",B2448)</f>
        <v/>
      </c>
      <c r="C2449" s="21"/>
      <c r="D2449" s="21"/>
      <c r="E2449" s="7" t="str">
        <f>IF(Plantilla_SCAN_EQ3_COUNT_2[[#This Row],[ID MATERIAL]]="","",VLOOKUP(Plantilla_SCAN_EQ3_COUNT_2[[#This Row],[ID MATERIAL]],INVENTARIO!$A:$D,2,FALSE))</f>
        <v/>
      </c>
      <c r="F2449" s="7" t="str">
        <f>IF(Plantilla_SCAN_EQ3_COUNT_2[[#This Row],[ID MATERIAL]]="","",IF(Plantilla_SCAN_EQ3_COUNT_2[[#This Row],[No. Empaques]]="",1,Plantilla_SCAN_EQ3_COUNT_2[[#This Row],[No. Empaques]]*1))</f>
        <v/>
      </c>
      <c r="G2449" s="7" t="str">
        <f>IF(Plantilla_SCAN_EQ3_COUNT_2[[#This Row],[ID MATERIAL]]="","","PZ")</f>
        <v/>
      </c>
      <c r="H2449" s="7" t="str">
        <f>IF(Plantilla_SCAN_EQ3_COUNT_2[[#This Row],[ID MATERIAL]]="","",$B$13)</f>
        <v/>
      </c>
      <c r="I2449" s="7" t="str">
        <f>IF(Plantilla_SCAN_EQ3_COUNT_2[[#This Row],[ID MATERIAL]]="","","Segundo Conteo")</f>
        <v/>
      </c>
    </row>
    <row r="2450" spans="1:9" s="7" customFormat="1" ht="15" x14ac:dyDescent="0.2">
      <c r="A2450" s="7" t="str">
        <f>IF(Plantilla_SCAN_EQ3_COUNT_2[[#This Row],[ID MATERIAL]]="","",SIGN(Plantilla_SCAN_EQ3_COUNT_2[[#This Row],[Cantidad]])+A2449)</f>
        <v/>
      </c>
      <c r="B2450" s="21" t="str">
        <f>IF(Plantilla_SCAN_EQ3_COUNT_2[[#This Row],[ID MATERIAL]]="","",B2449)</f>
        <v/>
      </c>
      <c r="C2450" s="21"/>
      <c r="D2450" s="21"/>
      <c r="E2450" s="7" t="str">
        <f>IF(Plantilla_SCAN_EQ3_COUNT_2[[#This Row],[ID MATERIAL]]="","",VLOOKUP(Plantilla_SCAN_EQ3_COUNT_2[[#This Row],[ID MATERIAL]],INVENTARIO!$A:$D,2,FALSE))</f>
        <v/>
      </c>
      <c r="F2450" s="7" t="str">
        <f>IF(Plantilla_SCAN_EQ3_COUNT_2[[#This Row],[ID MATERIAL]]="","",IF(Plantilla_SCAN_EQ3_COUNT_2[[#This Row],[No. Empaques]]="",1,Plantilla_SCAN_EQ3_COUNT_2[[#This Row],[No. Empaques]]*1))</f>
        <v/>
      </c>
      <c r="G2450" s="7" t="str">
        <f>IF(Plantilla_SCAN_EQ3_COUNT_2[[#This Row],[ID MATERIAL]]="","","PZ")</f>
        <v/>
      </c>
      <c r="H2450" s="7" t="str">
        <f>IF(Plantilla_SCAN_EQ3_COUNT_2[[#This Row],[ID MATERIAL]]="","",$B$13)</f>
        <v/>
      </c>
      <c r="I2450" s="7" t="str">
        <f>IF(Plantilla_SCAN_EQ3_COUNT_2[[#This Row],[ID MATERIAL]]="","","Segundo Conteo")</f>
        <v/>
      </c>
    </row>
    <row r="2451" spans="1:9" s="7" customFormat="1" ht="15" x14ac:dyDescent="0.2">
      <c r="A2451" s="7" t="str">
        <f>IF(Plantilla_SCAN_EQ3_COUNT_2[[#This Row],[ID MATERIAL]]="","",SIGN(Plantilla_SCAN_EQ3_COUNT_2[[#This Row],[Cantidad]])+A2450)</f>
        <v/>
      </c>
      <c r="B2451" s="21" t="str">
        <f>IF(Plantilla_SCAN_EQ3_COUNT_2[[#This Row],[ID MATERIAL]]="","",B2450)</f>
        <v/>
      </c>
      <c r="C2451" s="21"/>
      <c r="D2451" s="21"/>
      <c r="E2451" s="7" t="str">
        <f>IF(Plantilla_SCAN_EQ3_COUNT_2[[#This Row],[ID MATERIAL]]="","",VLOOKUP(Plantilla_SCAN_EQ3_COUNT_2[[#This Row],[ID MATERIAL]],INVENTARIO!$A:$D,2,FALSE))</f>
        <v/>
      </c>
      <c r="F2451" s="7" t="str">
        <f>IF(Plantilla_SCAN_EQ3_COUNT_2[[#This Row],[ID MATERIAL]]="","",IF(Plantilla_SCAN_EQ3_COUNT_2[[#This Row],[No. Empaques]]="",1,Plantilla_SCAN_EQ3_COUNT_2[[#This Row],[No. Empaques]]*1))</f>
        <v/>
      </c>
      <c r="G2451" s="7" t="str">
        <f>IF(Plantilla_SCAN_EQ3_COUNT_2[[#This Row],[ID MATERIAL]]="","","PZ")</f>
        <v/>
      </c>
      <c r="H2451" s="7" t="str">
        <f>IF(Plantilla_SCAN_EQ3_COUNT_2[[#This Row],[ID MATERIAL]]="","",$B$13)</f>
        <v/>
      </c>
      <c r="I2451" s="7" t="str">
        <f>IF(Plantilla_SCAN_EQ3_COUNT_2[[#This Row],[ID MATERIAL]]="","","Segundo Conteo")</f>
        <v/>
      </c>
    </row>
    <row r="2452" spans="1:9" s="7" customFormat="1" ht="15" x14ac:dyDescent="0.2">
      <c r="A2452" s="7" t="str">
        <f>IF(Plantilla_SCAN_EQ3_COUNT_2[[#This Row],[ID MATERIAL]]="","",SIGN(Plantilla_SCAN_EQ3_COUNT_2[[#This Row],[Cantidad]])+A2451)</f>
        <v/>
      </c>
      <c r="B2452" s="21" t="str">
        <f>IF(Plantilla_SCAN_EQ3_COUNT_2[[#This Row],[ID MATERIAL]]="","",B2451)</f>
        <v/>
      </c>
      <c r="C2452" s="21"/>
      <c r="D2452" s="21"/>
      <c r="E2452" s="7" t="str">
        <f>IF(Plantilla_SCAN_EQ3_COUNT_2[[#This Row],[ID MATERIAL]]="","",VLOOKUP(Plantilla_SCAN_EQ3_COUNT_2[[#This Row],[ID MATERIAL]],INVENTARIO!$A:$D,2,FALSE))</f>
        <v/>
      </c>
      <c r="F2452" s="7" t="str">
        <f>IF(Plantilla_SCAN_EQ3_COUNT_2[[#This Row],[ID MATERIAL]]="","",IF(Plantilla_SCAN_EQ3_COUNT_2[[#This Row],[No. Empaques]]="",1,Plantilla_SCAN_EQ3_COUNT_2[[#This Row],[No. Empaques]]*1))</f>
        <v/>
      </c>
      <c r="G2452" s="7" t="str">
        <f>IF(Plantilla_SCAN_EQ3_COUNT_2[[#This Row],[ID MATERIAL]]="","","PZ")</f>
        <v/>
      </c>
      <c r="H2452" s="7" t="str">
        <f>IF(Plantilla_SCAN_EQ3_COUNT_2[[#This Row],[ID MATERIAL]]="","",$B$13)</f>
        <v/>
      </c>
      <c r="I2452" s="7" t="str">
        <f>IF(Plantilla_SCAN_EQ3_COUNT_2[[#This Row],[ID MATERIAL]]="","","Segundo Conteo")</f>
        <v/>
      </c>
    </row>
    <row r="2453" spans="1:9" s="7" customFormat="1" ht="15" x14ac:dyDescent="0.2">
      <c r="A2453" s="7" t="str">
        <f>IF(Plantilla_SCAN_EQ3_COUNT_2[[#This Row],[ID MATERIAL]]="","",SIGN(Plantilla_SCAN_EQ3_COUNT_2[[#This Row],[Cantidad]])+A2452)</f>
        <v/>
      </c>
      <c r="B2453" s="21" t="str">
        <f>IF(Plantilla_SCAN_EQ3_COUNT_2[[#This Row],[ID MATERIAL]]="","",B2452)</f>
        <v/>
      </c>
      <c r="C2453" s="21"/>
      <c r="D2453" s="21"/>
      <c r="E2453" s="7" t="str">
        <f>IF(Plantilla_SCAN_EQ3_COUNT_2[[#This Row],[ID MATERIAL]]="","",VLOOKUP(Plantilla_SCAN_EQ3_COUNT_2[[#This Row],[ID MATERIAL]],INVENTARIO!$A:$D,2,FALSE))</f>
        <v/>
      </c>
      <c r="F2453" s="7" t="str">
        <f>IF(Plantilla_SCAN_EQ3_COUNT_2[[#This Row],[ID MATERIAL]]="","",IF(Plantilla_SCAN_EQ3_COUNT_2[[#This Row],[No. Empaques]]="",1,Plantilla_SCAN_EQ3_COUNT_2[[#This Row],[No. Empaques]]*1))</f>
        <v/>
      </c>
      <c r="G2453" s="7" t="str">
        <f>IF(Plantilla_SCAN_EQ3_COUNT_2[[#This Row],[ID MATERIAL]]="","","PZ")</f>
        <v/>
      </c>
      <c r="H2453" s="7" t="str">
        <f>IF(Plantilla_SCAN_EQ3_COUNT_2[[#This Row],[ID MATERIAL]]="","",$B$13)</f>
        <v/>
      </c>
      <c r="I2453" s="7" t="str">
        <f>IF(Plantilla_SCAN_EQ3_COUNT_2[[#This Row],[ID MATERIAL]]="","","Segundo Conteo")</f>
        <v/>
      </c>
    </row>
    <row r="2454" spans="1:9" s="7" customFormat="1" ht="15" x14ac:dyDescent="0.2">
      <c r="A2454" s="7" t="str">
        <f>IF(Plantilla_SCAN_EQ3_COUNT_2[[#This Row],[ID MATERIAL]]="","",SIGN(Plantilla_SCAN_EQ3_COUNT_2[[#This Row],[Cantidad]])+A2453)</f>
        <v/>
      </c>
      <c r="B2454" s="21" t="str">
        <f>IF(Plantilla_SCAN_EQ3_COUNT_2[[#This Row],[ID MATERIAL]]="","",B2453)</f>
        <v/>
      </c>
      <c r="C2454" s="21"/>
      <c r="D2454" s="21"/>
      <c r="E2454" s="7" t="str">
        <f>IF(Plantilla_SCAN_EQ3_COUNT_2[[#This Row],[ID MATERIAL]]="","",VLOOKUP(Plantilla_SCAN_EQ3_COUNT_2[[#This Row],[ID MATERIAL]],INVENTARIO!$A:$D,2,FALSE))</f>
        <v/>
      </c>
      <c r="F2454" s="7" t="str">
        <f>IF(Plantilla_SCAN_EQ3_COUNT_2[[#This Row],[ID MATERIAL]]="","",IF(Plantilla_SCAN_EQ3_COUNT_2[[#This Row],[No. Empaques]]="",1,Plantilla_SCAN_EQ3_COUNT_2[[#This Row],[No. Empaques]]*1))</f>
        <v/>
      </c>
      <c r="G2454" s="7" t="str">
        <f>IF(Plantilla_SCAN_EQ3_COUNT_2[[#This Row],[ID MATERIAL]]="","","PZ")</f>
        <v/>
      </c>
      <c r="H2454" s="7" t="str">
        <f>IF(Plantilla_SCAN_EQ3_COUNT_2[[#This Row],[ID MATERIAL]]="","",$B$13)</f>
        <v/>
      </c>
      <c r="I2454" s="7" t="str">
        <f>IF(Plantilla_SCAN_EQ3_COUNT_2[[#This Row],[ID MATERIAL]]="","","Segundo Conteo")</f>
        <v/>
      </c>
    </row>
    <row r="2455" spans="1:9" s="7" customFormat="1" ht="15" x14ac:dyDescent="0.2">
      <c r="A2455" s="7" t="str">
        <f>IF(Plantilla_SCAN_EQ3_COUNT_2[[#This Row],[ID MATERIAL]]="","",SIGN(Plantilla_SCAN_EQ3_COUNT_2[[#This Row],[Cantidad]])+A2454)</f>
        <v/>
      </c>
      <c r="B2455" s="21" t="str">
        <f>IF(Plantilla_SCAN_EQ3_COUNT_2[[#This Row],[ID MATERIAL]]="","",B2454)</f>
        <v/>
      </c>
      <c r="C2455" s="21"/>
      <c r="D2455" s="21"/>
      <c r="E2455" s="7" t="str">
        <f>IF(Plantilla_SCAN_EQ3_COUNT_2[[#This Row],[ID MATERIAL]]="","",VLOOKUP(Plantilla_SCAN_EQ3_COUNT_2[[#This Row],[ID MATERIAL]],INVENTARIO!$A:$D,2,FALSE))</f>
        <v/>
      </c>
      <c r="F2455" s="7" t="str">
        <f>IF(Plantilla_SCAN_EQ3_COUNT_2[[#This Row],[ID MATERIAL]]="","",IF(Plantilla_SCAN_EQ3_COUNT_2[[#This Row],[No. Empaques]]="",1,Plantilla_SCAN_EQ3_COUNT_2[[#This Row],[No. Empaques]]*1))</f>
        <v/>
      </c>
      <c r="G2455" s="7" t="str">
        <f>IF(Plantilla_SCAN_EQ3_COUNT_2[[#This Row],[ID MATERIAL]]="","","PZ")</f>
        <v/>
      </c>
      <c r="H2455" s="7" t="str">
        <f>IF(Plantilla_SCAN_EQ3_COUNT_2[[#This Row],[ID MATERIAL]]="","",$B$13)</f>
        <v/>
      </c>
      <c r="I2455" s="7" t="str">
        <f>IF(Plantilla_SCAN_EQ3_COUNT_2[[#This Row],[ID MATERIAL]]="","","Segundo Conteo")</f>
        <v/>
      </c>
    </row>
    <row r="2456" spans="1:9" s="7" customFormat="1" ht="15" x14ac:dyDescent="0.2">
      <c r="A2456" s="7" t="str">
        <f>IF(Plantilla_SCAN_EQ3_COUNT_2[[#This Row],[ID MATERIAL]]="","",SIGN(Plantilla_SCAN_EQ3_COUNT_2[[#This Row],[Cantidad]])+A2455)</f>
        <v/>
      </c>
      <c r="B2456" s="21" t="str">
        <f>IF(Plantilla_SCAN_EQ3_COUNT_2[[#This Row],[ID MATERIAL]]="","",B2455)</f>
        <v/>
      </c>
      <c r="C2456" s="21"/>
      <c r="D2456" s="21"/>
      <c r="E2456" s="7" t="str">
        <f>IF(Plantilla_SCAN_EQ3_COUNT_2[[#This Row],[ID MATERIAL]]="","",VLOOKUP(Plantilla_SCAN_EQ3_COUNT_2[[#This Row],[ID MATERIAL]],INVENTARIO!$A:$D,2,FALSE))</f>
        <v/>
      </c>
      <c r="F2456" s="7" t="str">
        <f>IF(Plantilla_SCAN_EQ3_COUNT_2[[#This Row],[ID MATERIAL]]="","",IF(Plantilla_SCAN_EQ3_COUNT_2[[#This Row],[No. Empaques]]="",1,Plantilla_SCAN_EQ3_COUNT_2[[#This Row],[No. Empaques]]*1))</f>
        <v/>
      </c>
      <c r="G2456" s="7" t="str">
        <f>IF(Plantilla_SCAN_EQ3_COUNT_2[[#This Row],[ID MATERIAL]]="","","PZ")</f>
        <v/>
      </c>
      <c r="H2456" s="7" t="str">
        <f>IF(Plantilla_SCAN_EQ3_COUNT_2[[#This Row],[ID MATERIAL]]="","",$B$13)</f>
        <v/>
      </c>
      <c r="I2456" s="7" t="str">
        <f>IF(Plantilla_SCAN_EQ3_COUNT_2[[#This Row],[ID MATERIAL]]="","","Segundo Conteo")</f>
        <v/>
      </c>
    </row>
    <row r="2457" spans="1:9" s="7" customFormat="1" ht="15" x14ac:dyDescent="0.2">
      <c r="A2457" s="7" t="str">
        <f>IF(Plantilla_SCAN_EQ3_COUNT_2[[#This Row],[ID MATERIAL]]="","",SIGN(Plantilla_SCAN_EQ3_COUNT_2[[#This Row],[Cantidad]])+A2456)</f>
        <v/>
      </c>
      <c r="B2457" s="21" t="str">
        <f>IF(Plantilla_SCAN_EQ3_COUNT_2[[#This Row],[ID MATERIAL]]="","",B2456)</f>
        <v/>
      </c>
      <c r="C2457" s="21"/>
      <c r="D2457" s="21"/>
      <c r="E2457" s="7" t="str">
        <f>IF(Plantilla_SCAN_EQ3_COUNT_2[[#This Row],[ID MATERIAL]]="","",VLOOKUP(Plantilla_SCAN_EQ3_COUNT_2[[#This Row],[ID MATERIAL]],INVENTARIO!$A:$D,2,FALSE))</f>
        <v/>
      </c>
      <c r="F2457" s="7" t="str">
        <f>IF(Plantilla_SCAN_EQ3_COUNT_2[[#This Row],[ID MATERIAL]]="","",IF(Plantilla_SCAN_EQ3_COUNT_2[[#This Row],[No. Empaques]]="",1,Plantilla_SCAN_EQ3_COUNT_2[[#This Row],[No. Empaques]]*1))</f>
        <v/>
      </c>
      <c r="G2457" s="7" t="str">
        <f>IF(Plantilla_SCAN_EQ3_COUNT_2[[#This Row],[ID MATERIAL]]="","","PZ")</f>
        <v/>
      </c>
      <c r="H2457" s="7" t="str">
        <f>IF(Plantilla_SCAN_EQ3_COUNT_2[[#This Row],[ID MATERIAL]]="","",$B$13)</f>
        <v/>
      </c>
      <c r="I2457" s="7" t="str">
        <f>IF(Plantilla_SCAN_EQ3_COUNT_2[[#This Row],[ID MATERIAL]]="","","Segundo Conteo")</f>
        <v/>
      </c>
    </row>
    <row r="2458" spans="1:9" s="7" customFormat="1" ht="15" x14ac:dyDescent="0.2">
      <c r="A2458" s="7" t="str">
        <f>IF(Plantilla_SCAN_EQ3_COUNT_2[[#This Row],[ID MATERIAL]]="","",SIGN(Plantilla_SCAN_EQ3_COUNT_2[[#This Row],[Cantidad]])+A2457)</f>
        <v/>
      </c>
      <c r="B2458" s="21" t="str">
        <f>IF(Plantilla_SCAN_EQ3_COUNT_2[[#This Row],[ID MATERIAL]]="","",B2457)</f>
        <v/>
      </c>
      <c r="C2458" s="21"/>
      <c r="D2458" s="21"/>
      <c r="E2458" s="7" t="str">
        <f>IF(Plantilla_SCAN_EQ3_COUNT_2[[#This Row],[ID MATERIAL]]="","",VLOOKUP(Plantilla_SCAN_EQ3_COUNT_2[[#This Row],[ID MATERIAL]],INVENTARIO!$A:$D,2,FALSE))</f>
        <v/>
      </c>
      <c r="F2458" s="7" t="str">
        <f>IF(Plantilla_SCAN_EQ3_COUNT_2[[#This Row],[ID MATERIAL]]="","",IF(Plantilla_SCAN_EQ3_COUNT_2[[#This Row],[No. Empaques]]="",1,Plantilla_SCAN_EQ3_COUNT_2[[#This Row],[No. Empaques]]*1))</f>
        <v/>
      </c>
      <c r="G2458" s="7" t="str">
        <f>IF(Plantilla_SCAN_EQ3_COUNT_2[[#This Row],[ID MATERIAL]]="","","PZ")</f>
        <v/>
      </c>
      <c r="H2458" s="7" t="str">
        <f>IF(Plantilla_SCAN_EQ3_COUNT_2[[#This Row],[ID MATERIAL]]="","",$B$13)</f>
        <v/>
      </c>
      <c r="I2458" s="7" t="str">
        <f>IF(Plantilla_SCAN_EQ3_COUNT_2[[#This Row],[ID MATERIAL]]="","","Segundo Conteo")</f>
        <v/>
      </c>
    </row>
    <row r="2459" spans="1:9" s="7" customFormat="1" ht="15" x14ac:dyDescent="0.2">
      <c r="A2459" s="7" t="str">
        <f>IF(Plantilla_SCAN_EQ3_COUNT_2[[#This Row],[ID MATERIAL]]="","",SIGN(Plantilla_SCAN_EQ3_COUNT_2[[#This Row],[Cantidad]])+A2458)</f>
        <v/>
      </c>
      <c r="B2459" s="21" t="str">
        <f>IF(Plantilla_SCAN_EQ3_COUNT_2[[#This Row],[ID MATERIAL]]="","",B2458)</f>
        <v/>
      </c>
      <c r="C2459" s="21"/>
      <c r="D2459" s="21"/>
      <c r="E2459" s="7" t="str">
        <f>IF(Plantilla_SCAN_EQ3_COUNT_2[[#This Row],[ID MATERIAL]]="","",VLOOKUP(Plantilla_SCAN_EQ3_COUNT_2[[#This Row],[ID MATERIAL]],INVENTARIO!$A:$D,2,FALSE))</f>
        <v/>
      </c>
      <c r="F2459" s="7" t="str">
        <f>IF(Plantilla_SCAN_EQ3_COUNT_2[[#This Row],[ID MATERIAL]]="","",IF(Plantilla_SCAN_EQ3_COUNT_2[[#This Row],[No. Empaques]]="",1,Plantilla_SCAN_EQ3_COUNT_2[[#This Row],[No. Empaques]]*1))</f>
        <v/>
      </c>
      <c r="G2459" s="7" t="str">
        <f>IF(Plantilla_SCAN_EQ3_COUNT_2[[#This Row],[ID MATERIAL]]="","","PZ")</f>
        <v/>
      </c>
      <c r="H2459" s="7" t="str">
        <f>IF(Plantilla_SCAN_EQ3_COUNT_2[[#This Row],[ID MATERIAL]]="","",$B$13)</f>
        <v/>
      </c>
      <c r="I2459" s="7" t="str">
        <f>IF(Plantilla_SCAN_EQ3_COUNT_2[[#This Row],[ID MATERIAL]]="","","Segundo Conteo")</f>
        <v/>
      </c>
    </row>
    <row r="2460" spans="1:9" s="7" customFormat="1" ht="15" x14ac:dyDescent="0.2">
      <c r="A2460" s="7" t="str">
        <f>IF(Plantilla_SCAN_EQ3_COUNT_2[[#This Row],[ID MATERIAL]]="","",SIGN(Plantilla_SCAN_EQ3_COUNT_2[[#This Row],[Cantidad]])+A2459)</f>
        <v/>
      </c>
      <c r="B2460" s="21" t="str">
        <f>IF(Plantilla_SCAN_EQ3_COUNT_2[[#This Row],[ID MATERIAL]]="","",B2459)</f>
        <v/>
      </c>
      <c r="C2460" s="21"/>
      <c r="D2460" s="21"/>
      <c r="E2460" s="7" t="str">
        <f>IF(Plantilla_SCAN_EQ3_COUNT_2[[#This Row],[ID MATERIAL]]="","",VLOOKUP(Plantilla_SCAN_EQ3_COUNT_2[[#This Row],[ID MATERIAL]],INVENTARIO!$A:$D,2,FALSE))</f>
        <v/>
      </c>
      <c r="F2460" s="7" t="str">
        <f>IF(Plantilla_SCAN_EQ3_COUNT_2[[#This Row],[ID MATERIAL]]="","",IF(Plantilla_SCAN_EQ3_COUNT_2[[#This Row],[No. Empaques]]="",1,Plantilla_SCAN_EQ3_COUNT_2[[#This Row],[No. Empaques]]*1))</f>
        <v/>
      </c>
      <c r="G2460" s="7" t="str">
        <f>IF(Plantilla_SCAN_EQ3_COUNT_2[[#This Row],[ID MATERIAL]]="","","PZ")</f>
        <v/>
      </c>
      <c r="H2460" s="7" t="str">
        <f>IF(Plantilla_SCAN_EQ3_COUNT_2[[#This Row],[ID MATERIAL]]="","",$B$13)</f>
        <v/>
      </c>
      <c r="I2460" s="7" t="str">
        <f>IF(Plantilla_SCAN_EQ3_COUNT_2[[#This Row],[ID MATERIAL]]="","","Segundo Conteo")</f>
        <v/>
      </c>
    </row>
    <row r="2461" spans="1:9" s="7" customFormat="1" ht="15" x14ac:dyDescent="0.2">
      <c r="A2461" s="7" t="str">
        <f>IF(Plantilla_SCAN_EQ3_COUNT_2[[#This Row],[ID MATERIAL]]="","",SIGN(Plantilla_SCAN_EQ3_COUNT_2[[#This Row],[Cantidad]])+A2460)</f>
        <v/>
      </c>
      <c r="B2461" s="21" t="str">
        <f>IF(Plantilla_SCAN_EQ3_COUNT_2[[#This Row],[ID MATERIAL]]="","",B2460)</f>
        <v/>
      </c>
      <c r="C2461" s="21"/>
      <c r="D2461" s="21"/>
      <c r="E2461" s="7" t="str">
        <f>IF(Plantilla_SCAN_EQ3_COUNT_2[[#This Row],[ID MATERIAL]]="","",VLOOKUP(Plantilla_SCAN_EQ3_COUNT_2[[#This Row],[ID MATERIAL]],INVENTARIO!$A:$D,2,FALSE))</f>
        <v/>
      </c>
      <c r="F2461" s="7" t="str">
        <f>IF(Plantilla_SCAN_EQ3_COUNT_2[[#This Row],[ID MATERIAL]]="","",IF(Plantilla_SCAN_EQ3_COUNT_2[[#This Row],[No. Empaques]]="",1,Plantilla_SCAN_EQ3_COUNT_2[[#This Row],[No. Empaques]]*1))</f>
        <v/>
      </c>
      <c r="G2461" s="7" t="str">
        <f>IF(Plantilla_SCAN_EQ3_COUNT_2[[#This Row],[ID MATERIAL]]="","","PZ")</f>
        <v/>
      </c>
      <c r="H2461" s="7" t="str">
        <f>IF(Plantilla_SCAN_EQ3_COUNT_2[[#This Row],[ID MATERIAL]]="","",$B$13)</f>
        <v/>
      </c>
      <c r="I2461" s="7" t="str">
        <f>IF(Plantilla_SCAN_EQ3_COUNT_2[[#This Row],[ID MATERIAL]]="","","Segundo Conteo")</f>
        <v/>
      </c>
    </row>
    <row r="2462" spans="1:9" s="7" customFormat="1" ht="15" x14ac:dyDescent="0.2">
      <c r="A2462" s="7" t="str">
        <f>IF(Plantilla_SCAN_EQ3_COUNT_2[[#This Row],[ID MATERIAL]]="","",SIGN(Plantilla_SCAN_EQ3_COUNT_2[[#This Row],[Cantidad]])+A2461)</f>
        <v/>
      </c>
      <c r="B2462" s="21" t="str">
        <f>IF(Plantilla_SCAN_EQ3_COUNT_2[[#This Row],[ID MATERIAL]]="","",B2461)</f>
        <v/>
      </c>
      <c r="C2462" s="21"/>
      <c r="D2462" s="21"/>
      <c r="E2462" s="7" t="str">
        <f>IF(Plantilla_SCAN_EQ3_COUNT_2[[#This Row],[ID MATERIAL]]="","",VLOOKUP(Plantilla_SCAN_EQ3_COUNT_2[[#This Row],[ID MATERIAL]],INVENTARIO!$A:$D,2,FALSE))</f>
        <v/>
      </c>
      <c r="F2462" s="7" t="str">
        <f>IF(Plantilla_SCAN_EQ3_COUNT_2[[#This Row],[ID MATERIAL]]="","",IF(Plantilla_SCAN_EQ3_COUNT_2[[#This Row],[No. Empaques]]="",1,Plantilla_SCAN_EQ3_COUNT_2[[#This Row],[No. Empaques]]*1))</f>
        <v/>
      </c>
      <c r="G2462" s="7" t="str">
        <f>IF(Plantilla_SCAN_EQ3_COUNT_2[[#This Row],[ID MATERIAL]]="","","PZ")</f>
        <v/>
      </c>
      <c r="H2462" s="7" t="str">
        <f>IF(Plantilla_SCAN_EQ3_COUNT_2[[#This Row],[ID MATERIAL]]="","",$B$13)</f>
        <v/>
      </c>
      <c r="I2462" s="7" t="str">
        <f>IF(Plantilla_SCAN_EQ3_COUNT_2[[#This Row],[ID MATERIAL]]="","","Segundo Conteo")</f>
        <v/>
      </c>
    </row>
    <row r="2463" spans="1:9" s="7" customFormat="1" ht="15" x14ac:dyDescent="0.2">
      <c r="A2463" s="7" t="str">
        <f>IF(Plantilla_SCAN_EQ3_COUNT_2[[#This Row],[ID MATERIAL]]="","",SIGN(Plantilla_SCAN_EQ3_COUNT_2[[#This Row],[Cantidad]])+A2462)</f>
        <v/>
      </c>
      <c r="B2463" s="21" t="str">
        <f>IF(Plantilla_SCAN_EQ3_COUNT_2[[#This Row],[ID MATERIAL]]="","",B2462)</f>
        <v/>
      </c>
      <c r="C2463" s="21"/>
      <c r="D2463" s="21"/>
      <c r="E2463" s="7" t="str">
        <f>IF(Plantilla_SCAN_EQ3_COUNT_2[[#This Row],[ID MATERIAL]]="","",VLOOKUP(Plantilla_SCAN_EQ3_COUNT_2[[#This Row],[ID MATERIAL]],INVENTARIO!$A:$D,2,FALSE))</f>
        <v/>
      </c>
      <c r="F2463" s="7" t="str">
        <f>IF(Plantilla_SCAN_EQ3_COUNT_2[[#This Row],[ID MATERIAL]]="","",IF(Plantilla_SCAN_EQ3_COUNT_2[[#This Row],[No. Empaques]]="",1,Plantilla_SCAN_EQ3_COUNT_2[[#This Row],[No. Empaques]]*1))</f>
        <v/>
      </c>
      <c r="G2463" s="7" t="str">
        <f>IF(Plantilla_SCAN_EQ3_COUNT_2[[#This Row],[ID MATERIAL]]="","","PZ")</f>
        <v/>
      </c>
      <c r="H2463" s="7" t="str">
        <f>IF(Plantilla_SCAN_EQ3_COUNT_2[[#This Row],[ID MATERIAL]]="","",$B$13)</f>
        <v/>
      </c>
      <c r="I2463" s="7" t="str">
        <f>IF(Plantilla_SCAN_EQ3_COUNT_2[[#This Row],[ID MATERIAL]]="","","Segundo Conteo")</f>
        <v/>
      </c>
    </row>
    <row r="2464" spans="1:9" s="7" customFormat="1" ht="15" x14ac:dyDescent="0.2">
      <c r="A2464" s="7" t="str">
        <f>IF(Plantilla_SCAN_EQ3_COUNT_2[[#This Row],[ID MATERIAL]]="","",SIGN(Plantilla_SCAN_EQ3_COUNT_2[[#This Row],[Cantidad]])+A2463)</f>
        <v/>
      </c>
      <c r="B2464" s="21" t="str">
        <f>IF(Plantilla_SCAN_EQ3_COUNT_2[[#This Row],[ID MATERIAL]]="","",B2463)</f>
        <v/>
      </c>
      <c r="C2464" s="21"/>
      <c r="D2464" s="21"/>
      <c r="E2464" s="7" t="str">
        <f>IF(Plantilla_SCAN_EQ3_COUNT_2[[#This Row],[ID MATERIAL]]="","",VLOOKUP(Plantilla_SCAN_EQ3_COUNT_2[[#This Row],[ID MATERIAL]],INVENTARIO!$A:$D,2,FALSE))</f>
        <v/>
      </c>
      <c r="F2464" s="7" t="str">
        <f>IF(Plantilla_SCAN_EQ3_COUNT_2[[#This Row],[ID MATERIAL]]="","",IF(Plantilla_SCAN_EQ3_COUNT_2[[#This Row],[No. Empaques]]="",1,Plantilla_SCAN_EQ3_COUNT_2[[#This Row],[No. Empaques]]*1))</f>
        <v/>
      </c>
      <c r="G2464" s="7" t="str">
        <f>IF(Plantilla_SCAN_EQ3_COUNT_2[[#This Row],[ID MATERIAL]]="","","PZ")</f>
        <v/>
      </c>
      <c r="H2464" s="7" t="str">
        <f>IF(Plantilla_SCAN_EQ3_COUNT_2[[#This Row],[ID MATERIAL]]="","",$B$13)</f>
        <v/>
      </c>
      <c r="I2464" s="7" t="str">
        <f>IF(Plantilla_SCAN_EQ3_COUNT_2[[#This Row],[ID MATERIAL]]="","","Segundo Conteo")</f>
        <v/>
      </c>
    </row>
    <row r="2465" spans="1:9" s="7" customFormat="1" ht="15" x14ac:dyDescent="0.2">
      <c r="A2465" s="7" t="str">
        <f>IF(Plantilla_SCAN_EQ3_COUNT_2[[#This Row],[ID MATERIAL]]="","",SIGN(Plantilla_SCAN_EQ3_COUNT_2[[#This Row],[Cantidad]])+A2464)</f>
        <v/>
      </c>
      <c r="B2465" s="21" t="str">
        <f>IF(Plantilla_SCAN_EQ3_COUNT_2[[#This Row],[ID MATERIAL]]="","",B2464)</f>
        <v/>
      </c>
      <c r="C2465" s="21"/>
      <c r="D2465" s="21"/>
      <c r="E2465" s="7" t="str">
        <f>IF(Plantilla_SCAN_EQ3_COUNT_2[[#This Row],[ID MATERIAL]]="","",VLOOKUP(Plantilla_SCAN_EQ3_COUNT_2[[#This Row],[ID MATERIAL]],INVENTARIO!$A:$D,2,FALSE))</f>
        <v/>
      </c>
      <c r="F2465" s="7" t="str">
        <f>IF(Plantilla_SCAN_EQ3_COUNT_2[[#This Row],[ID MATERIAL]]="","",IF(Plantilla_SCAN_EQ3_COUNT_2[[#This Row],[No. Empaques]]="",1,Plantilla_SCAN_EQ3_COUNT_2[[#This Row],[No. Empaques]]*1))</f>
        <v/>
      </c>
      <c r="G2465" s="7" t="str">
        <f>IF(Plantilla_SCAN_EQ3_COUNT_2[[#This Row],[ID MATERIAL]]="","","PZ")</f>
        <v/>
      </c>
      <c r="H2465" s="7" t="str">
        <f>IF(Plantilla_SCAN_EQ3_COUNT_2[[#This Row],[ID MATERIAL]]="","",$B$13)</f>
        <v/>
      </c>
      <c r="I2465" s="7" t="str">
        <f>IF(Plantilla_SCAN_EQ3_COUNT_2[[#This Row],[ID MATERIAL]]="","","Segundo Conteo")</f>
        <v/>
      </c>
    </row>
    <row r="2466" spans="1:9" s="7" customFormat="1" ht="15" x14ac:dyDescent="0.2">
      <c r="A2466" s="7" t="str">
        <f>IF(Plantilla_SCAN_EQ3_COUNT_2[[#This Row],[ID MATERIAL]]="","",SIGN(Plantilla_SCAN_EQ3_COUNT_2[[#This Row],[Cantidad]])+A2465)</f>
        <v/>
      </c>
      <c r="B2466" s="21" t="str">
        <f>IF(Plantilla_SCAN_EQ3_COUNT_2[[#This Row],[ID MATERIAL]]="","",B2465)</f>
        <v/>
      </c>
      <c r="C2466" s="21"/>
      <c r="D2466" s="21"/>
      <c r="E2466" s="7" t="str">
        <f>IF(Plantilla_SCAN_EQ3_COUNT_2[[#This Row],[ID MATERIAL]]="","",VLOOKUP(Plantilla_SCAN_EQ3_COUNT_2[[#This Row],[ID MATERIAL]],INVENTARIO!$A:$D,2,FALSE))</f>
        <v/>
      </c>
      <c r="F2466" s="7" t="str">
        <f>IF(Plantilla_SCAN_EQ3_COUNT_2[[#This Row],[ID MATERIAL]]="","",IF(Plantilla_SCAN_EQ3_COUNT_2[[#This Row],[No. Empaques]]="",1,Plantilla_SCAN_EQ3_COUNT_2[[#This Row],[No. Empaques]]*1))</f>
        <v/>
      </c>
      <c r="G2466" s="7" t="str">
        <f>IF(Plantilla_SCAN_EQ3_COUNT_2[[#This Row],[ID MATERIAL]]="","","PZ")</f>
        <v/>
      </c>
      <c r="H2466" s="7" t="str">
        <f>IF(Plantilla_SCAN_EQ3_COUNT_2[[#This Row],[ID MATERIAL]]="","",$B$13)</f>
        <v/>
      </c>
      <c r="I2466" s="7" t="str">
        <f>IF(Plantilla_SCAN_EQ3_COUNT_2[[#This Row],[ID MATERIAL]]="","","Segundo Conteo")</f>
        <v/>
      </c>
    </row>
    <row r="2467" spans="1:9" s="7" customFormat="1" ht="15" x14ac:dyDescent="0.2">
      <c r="A2467" s="7" t="str">
        <f>IF(Plantilla_SCAN_EQ3_COUNT_2[[#This Row],[ID MATERIAL]]="","",SIGN(Plantilla_SCAN_EQ3_COUNT_2[[#This Row],[Cantidad]])+A2466)</f>
        <v/>
      </c>
      <c r="B2467" s="21" t="str">
        <f>IF(Plantilla_SCAN_EQ3_COUNT_2[[#This Row],[ID MATERIAL]]="","",B2466)</f>
        <v/>
      </c>
      <c r="C2467" s="21"/>
      <c r="D2467" s="21"/>
      <c r="E2467" s="7" t="str">
        <f>IF(Plantilla_SCAN_EQ3_COUNT_2[[#This Row],[ID MATERIAL]]="","",VLOOKUP(Plantilla_SCAN_EQ3_COUNT_2[[#This Row],[ID MATERIAL]],INVENTARIO!$A:$D,2,FALSE))</f>
        <v/>
      </c>
      <c r="F2467" s="7" t="str">
        <f>IF(Plantilla_SCAN_EQ3_COUNT_2[[#This Row],[ID MATERIAL]]="","",IF(Plantilla_SCAN_EQ3_COUNT_2[[#This Row],[No. Empaques]]="",1,Plantilla_SCAN_EQ3_COUNT_2[[#This Row],[No. Empaques]]*1))</f>
        <v/>
      </c>
      <c r="G2467" s="7" t="str">
        <f>IF(Plantilla_SCAN_EQ3_COUNT_2[[#This Row],[ID MATERIAL]]="","","PZ")</f>
        <v/>
      </c>
      <c r="H2467" s="7" t="str">
        <f>IF(Plantilla_SCAN_EQ3_COUNT_2[[#This Row],[ID MATERIAL]]="","",$B$13)</f>
        <v/>
      </c>
      <c r="I2467" s="7" t="str">
        <f>IF(Plantilla_SCAN_EQ3_COUNT_2[[#This Row],[ID MATERIAL]]="","","Segundo Conteo")</f>
        <v/>
      </c>
    </row>
    <row r="2468" spans="1:9" s="7" customFormat="1" ht="15" x14ac:dyDescent="0.2">
      <c r="A2468" s="7" t="str">
        <f>IF(Plantilla_SCAN_EQ3_COUNT_2[[#This Row],[ID MATERIAL]]="","",SIGN(Plantilla_SCAN_EQ3_COUNT_2[[#This Row],[Cantidad]])+A2467)</f>
        <v/>
      </c>
      <c r="B2468" s="21" t="str">
        <f>IF(Plantilla_SCAN_EQ3_COUNT_2[[#This Row],[ID MATERIAL]]="","",B2467)</f>
        <v/>
      </c>
      <c r="C2468" s="21"/>
      <c r="D2468" s="21"/>
      <c r="E2468" s="7" t="str">
        <f>IF(Plantilla_SCAN_EQ3_COUNT_2[[#This Row],[ID MATERIAL]]="","",VLOOKUP(Plantilla_SCAN_EQ3_COUNT_2[[#This Row],[ID MATERIAL]],INVENTARIO!$A:$D,2,FALSE))</f>
        <v/>
      </c>
      <c r="F2468" s="7" t="str">
        <f>IF(Plantilla_SCAN_EQ3_COUNT_2[[#This Row],[ID MATERIAL]]="","",IF(Plantilla_SCAN_EQ3_COUNT_2[[#This Row],[No. Empaques]]="",1,Plantilla_SCAN_EQ3_COUNT_2[[#This Row],[No. Empaques]]*1))</f>
        <v/>
      </c>
      <c r="G2468" s="7" t="str">
        <f>IF(Plantilla_SCAN_EQ3_COUNT_2[[#This Row],[ID MATERIAL]]="","","PZ")</f>
        <v/>
      </c>
      <c r="H2468" s="7" t="str">
        <f>IF(Plantilla_SCAN_EQ3_COUNT_2[[#This Row],[ID MATERIAL]]="","",$B$13)</f>
        <v/>
      </c>
      <c r="I2468" s="7" t="str">
        <f>IF(Plantilla_SCAN_EQ3_COUNT_2[[#This Row],[ID MATERIAL]]="","","Segundo Conteo")</f>
        <v/>
      </c>
    </row>
    <row r="2469" spans="1:9" s="7" customFormat="1" ht="15" x14ac:dyDescent="0.2">
      <c r="A2469" s="7" t="str">
        <f>IF(Plantilla_SCAN_EQ3_COUNT_2[[#This Row],[ID MATERIAL]]="","",SIGN(Plantilla_SCAN_EQ3_COUNT_2[[#This Row],[Cantidad]])+A2468)</f>
        <v/>
      </c>
      <c r="B2469" s="21" t="str">
        <f>IF(Plantilla_SCAN_EQ3_COUNT_2[[#This Row],[ID MATERIAL]]="","",B2468)</f>
        <v/>
      </c>
      <c r="C2469" s="21"/>
      <c r="D2469" s="21"/>
      <c r="E2469" s="7" t="str">
        <f>IF(Plantilla_SCAN_EQ3_COUNT_2[[#This Row],[ID MATERIAL]]="","",VLOOKUP(Plantilla_SCAN_EQ3_COUNT_2[[#This Row],[ID MATERIAL]],INVENTARIO!$A:$D,2,FALSE))</f>
        <v/>
      </c>
      <c r="F2469" s="7" t="str">
        <f>IF(Plantilla_SCAN_EQ3_COUNT_2[[#This Row],[ID MATERIAL]]="","",IF(Plantilla_SCAN_EQ3_COUNT_2[[#This Row],[No. Empaques]]="",1,Plantilla_SCAN_EQ3_COUNT_2[[#This Row],[No. Empaques]]*1))</f>
        <v/>
      </c>
      <c r="G2469" s="7" t="str">
        <f>IF(Plantilla_SCAN_EQ3_COUNT_2[[#This Row],[ID MATERIAL]]="","","PZ")</f>
        <v/>
      </c>
      <c r="H2469" s="7" t="str">
        <f>IF(Plantilla_SCAN_EQ3_COUNT_2[[#This Row],[ID MATERIAL]]="","",$B$13)</f>
        <v/>
      </c>
      <c r="I2469" s="7" t="str">
        <f>IF(Plantilla_SCAN_EQ3_COUNT_2[[#This Row],[ID MATERIAL]]="","","Segundo Conteo")</f>
        <v/>
      </c>
    </row>
    <row r="2470" spans="1:9" s="7" customFormat="1" ht="15" x14ac:dyDescent="0.2">
      <c r="A2470" s="7" t="str">
        <f>IF(Plantilla_SCAN_EQ3_COUNT_2[[#This Row],[ID MATERIAL]]="","",SIGN(Plantilla_SCAN_EQ3_COUNT_2[[#This Row],[Cantidad]])+A2469)</f>
        <v/>
      </c>
      <c r="B2470" s="21" t="str">
        <f>IF(Plantilla_SCAN_EQ3_COUNT_2[[#This Row],[ID MATERIAL]]="","",B2469)</f>
        <v/>
      </c>
      <c r="C2470" s="21"/>
      <c r="D2470" s="21"/>
      <c r="E2470" s="7" t="str">
        <f>IF(Plantilla_SCAN_EQ3_COUNT_2[[#This Row],[ID MATERIAL]]="","",VLOOKUP(Plantilla_SCAN_EQ3_COUNT_2[[#This Row],[ID MATERIAL]],INVENTARIO!$A:$D,2,FALSE))</f>
        <v/>
      </c>
      <c r="F2470" s="7" t="str">
        <f>IF(Plantilla_SCAN_EQ3_COUNT_2[[#This Row],[ID MATERIAL]]="","",IF(Plantilla_SCAN_EQ3_COUNT_2[[#This Row],[No. Empaques]]="",1,Plantilla_SCAN_EQ3_COUNT_2[[#This Row],[No. Empaques]]*1))</f>
        <v/>
      </c>
      <c r="G2470" s="7" t="str">
        <f>IF(Plantilla_SCAN_EQ3_COUNT_2[[#This Row],[ID MATERIAL]]="","","PZ")</f>
        <v/>
      </c>
      <c r="H2470" s="7" t="str">
        <f>IF(Plantilla_SCAN_EQ3_COUNT_2[[#This Row],[ID MATERIAL]]="","",$B$13)</f>
        <v/>
      </c>
      <c r="I2470" s="7" t="str">
        <f>IF(Plantilla_SCAN_EQ3_COUNT_2[[#This Row],[ID MATERIAL]]="","","Segundo Conteo")</f>
        <v/>
      </c>
    </row>
    <row r="2471" spans="1:9" s="7" customFormat="1" ht="15" x14ac:dyDescent="0.2">
      <c r="A2471" s="7" t="str">
        <f>IF(Plantilla_SCAN_EQ3_COUNT_2[[#This Row],[ID MATERIAL]]="","",SIGN(Plantilla_SCAN_EQ3_COUNT_2[[#This Row],[Cantidad]])+A2470)</f>
        <v/>
      </c>
      <c r="B2471" s="21" t="str">
        <f>IF(Plantilla_SCAN_EQ3_COUNT_2[[#This Row],[ID MATERIAL]]="","",B2470)</f>
        <v/>
      </c>
      <c r="C2471" s="21"/>
      <c r="D2471" s="21"/>
      <c r="E2471" s="7" t="str">
        <f>IF(Plantilla_SCAN_EQ3_COUNT_2[[#This Row],[ID MATERIAL]]="","",VLOOKUP(Plantilla_SCAN_EQ3_COUNT_2[[#This Row],[ID MATERIAL]],INVENTARIO!$A:$D,2,FALSE))</f>
        <v/>
      </c>
      <c r="F2471" s="7" t="str">
        <f>IF(Plantilla_SCAN_EQ3_COUNT_2[[#This Row],[ID MATERIAL]]="","",IF(Plantilla_SCAN_EQ3_COUNT_2[[#This Row],[No. Empaques]]="",1,Plantilla_SCAN_EQ3_COUNT_2[[#This Row],[No. Empaques]]*1))</f>
        <v/>
      </c>
      <c r="G2471" s="7" t="str">
        <f>IF(Plantilla_SCAN_EQ3_COUNT_2[[#This Row],[ID MATERIAL]]="","","PZ")</f>
        <v/>
      </c>
      <c r="H2471" s="7" t="str">
        <f>IF(Plantilla_SCAN_EQ3_COUNT_2[[#This Row],[ID MATERIAL]]="","",$B$13)</f>
        <v/>
      </c>
      <c r="I2471" s="7" t="str">
        <f>IF(Plantilla_SCAN_EQ3_COUNT_2[[#This Row],[ID MATERIAL]]="","","Segundo Conteo")</f>
        <v/>
      </c>
    </row>
    <row r="2472" spans="1:9" s="7" customFormat="1" ht="15" x14ac:dyDescent="0.2">
      <c r="A2472" s="7" t="str">
        <f>IF(Plantilla_SCAN_EQ3_COUNT_2[[#This Row],[ID MATERIAL]]="","",SIGN(Plantilla_SCAN_EQ3_COUNT_2[[#This Row],[Cantidad]])+A2471)</f>
        <v/>
      </c>
      <c r="B2472" s="21" t="str">
        <f>IF(Plantilla_SCAN_EQ3_COUNT_2[[#This Row],[ID MATERIAL]]="","",B2471)</f>
        <v/>
      </c>
      <c r="C2472" s="21"/>
      <c r="D2472" s="21"/>
      <c r="E2472" s="7" t="str">
        <f>IF(Plantilla_SCAN_EQ3_COUNT_2[[#This Row],[ID MATERIAL]]="","",VLOOKUP(Plantilla_SCAN_EQ3_COUNT_2[[#This Row],[ID MATERIAL]],INVENTARIO!$A:$D,2,FALSE))</f>
        <v/>
      </c>
      <c r="F2472" s="7" t="str">
        <f>IF(Plantilla_SCAN_EQ3_COUNT_2[[#This Row],[ID MATERIAL]]="","",IF(Plantilla_SCAN_EQ3_COUNT_2[[#This Row],[No. Empaques]]="",1,Plantilla_SCAN_EQ3_COUNT_2[[#This Row],[No. Empaques]]*1))</f>
        <v/>
      </c>
      <c r="G2472" s="7" t="str">
        <f>IF(Plantilla_SCAN_EQ3_COUNT_2[[#This Row],[ID MATERIAL]]="","","PZ")</f>
        <v/>
      </c>
      <c r="H2472" s="7" t="str">
        <f>IF(Plantilla_SCAN_EQ3_COUNT_2[[#This Row],[ID MATERIAL]]="","",$B$13)</f>
        <v/>
      </c>
      <c r="I2472" s="7" t="str">
        <f>IF(Plantilla_SCAN_EQ3_COUNT_2[[#This Row],[ID MATERIAL]]="","","Segundo Conteo")</f>
        <v/>
      </c>
    </row>
    <row r="2473" spans="1:9" s="7" customFormat="1" ht="15" x14ac:dyDescent="0.2">
      <c r="A2473" s="7" t="str">
        <f>IF(Plantilla_SCAN_EQ3_COUNT_2[[#This Row],[ID MATERIAL]]="","",SIGN(Plantilla_SCAN_EQ3_COUNT_2[[#This Row],[Cantidad]])+A2472)</f>
        <v/>
      </c>
      <c r="B2473" s="21" t="str">
        <f>IF(Plantilla_SCAN_EQ3_COUNT_2[[#This Row],[ID MATERIAL]]="","",B2472)</f>
        <v/>
      </c>
      <c r="C2473" s="21"/>
      <c r="D2473" s="21"/>
      <c r="E2473" s="7" t="str">
        <f>IF(Plantilla_SCAN_EQ3_COUNT_2[[#This Row],[ID MATERIAL]]="","",VLOOKUP(Plantilla_SCAN_EQ3_COUNT_2[[#This Row],[ID MATERIAL]],INVENTARIO!$A:$D,2,FALSE))</f>
        <v/>
      </c>
      <c r="F2473" s="7" t="str">
        <f>IF(Plantilla_SCAN_EQ3_COUNT_2[[#This Row],[ID MATERIAL]]="","",IF(Plantilla_SCAN_EQ3_COUNT_2[[#This Row],[No. Empaques]]="",1,Plantilla_SCAN_EQ3_COUNT_2[[#This Row],[No. Empaques]]*1))</f>
        <v/>
      </c>
      <c r="G2473" s="7" t="str">
        <f>IF(Plantilla_SCAN_EQ3_COUNT_2[[#This Row],[ID MATERIAL]]="","","PZ")</f>
        <v/>
      </c>
      <c r="H2473" s="7" t="str">
        <f>IF(Plantilla_SCAN_EQ3_COUNT_2[[#This Row],[ID MATERIAL]]="","",$B$13)</f>
        <v/>
      </c>
      <c r="I2473" s="7" t="str">
        <f>IF(Plantilla_SCAN_EQ3_COUNT_2[[#This Row],[ID MATERIAL]]="","","Segundo Conteo")</f>
        <v/>
      </c>
    </row>
    <row r="2474" spans="1:9" s="7" customFormat="1" ht="15" x14ac:dyDescent="0.2">
      <c r="A2474" s="7" t="str">
        <f>IF(Plantilla_SCAN_EQ3_COUNT_2[[#This Row],[ID MATERIAL]]="","",SIGN(Plantilla_SCAN_EQ3_COUNT_2[[#This Row],[Cantidad]])+A2473)</f>
        <v/>
      </c>
      <c r="B2474" s="21" t="str">
        <f>IF(Plantilla_SCAN_EQ3_COUNT_2[[#This Row],[ID MATERIAL]]="","",B2473)</f>
        <v/>
      </c>
      <c r="C2474" s="21"/>
      <c r="D2474" s="21"/>
      <c r="E2474" s="7" t="str">
        <f>IF(Plantilla_SCAN_EQ3_COUNT_2[[#This Row],[ID MATERIAL]]="","",VLOOKUP(Plantilla_SCAN_EQ3_COUNT_2[[#This Row],[ID MATERIAL]],INVENTARIO!$A:$D,2,FALSE))</f>
        <v/>
      </c>
      <c r="F2474" s="7" t="str">
        <f>IF(Plantilla_SCAN_EQ3_COUNT_2[[#This Row],[ID MATERIAL]]="","",IF(Plantilla_SCAN_EQ3_COUNT_2[[#This Row],[No. Empaques]]="",1,Plantilla_SCAN_EQ3_COUNT_2[[#This Row],[No. Empaques]]*1))</f>
        <v/>
      </c>
      <c r="G2474" s="7" t="str">
        <f>IF(Plantilla_SCAN_EQ3_COUNT_2[[#This Row],[ID MATERIAL]]="","","PZ")</f>
        <v/>
      </c>
      <c r="H2474" s="7" t="str">
        <f>IF(Plantilla_SCAN_EQ3_COUNT_2[[#This Row],[ID MATERIAL]]="","",$B$13)</f>
        <v/>
      </c>
      <c r="I2474" s="7" t="str">
        <f>IF(Plantilla_SCAN_EQ3_COUNT_2[[#This Row],[ID MATERIAL]]="","","Segundo Conteo")</f>
        <v/>
      </c>
    </row>
    <row r="2475" spans="1:9" s="7" customFormat="1" ht="15" x14ac:dyDescent="0.2">
      <c r="A2475" s="7" t="str">
        <f>IF(Plantilla_SCAN_EQ3_COUNT_2[[#This Row],[ID MATERIAL]]="","",SIGN(Plantilla_SCAN_EQ3_COUNT_2[[#This Row],[Cantidad]])+A2474)</f>
        <v/>
      </c>
      <c r="B2475" s="21" t="str">
        <f>IF(Plantilla_SCAN_EQ3_COUNT_2[[#This Row],[ID MATERIAL]]="","",B2474)</f>
        <v/>
      </c>
      <c r="C2475" s="21"/>
      <c r="D2475" s="21"/>
      <c r="E2475" s="7" t="str">
        <f>IF(Plantilla_SCAN_EQ3_COUNT_2[[#This Row],[ID MATERIAL]]="","",VLOOKUP(Plantilla_SCAN_EQ3_COUNT_2[[#This Row],[ID MATERIAL]],INVENTARIO!$A:$D,2,FALSE))</f>
        <v/>
      </c>
      <c r="F2475" s="7" t="str">
        <f>IF(Plantilla_SCAN_EQ3_COUNT_2[[#This Row],[ID MATERIAL]]="","",IF(Plantilla_SCAN_EQ3_COUNT_2[[#This Row],[No. Empaques]]="",1,Plantilla_SCAN_EQ3_COUNT_2[[#This Row],[No. Empaques]]*1))</f>
        <v/>
      </c>
      <c r="G2475" s="7" t="str">
        <f>IF(Plantilla_SCAN_EQ3_COUNT_2[[#This Row],[ID MATERIAL]]="","","PZ")</f>
        <v/>
      </c>
      <c r="H2475" s="7" t="str">
        <f>IF(Plantilla_SCAN_EQ3_COUNT_2[[#This Row],[ID MATERIAL]]="","",$B$13)</f>
        <v/>
      </c>
      <c r="I2475" s="7" t="str">
        <f>IF(Plantilla_SCAN_EQ3_COUNT_2[[#This Row],[ID MATERIAL]]="","","Segundo Conteo")</f>
        <v/>
      </c>
    </row>
    <row r="2476" spans="1:9" s="7" customFormat="1" ht="15" x14ac:dyDescent="0.2">
      <c r="A2476" s="7" t="str">
        <f>IF(Plantilla_SCAN_EQ3_COUNT_2[[#This Row],[ID MATERIAL]]="","",SIGN(Plantilla_SCAN_EQ3_COUNT_2[[#This Row],[Cantidad]])+A2475)</f>
        <v/>
      </c>
      <c r="B2476" s="21" t="str">
        <f>IF(Plantilla_SCAN_EQ3_COUNT_2[[#This Row],[ID MATERIAL]]="","",B2475)</f>
        <v/>
      </c>
      <c r="C2476" s="21"/>
      <c r="D2476" s="21"/>
      <c r="E2476" s="7" t="str">
        <f>IF(Plantilla_SCAN_EQ3_COUNT_2[[#This Row],[ID MATERIAL]]="","",VLOOKUP(Plantilla_SCAN_EQ3_COUNT_2[[#This Row],[ID MATERIAL]],INVENTARIO!$A:$D,2,FALSE))</f>
        <v/>
      </c>
      <c r="F2476" s="7" t="str">
        <f>IF(Plantilla_SCAN_EQ3_COUNT_2[[#This Row],[ID MATERIAL]]="","",IF(Plantilla_SCAN_EQ3_COUNT_2[[#This Row],[No. Empaques]]="",1,Plantilla_SCAN_EQ3_COUNT_2[[#This Row],[No. Empaques]]*1))</f>
        <v/>
      </c>
      <c r="G2476" s="7" t="str">
        <f>IF(Plantilla_SCAN_EQ3_COUNT_2[[#This Row],[ID MATERIAL]]="","","PZ")</f>
        <v/>
      </c>
      <c r="H2476" s="7" t="str">
        <f>IF(Plantilla_SCAN_EQ3_COUNT_2[[#This Row],[ID MATERIAL]]="","",$B$13)</f>
        <v/>
      </c>
      <c r="I2476" s="7" t="str">
        <f>IF(Plantilla_SCAN_EQ3_COUNT_2[[#This Row],[ID MATERIAL]]="","","Segundo Conteo")</f>
        <v/>
      </c>
    </row>
    <row r="2477" spans="1:9" s="7" customFormat="1" ht="15" x14ac:dyDescent="0.2">
      <c r="A2477" s="7" t="str">
        <f>IF(Plantilla_SCAN_EQ3_COUNT_2[[#This Row],[ID MATERIAL]]="","",SIGN(Plantilla_SCAN_EQ3_COUNT_2[[#This Row],[Cantidad]])+A2476)</f>
        <v/>
      </c>
      <c r="B2477" s="21" t="str">
        <f>IF(Plantilla_SCAN_EQ3_COUNT_2[[#This Row],[ID MATERIAL]]="","",B2476)</f>
        <v/>
      </c>
      <c r="C2477" s="21"/>
      <c r="D2477" s="21"/>
      <c r="E2477" s="7" t="str">
        <f>IF(Plantilla_SCAN_EQ3_COUNT_2[[#This Row],[ID MATERIAL]]="","",VLOOKUP(Plantilla_SCAN_EQ3_COUNT_2[[#This Row],[ID MATERIAL]],INVENTARIO!$A:$D,2,FALSE))</f>
        <v/>
      </c>
      <c r="F2477" s="7" t="str">
        <f>IF(Plantilla_SCAN_EQ3_COUNT_2[[#This Row],[ID MATERIAL]]="","",IF(Plantilla_SCAN_EQ3_COUNT_2[[#This Row],[No. Empaques]]="",1,Plantilla_SCAN_EQ3_COUNT_2[[#This Row],[No. Empaques]]*1))</f>
        <v/>
      </c>
      <c r="G2477" s="7" t="str">
        <f>IF(Plantilla_SCAN_EQ3_COUNT_2[[#This Row],[ID MATERIAL]]="","","PZ")</f>
        <v/>
      </c>
      <c r="H2477" s="7" t="str">
        <f>IF(Plantilla_SCAN_EQ3_COUNT_2[[#This Row],[ID MATERIAL]]="","",$B$13)</f>
        <v/>
      </c>
      <c r="I2477" s="7" t="str">
        <f>IF(Plantilla_SCAN_EQ3_COUNT_2[[#This Row],[ID MATERIAL]]="","","Segundo Conteo")</f>
        <v/>
      </c>
    </row>
    <row r="2478" spans="1:9" s="7" customFormat="1" ht="15" x14ac:dyDescent="0.2">
      <c r="A2478" s="7" t="str">
        <f>IF(Plantilla_SCAN_EQ3_COUNT_2[[#This Row],[ID MATERIAL]]="","",SIGN(Plantilla_SCAN_EQ3_COUNT_2[[#This Row],[Cantidad]])+A2477)</f>
        <v/>
      </c>
      <c r="B2478" s="21" t="str">
        <f>IF(Plantilla_SCAN_EQ3_COUNT_2[[#This Row],[ID MATERIAL]]="","",B2477)</f>
        <v/>
      </c>
      <c r="C2478" s="21"/>
      <c r="D2478" s="21"/>
      <c r="E2478" s="7" t="str">
        <f>IF(Plantilla_SCAN_EQ3_COUNT_2[[#This Row],[ID MATERIAL]]="","",VLOOKUP(Plantilla_SCAN_EQ3_COUNT_2[[#This Row],[ID MATERIAL]],INVENTARIO!$A:$D,2,FALSE))</f>
        <v/>
      </c>
      <c r="F2478" s="7" t="str">
        <f>IF(Plantilla_SCAN_EQ3_COUNT_2[[#This Row],[ID MATERIAL]]="","",IF(Plantilla_SCAN_EQ3_COUNT_2[[#This Row],[No. Empaques]]="",1,Plantilla_SCAN_EQ3_COUNT_2[[#This Row],[No. Empaques]]*1))</f>
        <v/>
      </c>
      <c r="G2478" s="7" t="str">
        <f>IF(Plantilla_SCAN_EQ3_COUNT_2[[#This Row],[ID MATERIAL]]="","","PZ")</f>
        <v/>
      </c>
      <c r="H2478" s="7" t="str">
        <f>IF(Plantilla_SCAN_EQ3_COUNT_2[[#This Row],[ID MATERIAL]]="","",$B$13)</f>
        <v/>
      </c>
      <c r="I2478" s="7" t="str">
        <f>IF(Plantilla_SCAN_EQ3_COUNT_2[[#This Row],[ID MATERIAL]]="","","Segundo Conteo")</f>
        <v/>
      </c>
    </row>
    <row r="2479" spans="1:9" s="7" customFormat="1" ht="15" x14ac:dyDescent="0.2">
      <c r="A2479" s="7" t="str">
        <f>IF(Plantilla_SCAN_EQ3_COUNT_2[[#This Row],[ID MATERIAL]]="","",SIGN(Plantilla_SCAN_EQ3_COUNT_2[[#This Row],[Cantidad]])+A2478)</f>
        <v/>
      </c>
      <c r="B2479" s="21" t="str">
        <f>IF(Plantilla_SCAN_EQ3_COUNT_2[[#This Row],[ID MATERIAL]]="","",B2478)</f>
        <v/>
      </c>
      <c r="C2479" s="21"/>
      <c r="D2479" s="21"/>
      <c r="E2479" s="7" t="str">
        <f>IF(Plantilla_SCAN_EQ3_COUNT_2[[#This Row],[ID MATERIAL]]="","",VLOOKUP(Plantilla_SCAN_EQ3_COUNT_2[[#This Row],[ID MATERIAL]],INVENTARIO!$A:$D,2,FALSE))</f>
        <v/>
      </c>
      <c r="F2479" s="7" t="str">
        <f>IF(Plantilla_SCAN_EQ3_COUNT_2[[#This Row],[ID MATERIAL]]="","",IF(Plantilla_SCAN_EQ3_COUNT_2[[#This Row],[No. Empaques]]="",1,Plantilla_SCAN_EQ3_COUNT_2[[#This Row],[No. Empaques]]*1))</f>
        <v/>
      </c>
      <c r="G2479" s="7" t="str">
        <f>IF(Plantilla_SCAN_EQ3_COUNT_2[[#This Row],[ID MATERIAL]]="","","PZ")</f>
        <v/>
      </c>
      <c r="H2479" s="7" t="str">
        <f>IF(Plantilla_SCAN_EQ3_COUNT_2[[#This Row],[ID MATERIAL]]="","",$B$13)</f>
        <v/>
      </c>
      <c r="I2479" s="7" t="str">
        <f>IF(Plantilla_SCAN_EQ3_COUNT_2[[#This Row],[ID MATERIAL]]="","","Segundo Conteo")</f>
        <v/>
      </c>
    </row>
    <row r="2480" spans="1:9" s="7" customFormat="1" ht="15" x14ac:dyDescent="0.2">
      <c r="A2480" s="7" t="str">
        <f>IF(Plantilla_SCAN_EQ3_COUNT_2[[#This Row],[ID MATERIAL]]="","",SIGN(Plantilla_SCAN_EQ3_COUNT_2[[#This Row],[Cantidad]])+A2479)</f>
        <v/>
      </c>
      <c r="B2480" s="21" t="str">
        <f>IF(Plantilla_SCAN_EQ3_COUNT_2[[#This Row],[ID MATERIAL]]="","",B2479)</f>
        <v/>
      </c>
      <c r="C2480" s="21"/>
      <c r="D2480" s="21"/>
      <c r="E2480" s="7" t="str">
        <f>IF(Plantilla_SCAN_EQ3_COUNT_2[[#This Row],[ID MATERIAL]]="","",VLOOKUP(Plantilla_SCAN_EQ3_COUNT_2[[#This Row],[ID MATERIAL]],INVENTARIO!$A:$D,2,FALSE))</f>
        <v/>
      </c>
      <c r="F2480" s="7" t="str">
        <f>IF(Plantilla_SCAN_EQ3_COUNT_2[[#This Row],[ID MATERIAL]]="","",IF(Plantilla_SCAN_EQ3_COUNT_2[[#This Row],[No. Empaques]]="",1,Plantilla_SCAN_EQ3_COUNT_2[[#This Row],[No. Empaques]]*1))</f>
        <v/>
      </c>
      <c r="G2480" s="7" t="str">
        <f>IF(Plantilla_SCAN_EQ3_COUNT_2[[#This Row],[ID MATERIAL]]="","","PZ")</f>
        <v/>
      </c>
      <c r="H2480" s="7" t="str">
        <f>IF(Plantilla_SCAN_EQ3_COUNT_2[[#This Row],[ID MATERIAL]]="","",$B$13)</f>
        <v/>
      </c>
      <c r="I2480" s="7" t="str">
        <f>IF(Plantilla_SCAN_EQ3_COUNT_2[[#This Row],[ID MATERIAL]]="","","Segundo Conteo")</f>
        <v/>
      </c>
    </row>
    <row r="2481" spans="1:9" s="7" customFormat="1" ht="15" x14ac:dyDescent="0.2">
      <c r="A2481" s="7" t="str">
        <f>IF(Plantilla_SCAN_EQ3_COUNT_2[[#This Row],[ID MATERIAL]]="","",SIGN(Plantilla_SCAN_EQ3_COUNT_2[[#This Row],[Cantidad]])+A2480)</f>
        <v/>
      </c>
      <c r="B2481" s="21" t="str">
        <f>IF(Plantilla_SCAN_EQ3_COUNT_2[[#This Row],[ID MATERIAL]]="","",B2480)</f>
        <v/>
      </c>
      <c r="C2481" s="21"/>
      <c r="D2481" s="21"/>
      <c r="E2481" s="7" t="str">
        <f>IF(Plantilla_SCAN_EQ3_COUNT_2[[#This Row],[ID MATERIAL]]="","",VLOOKUP(Plantilla_SCAN_EQ3_COUNT_2[[#This Row],[ID MATERIAL]],INVENTARIO!$A:$D,2,FALSE))</f>
        <v/>
      </c>
      <c r="F2481" s="7" t="str">
        <f>IF(Plantilla_SCAN_EQ3_COUNT_2[[#This Row],[ID MATERIAL]]="","",IF(Plantilla_SCAN_EQ3_COUNT_2[[#This Row],[No. Empaques]]="",1,Plantilla_SCAN_EQ3_COUNT_2[[#This Row],[No. Empaques]]*1))</f>
        <v/>
      </c>
      <c r="G2481" s="7" t="str">
        <f>IF(Plantilla_SCAN_EQ3_COUNT_2[[#This Row],[ID MATERIAL]]="","","PZ")</f>
        <v/>
      </c>
      <c r="H2481" s="7" t="str">
        <f>IF(Plantilla_SCAN_EQ3_COUNT_2[[#This Row],[ID MATERIAL]]="","",$B$13)</f>
        <v/>
      </c>
      <c r="I2481" s="7" t="str">
        <f>IF(Plantilla_SCAN_EQ3_COUNT_2[[#This Row],[ID MATERIAL]]="","","Segundo Conteo")</f>
        <v/>
      </c>
    </row>
    <row r="2482" spans="1:9" s="7" customFormat="1" ht="15" x14ac:dyDescent="0.2">
      <c r="A2482" s="7" t="str">
        <f>IF(Plantilla_SCAN_EQ3_COUNT_2[[#This Row],[ID MATERIAL]]="","",SIGN(Plantilla_SCAN_EQ3_COUNT_2[[#This Row],[Cantidad]])+A2481)</f>
        <v/>
      </c>
      <c r="B2482" s="21" t="str">
        <f>IF(Plantilla_SCAN_EQ3_COUNT_2[[#This Row],[ID MATERIAL]]="","",B2481)</f>
        <v/>
      </c>
      <c r="C2482" s="21"/>
      <c r="D2482" s="21"/>
      <c r="E2482" s="7" t="str">
        <f>IF(Plantilla_SCAN_EQ3_COUNT_2[[#This Row],[ID MATERIAL]]="","",VLOOKUP(Plantilla_SCAN_EQ3_COUNT_2[[#This Row],[ID MATERIAL]],INVENTARIO!$A:$D,2,FALSE))</f>
        <v/>
      </c>
      <c r="F2482" s="7" t="str">
        <f>IF(Plantilla_SCAN_EQ3_COUNT_2[[#This Row],[ID MATERIAL]]="","",IF(Plantilla_SCAN_EQ3_COUNT_2[[#This Row],[No. Empaques]]="",1,Plantilla_SCAN_EQ3_COUNT_2[[#This Row],[No. Empaques]]*1))</f>
        <v/>
      </c>
      <c r="G2482" s="7" t="str">
        <f>IF(Plantilla_SCAN_EQ3_COUNT_2[[#This Row],[ID MATERIAL]]="","","PZ")</f>
        <v/>
      </c>
      <c r="H2482" s="7" t="str">
        <f>IF(Plantilla_SCAN_EQ3_COUNT_2[[#This Row],[ID MATERIAL]]="","",$B$13)</f>
        <v/>
      </c>
      <c r="I2482" s="7" t="str">
        <f>IF(Plantilla_SCAN_EQ3_COUNT_2[[#This Row],[ID MATERIAL]]="","","Segundo Conteo")</f>
        <v/>
      </c>
    </row>
    <row r="2483" spans="1:9" s="7" customFormat="1" ht="15" x14ac:dyDescent="0.2">
      <c r="A2483" s="7" t="str">
        <f>IF(Plantilla_SCAN_EQ3_COUNT_2[[#This Row],[ID MATERIAL]]="","",SIGN(Plantilla_SCAN_EQ3_COUNT_2[[#This Row],[Cantidad]])+A2482)</f>
        <v/>
      </c>
      <c r="B2483" s="21" t="str">
        <f>IF(Plantilla_SCAN_EQ3_COUNT_2[[#This Row],[ID MATERIAL]]="","",B2482)</f>
        <v/>
      </c>
      <c r="C2483" s="21"/>
      <c r="D2483" s="21"/>
      <c r="E2483" s="7" t="str">
        <f>IF(Plantilla_SCAN_EQ3_COUNT_2[[#This Row],[ID MATERIAL]]="","",VLOOKUP(Plantilla_SCAN_EQ3_COUNT_2[[#This Row],[ID MATERIAL]],INVENTARIO!$A:$D,2,FALSE))</f>
        <v/>
      </c>
      <c r="F2483" s="7" t="str">
        <f>IF(Plantilla_SCAN_EQ3_COUNT_2[[#This Row],[ID MATERIAL]]="","",IF(Plantilla_SCAN_EQ3_COUNT_2[[#This Row],[No. Empaques]]="",1,Plantilla_SCAN_EQ3_COUNT_2[[#This Row],[No. Empaques]]*1))</f>
        <v/>
      </c>
      <c r="G2483" s="7" t="str">
        <f>IF(Plantilla_SCAN_EQ3_COUNT_2[[#This Row],[ID MATERIAL]]="","","PZ")</f>
        <v/>
      </c>
      <c r="H2483" s="7" t="str">
        <f>IF(Plantilla_SCAN_EQ3_COUNT_2[[#This Row],[ID MATERIAL]]="","",$B$13)</f>
        <v/>
      </c>
      <c r="I2483" s="7" t="str">
        <f>IF(Plantilla_SCAN_EQ3_COUNT_2[[#This Row],[ID MATERIAL]]="","","Segundo Conteo")</f>
        <v/>
      </c>
    </row>
    <row r="2484" spans="1:9" s="7" customFormat="1" ht="15" x14ac:dyDescent="0.2">
      <c r="A2484" s="7" t="str">
        <f>IF(Plantilla_SCAN_EQ3_COUNT_2[[#This Row],[ID MATERIAL]]="","",SIGN(Plantilla_SCAN_EQ3_COUNT_2[[#This Row],[Cantidad]])+A2483)</f>
        <v/>
      </c>
      <c r="B2484" s="21" t="str">
        <f>IF(Plantilla_SCAN_EQ3_COUNT_2[[#This Row],[ID MATERIAL]]="","",B2483)</f>
        <v/>
      </c>
      <c r="C2484" s="21"/>
      <c r="D2484" s="21"/>
      <c r="E2484" s="7" t="str">
        <f>IF(Plantilla_SCAN_EQ3_COUNT_2[[#This Row],[ID MATERIAL]]="","",VLOOKUP(Plantilla_SCAN_EQ3_COUNT_2[[#This Row],[ID MATERIAL]],INVENTARIO!$A:$D,2,FALSE))</f>
        <v/>
      </c>
      <c r="F2484" s="7" t="str">
        <f>IF(Plantilla_SCAN_EQ3_COUNT_2[[#This Row],[ID MATERIAL]]="","",IF(Plantilla_SCAN_EQ3_COUNT_2[[#This Row],[No. Empaques]]="",1,Plantilla_SCAN_EQ3_COUNT_2[[#This Row],[No. Empaques]]*1))</f>
        <v/>
      </c>
      <c r="G2484" s="7" t="str">
        <f>IF(Plantilla_SCAN_EQ3_COUNT_2[[#This Row],[ID MATERIAL]]="","","PZ")</f>
        <v/>
      </c>
      <c r="H2484" s="7" t="str">
        <f>IF(Plantilla_SCAN_EQ3_COUNT_2[[#This Row],[ID MATERIAL]]="","",$B$13)</f>
        <v/>
      </c>
      <c r="I2484" s="7" t="str">
        <f>IF(Plantilla_SCAN_EQ3_COUNT_2[[#This Row],[ID MATERIAL]]="","","Segundo Conteo")</f>
        <v/>
      </c>
    </row>
    <row r="2485" spans="1:9" s="7" customFormat="1" ht="15" x14ac:dyDescent="0.2">
      <c r="A2485" s="7" t="str">
        <f>IF(Plantilla_SCAN_EQ3_COUNT_2[[#This Row],[ID MATERIAL]]="","",SIGN(Plantilla_SCAN_EQ3_COUNT_2[[#This Row],[Cantidad]])+A2484)</f>
        <v/>
      </c>
      <c r="B2485" s="21" t="str">
        <f>IF(Plantilla_SCAN_EQ3_COUNT_2[[#This Row],[ID MATERIAL]]="","",B2484)</f>
        <v/>
      </c>
      <c r="C2485" s="21"/>
      <c r="D2485" s="21"/>
      <c r="E2485" s="7" t="str">
        <f>IF(Plantilla_SCAN_EQ3_COUNT_2[[#This Row],[ID MATERIAL]]="","",VLOOKUP(Plantilla_SCAN_EQ3_COUNT_2[[#This Row],[ID MATERIAL]],INVENTARIO!$A:$D,2,FALSE))</f>
        <v/>
      </c>
      <c r="F2485" s="7" t="str">
        <f>IF(Plantilla_SCAN_EQ3_COUNT_2[[#This Row],[ID MATERIAL]]="","",IF(Plantilla_SCAN_EQ3_COUNT_2[[#This Row],[No. Empaques]]="",1,Plantilla_SCAN_EQ3_COUNT_2[[#This Row],[No. Empaques]]*1))</f>
        <v/>
      </c>
      <c r="G2485" s="7" t="str">
        <f>IF(Plantilla_SCAN_EQ3_COUNT_2[[#This Row],[ID MATERIAL]]="","","PZ")</f>
        <v/>
      </c>
      <c r="H2485" s="7" t="str">
        <f>IF(Plantilla_SCAN_EQ3_COUNT_2[[#This Row],[ID MATERIAL]]="","",$B$13)</f>
        <v/>
      </c>
      <c r="I2485" s="7" t="str">
        <f>IF(Plantilla_SCAN_EQ3_COUNT_2[[#This Row],[ID MATERIAL]]="","","Segundo Conteo")</f>
        <v/>
      </c>
    </row>
    <row r="2486" spans="1:9" s="7" customFormat="1" ht="15" x14ac:dyDescent="0.2">
      <c r="A2486" s="7" t="str">
        <f>IF(Plantilla_SCAN_EQ3_COUNT_2[[#This Row],[ID MATERIAL]]="","",SIGN(Plantilla_SCAN_EQ3_COUNT_2[[#This Row],[Cantidad]])+A2485)</f>
        <v/>
      </c>
      <c r="B2486" s="21" t="str">
        <f>IF(Plantilla_SCAN_EQ3_COUNT_2[[#This Row],[ID MATERIAL]]="","",B2485)</f>
        <v/>
      </c>
      <c r="C2486" s="21"/>
      <c r="D2486" s="21"/>
      <c r="E2486" s="7" t="str">
        <f>IF(Plantilla_SCAN_EQ3_COUNT_2[[#This Row],[ID MATERIAL]]="","",VLOOKUP(Plantilla_SCAN_EQ3_COUNT_2[[#This Row],[ID MATERIAL]],INVENTARIO!$A:$D,2,FALSE))</f>
        <v/>
      </c>
      <c r="F2486" s="7" t="str">
        <f>IF(Plantilla_SCAN_EQ3_COUNT_2[[#This Row],[ID MATERIAL]]="","",IF(Plantilla_SCAN_EQ3_COUNT_2[[#This Row],[No. Empaques]]="",1,Plantilla_SCAN_EQ3_COUNT_2[[#This Row],[No. Empaques]]*1))</f>
        <v/>
      </c>
      <c r="G2486" s="7" t="str">
        <f>IF(Plantilla_SCAN_EQ3_COUNT_2[[#This Row],[ID MATERIAL]]="","","PZ")</f>
        <v/>
      </c>
      <c r="H2486" s="7" t="str">
        <f>IF(Plantilla_SCAN_EQ3_COUNT_2[[#This Row],[ID MATERIAL]]="","",$B$13)</f>
        <v/>
      </c>
      <c r="I2486" s="7" t="str">
        <f>IF(Plantilla_SCAN_EQ3_COUNT_2[[#This Row],[ID MATERIAL]]="","","Segundo Conteo")</f>
        <v/>
      </c>
    </row>
    <row r="2487" spans="1:9" s="7" customFormat="1" ht="15" x14ac:dyDescent="0.2">
      <c r="A2487" s="7" t="str">
        <f>IF(Plantilla_SCAN_EQ3_COUNT_2[[#This Row],[ID MATERIAL]]="","",SIGN(Plantilla_SCAN_EQ3_COUNT_2[[#This Row],[Cantidad]])+A2486)</f>
        <v/>
      </c>
      <c r="B2487" s="21" t="str">
        <f>IF(Plantilla_SCAN_EQ3_COUNT_2[[#This Row],[ID MATERIAL]]="","",B2486)</f>
        <v/>
      </c>
      <c r="C2487" s="21"/>
      <c r="D2487" s="21"/>
      <c r="E2487" s="7" t="str">
        <f>IF(Plantilla_SCAN_EQ3_COUNT_2[[#This Row],[ID MATERIAL]]="","",VLOOKUP(Plantilla_SCAN_EQ3_COUNT_2[[#This Row],[ID MATERIAL]],INVENTARIO!$A:$D,2,FALSE))</f>
        <v/>
      </c>
      <c r="F2487" s="7" t="str">
        <f>IF(Plantilla_SCAN_EQ3_COUNT_2[[#This Row],[ID MATERIAL]]="","",IF(Plantilla_SCAN_EQ3_COUNT_2[[#This Row],[No. Empaques]]="",1,Plantilla_SCAN_EQ3_COUNT_2[[#This Row],[No. Empaques]]*1))</f>
        <v/>
      </c>
      <c r="G2487" s="7" t="str">
        <f>IF(Plantilla_SCAN_EQ3_COUNT_2[[#This Row],[ID MATERIAL]]="","","PZ")</f>
        <v/>
      </c>
      <c r="H2487" s="7" t="str">
        <f>IF(Plantilla_SCAN_EQ3_COUNT_2[[#This Row],[ID MATERIAL]]="","",$B$13)</f>
        <v/>
      </c>
      <c r="I2487" s="7" t="str">
        <f>IF(Plantilla_SCAN_EQ3_COUNT_2[[#This Row],[ID MATERIAL]]="","","Segundo Conteo")</f>
        <v/>
      </c>
    </row>
    <row r="2488" spans="1:9" s="7" customFormat="1" ht="15" x14ac:dyDescent="0.2">
      <c r="A2488" s="7" t="str">
        <f>IF(Plantilla_SCAN_EQ3_COUNT_2[[#This Row],[ID MATERIAL]]="","",SIGN(Plantilla_SCAN_EQ3_COUNT_2[[#This Row],[Cantidad]])+A2487)</f>
        <v/>
      </c>
      <c r="B2488" s="21" t="str">
        <f>IF(Plantilla_SCAN_EQ3_COUNT_2[[#This Row],[ID MATERIAL]]="","",B2487)</f>
        <v/>
      </c>
      <c r="C2488" s="21"/>
      <c r="D2488" s="21"/>
      <c r="E2488" s="7" t="str">
        <f>IF(Plantilla_SCAN_EQ3_COUNT_2[[#This Row],[ID MATERIAL]]="","",VLOOKUP(Plantilla_SCAN_EQ3_COUNT_2[[#This Row],[ID MATERIAL]],INVENTARIO!$A:$D,2,FALSE))</f>
        <v/>
      </c>
      <c r="F2488" s="7" t="str">
        <f>IF(Plantilla_SCAN_EQ3_COUNT_2[[#This Row],[ID MATERIAL]]="","",IF(Plantilla_SCAN_EQ3_COUNT_2[[#This Row],[No. Empaques]]="",1,Plantilla_SCAN_EQ3_COUNT_2[[#This Row],[No. Empaques]]*1))</f>
        <v/>
      </c>
      <c r="G2488" s="7" t="str">
        <f>IF(Plantilla_SCAN_EQ3_COUNT_2[[#This Row],[ID MATERIAL]]="","","PZ")</f>
        <v/>
      </c>
      <c r="H2488" s="7" t="str">
        <f>IF(Plantilla_SCAN_EQ3_COUNT_2[[#This Row],[ID MATERIAL]]="","",$B$13)</f>
        <v/>
      </c>
      <c r="I2488" s="7" t="str">
        <f>IF(Plantilla_SCAN_EQ3_COUNT_2[[#This Row],[ID MATERIAL]]="","","Segundo Conteo")</f>
        <v/>
      </c>
    </row>
    <row r="2489" spans="1:9" s="7" customFormat="1" ht="15" x14ac:dyDescent="0.2">
      <c r="A2489" s="7" t="str">
        <f>IF(Plantilla_SCAN_EQ3_COUNT_2[[#This Row],[ID MATERIAL]]="","",SIGN(Plantilla_SCAN_EQ3_COUNT_2[[#This Row],[Cantidad]])+A2488)</f>
        <v/>
      </c>
      <c r="B2489" s="21" t="str">
        <f>IF(Plantilla_SCAN_EQ3_COUNT_2[[#This Row],[ID MATERIAL]]="","",B2488)</f>
        <v/>
      </c>
      <c r="C2489" s="21"/>
      <c r="D2489" s="21"/>
      <c r="E2489" s="7" t="str">
        <f>IF(Plantilla_SCAN_EQ3_COUNT_2[[#This Row],[ID MATERIAL]]="","",VLOOKUP(Plantilla_SCAN_EQ3_COUNT_2[[#This Row],[ID MATERIAL]],INVENTARIO!$A:$D,2,FALSE))</f>
        <v/>
      </c>
      <c r="F2489" s="7" t="str">
        <f>IF(Plantilla_SCAN_EQ3_COUNT_2[[#This Row],[ID MATERIAL]]="","",IF(Plantilla_SCAN_EQ3_COUNT_2[[#This Row],[No. Empaques]]="",1,Plantilla_SCAN_EQ3_COUNT_2[[#This Row],[No. Empaques]]*1))</f>
        <v/>
      </c>
      <c r="G2489" s="7" t="str">
        <f>IF(Plantilla_SCAN_EQ3_COUNT_2[[#This Row],[ID MATERIAL]]="","","PZ")</f>
        <v/>
      </c>
      <c r="H2489" s="7" t="str">
        <f>IF(Plantilla_SCAN_EQ3_COUNT_2[[#This Row],[ID MATERIAL]]="","",$B$13)</f>
        <v/>
      </c>
      <c r="I2489" s="7" t="str">
        <f>IF(Plantilla_SCAN_EQ3_COUNT_2[[#This Row],[ID MATERIAL]]="","","Segundo Conteo")</f>
        <v/>
      </c>
    </row>
    <row r="2490" spans="1:9" s="7" customFormat="1" ht="15" x14ac:dyDescent="0.2">
      <c r="A2490" s="7" t="str">
        <f>IF(Plantilla_SCAN_EQ3_COUNT_2[[#This Row],[ID MATERIAL]]="","",SIGN(Plantilla_SCAN_EQ3_COUNT_2[[#This Row],[Cantidad]])+A2489)</f>
        <v/>
      </c>
      <c r="B2490" s="21" t="str">
        <f>IF(Plantilla_SCAN_EQ3_COUNT_2[[#This Row],[ID MATERIAL]]="","",B2489)</f>
        <v/>
      </c>
      <c r="C2490" s="21"/>
      <c r="D2490" s="21"/>
      <c r="E2490" s="7" t="str">
        <f>IF(Plantilla_SCAN_EQ3_COUNT_2[[#This Row],[ID MATERIAL]]="","",VLOOKUP(Plantilla_SCAN_EQ3_COUNT_2[[#This Row],[ID MATERIAL]],INVENTARIO!$A:$D,2,FALSE))</f>
        <v/>
      </c>
      <c r="F2490" s="7" t="str">
        <f>IF(Plantilla_SCAN_EQ3_COUNT_2[[#This Row],[ID MATERIAL]]="","",IF(Plantilla_SCAN_EQ3_COUNT_2[[#This Row],[No. Empaques]]="",1,Plantilla_SCAN_EQ3_COUNT_2[[#This Row],[No. Empaques]]*1))</f>
        <v/>
      </c>
      <c r="G2490" s="7" t="str">
        <f>IF(Plantilla_SCAN_EQ3_COUNT_2[[#This Row],[ID MATERIAL]]="","","PZ")</f>
        <v/>
      </c>
      <c r="H2490" s="7" t="str">
        <f>IF(Plantilla_SCAN_EQ3_COUNT_2[[#This Row],[ID MATERIAL]]="","",$B$13)</f>
        <v/>
      </c>
      <c r="I2490" s="7" t="str">
        <f>IF(Plantilla_SCAN_EQ3_COUNT_2[[#This Row],[ID MATERIAL]]="","","Segundo Conteo")</f>
        <v/>
      </c>
    </row>
    <row r="2491" spans="1:9" s="7" customFormat="1" ht="15" x14ac:dyDescent="0.2">
      <c r="A2491" s="7" t="str">
        <f>IF(Plantilla_SCAN_EQ3_COUNT_2[[#This Row],[ID MATERIAL]]="","",SIGN(Plantilla_SCAN_EQ3_COUNT_2[[#This Row],[Cantidad]])+A2490)</f>
        <v/>
      </c>
      <c r="B2491" s="21" t="str">
        <f>IF(Plantilla_SCAN_EQ3_COUNT_2[[#This Row],[ID MATERIAL]]="","",B2490)</f>
        <v/>
      </c>
      <c r="C2491" s="21"/>
      <c r="D2491" s="21"/>
      <c r="E2491" s="7" t="str">
        <f>IF(Plantilla_SCAN_EQ3_COUNT_2[[#This Row],[ID MATERIAL]]="","",VLOOKUP(Plantilla_SCAN_EQ3_COUNT_2[[#This Row],[ID MATERIAL]],INVENTARIO!$A:$D,2,FALSE))</f>
        <v/>
      </c>
      <c r="F2491" s="7" t="str">
        <f>IF(Plantilla_SCAN_EQ3_COUNT_2[[#This Row],[ID MATERIAL]]="","",IF(Plantilla_SCAN_EQ3_COUNT_2[[#This Row],[No. Empaques]]="",1,Plantilla_SCAN_EQ3_COUNT_2[[#This Row],[No. Empaques]]*1))</f>
        <v/>
      </c>
      <c r="G2491" s="7" t="str">
        <f>IF(Plantilla_SCAN_EQ3_COUNT_2[[#This Row],[ID MATERIAL]]="","","PZ")</f>
        <v/>
      </c>
      <c r="H2491" s="7" t="str">
        <f>IF(Plantilla_SCAN_EQ3_COUNT_2[[#This Row],[ID MATERIAL]]="","",$B$13)</f>
        <v/>
      </c>
      <c r="I2491" s="7" t="str">
        <f>IF(Plantilla_SCAN_EQ3_COUNT_2[[#This Row],[ID MATERIAL]]="","","Segundo Conteo")</f>
        <v/>
      </c>
    </row>
    <row r="2492" spans="1:9" s="7" customFormat="1" ht="15" x14ac:dyDescent="0.2">
      <c r="A2492" s="7" t="str">
        <f>IF(Plantilla_SCAN_EQ3_COUNT_2[[#This Row],[ID MATERIAL]]="","",SIGN(Plantilla_SCAN_EQ3_COUNT_2[[#This Row],[Cantidad]])+A2491)</f>
        <v/>
      </c>
      <c r="B2492" s="21" t="str">
        <f>IF(Plantilla_SCAN_EQ3_COUNT_2[[#This Row],[ID MATERIAL]]="","",B2491)</f>
        <v/>
      </c>
      <c r="C2492" s="21"/>
      <c r="D2492" s="21"/>
      <c r="E2492" s="7" t="str">
        <f>IF(Plantilla_SCAN_EQ3_COUNT_2[[#This Row],[ID MATERIAL]]="","",VLOOKUP(Plantilla_SCAN_EQ3_COUNT_2[[#This Row],[ID MATERIAL]],INVENTARIO!$A:$D,2,FALSE))</f>
        <v/>
      </c>
      <c r="F2492" s="7" t="str">
        <f>IF(Plantilla_SCAN_EQ3_COUNT_2[[#This Row],[ID MATERIAL]]="","",IF(Plantilla_SCAN_EQ3_COUNT_2[[#This Row],[No. Empaques]]="",1,Plantilla_SCAN_EQ3_COUNT_2[[#This Row],[No. Empaques]]*1))</f>
        <v/>
      </c>
      <c r="G2492" s="7" t="str">
        <f>IF(Plantilla_SCAN_EQ3_COUNT_2[[#This Row],[ID MATERIAL]]="","","PZ")</f>
        <v/>
      </c>
      <c r="H2492" s="7" t="str">
        <f>IF(Plantilla_SCAN_EQ3_COUNT_2[[#This Row],[ID MATERIAL]]="","",$B$13)</f>
        <v/>
      </c>
      <c r="I2492" s="7" t="str">
        <f>IF(Plantilla_SCAN_EQ3_COUNT_2[[#This Row],[ID MATERIAL]]="","","Segundo Conteo")</f>
        <v/>
      </c>
    </row>
    <row r="2493" spans="1:9" s="7" customFormat="1" ht="15" x14ac:dyDescent="0.2">
      <c r="A2493" s="7" t="str">
        <f>IF(Plantilla_SCAN_EQ3_COUNT_2[[#This Row],[ID MATERIAL]]="","",SIGN(Plantilla_SCAN_EQ3_COUNT_2[[#This Row],[Cantidad]])+A2492)</f>
        <v/>
      </c>
      <c r="B2493" s="21" t="str">
        <f>IF(Plantilla_SCAN_EQ3_COUNT_2[[#This Row],[ID MATERIAL]]="","",B2492)</f>
        <v/>
      </c>
      <c r="C2493" s="21"/>
      <c r="D2493" s="21"/>
      <c r="E2493" s="7" t="str">
        <f>IF(Plantilla_SCAN_EQ3_COUNT_2[[#This Row],[ID MATERIAL]]="","",VLOOKUP(Plantilla_SCAN_EQ3_COUNT_2[[#This Row],[ID MATERIAL]],INVENTARIO!$A:$D,2,FALSE))</f>
        <v/>
      </c>
      <c r="F2493" s="7" t="str">
        <f>IF(Plantilla_SCAN_EQ3_COUNT_2[[#This Row],[ID MATERIAL]]="","",IF(Plantilla_SCAN_EQ3_COUNT_2[[#This Row],[No. Empaques]]="",1,Plantilla_SCAN_EQ3_COUNT_2[[#This Row],[No. Empaques]]*1))</f>
        <v/>
      </c>
      <c r="G2493" s="7" t="str">
        <f>IF(Plantilla_SCAN_EQ3_COUNT_2[[#This Row],[ID MATERIAL]]="","","PZ")</f>
        <v/>
      </c>
      <c r="H2493" s="7" t="str">
        <f>IF(Plantilla_SCAN_EQ3_COUNT_2[[#This Row],[ID MATERIAL]]="","",$B$13)</f>
        <v/>
      </c>
      <c r="I2493" s="7" t="str">
        <f>IF(Plantilla_SCAN_EQ3_COUNT_2[[#This Row],[ID MATERIAL]]="","","Segundo Conteo")</f>
        <v/>
      </c>
    </row>
    <row r="2494" spans="1:9" s="7" customFormat="1" ht="15" x14ac:dyDescent="0.2">
      <c r="A2494" s="7" t="str">
        <f>IF(Plantilla_SCAN_EQ3_COUNT_2[[#This Row],[ID MATERIAL]]="","",SIGN(Plantilla_SCAN_EQ3_COUNT_2[[#This Row],[Cantidad]])+A2493)</f>
        <v/>
      </c>
      <c r="B2494" s="21" t="str">
        <f>IF(Plantilla_SCAN_EQ3_COUNT_2[[#This Row],[ID MATERIAL]]="","",B2493)</f>
        <v/>
      </c>
      <c r="C2494" s="21"/>
      <c r="D2494" s="21"/>
      <c r="E2494" s="7" t="str">
        <f>IF(Plantilla_SCAN_EQ3_COUNT_2[[#This Row],[ID MATERIAL]]="","",VLOOKUP(Plantilla_SCAN_EQ3_COUNT_2[[#This Row],[ID MATERIAL]],INVENTARIO!$A:$D,2,FALSE))</f>
        <v/>
      </c>
      <c r="F2494" s="7" t="str">
        <f>IF(Plantilla_SCAN_EQ3_COUNT_2[[#This Row],[ID MATERIAL]]="","",IF(Plantilla_SCAN_EQ3_COUNT_2[[#This Row],[No. Empaques]]="",1,Plantilla_SCAN_EQ3_COUNT_2[[#This Row],[No. Empaques]]*1))</f>
        <v/>
      </c>
      <c r="G2494" s="7" t="str">
        <f>IF(Plantilla_SCAN_EQ3_COUNT_2[[#This Row],[ID MATERIAL]]="","","PZ")</f>
        <v/>
      </c>
      <c r="H2494" s="7" t="str">
        <f>IF(Plantilla_SCAN_EQ3_COUNT_2[[#This Row],[ID MATERIAL]]="","",$B$13)</f>
        <v/>
      </c>
      <c r="I2494" s="7" t="str">
        <f>IF(Plantilla_SCAN_EQ3_COUNT_2[[#This Row],[ID MATERIAL]]="","","Segundo Conteo")</f>
        <v/>
      </c>
    </row>
    <row r="2495" spans="1:9" s="7" customFormat="1" ht="15" x14ac:dyDescent="0.2">
      <c r="A2495" s="7" t="str">
        <f>IF(Plantilla_SCAN_EQ3_COUNT_2[[#This Row],[ID MATERIAL]]="","",SIGN(Plantilla_SCAN_EQ3_COUNT_2[[#This Row],[Cantidad]])+A2494)</f>
        <v/>
      </c>
      <c r="B2495" s="21" t="str">
        <f>IF(Plantilla_SCAN_EQ3_COUNT_2[[#This Row],[ID MATERIAL]]="","",B2494)</f>
        <v/>
      </c>
      <c r="C2495" s="21"/>
      <c r="D2495" s="21"/>
      <c r="E2495" s="7" t="str">
        <f>IF(Plantilla_SCAN_EQ3_COUNT_2[[#This Row],[ID MATERIAL]]="","",VLOOKUP(Plantilla_SCAN_EQ3_COUNT_2[[#This Row],[ID MATERIAL]],INVENTARIO!$A:$D,2,FALSE))</f>
        <v/>
      </c>
      <c r="F2495" s="7" t="str">
        <f>IF(Plantilla_SCAN_EQ3_COUNT_2[[#This Row],[ID MATERIAL]]="","",IF(Plantilla_SCAN_EQ3_COUNT_2[[#This Row],[No. Empaques]]="",1,Plantilla_SCAN_EQ3_COUNT_2[[#This Row],[No. Empaques]]*1))</f>
        <v/>
      </c>
      <c r="G2495" s="7" t="str">
        <f>IF(Plantilla_SCAN_EQ3_COUNT_2[[#This Row],[ID MATERIAL]]="","","PZ")</f>
        <v/>
      </c>
      <c r="H2495" s="7" t="str">
        <f>IF(Plantilla_SCAN_EQ3_COUNT_2[[#This Row],[ID MATERIAL]]="","",$B$13)</f>
        <v/>
      </c>
      <c r="I2495" s="7" t="str">
        <f>IF(Plantilla_SCAN_EQ3_COUNT_2[[#This Row],[ID MATERIAL]]="","","Segundo Conteo")</f>
        <v/>
      </c>
    </row>
    <row r="2496" spans="1:9" s="7" customFormat="1" ht="15" x14ac:dyDescent="0.2">
      <c r="A2496" s="7" t="str">
        <f>IF(Plantilla_SCAN_EQ3_COUNT_2[[#This Row],[ID MATERIAL]]="","",SIGN(Plantilla_SCAN_EQ3_COUNT_2[[#This Row],[Cantidad]])+A2495)</f>
        <v/>
      </c>
      <c r="B2496" s="21" t="str">
        <f>IF(Plantilla_SCAN_EQ3_COUNT_2[[#This Row],[ID MATERIAL]]="","",B2495)</f>
        <v/>
      </c>
      <c r="C2496" s="21"/>
      <c r="D2496" s="21"/>
      <c r="E2496" s="7" t="str">
        <f>IF(Plantilla_SCAN_EQ3_COUNT_2[[#This Row],[ID MATERIAL]]="","",VLOOKUP(Plantilla_SCAN_EQ3_COUNT_2[[#This Row],[ID MATERIAL]],INVENTARIO!$A:$D,2,FALSE))</f>
        <v/>
      </c>
      <c r="F2496" s="7" t="str">
        <f>IF(Plantilla_SCAN_EQ3_COUNT_2[[#This Row],[ID MATERIAL]]="","",IF(Plantilla_SCAN_EQ3_COUNT_2[[#This Row],[No. Empaques]]="",1,Plantilla_SCAN_EQ3_COUNT_2[[#This Row],[No. Empaques]]*1))</f>
        <v/>
      </c>
      <c r="G2496" s="7" t="str">
        <f>IF(Plantilla_SCAN_EQ3_COUNT_2[[#This Row],[ID MATERIAL]]="","","PZ")</f>
        <v/>
      </c>
      <c r="H2496" s="7" t="str">
        <f>IF(Plantilla_SCAN_EQ3_COUNT_2[[#This Row],[ID MATERIAL]]="","",$B$13)</f>
        <v/>
      </c>
      <c r="I2496" s="7" t="str">
        <f>IF(Plantilla_SCAN_EQ3_COUNT_2[[#This Row],[ID MATERIAL]]="","","Segundo Conteo")</f>
        <v/>
      </c>
    </row>
    <row r="2497" spans="1:9" s="7" customFormat="1" ht="15" x14ac:dyDescent="0.2">
      <c r="A2497" s="7" t="str">
        <f>IF(Plantilla_SCAN_EQ3_COUNT_2[[#This Row],[ID MATERIAL]]="","",SIGN(Plantilla_SCAN_EQ3_COUNT_2[[#This Row],[Cantidad]])+A2496)</f>
        <v/>
      </c>
      <c r="B2497" s="21" t="str">
        <f>IF(Plantilla_SCAN_EQ3_COUNT_2[[#This Row],[ID MATERIAL]]="","",B2496)</f>
        <v/>
      </c>
      <c r="C2497" s="21"/>
      <c r="D2497" s="21"/>
      <c r="E2497" s="7" t="str">
        <f>IF(Plantilla_SCAN_EQ3_COUNT_2[[#This Row],[ID MATERIAL]]="","",VLOOKUP(Plantilla_SCAN_EQ3_COUNT_2[[#This Row],[ID MATERIAL]],INVENTARIO!$A:$D,2,FALSE))</f>
        <v/>
      </c>
      <c r="F2497" s="7" t="str">
        <f>IF(Plantilla_SCAN_EQ3_COUNT_2[[#This Row],[ID MATERIAL]]="","",IF(Plantilla_SCAN_EQ3_COUNT_2[[#This Row],[No. Empaques]]="",1,Plantilla_SCAN_EQ3_COUNT_2[[#This Row],[No. Empaques]]*1))</f>
        <v/>
      </c>
      <c r="G2497" s="7" t="str">
        <f>IF(Plantilla_SCAN_EQ3_COUNT_2[[#This Row],[ID MATERIAL]]="","","PZ")</f>
        <v/>
      </c>
      <c r="H2497" s="7" t="str">
        <f>IF(Plantilla_SCAN_EQ3_COUNT_2[[#This Row],[ID MATERIAL]]="","",$B$13)</f>
        <v/>
      </c>
      <c r="I2497" s="7" t="str">
        <f>IF(Plantilla_SCAN_EQ3_COUNT_2[[#This Row],[ID MATERIAL]]="","","Segundo Conteo")</f>
        <v/>
      </c>
    </row>
    <row r="2498" spans="1:9" s="7" customFormat="1" ht="15" x14ac:dyDescent="0.2">
      <c r="A2498" s="7" t="str">
        <f>IF(Plantilla_SCAN_EQ3_COUNT_2[[#This Row],[ID MATERIAL]]="","",SIGN(Plantilla_SCAN_EQ3_COUNT_2[[#This Row],[Cantidad]])+A2497)</f>
        <v/>
      </c>
      <c r="B2498" s="21" t="str">
        <f>IF(Plantilla_SCAN_EQ3_COUNT_2[[#This Row],[ID MATERIAL]]="","",B2497)</f>
        <v/>
      </c>
      <c r="C2498" s="21"/>
      <c r="D2498" s="21"/>
      <c r="E2498" s="7" t="str">
        <f>IF(Plantilla_SCAN_EQ3_COUNT_2[[#This Row],[ID MATERIAL]]="","",VLOOKUP(Plantilla_SCAN_EQ3_COUNT_2[[#This Row],[ID MATERIAL]],INVENTARIO!$A:$D,2,FALSE))</f>
        <v/>
      </c>
      <c r="F2498" s="7" t="str">
        <f>IF(Plantilla_SCAN_EQ3_COUNT_2[[#This Row],[ID MATERIAL]]="","",IF(Plantilla_SCAN_EQ3_COUNT_2[[#This Row],[No. Empaques]]="",1,Plantilla_SCAN_EQ3_COUNT_2[[#This Row],[No. Empaques]]*1))</f>
        <v/>
      </c>
      <c r="G2498" s="7" t="str">
        <f>IF(Plantilla_SCAN_EQ3_COUNT_2[[#This Row],[ID MATERIAL]]="","","PZ")</f>
        <v/>
      </c>
      <c r="H2498" s="7" t="str">
        <f>IF(Plantilla_SCAN_EQ3_COUNT_2[[#This Row],[ID MATERIAL]]="","",$B$13)</f>
        <v/>
      </c>
      <c r="I2498" s="7" t="str">
        <f>IF(Plantilla_SCAN_EQ3_COUNT_2[[#This Row],[ID MATERIAL]]="","","Segundo Conteo")</f>
        <v/>
      </c>
    </row>
    <row r="2499" spans="1:9" s="7" customFormat="1" ht="15" x14ac:dyDescent="0.2">
      <c r="A2499" s="7" t="str">
        <f>IF(Plantilla_SCAN_EQ3_COUNT_2[[#This Row],[ID MATERIAL]]="","",SIGN(Plantilla_SCAN_EQ3_COUNT_2[[#This Row],[Cantidad]])+A2498)</f>
        <v/>
      </c>
      <c r="B2499" s="21" t="str">
        <f>IF(Plantilla_SCAN_EQ3_COUNT_2[[#This Row],[ID MATERIAL]]="","",B2498)</f>
        <v/>
      </c>
      <c r="C2499" s="21"/>
      <c r="D2499" s="21"/>
      <c r="E2499" s="7" t="str">
        <f>IF(Plantilla_SCAN_EQ3_COUNT_2[[#This Row],[ID MATERIAL]]="","",VLOOKUP(Plantilla_SCAN_EQ3_COUNT_2[[#This Row],[ID MATERIAL]],INVENTARIO!$A:$D,2,FALSE))</f>
        <v/>
      </c>
      <c r="F2499" s="7" t="str">
        <f>IF(Plantilla_SCAN_EQ3_COUNT_2[[#This Row],[ID MATERIAL]]="","",IF(Plantilla_SCAN_EQ3_COUNT_2[[#This Row],[No. Empaques]]="",1,Plantilla_SCAN_EQ3_COUNT_2[[#This Row],[No. Empaques]]*1))</f>
        <v/>
      </c>
      <c r="G2499" s="7" t="str">
        <f>IF(Plantilla_SCAN_EQ3_COUNT_2[[#This Row],[ID MATERIAL]]="","","PZ")</f>
        <v/>
      </c>
      <c r="H2499" s="7" t="str">
        <f>IF(Plantilla_SCAN_EQ3_COUNT_2[[#This Row],[ID MATERIAL]]="","",$B$13)</f>
        <v/>
      </c>
      <c r="I2499" s="7" t="str">
        <f>IF(Plantilla_SCAN_EQ3_COUNT_2[[#This Row],[ID MATERIAL]]="","","Segundo Conteo")</f>
        <v/>
      </c>
    </row>
    <row r="2500" spans="1:9" s="7" customFormat="1" ht="15" x14ac:dyDescent="0.2">
      <c r="A2500" s="7" t="str">
        <f>IF(Plantilla_SCAN_EQ3_COUNT_2[[#This Row],[ID MATERIAL]]="","",SIGN(Plantilla_SCAN_EQ3_COUNT_2[[#This Row],[Cantidad]])+A2499)</f>
        <v/>
      </c>
      <c r="B2500" s="21" t="str">
        <f>IF(Plantilla_SCAN_EQ3_COUNT_2[[#This Row],[ID MATERIAL]]="","",B2499)</f>
        <v/>
      </c>
      <c r="C2500" s="21"/>
      <c r="D2500" s="21"/>
      <c r="E2500" s="7" t="str">
        <f>IF(Plantilla_SCAN_EQ3_COUNT_2[[#This Row],[ID MATERIAL]]="","",VLOOKUP(Plantilla_SCAN_EQ3_COUNT_2[[#This Row],[ID MATERIAL]],INVENTARIO!$A:$D,2,FALSE))</f>
        <v/>
      </c>
      <c r="F2500" s="7" t="str">
        <f>IF(Plantilla_SCAN_EQ3_COUNT_2[[#This Row],[ID MATERIAL]]="","",IF(Plantilla_SCAN_EQ3_COUNT_2[[#This Row],[No. Empaques]]="",1,Plantilla_SCAN_EQ3_COUNT_2[[#This Row],[No. Empaques]]*1))</f>
        <v/>
      </c>
      <c r="G2500" s="7" t="str">
        <f>IF(Plantilla_SCAN_EQ3_COUNT_2[[#This Row],[ID MATERIAL]]="","","PZ")</f>
        <v/>
      </c>
      <c r="H2500" s="7" t="str">
        <f>IF(Plantilla_SCAN_EQ3_COUNT_2[[#This Row],[ID MATERIAL]]="","",$B$13)</f>
        <v/>
      </c>
      <c r="I2500" s="7" t="str">
        <f>IF(Plantilla_SCAN_EQ3_COUNT_2[[#This Row],[ID MATERIAL]]="","","Segundo Conteo")</f>
        <v/>
      </c>
    </row>
    <row r="2501" spans="1:9" s="7" customFormat="1" ht="15" x14ac:dyDescent="0.2">
      <c r="A2501" s="7" t="str">
        <f>IF(Plantilla_SCAN_EQ3_COUNT_2[[#This Row],[ID MATERIAL]]="","",SIGN(Plantilla_SCAN_EQ3_COUNT_2[[#This Row],[Cantidad]])+A2500)</f>
        <v/>
      </c>
      <c r="B2501" s="21" t="str">
        <f>IF(Plantilla_SCAN_EQ3_COUNT_2[[#This Row],[ID MATERIAL]]="","",B2500)</f>
        <v/>
      </c>
      <c r="C2501" s="21"/>
      <c r="D2501" s="21"/>
      <c r="E2501" s="7" t="str">
        <f>IF(Plantilla_SCAN_EQ3_COUNT_2[[#This Row],[ID MATERIAL]]="","",VLOOKUP(Plantilla_SCAN_EQ3_COUNT_2[[#This Row],[ID MATERIAL]],INVENTARIO!$A:$D,2,FALSE))</f>
        <v/>
      </c>
      <c r="F2501" s="7" t="str">
        <f>IF(Plantilla_SCAN_EQ3_COUNT_2[[#This Row],[ID MATERIAL]]="","",IF(Plantilla_SCAN_EQ3_COUNT_2[[#This Row],[No. Empaques]]="",1,Plantilla_SCAN_EQ3_COUNT_2[[#This Row],[No. Empaques]]*1))</f>
        <v/>
      </c>
      <c r="G2501" s="7" t="str">
        <f>IF(Plantilla_SCAN_EQ3_COUNT_2[[#This Row],[ID MATERIAL]]="","","PZ")</f>
        <v/>
      </c>
      <c r="H2501" s="7" t="str">
        <f>IF(Plantilla_SCAN_EQ3_COUNT_2[[#This Row],[ID MATERIAL]]="","",$B$13)</f>
        <v/>
      </c>
      <c r="I2501" s="7" t="str">
        <f>IF(Plantilla_SCAN_EQ3_COUNT_2[[#This Row],[ID MATERIAL]]="","","Segundo Conteo")</f>
        <v/>
      </c>
    </row>
    <row r="2502" spans="1:9" s="7" customFormat="1" ht="15" x14ac:dyDescent="0.2">
      <c r="A2502" s="7" t="str">
        <f>IF(Plantilla_SCAN_EQ3_COUNT_2[[#This Row],[ID MATERIAL]]="","",SIGN(Plantilla_SCAN_EQ3_COUNT_2[[#This Row],[Cantidad]])+A2501)</f>
        <v/>
      </c>
      <c r="B2502" s="21" t="str">
        <f>IF(Plantilla_SCAN_EQ3_COUNT_2[[#This Row],[ID MATERIAL]]="","",B2501)</f>
        <v/>
      </c>
      <c r="C2502" s="21"/>
      <c r="D2502" s="21"/>
      <c r="E2502" s="7" t="str">
        <f>IF(Plantilla_SCAN_EQ3_COUNT_2[[#This Row],[ID MATERIAL]]="","",VLOOKUP(Plantilla_SCAN_EQ3_COUNT_2[[#This Row],[ID MATERIAL]],INVENTARIO!$A:$D,2,FALSE))</f>
        <v/>
      </c>
      <c r="F2502" s="7" t="str">
        <f>IF(Plantilla_SCAN_EQ3_COUNT_2[[#This Row],[ID MATERIAL]]="","",IF(Plantilla_SCAN_EQ3_COUNT_2[[#This Row],[No. Empaques]]="",1,Plantilla_SCAN_EQ3_COUNT_2[[#This Row],[No. Empaques]]*1))</f>
        <v/>
      </c>
      <c r="G2502" s="7" t="str">
        <f>IF(Plantilla_SCAN_EQ3_COUNT_2[[#This Row],[ID MATERIAL]]="","","PZ")</f>
        <v/>
      </c>
      <c r="H2502" s="7" t="str">
        <f>IF(Plantilla_SCAN_EQ3_COUNT_2[[#This Row],[ID MATERIAL]]="","",$B$13)</f>
        <v/>
      </c>
      <c r="I2502" s="7" t="str">
        <f>IF(Plantilla_SCAN_EQ3_COUNT_2[[#This Row],[ID MATERIAL]]="","","Segundo Conteo")</f>
        <v/>
      </c>
    </row>
    <row r="2503" spans="1:9" s="7" customFormat="1" ht="15" x14ac:dyDescent="0.2">
      <c r="A2503" s="7" t="str">
        <f>IF(Plantilla_SCAN_EQ3_COUNT_2[[#This Row],[ID MATERIAL]]="","",SIGN(Plantilla_SCAN_EQ3_COUNT_2[[#This Row],[Cantidad]])+A2502)</f>
        <v/>
      </c>
      <c r="B2503" s="21" t="str">
        <f>IF(Plantilla_SCAN_EQ3_COUNT_2[[#This Row],[ID MATERIAL]]="","",B2502)</f>
        <v/>
      </c>
      <c r="C2503" s="21"/>
      <c r="D2503" s="21"/>
      <c r="E2503" s="7" t="str">
        <f>IF(Plantilla_SCAN_EQ3_COUNT_2[[#This Row],[ID MATERIAL]]="","",VLOOKUP(Plantilla_SCAN_EQ3_COUNT_2[[#This Row],[ID MATERIAL]],INVENTARIO!$A:$D,2,FALSE))</f>
        <v/>
      </c>
      <c r="F2503" s="7" t="str">
        <f>IF(Plantilla_SCAN_EQ3_COUNT_2[[#This Row],[ID MATERIAL]]="","",IF(Plantilla_SCAN_EQ3_COUNT_2[[#This Row],[No. Empaques]]="",1,Plantilla_SCAN_EQ3_COUNT_2[[#This Row],[No. Empaques]]*1))</f>
        <v/>
      </c>
      <c r="G2503" s="7" t="str">
        <f>IF(Plantilla_SCAN_EQ3_COUNT_2[[#This Row],[ID MATERIAL]]="","","PZ")</f>
        <v/>
      </c>
      <c r="H2503" s="7" t="str">
        <f>IF(Plantilla_SCAN_EQ3_COUNT_2[[#This Row],[ID MATERIAL]]="","",$B$13)</f>
        <v/>
      </c>
      <c r="I2503" s="7" t="str">
        <f>IF(Plantilla_SCAN_EQ3_COUNT_2[[#This Row],[ID MATERIAL]]="","","Segundo Conteo")</f>
        <v/>
      </c>
    </row>
    <row r="2504" spans="1:9" s="7" customFormat="1" ht="15" x14ac:dyDescent="0.2">
      <c r="A2504" s="7" t="str">
        <f>IF(Plantilla_SCAN_EQ3_COUNT_2[[#This Row],[ID MATERIAL]]="","",SIGN(Plantilla_SCAN_EQ3_COUNT_2[[#This Row],[Cantidad]])+A2503)</f>
        <v/>
      </c>
      <c r="B2504" s="21" t="str">
        <f>IF(Plantilla_SCAN_EQ3_COUNT_2[[#This Row],[ID MATERIAL]]="","",B2503)</f>
        <v/>
      </c>
      <c r="C2504" s="21"/>
      <c r="D2504" s="21"/>
      <c r="E2504" s="7" t="str">
        <f>IF(Plantilla_SCAN_EQ3_COUNT_2[[#This Row],[ID MATERIAL]]="","",VLOOKUP(Plantilla_SCAN_EQ3_COUNT_2[[#This Row],[ID MATERIAL]],INVENTARIO!$A:$D,2,FALSE))</f>
        <v/>
      </c>
      <c r="F2504" s="7" t="str">
        <f>IF(Plantilla_SCAN_EQ3_COUNT_2[[#This Row],[ID MATERIAL]]="","",IF(Plantilla_SCAN_EQ3_COUNT_2[[#This Row],[No. Empaques]]="",1,Plantilla_SCAN_EQ3_COUNT_2[[#This Row],[No. Empaques]]*1))</f>
        <v/>
      </c>
      <c r="G2504" s="7" t="str">
        <f>IF(Plantilla_SCAN_EQ3_COUNT_2[[#This Row],[ID MATERIAL]]="","","PZ")</f>
        <v/>
      </c>
      <c r="H2504" s="7" t="str">
        <f>IF(Plantilla_SCAN_EQ3_COUNT_2[[#This Row],[ID MATERIAL]]="","",$B$13)</f>
        <v/>
      </c>
      <c r="I2504" s="7" t="str">
        <f>IF(Plantilla_SCAN_EQ3_COUNT_2[[#This Row],[ID MATERIAL]]="","","Segundo Conteo")</f>
        <v/>
      </c>
    </row>
    <row r="2505" spans="1:9" s="7" customFormat="1" ht="15" x14ac:dyDescent="0.2">
      <c r="A2505" s="7" t="str">
        <f>IF(Plantilla_SCAN_EQ3_COUNT_2[[#This Row],[ID MATERIAL]]="","",SIGN(Plantilla_SCAN_EQ3_COUNT_2[[#This Row],[Cantidad]])+A2504)</f>
        <v/>
      </c>
      <c r="B2505" s="21" t="str">
        <f>IF(Plantilla_SCAN_EQ3_COUNT_2[[#This Row],[ID MATERIAL]]="","",B2504)</f>
        <v/>
      </c>
      <c r="C2505" s="21"/>
      <c r="D2505" s="21"/>
      <c r="E2505" s="7" t="str">
        <f>IF(Plantilla_SCAN_EQ3_COUNT_2[[#This Row],[ID MATERIAL]]="","",VLOOKUP(Plantilla_SCAN_EQ3_COUNT_2[[#This Row],[ID MATERIAL]],INVENTARIO!$A:$D,2,FALSE))</f>
        <v/>
      </c>
      <c r="F2505" s="7" t="str">
        <f>IF(Plantilla_SCAN_EQ3_COUNT_2[[#This Row],[ID MATERIAL]]="","",IF(Plantilla_SCAN_EQ3_COUNT_2[[#This Row],[No. Empaques]]="",1,Plantilla_SCAN_EQ3_COUNT_2[[#This Row],[No. Empaques]]*1))</f>
        <v/>
      </c>
      <c r="G2505" s="7" t="str">
        <f>IF(Plantilla_SCAN_EQ3_COUNT_2[[#This Row],[ID MATERIAL]]="","","PZ")</f>
        <v/>
      </c>
      <c r="H2505" s="7" t="str">
        <f>IF(Plantilla_SCAN_EQ3_COUNT_2[[#This Row],[ID MATERIAL]]="","",$B$13)</f>
        <v/>
      </c>
      <c r="I2505" s="7" t="str">
        <f>IF(Plantilla_SCAN_EQ3_COUNT_2[[#This Row],[ID MATERIAL]]="","","Segundo Conteo")</f>
        <v/>
      </c>
    </row>
    <row r="2506" spans="1:9" s="7" customFormat="1" ht="15" x14ac:dyDescent="0.2">
      <c r="A2506" s="7" t="str">
        <f>IF(Plantilla_SCAN_EQ3_COUNT_2[[#This Row],[ID MATERIAL]]="","",SIGN(Plantilla_SCAN_EQ3_COUNT_2[[#This Row],[Cantidad]])+A2505)</f>
        <v/>
      </c>
      <c r="B2506" s="21" t="str">
        <f>IF(Plantilla_SCAN_EQ3_COUNT_2[[#This Row],[ID MATERIAL]]="","",B2505)</f>
        <v/>
      </c>
      <c r="C2506" s="21"/>
      <c r="D2506" s="21"/>
      <c r="E2506" s="7" t="str">
        <f>IF(Plantilla_SCAN_EQ3_COUNT_2[[#This Row],[ID MATERIAL]]="","",VLOOKUP(Plantilla_SCAN_EQ3_COUNT_2[[#This Row],[ID MATERIAL]],INVENTARIO!$A:$D,2,FALSE))</f>
        <v/>
      </c>
      <c r="F2506" s="7" t="str">
        <f>IF(Plantilla_SCAN_EQ3_COUNT_2[[#This Row],[ID MATERIAL]]="","",IF(Plantilla_SCAN_EQ3_COUNT_2[[#This Row],[No. Empaques]]="",1,Plantilla_SCAN_EQ3_COUNT_2[[#This Row],[No. Empaques]]*1))</f>
        <v/>
      </c>
      <c r="G2506" s="7" t="str">
        <f>IF(Plantilla_SCAN_EQ3_COUNT_2[[#This Row],[ID MATERIAL]]="","","PZ")</f>
        <v/>
      </c>
      <c r="H2506" s="7" t="str">
        <f>IF(Plantilla_SCAN_EQ3_COUNT_2[[#This Row],[ID MATERIAL]]="","",$B$13)</f>
        <v/>
      </c>
      <c r="I2506" s="7" t="str">
        <f>IF(Plantilla_SCAN_EQ3_COUNT_2[[#This Row],[ID MATERIAL]]="","","Segundo Conteo")</f>
        <v/>
      </c>
    </row>
    <row r="2507" spans="1:9" s="7" customFormat="1" ht="15" x14ac:dyDescent="0.2">
      <c r="A2507" s="7" t="str">
        <f>IF(Plantilla_SCAN_EQ3_COUNT_2[[#This Row],[ID MATERIAL]]="","",SIGN(Plantilla_SCAN_EQ3_COUNT_2[[#This Row],[Cantidad]])+A2506)</f>
        <v/>
      </c>
      <c r="B2507" s="21" t="str">
        <f>IF(Plantilla_SCAN_EQ3_COUNT_2[[#This Row],[ID MATERIAL]]="","",B2506)</f>
        <v/>
      </c>
      <c r="C2507" s="21"/>
      <c r="D2507" s="21"/>
      <c r="E2507" s="7" t="str">
        <f>IF(Plantilla_SCAN_EQ3_COUNT_2[[#This Row],[ID MATERIAL]]="","",VLOOKUP(Plantilla_SCAN_EQ3_COUNT_2[[#This Row],[ID MATERIAL]],INVENTARIO!$A:$D,2,FALSE))</f>
        <v/>
      </c>
      <c r="F2507" s="7" t="str">
        <f>IF(Plantilla_SCAN_EQ3_COUNT_2[[#This Row],[ID MATERIAL]]="","",IF(Plantilla_SCAN_EQ3_COUNT_2[[#This Row],[No. Empaques]]="",1,Plantilla_SCAN_EQ3_COUNT_2[[#This Row],[No. Empaques]]*1))</f>
        <v/>
      </c>
      <c r="G2507" s="7" t="str">
        <f>IF(Plantilla_SCAN_EQ3_COUNT_2[[#This Row],[ID MATERIAL]]="","","PZ")</f>
        <v/>
      </c>
      <c r="H2507" s="7" t="str">
        <f>IF(Plantilla_SCAN_EQ3_COUNT_2[[#This Row],[ID MATERIAL]]="","",$B$13)</f>
        <v/>
      </c>
      <c r="I2507" s="7" t="str">
        <f>IF(Plantilla_SCAN_EQ3_COUNT_2[[#This Row],[ID MATERIAL]]="","","Segundo Conteo")</f>
        <v/>
      </c>
    </row>
    <row r="2508" spans="1:9" s="7" customFormat="1" ht="15" x14ac:dyDescent="0.2">
      <c r="A2508" s="7" t="str">
        <f>IF(Plantilla_SCAN_EQ3_COUNT_2[[#This Row],[ID MATERIAL]]="","",SIGN(Plantilla_SCAN_EQ3_COUNT_2[[#This Row],[Cantidad]])+A2507)</f>
        <v/>
      </c>
      <c r="B2508" s="21" t="str">
        <f>IF(Plantilla_SCAN_EQ3_COUNT_2[[#This Row],[ID MATERIAL]]="","",B2507)</f>
        <v/>
      </c>
      <c r="C2508" s="21"/>
      <c r="D2508" s="21"/>
      <c r="E2508" s="7" t="str">
        <f>IF(Plantilla_SCAN_EQ3_COUNT_2[[#This Row],[ID MATERIAL]]="","",VLOOKUP(Plantilla_SCAN_EQ3_COUNT_2[[#This Row],[ID MATERIAL]],INVENTARIO!$A:$D,2,FALSE))</f>
        <v/>
      </c>
      <c r="F2508" s="7" t="str">
        <f>IF(Plantilla_SCAN_EQ3_COUNT_2[[#This Row],[ID MATERIAL]]="","",IF(Plantilla_SCAN_EQ3_COUNT_2[[#This Row],[No. Empaques]]="",1,Plantilla_SCAN_EQ3_COUNT_2[[#This Row],[No. Empaques]]*1))</f>
        <v/>
      </c>
      <c r="G2508" s="7" t="str">
        <f>IF(Plantilla_SCAN_EQ3_COUNT_2[[#This Row],[ID MATERIAL]]="","","PZ")</f>
        <v/>
      </c>
      <c r="H2508" s="7" t="str">
        <f>IF(Plantilla_SCAN_EQ3_COUNT_2[[#This Row],[ID MATERIAL]]="","",$B$13)</f>
        <v/>
      </c>
      <c r="I2508" s="7" t="str">
        <f>IF(Plantilla_SCAN_EQ3_COUNT_2[[#This Row],[ID MATERIAL]]="","","Segundo Conteo")</f>
        <v/>
      </c>
    </row>
    <row r="2509" spans="1:9" s="7" customFormat="1" ht="15" x14ac:dyDescent="0.2">
      <c r="A2509" s="7" t="str">
        <f>IF(Plantilla_SCAN_EQ3_COUNT_2[[#This Row],[ID MATERIAL]]="","",SIGN(Plantilla_SCAN_EQ3_COUNT_2[[#This Row],[Cantidad]])+A2508)</f>
        <v/>
      </c>
      <c r="B2509" s="21" t="str">
        <f>IF(Plantilla_SCAN_EQ3_COUNT_2[[#This Row],[ID MATERIAL]]="","",B2508)</f>
        <v/>
      </c>
      <c r="C2509" s="21"/>
      <c r="D2509" s="21"/>
      <c r="E2509" s="7" t="str">
        <f>IF(Plantilla_SCAN_EQ3_COUNT_2[[#This Row],[ID MATERIAL]]="","",VLOOKUP(Plantilla_SCAN_EQ3_COUNT_2[[#This Row],[ID MATERIAL]],INVENTARIO!$A:$D,2,FALSE))</f>
        <v/>
      </c>
      <c r="F2509" s="7" t="str">
        <f>IF(Plantilla_SCAN_EQ3_COUNT_2[[#This Row],[ID MATERIAL]]="","",IF(Plantilla_SCAN_EQ3_COUNT_2[[#This Row],[No. Empaques]]="",1,Plantilla_SCAN_EQ3_COUNT_2[[#This Row],[No. Empaques]]*1))</f>
        <v/>
      </c>
      <c r="G2509" s="7" t="str">
        <f>IF(Plantilla_SCAN_EQ3_COUNT_2[[#This Row],[ID MATERIAL]]="","","PZ")</f>
        <v/>
      </c>
      <c r="H2509" s="7" t="str">
        <f>IF(Plantilla_SCAN_EQ3_COUNT_2[[#This Row],[ID MATERIAL]]="","",$B$13)</f>
        <v/>
      </c>
      <c r="I2509" s="7" t="str">
        <f>IF(Plantilla_SCAN_EQ3_COUNT_2[[#This Row],[ID MATERIAL]]="","","Segundo Conteo")</f>
        <v/>
      </c>
    </row>
    <row r="2510" spans="1:9" s="7" customFormat="1" ht="15" x14ac:dyDescent="0.2">
      <c r="A2510" s="7" t="str">
        <f>IF(Plantilla_SCAN_EQ3_COUNT_2[[#This Row],[ID MATERIAL]]="","",SIGN(Plantilla_SCAN_EQ3_COUNT_2[[#This Row],[Cantidad]])+A2509)</f>
        <v/>
      </c>
      <c r="B2510" s="21" t="str">
        <f>IF(Plantilla_SCAN_EQ3_COUNT_2[[#This Row],[ID MATERIAL]]="","",B2509)</f>
        <v/>
      </c>
      <c r="C2510" s="21"/>
      <c r="D2510" s="21"/>
      <c r="E2510" s="7" t="str">
        <f>IF(Plantilla_SCAN_EQ3_COUNT_2[[#This Row],[ID MATERIAL]]="","",VLOOKUP(Plantilla_SCAN_EQ3_COUNT_2[[#This Row],[ID MATERIAL]],INVENTARIO!$A:$D,2,FALSE))</f>
        <v/>
      </c>
      <c r="F2510" s="7" t="str">
        <f>IF(Plantilla_SCAN_EQ3_COUNT_2[[#This Row],[ID MATERIAL]]="","",IF(Plantilla_SCAN_EQ3_COUNT_2[[#This Row],[No. Empaques]]="",1,Plantilla_SCAN_EQ3_COUNT_2[[#This Row],[No. Empaques]]*1))</f>
        <v/>
      </c>
      <c r="G2510" s="7" t="str">
        <f>IF(Plantilla_SCAN_EQ3_COUNT_2[[#This Row],[ID MATERIAL]]="","","PZ")</f>
        <v/>
      </c>
      <c r="H2510" s="7" t="str">
        <f>IF(Plantilla_SCAN_EQ3_COUNT_2[[#This Row],[ID MATERIAL]]="","",$B$13)</f>
        <v/>
      </c>
      <c r="I2510" s="7" t="str">
        <f>IF(Plantilla_SCAN_EQ3_COUNT_2[[#This Row],[ID MATERIAL]]="","","Segundo Conteo")</f>
        <v/>
      </c>
    </row>
    <row r="2511" spans="1:9" s="7" customFormat="1" ht="15" x14ac:dyDescent="0.2">
      <c r="A2511" s="7" t="str">
        <f>IF(Plantilla_SCAN_EQ3_COUNT_2[[#This Row],[ID MATERIAL]]="","",SIGN(Plantilla_SCAN_EQ3_COUNT_2[[#This Row],[Cantidad]])+A2510)</f>
        <v/>
      </c>
      <c r="B2511" s="21" t="str">
        <f>IF(Plantilla_SCAN_EQ3_COUNT_2[[#This Row],[ID MATERIAL]]="","",B2510)</f>
        <v/>
      </c>
      <c r="C2511" s="21"/>
      <c r="D2511" s="21"/>
      <c r="E2511" s="7" t="str">
        <f>IF(Plantilla_SCAN_EQ3_COUNT_2[[#This Row],[ID MATERIAL]]="","",VLOOKUP(Plantilla_SCAN_EQ3_COUNT_2[[#This Row],[ID MATERIAL]],INVENTARIO!$A:$D,2,FALSE))</f>
        <v/>
      </c>
      <c r="F2511" s="7" t="str">
        <f>IF(Plantilla_SCAN_EQ3_COUNT_2[[#This Row],[ID MATERIAL]]="","",IF(Plantilla_SCAN_EQ3_COUNT_2[[#This Row],[No. Empaques]]="",1,Plantilla_SCAN_EQ3_COUNT_2[[#This Row],[No. Empaques]]*1))</f>
        <v/>
      </c>
      <c r="G2511" s="7" t="str">
        <f>IF(Plantilla_SCAN_EQ3_COUNT_2[[#This Row],[ID MATERIAL]]="","","PZ")</f>
        <v/>
      </c>
      <c r="H2511" s="7" t="str">
        <f>IF(Plantilla_SCAN_EQ3_COUNT_2[[#This Row],[ID MATERIAL]]="","",$B$13)</f>
        <v/>
      </c>
      <c r="I2511" s="7" t="str">
        <f>IF(Plantilla_SCAN_EQ3_COUNT_2[[#This Row],[ID MATERIAL]]="","","Segundo Conteo")</f>
        <v/>
      </c>
    </row>
    <row r="2512" spans="1:9" s="7" customFormat="1" ht="15" x14ac:dyDescent="0.2">
      <c r="A2512" s="7" t="str">
        <f>IF(Plantilla_SCAN_EQ3_COUNT_2[[#This Row],[ID MATERIAL]]="","",SIGN(Plantilla_SCAN_EQ3_COUNT_2[[#This Row],[Cantidad]])+A2511)</f>
        <v/>
      </c>
      <c r="B2512" s="21" t="str">
        <f>IF(Plantilla_SCAN_EQ3_COUNT_2[[#This Row],[ID MATERIAL]]="","",B2511)</f>
        <v/>
      </c>
      <c r="C2512" s="21"/>
      <c r="D2512" s="21"/>
      <c r="E2512" s="7" t="str">
        <f>IF(Plantilla_SCAN_EQ3_COUNT_2[[#This Row],[ID MATERIAL]]="","",VLOOKUP(Plantilla_SCAN_EQ3_COUNT_2[[#This Row],[ID MATERIAL]],INVENTARIO!$A:$D,2,FALSE))</f>
        <v/>
      </c>
      <c r="F2512" s="7" t="str">
        <f>IF(Plantilla_SCAN_EQ3_COUNT_2[[#This Row],[ID MATERIAL]]="","",IF(Plantilla_SCAN_EQ3_COUNT_2[[#This Row],[No. Empaques]]="",1,Plantilla_SCAN_EQ3_COUNT_2[[#This Row],[No. Empaques]]*1))</f>
        <v/>
      </c>
      <c r="G2512" s="7" t="str">
        <f>IF(Plantilla_SCAN_EQ3_COUNT_2[[#This Row],[ID MATERIAL]]="","","PZ")</f>
        <v/>
      </c>
      <c r="H2512" s="7" t="str">
        <f>IF(Plantilla_SCAN_EQ3_COUNT_2[[#This Row],[ID MATERIAL]]="","",$B$13)</f>
        <v/>
      </c>
      <c r="I2512" s="7" t="str">
        <f>IF(Plantilla_SCAN_EQ3_COUNT_2[[#This Row],[ID MATERIAL]]="","","Segundo Conteo")</f>
        <v/>
      </c>
    </row>
    <row r="2513" spans="1:9" s="7" customFormat="1" ht="15" x14ac:dyDescent="0.2">
      <c r="A2513" s="7" t="str">
        <f>IF(Plantilla_SCAN_EQ3_COUNT_2[[#This Row],[ID MATERIAL]]="","",SIGN(Plantilla_SCAN_EQ3_COUNT_2[[#This Row],[Cantidad]])+A2512)</f>
        <v/>
      </c>
      <c r="B2513" s="21" t="str">
        <f>IF(Plantilla_SCAN_EQ3_COUNT_2[[#This Row],[ID MATERIAL]]="","",B2512)</f>
        <v/>
      </c>
      <c r="C2513" s="21"/>
      <c r="D2513" s="21"/>
      <c r="E2513" s="7" t="str">
        <f>IF(Plantilla_SCAN_EQ3_COUNT_2[[#This Row],[ID MATERIAL]]="","",VLOOKUP(Plantilla_SCAN_EQ3_COUNT_2[[#This Row],[ID MATERIAL]],INVENTARIO!$A:$D,2,FALSE))</f>
        <v/>
      </c>
      <c r="F2513" s="7" t="str">
        <f>IF(Plantilla_SCAN_EQ3_COUNT_2[[#This Row],[ID MATERIAL]]="","",IF(Plantilla_SCAN_EQ3_COUNT_2[[#This Row],[No. Empaques]]="",1,Plantilla_SCAN_EQ3_COUNT_2[[#This Row],[No. Empaques]]*1))</f>
        <v/>
      </c>
      <c r="G2513" s="7" t="str">
        <f>IF(Plantilla_SCAN_EQ3_COUNT_2[[#This Row],[ID MATERIAL]]="","","PZ")</f>
        <v/>
      </c>
      <c r="H2513" s="7" t="str">
        <f>IF(Plantilla_SCAN_EQ3_COUNT_2[[#This Row],[ID MATERIAL]]="","",$B$13)</f>
        <v/>
      </c>
      <c r="I2513" s="7" t="str">
        <f>IF(Plantilla_SCAN_EQ3_COUNT_2[[#This Row],[ID MATERIAL]]="","","Segundo Conteo")</f>
        <v/>
      </c>
    </row>
    <row r="2514" spans="1:9" s="7" customFormat="1" ht="15" x14ac:dyDescent="0.2">
      <c r="A2514" s="7" t="str">
        <f>IF(Plantilla_SCAN_EQ3_COUNT_2[[#This Row],[ID MATERIAL]]="","",SIGN(Plantilla_SCAN_EQ3_COUNT_2[[#This Row],[Cantidad]])+A2513)</f>
        <v/>
      </c>
      <c r="B2514" s="21" t="str">
        <f>IF(Plantilla_SCAN_EQ3_COUNT_2[[#This Row],[ID MATERIAL]]="","",B2513)</f>
        <v/>
      </c>
      <c r="C2514" s="21"/>
      <c r="D2514" s="21"/>
      <c r="E2514" s="7" t="str">
        <f>IF(Plantilla_SCAN_EQ3_COUNT_2[[#This Row],[ID MATERIAL]]="","",VLOOKUP(Plantilla_SCAN_EQ3_COUNT_2[[#This Row],[ID MATERIAL]],INVENTARIO!$A:$D,2,FALSE))</f>
        <v/>
      </c>
      <c r="F2514" s="7" t="str">
        <f>IF(Plantilla_SCAN_EQ3_COUNT_2[[#This Row],[ID MATERIAL]]="","",IF(Plantilla_SCAN_EQ3_COUNT_2[[#This Row],[No. Empaques]]="",1,Plantilla_SCAN_EQ3_COUNT_2[[#This Row],[No. Empaques]]*1))</f>
        <v/>
      </c>
      <c r="G2514" s="7" t="str">
        <f>IF(Plantilla_SCAN_EQ3_COUNT_2[[#This Row],[ID MATERIAL]]="","","PZ")</f>
        <v/>
      </c>
      <c r="H2514" s="7" t="str">
        <f>IF(Plantilla_SCAN_EQ3_COUNT_2[[#This Row],[ID MATERIAL]]="","",$B$13)</f>
        <v/>
      </c>
      <c r="I2514" s="7" t="str">
        <f>IF(Plantilla_SCAN_EQ3_COUNT_2[[#This Row],[ID MATERIAL]]="","","Segundo Conteo")</f>
        <v/>
      </c>
    </row>
    <row r="2515" spans="1:9" s="7" customFormat="1" ht="15" x14ac:dyDescent="0.2">
      <c r="A2515" s="7" t="str">
        <f>IF(Plantilla_SCAN_EQ3_COUNT_2[[#This Row],[ID MATERIAL]]="","",SIGN(Plantilla_SCAN_EQ3_COUNT_2[[#This Row],[Cantidad]])+A2514)</f>
        <v/>
      </c>
      <c r="B2515" s="21" t="str">
        <f>IF(Plantilla_SCAN_EQ3_COUNT_2[[#This Row],[ID MATERIAL]]="","",B2514)</f>
        <v/>
      </c>
      <c r="C2515" s="21"/>
      <c r="D2515" s="21"/>
      <c r="E2515" s="7" t="str">
        <f>IF(Plantilla_SCAN_EQ3_COUNT_2[[#This Row],[ID MATERIAL]]="","",VLOOKUP(Plantilla_SCAN_EQ3_COUNT_2[[#This Row],[ID MATERIAL]],INVENTARIO!$A:$D,2,FALSE))</f>
        <v/>
      </c>
      <c r="F2515" s="7" t="str">
        <f>IF(Plantilla_SCAN_EQ3_COUNT_2[[#This Row],[ID MATERIAL]]="","",IF(Plantilla_SCAN_EQ3_COUNT_2[[#This Row],[No. Empaques]]="",1,Plantilla_SCAN_EQ3_COUNT_2[[#This Row],[No. Empaques]]*1))</f>
        <v/>
      </c>
      <c r="G2515" s="7" t="str">
        <f>IF(Plantilla_SCAN_EQ3_COUNT_2[[#This Row],[ID MATERIAL]]="","","PZ")</f>
        <v/>
      </c>
      <c r="H2515" s="7" t="str">
        <f>IF(Plantilla_SCAN_EQ3_COUNT_2[[#This Row],[ID MATERIAL]]="","",$B$13)</f>
        <v/>
      </c>
      <c r="I2515" s="7" t="str">
        <f>IF(Plantilla_SCAN_EQ3_COUNT_2[[#This Row],[ID MATERIAL]]="","","Segundo Conteo")</f>
        <v/>
      </c>
    </row>
    <row r="2516" spans="1:9" s="7" customFormat="1" ht="15" x14ac:dyDescent="0.2">
      <c r="A2516" s="7" t="str">
        <f>IF(Plantilla_SCAN_EQ3_COUNT_2[[#This Row],[ID MATERIAL]]="","",SIGN(Plantilla_SCAN_EQ3_COUNT_2[[#This Row],[Cantidad]])+A2515)</f>
        <v/>
      </c>
      <c r="B2516" s="21" t="str">
        <f>IF(Plantilla_SCAN_EQ3_COUNT_2[[#This Row],[ID MATERIAL]]="","",B2515)</f>
        <v/>
      </c>
      <c r="C2516" s="21"/>
      <c r="D2516" s="21"/>
      <c r="E2516" s="7" t="str">
        <f>IF(Plantilla_SCAN_EQ3_COUNT_2[[#This Row],[ID MATERIAL]]="","",VLOOKUP(Plantilla_SCAN_EQ3_COUNT_2[[#This Row],[ID MATERIAL]],INVENTARIO!$A:$D,2,FALSE))</f>
        <v/>
      </c>
      <c r="F2516" s="7" t="str">
        <f>IF(Plantilla_SCAN_EQ3_COUNT_2[[#This Row],[ID MATERIAL]]="","",IF(Plantilla_SCAN_EQ3_COUNT_2[[#This Row],[No. Empaques]]="",1,Plantilla_SCAN_EQ3_COUNT_2[[#This Row],[No. Empaques]]*1))</f>
        <v/>
      </c>
      <c r="G2516" s="7" t="str">
        <f>IF(Plantilla_SCAN_EQ3_COUNT_2[[#This Row],[ID MATERIAL]]="","","PZ")</f>
        <v/>
      </c>
      <c r="H2516" s="7" t="str">
        <f>IF(Plantilla_SCAN_EQ3_COUNT_2[[#This Row],[ID MATERIAL]]="","",$B$13)</f>
        <v/>
      </c>
      <c r="I2516" s="7" t="str">
        <f>IF(Plantilla_SCAN_EQ3_COUNT_2[[#This Row],[ID MATERIAL]]="","","Segundo Conteo")</f>
        <v/>
      </c>
    </row>
    <row r="2517" spans="1:9" s="7" customFormat="1" ht="15" x14ac:dyDescent="0.2">
      <c r="A2517" s="7" t="str">
        <f>IF(Plantilla_SCAN_EQ3_COUNT_2[[#This Row],[ID MATERIAL]]="","",SIGN(Plantilla_SCAN_EQ3_COUNT_2[[#This Row],[Cantidad]])+A2516)</f>
        <v/>
      </c>
      <c r="B2517" s="21" t="str">
        <f>IF(Plantilla_SCAN_EQ3_COUNT_2[[#This Row],[ID MATERIAL]]="","",B2516)</f>
        <v/>
      </c>
      <c r="C2517" s="21"/>
      <c r="D2517" s="21"/>
      <c r="E2517" s="7" t="str">
        <f>IF(Plantilla_SCAN_EQ3_COUNT_2[[#This Row],[ID MATERIAL]]="","",VLOOKUP(Plantilla_SCAN_EQ3_COUNT_2[[#This Row],[ID MATERIAL]],INVENTARIO!$A:$D,2,FALSE))</f>
        <v/>
      </c>
      <c r="F2517" s="7" t="str">
        <f>IF(Plantilla_SCAN_EQ3_COUNT_2[[#This Row],[ID MATERIAL]]="","",IF(Plantilla_SCAN_EQ3_COUNT_2[[#This Row],[No. Empaques]]="",1,Plantilla_SCAN_EQ3_COUNT_2[[#This Row],[No. Empaques]]*1))</f>
        <v/>
      </c>
      <c r="G2517" s="7" t="str">
        <f>IF(Plantilla_SCAN_EQ3_COUNT_2[[#This Row],[ID MATERIAL]]="","","PZ")</f>
        <v/>
      </c>
      <c r="H2517" s="7" t="str">
        <f>IF(Plantilla_SCAN_EQ3_COUNT_2[[#This Row],[ID MATERIAL]]="","",$B$13)</f>
        <v/>
      </c>
      <c r="I2517" s="7" t="str">
        <f>IF(Plantilla_SCAN_EQ3_COUNT_2[[#This Row],[ID MATERIAL]]="","","Segundo Conteo")</f>
        <v/>
      </c>
    </row>
    <row r="2518" spans="1:9" s="7" customFormat="1" ht="15" x14ac:dyDescent="0.2">
      <c r="A2518" s="7" t="str">
        <f>IF(Plantilla_SCAN_EQ3_COUNT_2[[#This Row],[ID MATERIAL]]="","",SIGN(Plantilla_SCAN_EQ3_COUNT_2[[#This Row],[Cantidad]])+A2517)</f>
        <v/>
      </c>
      <c r="B2518" s="21" t="str">
        <f>IF(Plantilla_SCAN_EQ3_COUNT_2[[#This Row],[ID MATERIAL]]="","",B2517)</f>
        <v/>
      </c>
      <c r="C2518" s="21"/>
      <c r="D2518" s="21"/>
      <c r="E2518" s="7" t="str">
        <f>IF(Plantilla_SCAN_EQ3_COUNT_2[[#This Row],[ID MATERIAL]]="","",VLOOKUP(Plantilla_SCAN_EQ3_COUNT_2[[#This Row],[ID MATERIAL]],INVENTARIO!$A:$D,2,FALSE))</f>
        <v/>
      </c>
      <c r="F2518" s="7" t="str">
        <f>IF(Plantilla_SCAN_EQ3_COUNT_2[[#This Row],[ID MATERIAL]]="","",IF(Plantilla_SCAN_EQ3_COUNT_2[[#This Row],[No. Empaques]]="",1,Plantilla_SCAN_EQ3_COUNT_2[[#This Row],[No. Empaques]]*1))</f>
        <v/>
      </c>
      <c r="G2518" s="7" t="str">
        <f>IF(Plantilla_SCAN_EQ3_COUNT_2[[#This Row],[ID MATERIAL]]="","","PZ")</f>
        <v/>
      </c>
      <c r="H2518" s="7" t="str">
        <f>IF(Plantilla_SCAN_EQ3_COUNT_2[[#This Row],[ID MATERIAL]]="","",$B$13)</f>
        <v/>
      </c>
      <c r="I2518" s="7" t="str">
        <f>IF(Plantilla_SCAN_EQ3_COUNT_2[[#This Row],[ID MATERIAL]]="","","Segundo Conteo")</f>
        <v/>
      </c>
    </row>
    <row r="2519" spans="1:9" s="7" customFormat="1" ht="15" x14ac:dyDescent="0.2">
      <c r="A2519" s="7" t="str">
        <f>IF(Plantilla_SCAN_EQ3_COUNT_2[[#This Row],[ID MATERIAL]]="","",SIGN(Plantilla_SCAN_EQ3_COUNT_2[[#This Row],[Cantidad]])+A2518)</f>
        <v/>
      </c>
      <c r="B2519" s="21" t="str">
        <f>IF(Plantilla_SCAN_EQ3_COUNT_2[[#This Row],[ID MATERIAL]]="","",B2518)</f>
        <v/>
      </c>
      <c r="C2519" s="21"/>
      <c r="D2519" s="21"/>
      <c r="E2519" s="7" t="str">
        <f>IF(Plantilla_SCAN_EQ3_COUNT_2[[#This Row],[ID MATERIAL]]="","",VLOOKUP(Plantilla_SCAN_EQ3_COUNT_2[[#This Row],[ID MATERIAL]],INVENTARIO!$A:$D,2,FALSE))</f>
        <v/>
      </c>
      <c r="F2519" s="7" t="str">
        <f>IF(Plantilla_SCAN_EQ3_COUNT_2[[#This Row],[ID MATERIAL]]="","",IF(Plantilla_SCAN_EQ3_COUNT_2[[#This Row],[No. Empaques]]="",1,Plantilla_SCAN_EQ3_COUNT_2[[#This Row],[No. Empaques]]*1))</f>
        <v/>
      </c>
      <c r="G2519" s="7" t="str">
        <f>IF(Plantilla_SCAN_EQ3_COUNT_2[[#This Row],[ID MATERIAL]]="","","PZ")</f>
        <v/>
      </c>
      <c r="H2519" s="7" t="str">
        <f>IF(Plantilla_SCAN_EQ3_COUNT_2[[#This Row],[ID MATERIAL]]="","",$B$13)</f>
        <v/>
      </c>
      <c r="I2519" s="7" t="str">
        <f>IF(Plantilla_SCAN_EQ3_COUNT_2[[#This Row],[ID MATERIAL]]="","","Segundo Conteo")</f>
        <v/>
      </c>
    </row>
    <row r="2520" spans="1:9" s="7" customFormat="1" ht="15" x14ac:dyDescent="0.2">
      <c r="A2520" s="7" t="str">
        <f>IF(Plantilla_SCAN_EQ3_COUNT_2[[#This Row],[ID MATERIAL]]="","",SIGN(Plantilla_SCAN_EQ3_COUNT_2[[#This Row],[Cantidad]])+A2519)</f>
        <v/>
      </c>
      <c r="B2520" s="21" t="str">
        <f>IF(Plantilla_SCAN_EQ3_COUNT_2[[#This Row],[ID MATERIAL]]="","",B2519)</f>
        <v/>
      </c>
      <c r="C2520" s="21"/>
      <c r="D2520" s="21"/>
      <c r="E2520" s="7" t="str">
        <f>IF(Plantilla_SCAN_EQ3_COUNT_2[[#This Row],[ID MATERIAL]]="","",VLOOKUP(Plantilla_SCAN_EQ3_COUNT_2[[#This Row],[ID MATERIAL]],INVENTARIO!$A:$D,2,FALSE))</f>
        <v/>
      </c>
      <c r="F2520" s="7" t="str">
        <f>IF(Plantilla_SCAN_EQ3_COUNT_2[[#This Row],[ID MATERIAL]]="","",IF(Plantilla_SCAN_EQ3_COUNT_2[[#This Row],[No. Empaques]]="",1,Plantilla_SCAN_EQ3_COUNT_2[[#This Row],[No. Empaques]]*1))</f>
        <v/>
      </c>
      <c r="G2520" s="7" t="str">
        <f>IF(Plantilla_SCAN_EQ3_COUNT_2[[#This Row],[ID MATERIAL]]="","","PZ")</f>
        <v/>
      </c>
      <c r="H2520" s="7" t="str">
        <f>IF(Plantilla_SCAN_EQ3_COUNT_2[[#This Row],[ID MATERIAL]]="","",$B$13)</f>
        <v/>
      </c>
      <c r="I2520" s="7" t="str">
        <f>IF(Plantilla_SCAN_EQ3_COUNT_2[[#This Row],[ID MATERIAL]]="","","Segundo Conteo")</f>
        <v/>
      </c>
    </row>
    <row r="2521" spans="1:9" s="7" customFormat="1" ht="15" x14ac:dyDescent="0.2">
      <c r="A2521" s="7" t="str">
        <f>IF(Plantilla_SCAN_EQ3_COUNT_2[[#This Row],[ID MATERIAL]]="","",SIGN(Plantilla_SCAN_EQ3_COUNT_2[[#This Row],[Cantidad]])+A2520)</f>
        <v/>
      </c>
      <c r="B2521" s="21" t="str">
        <f>IF(Plantilla_SCAN_EQ3_COUNT_2[[#This Row],[ID MATERIAL]]="","",B2520)</f>
        <v/>
      </c>
      <c r="C2521" s="21"/>
      <c r="D2521" s="21"/>
      <c r="E2521" s="7" t="str">
        <f>IF(Plantilla_SCAN_EQ3_COUNT_2[[#This Row],[ID MATERIAL]]="","",VLOOKUP(Plantilla_SCAN_EQ3_COUNT_2[[#This Row],[ID MATERIAL]],INVENTARIO!$A:$D,2,FALSE))</f>
        <v/>
      </c>
      <c r="F2521" s="7" t="str">
        <f>IF(Plantilla_SCAN_EQ3_COUNT_2[[#This Row],[ID MATERIAL]]="","",IF(Plantilla_SCAN_EQ3_COUNT_2[[#This Row],[No. Empaques]]="",1,Plantilla_SCAN_EQ3_COUNT_2[[#This Row],[No. Empaques]]*1))</f>
        <v/>
      </c>
      <c r="G2521" s="7" t="str">
        <f>IF(Plantilla_SCAN_EQ3_COUNT_2[[#This Row],[ID MATERIAL]]="","","PZ")</f>
        <v/>
      </c>
      <c r="H2521" s="7" t="str">
        <f>IF(Plantilla_SCAN_EQ3_COUNT_2[[#This Row],[ID MATERIAL]]="","",$B$13)</f>
        <v/>
      </c>
      <c r="I2521" s="7" t="str">
        <f>IF(Plantilla_SCAN_EQ3_COUNT_2[[#This Row],[ID MATERIAL]]="","","Segundo Conteo")</f>
        <v/>
      </c>
    </row>
    <row r="2522" spans="1:9" s="7" customFormat="1" ht="15" x14ac:dyDescent="0.2">
      <c r="A2522" s="7" t="str">
        <f>IF(Plantilla_SCAN_EQ3_COUNT_2[[#This Row],[ID MATERIAL]]="","",SIGN(Plantilla_SCAN_EQ3_COUNT_2[[#This Row],[Cantidad]])+A2521)</f>
        <v/>
      </c>
      <c r="B2522" s="21" t="str">
        <f>IF(Plantilla_SCAN_EQ3_COUNT_2[[#This Row],[ID MATERIAL]]="","",B2521)</f>
        <v/>
      </c>
      <c r="C2522" s="21"/>
      <c r="D2522" s="21"/>
      <c r="E2522" s="7" t="str">
        <f>IF(Plantilla_SCAN_EQ3_COUNT_2[[#This Row],[ID MATERIAL]]="","",VLOOKUP(Plantilla_SCAN_EQ3_COUNT_2[[#This Row],[ID MATERIAL]],INVENTARIO!$A:$D,2,FALSE))</f>
        <v/>
      </c>
      <c r="F2522" s="7" t="str">
        <f>IF(Plantilla_SCAN_EQ3_COUNT_2[[#This Row],[ID MATERIAL]]="","",IF(Plantilla_SCAN_EQ3_COUNT_2[[#This Row],[No. Empaques]]="",1,Plantilla_SCAN_EQ3_COUNT_2[[#This Row],[No. Empaques]]*1))</f>
        <v/>
      </c>
      <c r="G2522" s="7" t="str">
        <f>IF(Plantilla_SCAN_EQ3_COUNT_2[[#This Row],[ID MATERIAL]]="","","PZ")</f>
        <v/>
      </c>
      <c r="H2522" s="7" t="str">
        <f>IF(Plantilla_SCAN_EQ3_COUNT_2[[#This Row],[ID MATERIAL]]="","",$B$13)</f>
        <v/>
      </c>
      <c r="I2522" s="7" t="str">
        <f>IF(Plantilla_SCAN_EQ3_COUNT_2[[#This Row],[ID MATERIAL]]="","","Segundo Conteo")</f>
        <v/>
      </c>
    </row>
    <row r="2523" spans="1:9" s="7" customFormat="1" ht="15" x14ac:dyDescent="0.2">
      <c r="A2523" s="7" t="str">
        <f>IF(Plantilla_SCAN_EQ3_COUNT_2[[#This Row],[ID MATERIAL]]="","",SIGN(Plantilla_SCAN_EQ3_COUNT_2[[#This Row],[Cantidad]])+A2522)</f>
        <v/>
      </c>
      <c r="B2523" s="21" t="str">
        <f>IF(Plantilla_SCAN_EQ3_COUNT_2[[#This Row],[ID MATERIAL]]="","",B2522)</f>
        <v/>
      </c>
      <c r="C2523" s="21"/>
      <c r="D2523" s="21"/>
      <c r="E2523" s="7" t="str">
        <f>IF(Plantilla_SCAN_EQ3_COUNT_2[[#This Row],[ID MATERIAL]]="","",VLOOKUP(Plantilla_SCAN_EQ3_COUNT_2[[#This Row],[ID MATERIAL]],INVENTARIO!$A:$D,2,FALSE))</f>
        <v/>
      </c>
      <c r="F2523" s="7" t="str">
        <f>IF(Plantilla_SCAN_EQ3_COUNT_2[[#This Row],[ID MATERIAL]]="","",IF(Plantilla_SCAN_EQ3_COUNT_2[[#This Row],[No. Empaques]]="",1,Plantilla_SCAN_EQ3_COUNT_2[[#This Row],[No. Empaques]]*1))</f>
        <v/>
      </c>
      <c r="G2523" s="7" t="str">
        <f>IF(Plantilla_SCAN_EQ3_COUNT_2[[#This Row],[ID MATERIAL]]="","","PZ")</f>
        <v/>
      </c>
      <c r="H2523" s="7" t="str">
        <f>IF(Plantilla_SCAN_EQ3_COUNT_2[[#This Row],[ID MATERIAL]]="","",$B$13)</f>
        <v/>
      </c>
      <c r="I2523" s="7" t="str">
        <f>IF(Plantilla_SCAN_EQ3_COUNT_2[[#This Row],[ID MATERIAL]]="","","Segundo Conteo")</f>
        <v/>
      </c>
    </row>
    <row r="2524" spans="1:9" s="7" customFormat="1" ht="15" x14ac:dyDescent="0.2">
      <c r="A2524" s="7" t="str">
        <f>IF(Plantilla_SCAN_EQ3_COUNT_2[[#This Row],[ID MATERIAL]]="","",SIGN(Plantilla_SCAN_EQ3_COUNT_2[[#This Row],[Cantidad]])+A2523)</f>
        <v/>
      </c>
      <c r="B2524" s="21" t="str">
        <f>IF(Plantilla_SCAN_EQ3_COUNT_2[[#This Row],[ID MATERIAL]]="","",B2523)</f>
        <v/>
      </c>
      <c r="C2524" s="21"/>
      <c r="D2524" s="21"/>
      <c r="E2524" s="7" t="str">
        <f>IF(Plantilla_SCAN_EQ3_COUNT_2[[#This Row],[ID MATERIAL]]="","",VLOOKUP(Plantilla_SCAN_EQ3_COUNT_2[[#This Row],[ID MATERIAL]],INVENTARIO!$A:$D,2,FALSE))</f>
        <v/>
      </c>
      <c r="F2524" s="7" t="str">
        <f>IF(Plantilla_SCAN_EQ3_COUNT_2[[#This Row],[ID MATERIAL]]="","",IF(Plantilla_SCAN_EQ3_COUNT_2[[#This Row],[No. Empaques]]="",1,Plantilla_SCAN_EQ3_COUNT_2[[#This Row],[No. Empaques]]*1))</f>
        <v/>
      </c>
      <c r="G2524" s="7" t="str">
        <f>IF(Plantilla_SCAN_EQ3_COUNT_2[[#This Row],[ID MATERIAL]]="","","PZ")</f>
        <v/>
      </c>
      <c r="H2524" s="7" t="str">
        <f>IF(Plantilla_SCAN_EQ3_COUNT_2[[#This Row],[ID MATERIAL]]="","",$B$13)</f>
        <v/>
      </c>
      <c r="I2524" s="7" t="str">
        <f>IF(Plantilla_SCAN_EQ3_COUNT_2[[#This Row],[ID MATERIAL]]="","","Segundo Conteo")</f>
        <v/>
      </c>
    </row>
    <row r="2525" spans="1:9" s="7" customFormat="1" ht="15" x14ac:dyDescent="0.2">
      <c r="A2525" s="7" t="str">
        <f>IF(Plantilla_SCAN_EQ3_COUNT_2[[#This Row],[ID MATERIAL]]="","",SIGN(Plantilla_SCAN_EQ3_COUNT_2[[#This Row],[Cantidad]])+A2524)</f>
        <v/>
      </c>
      <c r="B2525" s="21" t="str">
        <f>IF(Plantilla_SCAN_EQ3_COUNT_2[[#This Row],[ID MATERIAL]]="","",B2524)</f>
        <v/>
      </c>
      <c r="C2525" s="21"/>
      <c r="D2525" s="21"/>
      <c r="E2525" s="7" t="str">
        <f>IF(Plantilla_SCAN_EQ3_COUNT_2[[#This Row],[ID MATERIAL]]="","",VLOOKUP(Plantilla_SCAN_EQ3_COUNT_2[[#This Row],[ID MATERIAL]],INVENTARIO!$A:$D,2,FALSE))</f>
        <v/>
      </c>
      <c r="F2525" s="7" t="str">
        <f>IF(Plantilla_SCAN_EQ3_COUNT_2[[#This Row],[ID MATERIAL]]="","",IF(Plantilla_SCAN_EQ3_COUNT_2[[#This Row],[No. Empaques]]="",1,Plantilla_SCAN_EQ3_COUNT_2[[#This Row],[No. Empaques]]*1))</f>
        <v/>
      </c>
      <c r="G2525" s="7" t="str">
        <f>IF(Plantilla_SCAN_EQ3_COUNT_2[[#This Row],[ID MATERIAL]]="","","PZ")</f>
        <v/>
      </c>
      <c r="H2525" s="7" t="str">
        <f>IF(Plantilla_SCAN_EQ3_COUNT_2[[#This Row],[ID MATERIAL]]="","",$B$13)</f>
        <v/>
      </c>
      <c r="I2525" s="7" t="str">
        <f>IF(Plantilla_SCAN_EQ3_COUNT_2[[#This Row],[ID MATERIAL]]="","","Segundo Conteo")</f>
        <v/>
      </c>
    </row>
    <row r="2526" spans="1:9" s="7" customFormat="1" ht="15" x14ac:dyDescent="0.2">
      <c r="A2526" s="7" t="str">
        <f>IF(Plantilla_SCAN_EQ3_COUNT_2[[#This Row],[ID MATERIAL]]="","",SIGN(Plantilla_SCAN_EQ3_COUNT_2[[#This Row],[Cantidad]])+A2525)</f>
        <v/>
      </c>
      <c r="B2526" s="21" t="str">
        <f>IF(Plantilla_SCAN_EQ3_COUNT_2[[#This Row],[ID MATERIAL]]="","",B2525)</f>
        <v/>
      </c>
      <c r="C2526" s="21"/>
      <c r="D2526" s="21"/>
      <c r="E2526" s="7" t="str">
        <f>IF(Plantilla_SCAN_EQ3_COUNT_2[[#This Row],[ID MATERIAL]]="","",VLOOKUP(Plantilla_SCAN_EQ3_COUNT_2[[#This Row],[ID MATERIAL]],INVENTARIO!$A:$D,2,FALSE))</f>
        <v/>
      </c>
      <c r="F2526" s="7" t="str">
        <f>IF(Plantilla_SCAN_EQ3_COUNT_2[[#This Row],[ID MATERIAL]]="","",IF(Plantilla_SCAN_EQ3_COUNT_2[[#This Row],[No. Empaques]]="",1,Plantilla_SCAN_EQ3_COUNT_2[[#This Row],[No. Empaques]]*1))</f>
        <v/>
      </c>
      <c r="G2526" s="7" t="str">
        <f>IF(Plantilla_SCAN_EQ3_COUNT_2[[#This Row],[ID MATERIAL]]="","","PZ")</f>
        <v/>
      </c>
      <c r="H2526" s="7" t="str">
        <f>IF(Plantilla_SCAN_EQ3_COUNT_2[[#This Row],[ID MATERIAL]]="","",$B$13)</f>
        <v/>
      </c>
      <c r="I2526" s="7" t="str">
        <f>IF(Plantilla_SCAN_EQ3_COUNT_2[[#This Row],[ID MATERIAL]]="","","Segundo Conteo")</f>
        <v/>
      </c>
    </row>
    <row r="2527" spans="1:9" s="7" customFormat="1" ht="15" x14ac:dyDescent="0.2">
      <c r="A2527" s="7" t="str">
        <f>IF(Plantilla_SCAN_EQ3_COUNT_2[[#This Row],[ID MATERIAL]]="","",SIGN(Plantilla_SCAN_EQ3_COUNT_2[[#This Row],[Cantidad]])+A2526)</f>
        <v/>
      </c>
      <c r="B2527" s="21" t="str">
        <f>IF(Plantilla_SCAN_EQ3_COUNT_2[[#This Row],[ID MATERIAL]]="","",B2526)</f>
        <v/>
      </c>
      <c r="C2527" s="21"/>
      <c r="D2527" s="21"/>
      <c r="E2527" s="7" t="str">
        <f>IF(Plantilla_SCAN_EQ3_COUNT_2[[#This Row],[ID MATERIAL]]="","",VLOOKUP(Plantilla_SCAN_EQ3_COUNT_2[[#This Row],[ID MATERIAL]],INVENTARIO!$A:$D,2,FALSE))</f>
        <v/>
      </c>
      <c r="F2527" s="7" t="str">
        <f>IF(Plantilla_SCAN_EQ3_COUNT_2[[#This Row],[ID MATERIAL]]="","",IF(Plantilla_SCAN_EQ3_COUNT_2[[#This Row],[No. Empaques]]="",1,Plantilla_SCAN_EQ3_COUNT_2[[#This Row],[No. Empaques]]*1))</f>
        <v/>
      </c>
      <c r="G2527" s="7" t="str">
        <f>IF(Plantilla_SCAN_EQ3_COUNT_2[[#This Row],[ID MATERIAL]]="","","PZ")</f>
        <v/>
      </c>
      <c r="H2527" s="7" t="str">
        <f>IF(Plantilla_SCAN_EQ3_COUNT_2[[#This Row],[ID MATERIAL]]="","",$B$13)</f>
        <v/>
      </c>
      <c r="I2527" s="7" t="str">
        <f>IF(Plantilla_SCAN_EQ3_COUNT_2[[#This Row],[ID MATERIAL]]="","","Segundo Conteo")</f>
        <v/>
      </c>
    </row>
    <row r="2528" spans="1:9" s="7" customFormat="1" ht="15" x14ac:dyDescent="0.2">
      <c r="A2528" s="7" t="str">
        <f>IF(Plantilla_SCAN_EQ3_COUNT_2[[#This Row],[ID MATERIAL]]="","",SIGN(Plantilla_SCAN_EQ3_COUNT_2[[#This Row],[Cantidad]])+A2527)</f>
        <v/>
      </c>
      <c r="B2528" s="21" t="str">
        <f>IF(Plantilla_SCAN_EQ3_COUNT_2[[#This Row],[ID MATERIAL]]="","",B2527)</f>
        <v/>
      </c>
      <c r="C2528" s="21"/>
      <c r="D2528" s="21"/>
      <c r="E2528" s="7" t="str">
        <f>IF(Plantilla_SCAN_EQ3_COUNT_2[[#This Row],[ID MATERIAL]]="","",VLOOKUP(Plantilla_SCAN_EQ3_COUNT_2[[#This Row],[ID MATERIAL]],INVENTARIO!$A:$D,2,FALSE))</f>
        <v/>
      </c>
      <c r="F2528" s="7" t="str">
        <f>IF(Plantilla_SCAN_EQ3_COUNT_2[[#This Row],[ID MATERIAL]]="","",IF(Plantilla_SCAN_EQ3_COUNT_2[[#This Row],[No. Empaques]]="",1,Plantilla_SCAN_EQ3_COUNT_2[[#This Row],[No. Empaques]]*1))</f>
        <v/>
      </c>
      <c r="G2528" s="7" t="str">
        <f>IF(Plantilla_SCAN_EQ3_COUNT_2[[#This Row],[ID MATERIAL]]="","","PZ")</f>
        <v/>
      </c>
      <c r="H2528" s="7" t="str">
        <f>IF(Plantilla_SCAN_EQ3_COUNT_2[[#This Row],[ID MATERIAL]]="","",$B$13)</f>
        <v/>
      </c>
      <c r="I2528" s="7" t="str">
        <f>IF(Plantilla_SCAN_EQ3_COUNT_2[[#This Row],[ID MATERIAL]]="","","Segundo Conteo")</f>
        <v/>
      </c>
    </row>
    <row r="2529" spans="1:9" s="7" customFormat="1" ht="15" x14ac:dyDescent="0.2">
      <c r="A2529" s="7" t="str">
        <f>IF(Plantilla_SCAN_EQ3_COUNT_2[[#This Row],[ID MATERIAL]]="","",SIGN(Plantilla_SCAN_EQ3_COUNT_2[[#This Row],[Cantidad]])+A2528)</f>
        <v/>
      </c>
      <c r="B2529" s="21" t="str">
        <f>IF(Plantilla_SCAN_EQ3_COUNT_2[[#This Row],[ID MATERIAL]]="","",B2528)</f>
        <v/>
      </c>
      <c r="C2529" s="21"/>
      <c r="D2529" s="21"/>
      <c r="E2529" s="7" t="str">
        <f>IF(Plantilla_SCAN_EQ3_COUNT_2[[#This Row],[ID MATERIAL]]="","",VLOOKUP(Plantilla_SCAN_EQ3_COUNT_2[[#This Row],[ID MATERIAL]],INVENTARIO!$A:$D,2,FALSE))</f>
        <v/>
      </c>
      <c r="F2529" s="7" t="str">
        <f>IF(Plantilla_SCAN_EQ3_COUNT_2[[#This Row],[ID MATERIAL]]="","",IF(Plantilla_SCAN_EQ3_COUNT_2[[#This Row],[No. Empaques]]="",1,Plantilla_SCAN_EQ3_COUNT_2[[#This Row],[No. Empaques]]*1))</f>
        <v/>
      </c>
      <c r="G2529" s="7" t="str">
        <f>IF(Plantilla_SCAN_EQ3_COUNT_2[[#This Row],[ID MATERIAL]]="","","PZ")</f>
        <v/>
      </c>
      <c r="H2529" s="7" t="str">
        <f>IF(Plantilla_SCAN_EQ3_COUNT_2[[#This Row],[ID MATERIAL]]="","",$B$13)</f>
        <v/>
      </c>
      <c r="I2529" s="7" t="str">
        <f>IF(Plantilla_SCAN_EQ3_COUNT_2[[#This Row],[ID MATERIAL]]="","","Segundo Conteo")</f>
        <v/>
      </c>
    </row>
    <row r="2530" spans="1:9" s="7" customFormat="1" ht="15" x14ac:dyDescent="0.2">
      <c r="A2530" s="7" t="str">
        <f>IF(Plantilla_SCAN_EQ3_COUNT_2[[#This Row],[ID MATERIAL]]="","",SIGN(Plantilla_SCAN_EQ3_COUNT_2[[#This Row],[Cantidad]])+A2529)</f>
        <v/>
      </c>
      <c r="B2530" s="21" t="str">
        <f>IF(Plantilla_SCAN_EQ3_COUNT_2[[#This Row],[ID MATERIAL]]="","",B2529)</f>
        <v/>
      </c>
      <c r="C2530" s="21"/>
      <c r="D2530" s="21"/>
      <c r="E2530" s="7" t="str">
        <f>IF(Plantilla_SCAN_EQ3_COUNT_2[[#This Row],[ID MATERIAL]]="","",VLOOKUP(Plantilla_SCAN_EQ3_COUNT_2[[#This Row],[ID MATERIAL]],INVENTARIO!$A:$D,2,FALSE))</f>
        <v/>
      </c>
      <c r="F2530" s="7" t="str">
        <f>IF(Plantilla_SCAN_EQ3_COUNT_2[[#This Row],[ID MATERIAL]]="","",IF(Plantilla_SCAN_EQ3_COUNT_2[[#This Row],[No. Empaques]]="",1,Plantilla_SCAN_EQ3_COUNT_2[[#This Row],[No. Empaques]]*1))</f>
        <v/>
      </c>
      <c r="G2530" s="7" t="str">
        <f>IF(Plantilla_SCAN_EQ3_COUNT_2[[#This Row],[ID MATERIAL]]="","","PZ")</f>
        <v/>
      </c>
      <c r="H2530" s="7" t="str">
        <f>IF(Plantilla_SCAN_EQ3_COUNT_2[[#This Row],[ID MATERIAL]]="","",$B$13)</f>
        <v/>
      </c>
      <c r="I2530" s="7" t="str">
        <f>IF(Plantilla_SCAN_EQ3_COUNT_2[[#This Row],[ID MATERIAL]]="","","Segundo Conteo")</f>
        <v/>
      </c>
    </row>
    <row r="2531" spans="1:9" s="7" customFormat="1" ht="15" x14ac:dyDescent="0.2">
      <c r="A2531" s="7" t="str">
        <f>IF(Plantilla_SCAN_EQ3_COUNT_2[[#This Row],[ID MATERIAL]]="","",SIGN(Plantilla_SCAN_EQ3_COUNT_2[[#This Row],[Cantidad]])+A2530)</f>
        <v/>
      </c>
      <c r="B2531" s="21" t="str">
        <f>IF(Plantilla_SCAN_EQ3_COUNT_2[[#This Row],[ID MATERIAL]]="","",B2530)</f>
        <v/>
      </c>
      <c r="C2531" s="21"/>
      <c r="D2531" s="21"/>
      <c r="E2531" s="7" t="str">
        <f>IF(Plantilla_SCAN_EQ3_COUNT_2[[#This Row],[ID MATERIAL]]="","",VLOOKUP(Plantilla_SCAN_EQ3_COUNT_2[[#This Row],[ID MATERIAL]],INVENTARIO!$A:$D,2,FALSE))</f>
        <v/>
      </c>
      <c r="F2531" s="7" t="str">
        <f>IF(Plantilla_SCAN_EQ3_COUNT_2[[#This Row],[ID MATERIAL]]="","",IF(Plantilla_SCAN_EQ3_COUNT_2[[#This Row],[No. Empaques]]="",1,Plantilla_SCAN_EQ3_COUNT_2[[#This Row],[No. Empaques]]*1))</f>
        <v/>
      </c>
      <c r="G2531" s="7" t="str">
        <f>IF(Plantilla_SCAN_EQ3_COUNT_2[[#This Row],[ID MATERIAL]]="","","PZ")</f>
        <v/>
      </c>
      <c r="H2531" s="7" t="str">
        <f>IF(Plantilla_SCAN_EQ3_COUNT_2[[#This Row],[ID MATERIAL]]="","",$B$13)</f>
        <v/>
      </c>
      <c r="I2531" s="7" t="str">
        <f>IF(Plantilla_SCAN_EQ3_COUNT_2[[#This Row],[ID MATERIAL]]="","","Segundo Conteo")</f>
        <v/>
      </c>
    </row>
    <row r="2532" spans="1:9" s="7" customFormat="1" ht="15" x14ac:dyDescent="0.2">
      <c r="A2532" s="7" t="str">
        <f>IF(Plantilla_SCAN_EQ3_COUNT_2[[#This Row],[ID MATERIAL]]="","",SIGN(Plantilla_SCAN_EQ3_COUNT_2[[#This Row],[Cantidad]])+A2531)</f>
        <v/>
      </c>
      <c r="B2532" s="21" t="str">
        <f>IF(Plantilla_SCAN_EQ3_COUNT_2[[#This Row],[ID MATERIAL]]="","",B2531)</f>
        <v/>
      </c>
      <c r="C2532" s="21"/>
      <c r="D2532" s="21"/>
      <c r="E2532" s="7" t="str">
        <f>IF(Plantilla_SCAN_EQ3_COUNT_2[[#This Row],[ID MATERIAL]]="","",VLOOKUP(Plantilla_SCAN_EQ3_COUNT_2[[#This Row],[ID MATERIAL]],INVENTARIO!$A:$D,2,FALSE))</f>
        <v/>
      </c>
      <c r="F2532" s="7" t="str">
        <f>IF(Plantilla_SCAN_EQ3_COUNT_2[[#This Row],[ID MATERIAL]]="","",IF(Plantilla_SCAN_EQ3_COUNT_2[[#This Row],[No. Empaques]]="",1,Plantilla_SCAN_EQ3_COUNT_2[[#This Row],[No. Empaques]]*1))</f>
        <v/>
      </c>
      <c r="G2532" s="7" t="str">
        <f>IF(Plantilla_SCAN_EQ3_COUNT_2[[#This Row],[ID MATERIAL]]="","","PZ")</f>
        <v/>
      </c>
      <c r="H2532" s="7" t="str">
        <f>IF(Plantilla_SCAN_EQ3_COUNT_2[[#This Row],[ID MATERIAL]]="","",$B$13)</f>
        <v/>
      </c>
      <c r="I2532" s="7" t="str">
        <f>IF(Plantilla_SCAN_EQ3_COUNT_2[[#This Row],[ID MATERIAL]]="","","Segundo Conteo")</f>
        <v/>
      </c>
    </row>
    <row r="2533" spans="1:9" s="7" customFormat="1" ht="15" x14ac:dyDescent="0.2">
      <c r="A2533" s="7" t="str">
        <f>IF(Plantilla_SCAN_EQ3_COUNT_2[[#This Row],[ID MATERIAL]]="","",SIGN(Plantilla_SCAN_EQ3_COUNT_2[[#This Row],[Cantidad]])+A2532)</f>
        <v/>
      </c>
      <c r="B2533" s="21" t="str">
        <f>IF(Plantilla_SCAN_EQ3_COUNT_2[[#This Row],[ID MATERIAL]]="","",B2532)</f>
        <v/>
      </c>
      <c r="C2533" s="21"/>
      <c r="D2533" s="21"/>
      <c r="E2533" s="7" t="str">
        <f>IF(Plantilla_SCAN_EQ3_COUNT_2[[#This Row],[ID MATERIAL]]="","",VLOOKUP(Plantilla_SCAN_EQ3_COUNT_2[[#This Row],[ID MATERIAL]],INVENTARIO!$A:$D,2,FALSE))</f>
        <v/>
      </c>
      <c r="F2533" s="7" t="str">
        <f>IF(Plantilla_SCAN_EQ3_COUNT_2[[#This Row],[ID MATERIAL]]="","",IF(Plantilla_SCAN_EQ3_COUNT_2[[#This Row],[No. Empaques]]="",1,Plantilla_SCAN_EQ3_COUNT_2[[#This Row],[No. Empaques]]*1))</f>
        <v/>
      </c>
      <c r="G2533" s="7" t="str">
        <f>IF(Plantilla_SCAN_EQ3_COUNT_2[[#This Row],[ID MATERIAL]]="","","PZ")</f>
        <v/>
      </c>
      <c r="H2533" s="7" t="str">
        <f>IF(Plantilla_SCAN_EQ3_COUNT_2[[#This Row],[ID MATERIAL]]="","",$B$13)</f>
        <v/>
      </c>
      <c r="I2533" s="7" t="str">
        <f>IF(Plantilla_SCAN_EQ3_COUNT_2[[#This Row],[ID MATERIAL]]="","","Segundo Conteo")</f>
        <v/>
      </c>
    </row>
    <row r="2534" spans="1:9" s="7" customFormat="1" ht="15" x14ac:dyDescent="0.2">
      <c r="A2534" s="7" t="str">
        <f>IF(Plantilla_SCAN_EQ3_COUNT_2[[#This Row],[ID MATERIAL]]="","",SIGN(Plantilla_SCAN_EQ3_COUNT_2[[#This Row],[Cantidad]])+A2533)</f>
        <v/>
      </c>
      <c r="B2534" s="21" t="str">
        <f>IF(Plantilla_SCAN_EQ3_COUNT_2[[#This Row],[ID MATERIAL]]="","",B2533)</f>
        <v/>
      </c>
      <c r="C2534" s="21"/>
      <c r="D2534" s="21"/>
      <c r="E2534" s="7" t="str">
        <f>IF(Plantilla_SCAN_EQ3_COUNT_2[[#This Row],[ID MATERIAL]]="","",VLOOKUP(Plantilla_SCAN_EQ3_COUNT_2[[#This Row],[ID MATERIAL]],INVENTARIO!$A:$D,2,FALSE))</f>
        <v/>
      </c>
      <c r="F2534" s="7" t="str">
        <f>IF(Plantilla_SCAN_EQ3_COUNT_2[[#This Row],[ID MATERIAL]]="","",IF(Plantilla_SCAN_EQ3_COUNT_2[[#This Row],[No. Empaques]]="",1,Plantilla_SCAN_EQ3_COUNT_2[[#This Row],[No. Empaques]]*1))</f>
        <v/>
      </c>
      <c r="G2534" s="7" t="str">
        <f>IF(Plantilla_SCAN_EQ3_COUNT_2[[#This Row],[ID MATERIAL]]="","","PZ")</f>
        <v/>
      </c>
      <c r="H2534" s="7" t="str">
        <f>IF(Plantilla_SCAN_EQ3_COUNT_2[[#This Row],[ID MATERIAL]]="","",$B$13)</f>
        <v/>
      </c>
      <c r="I2534" s="7" t="str">
        <f>IF(Plantilla_SCAN_EQ3_COUNT_2[[#This Row],[ID MATERIAL]]="","","Segundo Conteo")</f>
        <v/>
      </c>
    </row>
    <row r="2535" spans="1:9" s="7" customFormat="1" ht="15" x14ac:dyDescent="0.2">
      <c r="A2535" s="7" t="str">
        <f>IF(Plantilla_SCAN_EQ3_COUNT_2[[#This Row],[ID MATERIAL]]="","",SIGN(Plantilla_SCAN_EQ3_COUNT_2[[#This Row],[Cantidad]])+A2534)</f>
        <v/>
      </c>
      <c r="B2535" s="21" t="str">
        <f>IF(Plantilla_SCAN_EQ3_COUNT_2[[#This Row],[ID MATERIAL]]="","",B2534)</f>
        <v/>
      </c>
      <c r="C2535" s="21"/>
      <c r="D2535" s="21"/>
      <c r="E2535" s="7" t="str">
        <f>IF(Plantilla_SCAN_EQ3_COUNT_2[[#This Row],[ID MATERIAL]]="","",VLOOKUP(Plantilla_SCAN_EQ3_COUNT_2[[#This Row],[ID MATERIAL]],INVENTARIO!$A:$D,2,FALSE))</f>
        <v/>
      </c>
      <c r="F2535" s="7" t="str">
        <f>IF(Plantilla_SCAN_EQ3_COUNT_2[[#This Row],[ID MATERIAL]]="","",IF(Plantilla_SCAN_EQ3_COUNT_2[[#This Row],[No. Empaques]]="",1,Plantilla_SCAN_EQ3_COUNT_2[[#This Row],[No. Empaques]]*1))</f>
        <v/>
      </c>
      <c r="G2535" s="7" t="str">
        <f>IF(Plantilla_SCAN_EQ3_COUNT_2[[#This Row],[ID MATERIAL]]="","","PZ")</f>
        <v/>
      </c>
      <c r="H2535" s="7" t="str">
        <f>IF(Plantilla_SCAN_EQ3_COUNT_2[[#This Row],[ID MATERIAL]]="","",$B$13)</f>
        <v/>
      </c>
      <c r="I2535" s="7" t="str">
        <f>IF(Plantilla_SCAN_EQ3_COUNT_2[[#This Row],[ID MATERIAL]]="","","Segundo Conteo")</f>
        <v/>
      </c>
    </row>
    <row r="2536" spans="1:9" s="7" customFormat="1" ht="15" x14ac:dyDescent="0.2">
      <c r="A2536" s="7" t="str">
        <f>IF(Plantilla_SCAN_EQ3_COUNT_2[[#This Row],[ID MATERIAL]]="","",SIGN(Plantilla_SCAN_EQ3_COUNT_2[[#This Row],[Cantidad]])+A2535)</f>
        <v/>
      </c>
      <c r="B2536" s="21" t="str">
        <f>IF(Plantilla_SCAN_EQ3_COUNT_2[[#This Row],[ID MATERIAL]]="","",B2535)</f>
        <v/>
      </c>
      <c r="C2536" s="21"/>
      <c r="D2536" s="21"/>
      <c r="E2536" s="7" t="str">
        <f>IF(Plantilla_SCAN_EQ3_COUNT_2[[#This Row],[ID MATERIAL]]="","",VLOOKUP(Plantilla_SCAN_EQ3_COUNT_2[[#This Row],[ID MATERIAL]],INVENTARIO!$A:$D,2,FALSE))</f>
        <v/>
      </c>
      <c r="F2536" s="7" t="str">
        <f>IF(Plantilla_SCAN_EQ3_COUNT_2[[#This Row],[ID MATERIAL]]="","",IF(Plantilla_SCAN_EQ3_COUNT_2[[#This Row],[No. Empaques]]="",1,Plantilla_SCAN_EQ3_COUNT_2[[#This Row],[No. Empaques]]*1))</f>
        <v/>
      </c>
      <c r="G2536" s="7" t="str">
        <f>IF(Plantilla_SCAN_EQ3_COUNT_2[[#This Row],[ID MATERIAL]]="","","PZ")</f>
        <v/>
      </c>
      <c r="H2536" s="7" t="str">
        <f>IF(Plantilla_SCAN_EQ3_COUNT_2[[#This Row],[ID MATERIAL]]="","",$B$13)</f>
        <v/>
      </c>
      <c r="I2536" s="7" t="str">
        <f>IF(Plantilla_SCAN_EQ3_COUNT_2[[#This Row],[ID MATERIAL]]="","","Segundo Conteo")</f>
        <v/>
      </c>
    </row>
    <row r="2537" spans="1:9" s="7" customFormat="1" ht="15" x14ac:dyDescent="0.2">
      <c r="A2537" s="7" t="str">
        <f>IF(Plantilla_SCAN_EQ3_COUNT_2[[#This Row],[ID MATERIAL]]="","",SIGN(Plantilla_SCAN_EQ3_COUNT_2[[#This Row],[Cantidad]])+A2536)</f>
        <v/>
      </c>
      <c r="B2537" s="21" t="str">
        <f>IF(Plantilla_SCAN_EQ3_COUNT_2[[#This Row],[ID MATERIAL]]="","",B2536)</f>
        <v/>
      </c>
      <c r="C2537" s="21"/>
      <c r="D2537" s="21"/>
      <c r="E2537" s="7" t="str">
        <f>IF(Plantilla_SCAN_EQ3_COUNT_2[[#This Row],[ID MATERIAL]]="","",VLOOKUP(Plantilla_SCAN_EQ3_COUNT_2[[#This Row],[ID MATERIAL]],INVENTARIO!$A:$D,2,FALSE))</f>
        <v/>
      </c>
      <c r="F2537" s="7" t="str">
        <f>IF(Plantilla_SCAN_EQ3_COUNT_2[[#This Row],[ID MATERIAL]]="","",IF(Plantilla_SCAN_EQ3_COUNT_2[[#This Row],[No. Empaques]]="",1,Plantilla_SCAN_EQ3_COUNT_2[[#This Row],[No. Empaques]]*1))</f>
        <v/>
      </c>
      <c r="G2537" s="7" t="str">
        <f>IF(Plantilla_SCAN_EQ3_COUNT_2[[#This Row],[ID MATERIAL]]="","","PZ")</f>
        <v/>
      </c>
      <c r="H2537" s="7" t="str">
        <f>IF(Plantilla_SCAN_EQ3_COUNT_2[[#This Row],[ID MATERIAL]]="","",$B$13)</f>
        <v/>
      </c>
      <c r="I2537" s="7" t="str">
        <f>IF(Plantilla_SCAN_EQ3_COUNT_2[[#This Row],[ID MATERIAL]]="","","Segundo Conteo")</f>
        <v/>
      </c>
    </row>
    <row r="2538" spans="1:9" s="7" customFormat="1" ht="15" x14ac:dyDescent="0.2">
      <c r="A2538" s="7" t="str">
        <f>IF(Plantilla_SCAN_EQ3_COUNT_2[[#This Row],[ID MATERIAL]]="","",SIGN(Plantilla_SCAN_EQ3_COUNT_2[[#This Row],[Cantidad]])+A2537)</f>
        <v/>
      </c>
      <c r="B2538" s="21" t="str">
        <f>IF(Plantilla_SCAN_EQ3_COUNT_2[[#This Row],[ID MATERIAL]]="","",B2537)</f>
        <v/>
      </c>
      <c r="C2538" s="21"/>
      <c r="D2538" s="21"/>
      <c r="E2538" s="7" t="str">
        <f>IF(Plantilla_SCAN_EQ3_COUNT_2[[#This Row],[ID MATERIAL]]="","",VLOOKUP(Plantilla_SCAN_EQ3_COUNT_2[[#This Row],[ID MATERIAL]],INVENTARIO!$A:$D,2,FALSE))</f>
        <v/>
      </c>
      <c r="F2538" s="7" t="str">
        <f>IF(Plantilla_SCAN_EQ3_COUNT_2[[#This Row],[ID MATERIAL]]="","",IF(Plantilla_SCAN_EQ3_COUNT_2[[#This Row],[No. Empaques]]="",1,Plantilla_SCAN_EQ3_COUNT_2[[#This Row],[No. Empaques]]*1))</f>
        <v/>
      </c>
      <c r="G2538" s="7" t="str">
        <f>IF(Plantilla_SCAN_EQ3_COUNT_2[[#This Row],[ID MATERIAL]]="","","PZ")</f>
        <v/>
      </c>
      <c r="H2538" s="7" t="str">
        <f>IF(Plantilla_SCAN_EQ3_COUNT_2[[#This Row],[ID MATERIAL]]="","",$B$13)</f>
        <v/>
      </c>
      <c r="I2538" s="7" t="str">
        <f>IF(Plantilla_SCAN_EQ3_COUNT_2[[#This Row],[ID MATERIAL]]="","","Segundo Conteo")</f>
        <v/>
      </c>
    </row>
    <row r="2539" spans="1:9" s="7" customFormat="1" ht="15" x14ac:dyDescent="0.2">
      <c r="A2539" s="7" t="str">
        <f>IF(Plantilla_SCAN_EQ3_COUNT_2[[#This Row],[ID MATERIAL]]="","",SIGN(Plantilla_SCAN_EQ3_COUNT_2[[#This Row],[Cantidad]])+A2538)</f>
        <v/>
      </c>
      <c r="B2539" s="21" t="str">
        <f>IF(Plantilla_SCAN_EQ3_COUNT_2[[#This Row],[ID MATERIAL]]="","",B2538)</f>
        <v/>
      </c>
      <c r="C2539" s="21"/>
      <c r="D2539" s="21"/>
      <c r="E2539" s="7" t="str">
        <f>IF(Plantilla_SCAN_EQ3_COUNT_2[[#This Row],[ID MATERIAL]]="","",VLOOKUP(Plantilla_SCAN_EQ3_COUNT_2[[#This Row],[ID MATERIAL]],INVENTARIO!$A:$D,2,FALSE))</f>
        <v/>
      </c>
      <c r="F2539" s="7" t="str">
        <f>IF(Plantilla_SCAN_EQ3_COUNT_2[[#This Row],[ID MATERIAL]]="","",IF(Plantilla_SCAN_EQ3_COUNT_2[[#This Row],[No. Empaques]]="",1,Plantilla_SCAN_EQ3_COUNT_2[[#This Row],[No. Empaques]]*1))</f>
        <v/>
      </c>
      <c r="G2539" s="7" t="str">
        <f>IF(Plantilla_SCAN_EQ3_COUNT_2[[#This Row],[ID MATERIAL]]="","","PZ")</f>
        <v/>
      </c>
      <c r="H2539" s="7" t="str">
        <f>IF(Plantilla_SCAN_EQ3_COUNT_2[[#This Row],[ID MATERIAL]]="","",$B$13)</f>
        <v/>
      </c>
      <c r="I2539" s="7" t="str">
        <f>IF(Plantilla_SCAN_EQ3_COUNT_2[[#This Row],[ID MATERIAL]]="","","Segundo Conteo")</f>
        <v/>
      </c>
    </row>
    <row r="2540" spans="1:9" s="7" customFormat="1" ht="15" x14ac:dyDescent="0.2">
      <c r="A2540" s="7" t="str">
        <f>IF(Plantilla_SCAN_EQ3_COUNT_2[[#This Row],[ID MATERIAL]]="","",SIGN(Plantilla_SCAN_EQ3_COUNT_2[[#This Row],[Cantidad]])+A2539)</f>
        <v/>
      </c>
      <c r="B2540" s="21" t="str">
        <f>IF(Plantilla_SCAN_EQ3_COUNT_2[[#This Row],[ID MATERIAL]]="","",B2539)</f>
        <v/>
      </c>
      <c r="C2540" s="21"/>
      <c r="D2540" s="21"/>
      <c r="E2540" s="7" t="str">
        <f>IF(Plantilla_SCAN_EQ3_COUNT_2[[#This Row],[ID MATERIAL]]="","",VLOOKUP(Plantilla_SCAN_EQ3_COUNT_2[[#This Row],[ID MATERIAL]],INVENTARIO!$A:$D,2,FALSE))</f>
        <v/>
      </c>
      <c r="F2540" s="7" t="str">
        <f>IF(Plantilla_SCAN_EQ3_COUNT_2[[#This Row],[ID MATERIAL]]="","",IF(Plantilla_SCAN_EQ3_COUNT_2[[#This Row],[No. Empaques]]="",1,Plantilla_SCAN_EQ3_COUNT_2[[#This Row],[No. Empaques]]*1))</f>
        <v/>
      </c>
      <c r="G2540" s="7" t="str">
        <f>IF(Plantilla_SCAN_EQ3_COUNT_2[[#This Row],[ID MATERIAL]]="","","PZ")</f>
        <v/>
      </c>
      <c r="H2540" s="7" t="str">
        <f>IF(Plantilla_SCAN_EQ3_COUNT_2[[#This Row],[ID MATERIAL]]="","",$B$13)</f>
        <v/>
      </c>
      <c r="I2540" s="7" t="str">
        <f>IF(Plantilla_SCAN_EQ3_COUNT_2[[#This Row],[ID MATERIAL]]="","","Segundo Conteo")</f>
        <v/>
      </c>
    </row>
    <row r="2541" spans="1:9" s="7" customFormat="1" ht="15" x14ac:dyDescent="0.2">
      <c r="A2541" s="7" t="str">
        <f>IF(Plantilla_SCAN_EQ3_COUNT_2[[#This Row],[ID MATERIAL]]="","",SIGN(Plantilla_SCAN_EQ3_COUNT_2[[#This Row],[Cantidad]])+A2540)</f>
        <v/>
      </c>
      <c r="B2541" s="21" t="str">
        <f>IF(Plantilla_SCAN_EQ3_COUNT_2[[#This Row],[ID MATERIAL]]="","",B2540)</f>
        <v/>
      </c>
      <c r="C2541" s="21"/>
      <c r="D2541" s="21"/>
      <c r="E2541" s="7" t="str">
        <f>IF(Plantilla_SCAN_EQ3_COUNT_2[[#This Row],[ID MATERIAL]]="","",VLOOKUP(Plantilla_SCAN_EQ3_COUNT_2[[#This Row],[ID MATERIAL]],INVENTARIO!$A:$D,2,FALSE))</f>
        <v/>
      </c>
      <c r="F2541" s="7" t="str">
        <f>IF(Plantilla_SCAN_EQ3_COUNT_2[[#This Row],[ID MATERIAL]]="","",IF(Plantilla_SCAN_EQ3_COUNT_2[[#This Row],[No. Empaques]]="",1,Plantilla_SCAN_EQ3_COUNT_2[[#This Row],[No. Empaques]]*1))</f>
        <v/>
      </c>
      <c r="G2541" s="7" t="str">
        <f>IF(Plantilla_SCAN_EQ3_COUNT_2[[#This Row],[ID MATERIAL]]="","","PZ")</f>
        <v/>
      </c>
      <c r="H2541" s="7" t="str">
        <f>IF(Plantilla_SCAN_EQ3_COUNT_2[[#This Row],[ID MATERIAL]]="","",$B$13)</f>
        <v/>
      </c>
      <c r="I2541" s="7" t="str">
        <f>IF(Plantilla_SCAN_EQ3_COUNT_2[[#This Row],[ID MATERIAL]]="","","Segundo Conteo")</f>
        <v/>
      </c>
    </row>
    <row r="2542" spans="1:9" s="7" customFormat="1" ht="15" x14ac:dyDescent="0.2">
      <c r="A2542" s="7" t="str">
        <f>IF(Plantilla_SCAN_EQ3_COUNT_2[[#This Row],[ID MATERIAL]]="","",SIGN(Plantilla_SCAN_EQ3_COUNT_2[[#This Row],[Cantidad]])+A2541)</f>
        <v/>
      </c>
      <c r="B2542" s="21" t="str">
        <f>IF(Plantilla_SCAN_EQ3_COUNT_2[[#This Row],[ID MATERIAL]]="","",B2541)</f>
        <v/>
      </c>
      <c r="C2542" s="21"/>
      <c r="D2542" s="21"/>
      <c r="E2542" s="7" t="str">
        <f>IF(Plantilla_SCAN_EQ3_COUNT_2[[#This Row],[ID MATERIAL]]="","",VLOOKUP(Plantilla_SCAN_EQ3_COUNT_2[[#This Row],[ID MATERIAL]],INVENTARIO!$A:$D,2,FALSE))</f>
        <v/>
      </c>
      <c r="F2542" s="7" t="str">
        <f>IF(Plantilla_SCAN_EQ3_COUNT_2[[#This Row],[ID MATERIAL]]="","",IF(Plantilla_SCAN_EQ3_COUNT_2[[#This Row],[No. Empaques]]="",1,Plantilla_SCAN_EQ3_COUNT_2[[#This Row],[No. Empaques]]*1))</f>
        <v/>
      </c>
      <c r="G2542" s="7" t="str">
        <f>IF(Plantilla_SCAN_EQ3_COUNT_2[[#This Row],[ID MATERIAL]]="","","PZ")</f>
        <v/>
      </c>
      <c r="H2542" s="7" t="str">
        <f>IF(Plantilla_SCAN_EQ3_COUNT_2[[#This Row],[ID MATERIAL]]="","",$B$13)</f>
        <v/>
      </c>
      <c r="I2542" s="7" t="str">
        <f>IF(Plantilla_SCAN_EQ3_COUNT_2[[#This Row],[ID MATERIAL]]="","","Segundo Conteo")</f>
        <v/>
      </c>
    </row>
    <row r="2543" spans="1:9" s="7" customFormat="1" ht="15" x14ac:dyDescent="0.2">
      <c r="A2543" s="7" t="str">
        <f>IF(Plantilla_SCAN_EQ3_COUNT_2[[#This Row],[ID MATERIAL]]="","",SIGN(Plantilla_SCAN_EQ3_COUNT_2[[#This Row],[Cantidad]])+A2542)</f>
        <v/>
      </c>
      <c r="B2543" s="21" t="str">
        <f>IF(Plantilla_SCAN_EQ3_COUNT_2[[#This Row],[ID MATERIAL]]="","",B2542)</f>
        <v/>
      </c>
      <c r="C2543" s="21"/>
      <c r="D2543" s="21"/>
      <c r="E2543" s="7" t="str">
        <f>IF(Plantilla_SCAN_EQ3_COUNT_2[[#This Row],[ID MATERIAL]]="","",VLOOKUP(Plantilla_SCAN_EQ3_COUNT_2[[#This Row],[ID MATERIAL]],INVENTARIO!$A:$D,2,FALSE))</f>
        <v/>
      </c>
      <c r="F2543" s="7" t="str">
        <f>IF(Plantilla_SCAN_EQ3_COUNT_2[[#This Row],[ID MATERIAL]]="","",IF(Plantilla_SCAN_EQ3_COUNT_2[[#This Row],[No. Empaques]]="",1,Plantilla_SCAN_EQ3_COUNT_2[[#This Row],[No. Empaques]]*1))</f>
        <v/>
      </c>
      <c r="G2543" s="7" t="str">
        <f>IF(Plantilla_SCAN_EQ3_COUNT_2[[#This Row],[ID MATERIAL]]="","","PZ")</f>
        <v/>
      </c>
      <c r="H2543" s="7" t="str">
        <f>IF(Plantilla_SCAN_EQ3_COUNT_2[[#This Row],[ID MATERIAL]]="","",$B$13)</f>
        <v/>
      </c>
      <c r="I2543" s="7" t="str">
        <f>IF(Plantilla_SCAN_EQ3_COUNT_2[[#This Row],[ID MATERIAL]]="","","Segundo Conteo")</f>
        <v/>
      </c>
    </row>
    <row r="2544" spans="1:9" s="7" customFormat="1" ht="15" x14ac:dyDescent="0.2">
      <c r="A2544" s="7" t="str">
        <f>IF(Plantilla_SCAN_EQ3_COUNT_2[[#This Row],[ID MATERIAL]]="","",SIGN(Plantilla_SCAN_EQ3_COUNT_2[[#This Row],[Cantidad]])+A2543)</f>
        <v/>
      </c>
      <c r="B2544" s="21" t="str">
        <f>IF(Plantilla_SCAN_EQ3_COUNT_2[[#This Row],[ID MATERIAL]]="","",B2543)</f>
        <v/>
      </c>
      <c r="C2544" s="21"/>
      <c r="D2544" s="21"/>
      <c r="E2544" s="7" t="str">
        <f>IF(Plantilla_SCAN_EQ3_COUNT_2[[#This Row],[ID MATERIAL]]="","",VLOOKUP(Plantilla_SCAN_EQ3_COUNT_2[[#This Row],[ID MATERIAL]],INVENTARIO!$A:$D,2,FALSE))</f>
        <v/>
      </c>
      <c r="F2544" s="7" t="str">
        <f>IF(Plantilla_SCAN_EQ3_COUNT_2[[#This Row],[ID MATERIAL]]="","",IF(Plantilla_SCAN_EQ3_COUNT_2[[#This Row],[No. Empaques]]="",1,Plantilla_SCAN_EQ3_COUNT_2[[#This Row],[No. Empaques]]*1))</f>
        <v/>
      </c>
      <c r="G2544" s="7" t="str">
        <f>IF(Plantilla_SCAN_EQ3_COUNT_2[[#This Row],[ID MATERIAL]]="","","PZ")</f>
        <v/>
      </c>
      <c r="H2544" s="7" t="str">
        <f>IF(Plantilla_SCAN_EQ3_COUNT_2[[#This Row],[ID MATERIAL]]="","",$B$13)</f>
        <v/>
      </c>
      <c r="I2544" s="7" t="str">
        <f>IF(Plantilla_SCAN_EQ3_COUNT_2[[#This Row],[ID MATERIAL]]="","","Segundo Conteo")</f>
        <v/>
      </c>
    </row>
    <row r="2545" spans="1:9" s="7" customFormat="1" ht="15" x14ac:dyDescent="0.2">
      <c r="A2545" s="7" t="str">
        <f>IF(Plantilla_SCAN_EQ3_COUNT_2[[#This Row],[ID MATERIAL]]="","",SIGN(Plantilla_SCAN_EQ3_COUNT_2[[#This Row],[Cantidad]])+A2544)</f>
        <v/>
      </c>
      <c r="B2545" s="21" t="str">
        <f>IF(Plantilla_SCAN_EQ3_COUNT_2[[#This Row],[ID MATERIAL]]="","",B2544)</f>
        <v/>
      </c>
      <c r="C2545" s="21"/>
      <c r="D2545" s="21"/>
      <c r="E2545" s="7" t="str">
        <f>IF(Plantilla_SCAN_EQ3_COUNT_2[[#This Row],[ID MATERIAL]]="","",VLOOKUP(Plantilla_SCAN_EQ3_COUNT_2[[#This Row],[ID MATERIAL]],INVENTARIO!$A:$D,2,FALSE))</f>
        <v/>
      </c>
      <c r="F2545" s="7" t="str">
        <f>IF(Plantilla_SCAN_EQ3_COUNT_2[[#This Row],[ID MATERIAL]]="","",IF(Plantilla_SCAN_EQ3_COUNT_2[[#This Row],[No. Empaques]]="",1,Plantilla_SCAN_EQ3_COUNT_2[[#This Row],[No. Empaques]]*1))</f>
        <v/>
      </c>
      <c r="G2545" s="7" t="str">
        <f>IF(Plantilla_SCAN_EQ3_COUNT_2[[#This Row],[ID MATERIAL]]="","","PZ")</f>
        <v/>
      </c>
      <c r="H2545" s="7" t="str">
        <f>IF(Plantilla_SCAN_EQ3_COUNT_2[[#This Row],[ID MATERIAL]]="","",$B$13)</f>
        <v/>
      </c>
      <c r="I2545" s="7" t="str">
        <f>IF(Plantilla_SCAN_EQ3_COUNT_2[[#This Row],[ID MATERIAL]]="","","Segundo Conteo")</f>
        <v/>
      </c>
    </row>
    <row r="2546" spans="1:9" s="7" customFormat="1" ht="15" x14ac:dyDescent="0.2">
      <c r="A2546" s="7" t="str">
        <f>IF(Plantilla_SCAN_EQ3_COUNT_2[[#This Row],[ID MATERIAL]]="","",SIGN(Plantilla_SCAN_EQ3_COUNT_2[[#This Row],[Cantidad]])+A2545)</f>
        <v/>
      </c>
      <c r="B2546" s="21" t="str">
        <f>IF(Plantilla_SCAN_EQ3_COUNT_2[[#This Row],[ID MATERIAL]]="","",B2545)</f>
        <v/>
      </c>
      <c r="C2546" s="21"/>
      <c r="D2546" s="21"/>
      <c r="E2546" s="7" t="str">
        <f>IF(Plantilla_SCAN_EQ3_COUNT_2[[#This Row],[ID MATERIAL]]="","",VLOOKUP(Plantilla_SCAN_EQ3_COUNT_2[[#This Row],[ID MATERIAL]],INVENTARIO!$A:$D,2,FALSE))</f>
        <v/>
      </c>
      <c r="F2546" s="7" t="str">
        <f>IF(Plantilla_SCAN_EQ3_COUNT_2[[#This Row],[ID MATERIAL]]="","",IF(Plantilla_SCAN_EQ3_COUNT_2[[#This Row],[No. Empaques]]="",1,Plantilla_SCAN_EQ3_COUNT_2[[#This Row],[No. Empaques]]*1))</f>
        <v/>
      </c>
      <c r="G2546" s="7" t="str">
        <f>IF(Plantilla_SCAN_EQ3_COUNT_2[[#This Row],[ID MATERIAL]]="","","PZ")</f>
        <v/>
      </c>
      <c r="H2546" s="7" t="str">
        <f>IF(Plantilla_SCAN_EQ3_COUNT_2[[#This Row],[ID MATERIAL]]="","",$B$13)</f>
        <v/>
      </c>
      <c r="I2546" s="7" t="str">
        <f>IF(Plantilla_SCAN_EQ3_COUNT_2[[#This Row],[ID MATERIAL]]="","","Segundo Conteo")</f>
        <v/>
      </c>
    </row>
    <row r="2547" spans="1:9" s="7" customFormat="1" ht="15" x14ac:dyDescent="0.2">
      <c r="A2547" s="7" t="str">
        <f>IF(Plantilla_SCAN_EQ3_COUNT_2[[#This Row],[ID MATERIAL]]="","",SIGN(Plantilla_SCAN_EQ3_COUNT_2[[#This Row],[Cantidad]])+A2546)</f>
        <v/>
      </c>
      <c r="B2547" s="21" t="str">
        <f>IF(Plantilla_SCAN_EQ3_COUNT_2[[#This Row],[ID MATERIAL]]="","",B2546)</f>
        <v/>
      </c>
      <c r="C2547" s="21"/>
      <c r="D2547" s="21"/>
      <c r="E2547" s="7" t="str">
        <f>IF(Plantilla_SCAN_EQ3_COUNT_2[[#This Row],[ID MATERIAL]]="","",VLOOKUP(Plantilla_SCAN_EQ3_COUNT_2[[#This Row],[ID MATERIAL]],INVENTARIO!$A:$D,2,FALSE))</f>
        <v/>
      </c>
      <c r="F2547" s="7" t="str">
        <f>IF(Plantilla_SCAN_EQ3_COUNT_2[[#This Row],[ID MATERIAL]]="","",IF(Plantilla_SCAN_EQ3_COUNT_2[[#This Row],[No. Empaques]]="",1,Plantilla_SCAN_EQ3_COUNT_2[[#This Row],[No. Empaques]]*1))</f>
        <v/>
      </c>
      <c r="G2547" s="7" t="str">
        <f>IF(Plantilla_SCAN_EQ3_COUNT_2[[#This Row],[ID MATERIAL]]="","","PZ")</f>
        <v/>
      </c>
      <c r="H2547" s="7" t="str">
        <f>IF(Plantilla_SCAN_EQ3_COUNT_2[[#This Row],[ID MATERIAL]]="","",$B$13)</f>
        <v/>
      </c>
      <c r="I2547" s="7" t="str">
        <f>IF(Plantilla_SCAN_EQ3_COUNT_2[[#This Row],[ID MATERIAL]]="","","Segundo Conteo")</f>
        <v/>
      </c>
    </row>
    <row r="2548" spans="1:9" s="7" customFormat="1" ht="15" x14ac:dyDescent="0.2">
      <c r="A2548" s="7" t="str">
        <f>IF(Plantilla_SCAN_EQ3_COUNT_2[[#This Row],[ID MATERIAL]]="","",SIGN(Plantilla_SCAN_EQ3_COUNT_2[[#This Row],[Cantidad]])+A2547)</f>
        <v/>
      </c>
      <c r="B2548" s="21" t="str">
        <f>IF(Plantilla_SCAN_EQ3_COUNT_2[[#This Row],[ID MATERIAL]]="","",B2547)</f>
        <v/>
      </c>
      <c r="C2548" s="21"/>
      <c r="D2548" s="21"/>
      <c r="E2548" s="7" t="str">
        <f>IF(Plantilla_SCAN_EQ3_COUNT_2[[#This Row],[ID MATERIAL]]="","",VLOOKUP(Plantilla_SCAN_EQ3_COUNT_2[[#This Row],[ID MATERIAL]],INVENTARIO!$A:$D,2,FALSE))</f>
        <v/>
      </c>
      <c r="F2548" s="7" t="str">
        <f>IF(Plantilla_SCAN_EQ3_COUNT_2[[#This Row],[ID MATERIAL]]="","",IF(Plantilla_SCAN_EQ3_COUNT_2[[#This Row],[No. Empaques]]="",1,Plantilla_SCAN_EQ3_COUNT_2[[#This Row],[No. Empaques]]*1))</f>
        <v/>
      </c>
      <c r="G2548" s="7" t="str">
        <f>IF(Plantilla_SCAN_EQ3_COUNT_2[[#This Row],[ID MATERIAL]]="","","PZ")</f>
        <v/>
      </c>
      <c r="H2548" s="7" t="str">
        <f>IF(Plantilla_SCAN_EQ3_COUNT_2[[#This Row],[ID MATERIAL]]="","",$B$13)</f>
        <v/>
      </c>
      <c r="I2548" s="7" t="str">
        <f>IF(Plantilla_SCAN_EQ3_COUNT_2[[#This Row],[ID MATERIAL]]="","","Segundo Conteo")</f>
        <v/>
      </c>
    </row>
    <row r="2549" spans="1:9" s="7" customFormat="1" ht="15" x14ac:dyDescent="0.2">
      <c r="A2549" s="7" t="str">
        <f>IF(Plantilla_SCAN_EQ3_COUNT_2[[#This Row],[ID MATERIAL]]="","",SIGN(Plantilla_SCAN_EQ3_COUNT_2[[#This Row],[Cantidad]])+A2548)</f>
        <v/>
      </c>
      <c r="B2549" s="21" t="str">
        <f>IF(Plantilla_SCAN_EQ3_COUNT_2[[#This Row],[ID MATERIAL]]="","",B2548)</f>
        <v/>
      </c>
      <c r="C2549" s="21"/>
      <c r="D2549" s="21"/>
      <c r="E2549" s="7" t="str">
        <f>IF(Plantilla_SCAN_EQ3_COUNT_2[[#This Row],[ID MATERIAL]]="","",VLOOKUP(Plantilla_SCAN_EQ3_COUNT_2[[#This Row],[ID MATERIAL]],INVENTARIO!$A:$D,2,FALSE))</f>
        <v/>
      </c>
      <c r="F2549" s="7" t="str">
        <f>IF(Plantilla_SCAN_EQ3_COUNT_2[[#This Row],[ID MATERIAL]]="","",IF(Plantilla_SCAN_EQ3_COUNT_2[[#This Row],[No. Empaques]]="",1,Plantilla_SCAN_EQ3_COUNT_2[[#This Row],[No. Empaques]]*1))</f>
        <v/>
      </c>
      <c r="G2549" s="7" t="str">
        <f>IF(Plantilla_SCAN_EQ3_COUNT_2[[#This Row],[ID MATERIAL]]="","","PZ")</f>
        <v/>
      </c>
      <c r="H2549" s="7" t="str">
        <f>IF(Plantilla_SCAN_EQ3_COUNT_2[[#This Row],[ID MATERIAL]]="","",$B$13)</f>
        <v/>
      </c>
      <c r="I2549" s="7" t="str">
        <f>IF(Plantilla_SCAN_EQ3_COUNT_2[[#This Row],[ID MATERIAL]]="","","Segundo Conteo")</f>
        <v/>
      </c>
    </row>
    <row r="2550" spans="1:9" s="7" customFormat="1" ht="15" x14ac:dyDescent="0.2">
      <c r="A2550" s="7" t="str">
        <f>IF(Plantilla_SCAN_EQ3_COUNT_2[[#This Row],[ID MATERIAL]]="","",SIGN(Plantilla_SCAN_EQ3_COUNT_2[[#This Row],[Cantidad]])+A2549)</f>
        <v/>
      </c>
      <c r="B2550" s="21" t="str">
        <f>IF(Plantilla_SCAN_EQ3_COUNT_2[[#This Row],[ID MATERIAL]]="","",B2549)</f>
        <v/>
      </c>
      <c r="C2550" s="21"/>
      <c r="D2550" s="21"/>
      <c r="E2550" s="7" t="str">
        <f>IF(Plantilla_SCAN_EQ3_COUNT_2[[#This Row],[ID MATERIAL]]="","",VLOOKUP(Plantilla_SCAN_EQ3_COUNT_2[[#This Row],[ID MATERIAL]],INVENTARIO!$A:$D,2,FALSE))</f>
        <v/>
      </c>
      <c r="F2550" s="7" t="str">
        <f>IF(Plantilla_SCAN_EQ3_COUNT_2[[#This Row],[ID MATERIAL]]="","",IF(Plantilla_SCAN_EQ3_COUNT_2[[#This Row],[No. Empaques]]="",1,Plantilla_SCAN_EQ3_COUNT_2[[#This Row],[No. Empaques]]*1))</f>
        <v/>
      </c>
      <c r="G2550" s="7" t="str">
        <f>IF(Plantilla_SCAN_EQ3_COUNT_2[[#This Row],[ID MATERIAL]]="","","PZ")</f>
        <v/>
      </c>
      <c r="H2550" s="7" t="str">
        <f>IF(Plantilla_SCAN_EQ3_COUNT_2[[#This Row],[ID MATERIAL]]="","",$B$13)</f>
        <v/>
      </c>
      <c r="I2550" s="7" t="str">
        <f>IF(Plantilla_SCAN_EQ3_COUNT_2[[#This Row],[ID MATERIAL]]="","","Segundo Conteo")</f>
        <v/>
      </c>
    </row>
    <row r="2551" spans="1:9" s="7" customFormat="1" ht="15" x14ac:dyDescent="0.2">
      <c r="A2551" s="7" t="str">
        <f>IF(Plantilla_SCAN_EQ3_COUNT_2[[#This Row],[ID MATERIAL]]="","",SIGN(Plantilla_SCAN_EQ3_COUNT_2[[#This Row],[Cantidad]])+A2550)</f>
        <v/>
      </c>
      <c r="B2551" s="21" t="str">
        <f>IF(Plantilla_SCAN_EQ3_COUNT_2[[#This Row],[ID MATERIAL]]="","",B2550)</f>
        <v/>
      </c>
      <c r="C2551" s="21"/>
      <c r="D2551" s="21"/>
      <c r="E2551" s="7" t="str">
        <f>IF(Plantilla_SCAN_EQ3_COUNT_2[[#This Row],[ID MATERIAL]]="","",VLOOKUP(Plantilla_SCAN_EQ3_COUNT_2[[#This Row],[ID MATERIAL]],INVENTARIO!$A:$D,2,FALSE))</f>
        <v/>
      </c>
      <c r="F2551" s="7" t="str">
        <f>IF(Plantilla_SCAN_EQ3_COUNT_2[[#This Row],[ID MATERIAL]]="","",IF(Plantilla_SCAN_EQ3_COUNT_2[[#This Row],[No. Empaques]]="",1,Plantilla_SCAN_EQ3_COUNT_2[[#This Row],[No. Empaques]]*1))</f>
        <v/>
      </c>
      <c r="G2551" s="7" t="str">
        <f>IF(Plantilla_SCAN_EQ3_COUNT_2[[#This Row],[ID MATERIAL]]="","","PZ")</f>
        <v/>
      </c>
      <c r="H2551" s="7" t="str">
        <f>IF(Plantilla_SCAN_EQ3_COUNT_2[[#This Row],[ID MATERIAL]]="","",$B$13)</f>
        <v/>
      </c>
      <c r="I2551" s="7" t="str">
        <f>IF(Plantilla_SCAN_EQ3_COUNT_2[[#This Row],[ID MATERIAL]]="","","Segundo Conteo")</f>
        <v/>
      </c>
    </row>
    <row r="2552" spans="1:9" s="7" customFormat="1" ht="15" x14ac:dyDescent="0.2">
      <c r="A2552" s="7" t="str">
        <f>IF(Plantilla_SCAN_EQ3_COUNT_2[[#This Row],[ID MATERIAL]]="","",SIGN(Plantilla_SCAN_EQ3_COUNT_2[[#This Row],[Cantidad]])+A2551)</f>
        <v/>
      </c>
      <c r="B2552" s="21" t="str">
        <f>IF(Plantilla_SCAN_EQ3_COUNT_2[[#This Row],[ID MATERIAL]]="","",B2551)</f>
        <v/>
      </c>
      <c r="C2552" s="21"/>
      <c r="D2552" s="21"/>
      <c r="E2552" s="7" t="str">
        <f>IF(Plantilla_SCAN_EQ3_COUNT_2[[#This Row],[ID MATERIAL]]="","",VLOOKUP(Plantilla_SCAN_EQ3_COUNT_2[[#This Row],[ID MATERIAL]],INVENTARIO!$A:$D,2,FALSE))</f>
        <v/>
      </c>
      <c r="F2552" s="7" t="str">
        <f>IF(Plantilla_SCAN_EQ3_COUNT_2[[#This Row],[ID MATERIAL]]="","",IF(Plantilla_SCAN_EQ3_COUNT_2[[#This Row],[No. Empaques]]="",1,Plantilla_SCAN_EQ3_COUNT_2[[#This Row],[No. Empaques]]*1))</f>
        <v/>
      </c>
      <c r="G2552" s="7" t="str">
        <f>IF(Plantilla_SCAN_EQ3_COUNT_2[[#This Row],[ID MATERIAL]]="","","PZ")</f>
        <v/>
      </c>
      <c r="H2552" s="7" t="str">
        <f>IF(Plantilla_SCAN_EQ3_COUNT_2[[#This Row],[ID MATERIAL]]="","",$B$13)</f>
        <v/>
      </c>
      <c r="I2552" s="7" t="str">
        <f>IF(Plantilla_SCAN_EQ3_COUNT_2[[#This Row],[ID MATERIAL]]="","","Segundo Conteo")</f>
        <v/>
      </c>
    </row>
    <row r="2553" spans="1:9" s="7" customFormat="1" ht="15" x14ac:dyDescent="0.2">
      <c r="A2553" s="7" t="str">
        <f>IF(Plantilla_SCAN_EQ3_COUNT_2[[#This Row],[ID MATERIAL]]="","",SIGN(Plantilla_SCAN_EQ3_COUNT_2[[#This Row],[Cantidad]])+A2552)</f>
        <v/>
      </c>
      <c r="B2553" s="21" t="str">
        <f>IF(Plantilla_SCAN_EQ3_COUNT_2[[#This Row],[ID MATERIAL]]="","",B2552)</f>
        <v/>
      </c>
      <c r="C2553" s="21"/>
      <c r="D2553" s="21"/>
      <c r="E2553" s="7" t="str">
        <f>IF(Plantilla_SCAN_EQ3_COUNT_2[[#This Row],[ID MATERIAL]]="","",VLOOKUP(Plantilla_SCAN_EQ3_COUNT_2[[#This Row],[ID MATERIAL]],INVENTARIO!$A:$D,2,FALSE))</f>
        <v/>
      </c>
      <c r="F2553" s="7" t="str">
        <f>IF(Plantilla_SCAN_EQ3_COUNT_2[[#This Row],[ID MATERIAL]]="","",IF(Plantilla_SCAN_EQ3_COUNT_2[[#This Row],[No. Empaques]]="",1,Plantilla_SCAN_EQ3_COUNT_2[[#This Row],[No. Empaques]]*1))</f>
        <v/>
      </c>
      <c r="G2553" s="7" t="str">
        <f>IF(Plantilla_SCAN_EQ3_COUNT_2[[#This Row],[ID MATERIAL]]="","","PZ")</f>
        <v/>
      </c>
      <c r="H2553" s="7" t="str">
        <f>IF(Plantilla_SCAN_EQ3_COUNT_2[[#This Row],[ID MATERIAL]]="","",$B$13)</f>
        <v/>
      </c>
      <c r="I2553" s="7" t="str">
        <f>IF(Plantilla_SCAN_EQ3_COUNT_2[[#This Row],[ID MATERIAL]]="","","Segundo Conteo")</f>
        <v/>
      </c>
    </row>
    <row r="2554" spans="1:9" s="7" customFormat="1" ht="15" x14ac:dyDescent="0.2">
      <c r="A2554" s="7" t="str">
        <f>IF(Plantilla_SCAN_EQ3_COUNT_2[[#This Row],[ID MATERIAL]]="","",SIGN(Plantilla_SCAN_EQ3_COUNT_2[[#This Row],[Cantidad]])+A2553)</f>
        <v/>
      </c>
      <c r="B2554" s="21" t="str">
        <f>IF(Plantilla_SCAN_EQ3_COUNT_2[[#This Row],[ID MATERIAL]]="","",B2553)</f>
        <v/>
      </c>
      <c r="C2554" s="21"/>
      <c r="D2554" s="21"/>
      <c r="E2554" s="7" t="str">
        <f>IF(Plantilla_SCAN_EQ3_COUNT_2[[#This Row],[ID MATERIAL]]="","",VLOOKUP(Plantilla_SCAN_EQ3_COUNT_2[[#This Row],[ID MATERIAL]],INVENTARIO!$A:$D,2,FALSE))</f>
        <v/>
      </c>
      <c r="F2554" s="7" t="str">
        <f>IF(Plantilla_SCAN_EQ3_COUNT_2[[#This Row],[ID MATERIAL]]="","",IF(Plantilla_SCAN_EQ3_COUNT_2[[#This Row],[No. Empaques]]="",1,Plantilla_SCAN_EQ3_COUNT_2[[#This Row],[No. Empaques]]*1))</f>
        <v/>
      </c>
      <c r="G2554" s="7" t="str">
        <f>IF(Plantilla_SCAN_EQ3_COUNT_2[[#This Row],[ID MATERIAL]]="","","PZ")</f>
        <v/>
      </c>
      <c r="H2554" s="7" t="str">
        <f>IF(Plantilla_SCAN_EQ3_COUNT_2[[#This Row],[ID MATERIAL]]="","",$B$13)</f>
        <v/>
      </c>
      <c r="I2554" s="7" t="str">
        <f>IF(Plantilla_SCAN_EQ3_COUNT_2[[#This Row],[ID MATERIAL]]="","","Segundo Conteo")</f>
        <v/>
      </c>
    </row>
    <row r="2555" spans="1:9" s="7" customFormat="1" ht="15" x14ac:dyDescent="0.2">
      <c r="A2555" s="7" t="str">
        <f>IF(Plantilla_SCAN_EQ3_COUNT_2[[#This Row],[ID MATERIAL]]="","",SIGN(Plantilla_SCAN_EQ3_COUNT_2[[#This Row],[Cantidad]])+A2554)</f>
        <v/>
      </c>
      <c r="B2555" s="21" t="str">
        <f>IF(Plantilla_SCAN_EQ3_COUNT_2[[#This Row],[ID MATERIAL]]="","",B2554)</f>
        <v/>
      </c>
      <c r="C2555" s="21"/>
      <c r="D2555" s="21"/>
      <c r="E2555" s="7" t="str">
        <f>IF(Plantilla_SCAN_EQ3_COUNT_2[[#This Row],[ID MATERIAL]]="","",VLOOKUP(Plantilla_SCAN_EQ3_COUNT_2[[#This Row],[ID MATERIAL]],INVENTARIO!$A:$D,2,FALSE))</f>
        <v/>
      </c>
      <c r="F2555" s="7" t="str">
        <f>IF(Plantilla_SCAN_EQ3_COUNT_2[[#This Row],[ID MATERIAL]]="","",IF(Plantilla_SCAN_EQ3_COUNT_2[[#This Row],[No. Empaques]]="",1,Plantilla_SCAN_EQ3_COUNT_2[[#This Row],[No. Empaques]]*1))</f>
        <v/>
      </c>
      <c r="G2555" s="7" t="str">
        <f>IF(Plantilla_SCAN_EQ3_COUNT_2[[#This Row],[ID MATERIAL]]="","","PZ")</f>
        <v/>
      </c>
      <c r="H2555" s="7" t="str">
        <f>IF(Plantilla_SCAN_EQ3_COUNT_2[[#This Row],[ID MATERIAL]]="","",$B$13)</f>
        <v/>
      </c>
      <c r="I2555" s="7" t="str">
        <f>IF(Plantilla_SCAN_EQ3_COUNT_2[[#This Row],[ID MATERIAL]]="","","Segundo Conteo")</f>
        <v/>
      </c>
    </row>
    <row r="2556" spans="1:9" s="7" customFormat="1" ht="15" x14ac:dyDescent="0.2">
      <c r="A2556" s="7" t="str">
        <f>IF(Plantilla_SCAN_EQ3_COUNT_2[[#This Row],[ID MATERIAL]]="","",SIGN(Plantilla_SCAN_EQ3_COUNT_2[[#This Row],[Cantidad]])+A2555)</f>
        <v/>
      </c>
      <c r="B2556" s="21" t="str">
        <f>IF(Plantilla_SCAN_EQ3_COUNT_2[[#This Row],[ID MATERIAL]]="","",B2555)</f>
        <v/>
      </c>
      <c r="C2556" s="21"/>
      <c r="D2556" s="21"/>
      <c r="E2556" s="7" t="str">
        <f>IF(Plantilla_SCAN_EQ3_COUNT_2[[#This Row],[ID MATERIAL]]="","",VLOOKUP(Plantilla_SCAN_EQ3_COUNT_2[[#This Row],[ID MATERIAL]],INVENTARIO!$A:$D,2,FALSE))</f>
        <v/>
      </c>
      <c r="F2556" s="7" t="str">
        <f>IF(Plantilla_SCAN_EQ3_COUNT_2[[#This Row],[ID MATERIAL]]="","",IF(Plantilla_SCAN_EQ3_COUNT_2[[#This Row],[No. Empaques]]="",1,Plantilla_SCAN_EQ3_COUNT_2[[#This Row],[No. Empaques]]*1))</f>
        <v/>
      </c>
      <c r="G2556" s="7" t="str">
        <f>IF(Plantilla_SCAN_EQ3_COUNT_2[[#This Row],[ID MATERIAL]]="","","PZ")</f>
        <v/>
      </c>
      <c r="H2556" s="7" t="str">
        <f>IF(Plantilla_SCAN_EQ3_COUNT_2[[#This Row],[ID MATERIAL]]="","",$B$13)</f>
        <v/>
      </c>
      <c r="I2556" s="7" t="str">
        <f>IF(Plantilla_SCAN_EQ3_COUNT_2[[#This Row],[ID MATERIAL]]="","","Segundo Conteo")</f>
        <v/>
      </c>
    </row>
    <row r="2557" spans="1:9" s="7" customFormat="1" ht="15" x14ac:dyDescent="0.2">
      <c r="A2557" s="7" t="str">
        <f>IF(Plantilla_SCAN_EQ3_COUNT_2[[#This Row],[ID MATERIAL]]="","",SIGN(Plantilla_SCAN_EQ3_COUNT_2[[#This Row],[Cantidad]])+A2556)</f>
        <v/>
      </c>
      <c r="B2557" s="21" t="str">
        <f>IF(Plantilla_SCAN_EQ3_COUNT_2[[#This Row],[ID MATERIAL]]="","",B2556)</f>
        <v/>
      </c>
      <c r="C2557" s="21"/>
      <c r="D2557" s="21"/>
      <c r="E2557" s="7" t="str">
        <f>IF(Plantilla_SCAN_EQ3_COUNT_2[[#This Row],[ID MATERIAL]]="","",VLOOKUP(Plantilla_SCAN_EQ3_COUNT_2[[#This Row],[ID MATERIAL]],INVENTARIO!$A:$D,2,FALSE))</f>
        <v/>
      </c>
      <c r="F2557" s="7" t="str">
        <f>IF(Plantilla_SCAN_EQ3_COUNT_2[[#This Row],[ID MATERIAL]]="","",IF(Plantilla_SCAN_EQ3_COUNT_2[[#This Row],[No. Empaques]]="",1,Plantilla_SCAN_EQ3_COUNT_2[[#This Row],[No. Empaques]]*1))</f>
        <v/>
      </c>
      <c r="G2557" s="7" t="str">
        <f>IF(Plantilla_SCAN_EQ3_COUNT_2[[#This Row],[ID MATERIAL]]="","","PZ")</f>
        <v/>
      </c>
      <c r="H2557" s="7" t="str">
        <f>IF(Plantilla_SCAN_EQ3_COUNT_2[[#This Row],[ID MATERIAL]]="","",$B$13)</f>
        <v/>
      </c>
      <c r="I2557" s="7" t="str">
        <f>IF(Plantilla_SCAN_EQ3_COUNT_2[[#This Row],[ID MATERIAL]]="","","Segundo Conteo")</f>
        <v/>
      </c>
    </row>
    <row r="2558" spans="1:9" s="7" customFormat="1" ht="15" x14ac:dyDescent="0.2">
      <c r="A2558" s="7" t="str">
        <f>IF(Plantilla_SCAN_EQ3_COUNT_2[[#This Row],[ID MATERIAL]]="","",SIGN(Plantilla_SCAN_EQ3_COUNT_2[[#This Row],[Cantidad]])+A2557)</f>
        <v/>
      </c>
      <c r="B2558" s="21" t="str">
        <f>IF(Plantilla_SCAN_EQ3_COUNT_2[[#This Row],[ID MATERIAL]]="","",B2557)</f>
        <v/>
      </c>
      <c r="C2558" s="21"/>
      <c r="D2558" s="21"/>
      <c r="E2558" s="7" t="str">
        <f>IF(Plantilla_SCAN_EQ3_COUNT_2[[#This Row],[ID MATERIAL]]="","",VLOOKUP(Plantilla_SCAN_EQ3_COUNT_2[[#This Row],[ID MATERIAL]],INVENTARIO!$A:$D,2,FALSE))</f>
        <v/>
      </c>
      <c r="F2558" s="7" t="str">
        <f>IF(Plantilla_SCAN_EQ3_COUNT_2[[#This Row],[ID MATERIAL]]="","",IF(Plantilla_SCAN_EQ3_COUNT_2[[#This Row],[No. Empaques]]="",1,Plantilla_SCAN_EQ3_COUNT_2[[#This Row],[No. Empaques]]*1))</f>
        <v/>
      </c>
      <c r="G2558" s="7" t="str">
        <f>IF(Plantilla_SCAN_EQ3_COUNT_2[[#This Row],[ID MATERIAL]]="","","PZ")</f>
        <v/>
      </c>
      <c r="H2558" s="7" t="str">
        <f>IF(Plantilla_SCAN_EQ3_COUNT_2[[#This Row],[ID MATERIAL]]="","",$B$13)</f>
        <v/>
      </c>
      <c r="I2558" s="7" t="str">
        <f>IF(Plantilla_SCAN_EQ3_COUNT_2[[#This Row],[ID MATERIAL]]="","","Segundo Conteo")</f>
        <v/>
      </c>
    </row>
    <row r="2559" spans="1:9" s="7" customFormat="1" ht="15" x14ac:dyDescent="0.2">
      <c r="A2559" s="7" t="str">
        <f>IF(Plantilla_SCAN_EQ3_COUNT_2[[#This Row],[ID MATERIAL]]="","",SIGN(Plantilla_SCAN_EQ3_COUNT_2[[#This Row],[Cantidad]])+A2558)</f>
        <v/>
      </c>
      <c r="B2559" s="21" t="str">
        <f>IF(Plantilla_SCAN_EQ3_COUNT_2[[#This Row],[ID MATERIAL]]="","",B2558)</f>
        <v/>
      </c>
      <c r="C2559" s="21"/>
      <c r="D2559" s="21"/>
      <c r="E2559" s="7" t="str">
        <f>IF(Plantilla_SCAN_EQ3_COUNT_2[[#This Row],[ID MATERIAL]]="","",VLOOKUP(Plantilla_SCAN_EQ3_COUNT_2[[#This Row],[ID MATERIAL]],INVENTARIO!$A:$D,2,FALSE))</f>
        <v/>
      </c>
      <c r="F2559" s="7" t="str">
        <f>IF(Plantilla_SCAN_EQ3_COUNT_2[[#This Row],[ID MATERIAL]]="","",IF(Plantilla_SCAN_EQ3_COUNT_2[[#This Row],[No. Empaques]]="",1,Plantilla_SCAN_EQ3_COUNT_2[[#This Row],[No. Empaques]]*1))</f>
        <v/>
      </c>
      <c r="G2559" s="7" t="str">
        <f>IF(Plantilla_SCAN_EQ3_COUNT_2[[#This Row],[ID MATERIAL]]="","","PZ")</f>
        <v/>
      </c>
      <c r="H2559" s="7" t="str">
        <f>IF(Plantilla_SCAN_EQ3_COUNT_2[[#This Row],[ID MATERIAL]]="","",$B$13)</f>
        <v/>
      </c>
      <c r="I2559" s="7" t="str">
        <f>IF(Plantilla_SCAN_EQ3_COUNT_2[[#This Row],[ID MATERIAL]]="","","Segundo Conteo")</f>
        <v/>
      </c>
    </row>
    <row r="2560" spans="1:9" s="7" customFormat="1" ht="15" x14ac:dyDescent="0.2">
      <c r="A2560" s="7" t="str">
        <f>IF(Plantilla_SCAN_EQ3_COUNT_2[[#This Row],[ID MATERIAL]]="","",SIGN(Plantilla_SCAN_EQ3_COUNT_2[[#This Row],[Cantidad]])+A2559)</f>
        <v/>
      </c>
      <c r="B2560" s="21" t="str">
        <f>IF(Plantilla_SCAN_EQ3_COUNT_2[[#This Row],[ID MATERIAL]]="","",B2559)</f>
        <v/>
      </c>
      <c r="C2560" s="21"/>
      <c r="D2560" s="21"/>
      <c r="E2560" s="7" t="str">
        <f>IF(Plantilla_SCAN_EQ3_COUNT_2[[#This Row],[ID MATERIAL]]="","",VLOOKUP(Plantilla_SCAN_EQ3_COUNT_2[[#This Row],[ID MATERIAL]],INVENTARIO!$A:$D,2,FALSE))</f>
        <v/>
      </c>
      <c r="F2560" s="7" t="str">
        <f>IF(Plantilla_SCAN_EQ3_COUNT_2[[#This Row],[ID MATERIAL]]="","",IF(Plantilla_SCAN_EQ3_COUNT_2[[#This Row],[No. Empaques]]="",1,Plantilla_SCAN_EQ3_COUNT_2[[#This Row],[No. Empaques]]*1))</f>
        <v/>
      </c>
      <c r="G2560" s="7" t="str">
        <f>IF(Plantilla_SCAN_EQ3_COUNT_2[[#This Row],[ID MATERIAL]]="","","PZ")</f>
        <v/>
      </c>
      <c r="H2560" s="7" t="str">
        <f>IF(Plantilla_SCAN_EQ3_COUNT_2[[#This Row],[ID MATERIAL]]="","",$B$13)</f>
        <v/>
      </c>
      <c r="I2560" s="7" t="str">
        <f>IF(Plantilla_SCAN_EQ3_COUNT_2[[#This Row],[ID MATERIAL]]="","","Segundo Conteo")</f>
        <v/>
      </c>
    </row>
    <row r="2561" spans="1:9" s="7" customFormat="1" ht="15" x14ac:dyDescent="0.2">
      <c r="A2561" s="7" t="str">
        <f>IF(Plantilla_SCAN_EQ3_COUNT_2[[#This Row],[ID MATERIAL]]="","",SIGN(Plantilla_SCAN_EQ3_COUNT_2[[#This Row],[Cantidad]])+A2560)</f>
        <v/>
      </c>
      <c r="B2561" s="21" t="str">
        <f>IF(Plantilla_SCAN_EQ3_COUNT_2[[#This Row],[ID MATERIAL]]="","",B2560)</f>
        <v/>
      </c>
      <c r="C2561" s="21"/>
      <c r="D2561" s="21"/>
      <c r="E2561" s="7" t="str">
        <f>IF(Plantilla_SCAN_EQ3_COUNT_2[[#This Row],[ID MATERIAL]]="","",VLOOKUP(Plantilla_SCAN_EQ3_COUNT_2[[#This Row],[ID MATERIAL]],INVENTARIO!$A:$D,2,FALSE))</f>
        <v/>
      </c>
      <c r="F2561" s="7" t="str">
        <f>IF(Plantilla_SCAN_EQ3_COUNT_2[[#This Row],[ID MATERIAL]]="","",IF(Plantilla_SCAN_EQ3_COUNT_2[[#This Row],[No. Empaques]]="",1,Plantilla_SCAN_EQ3_COUNT_2[[#This Row],[No. Empaques]]*1))</f>
        <v/>
      </c>
      <c r="G2561" s="7" t="str">
        <f>IF(Plantilla_SCAN_EQ3_COUNT_2[[#This Row],[ID MATERIAL]]="","","PZ")</f>
        <v/>
      </c>
      <c r="H2561" s="7" t="str">
        <f>IF(Plantilla_SCAN_EQ3_COUNT_2[[#This Row],[ID MATERIAL]]="","",$B$13)</f>
        <v/>
      </c>
      <c r="I2561" s="7" t="str">
        <f>IF(Plantilla_SCAN_EQ3_COUNT_2[[#This Row],[ID MATERIAL]]="","","Segundo Conteo")</f>
        <v/>
      </c>
    </row>
    <row r="2562" spans="1:9" s="7" customFormat="1" ht="15" x14ac:dyDescent="0.2">
      <c r="A2562" s="7" t="str">
        <f>IF(Plantilla_SCAN_EQ3_COUNT_2[[#This Row],[ID MATERIAL]]="","",SIGN(Plantilla_SCAN_EQ3_COUNT_2[[#This Row],[Cantidad]])+A2561)</f>
        <v/>
      </c>
      <c r="B2562" s="21" t="str">
        <f>IF(Plantilla_SCAN_EQ3_COUNT_2[[#This Row],[ID MATERIAL]]="","",B2561)</f>
        <v/>
      </c>
      <c r="C2562" s="21"/>
      <c r="D2562" s="21"/>
      <c r="E2562" s="7" t="str">
        <f>IF(Plantilla_SCAN_EQ3_COUNT_2[[#This Row],[ID MATERIAL]]="","",VLOOKUP(Plantilla_SCAN_EQ3_COUNT_2[[#This Row],[ID MATERIAL]],INVENTARIO!$A:$D,2,FALSE))</f>
        <v/>
      </c>
      <c r="F2562" s="7" t="str">
        <f>IF(Plantilla_SCAN_EQ3_COUNT_2[[#This Row],[ID MATERIAL]]="","",IF(Plantilla_SCAN_EQ3_COUNT_2[[#This Row],[No. Empaques]]="",1,Plantilla_SCAN_EQ3_COUNT_2[[#This Row],[No. Empaques]]*1))</f>
        <v/>
      </c>
      <c r="G2562" s="7" t="str">
        <f>IF(Plantilla_SCAN_EQ3_COUNT_2[[#This Row],[ID MATERIAL]]="","","PZ")</f>
        <v/>
      </c>
      <c r="H2562" s="7" t="str">
        <f>IF(Plantilla_SCAN_EQ3_COUNT_2[[#This Row],[ID MATERIAL]]="","",$B$13)</f>
        <v/>
      </c>
      <c r="I2562" s="7" t="str">
        <f>IF(Plantilla_SCAN_EQ3_COUNT_2[[#This Row],[ID MATERIAL]]="","","Segundo Conteo")</f>
        <v/>
      </c>
    </row>
    <row r="2563" spans="1:9" s="7" customFormat="1" ht="15" x14ac:dyDescent="0.2">
      <c r="A2563" s="7" t="str">
        <f>IF(Plantilla_SCAN_EQ3_COUNT_2[[#This Row],[ID MATERIAL]]="","",SIGN(Plantilla_SCAN_EQ3_COUNT_2[[#This Row],[Cantidad]])+A2562)</f>
        <v/>
      </c>
      <c r="B2563" s="21" t="str">
        <f>IF(Plantilla_SCAN_EQ3_COUNT_2[[#This Row],[ID MATERIAL]]="","",B2562)</f>
        <v/>
      </c>
      <c r="C2563" s="21"/>
      <c r="D2563" s="21"/>
      <c r="E2563" s="7" t="str">
        <f>IF(Plantilla_SCAN_EQ3_COUNT_2[[#This Row],[ID MATERIAL]]="","",VLOOKUP(Plantilla_SCAN_EQ3_COUNT_2[[#This Row],[ID MATERIAL]],INVENTARIO!$A:$D,2,FALSE))</f>
        <v/>
      </c>
      <c r="F2563" s="7" t="str">
        <f>IF(Plantilla_SCAN_EQ3_COUNT_2[[#This Row],[ID MATERIAL]]="","",IF(Plantilla_SCAN_EQ3_COUNT_2[[#This Row],[No. Empaques]]="",1,Plantilla_SCAN_EQ3_COUNT_2[[#This Row],[No. Empaques]]*1))</f>
        <v/>
      </c>
      <c r="G2563" s="7" t="str">
        <f>IF(Plantilla_SCAN_EQ3_COUNT_2[[#This Row],[ID MATERIAL]]="","","PZ")</f>
        <v/>
      </c>
      <c r="H2563" s="7" t="str">
        <f>IF(Plantilla_SCAN_EQ3_COUNT_2[[#This Row],[ID MATERIAL]]="","",$B$13)</f>
        <v/>
      </c>
      <c r="I2563" s="7" t="str">
        <f>IF(Plantilla_SCAN_EQ3_COUNT_2[[#This Row],[ID MATERIAL]]="","","Segundo Conteo")</f>
        <v/>
      </c>
    </row>
    <row r="2564" spans="1:9" s="7" customFormat="1" ht="15" x14ac:dyDescent="0.2">
      <c r="A2564" s="7" t="str">
        <f>IF(Plantilla_SCAN_EQ3_COUNT_2[[#This Row],[ID MATERIAL]]="","",SIGN(Plantilla_SCAN_EQ3_COUNT_2[[#This Row],[Cantidad]])+A2563)</f>
        <v/>
      </c>
      <c r="B2564" s="21" t="str">
        <f>IF(Plantilla_SCAN_EQ3_COUNT_2[[#This Row],[ID MATERIAL]]="","",B2563)</f>
        <v/>
      </c>
      <c r="C2564" s="21"/>
      <c r="D2564" s="21"/>
      <c r="E2564" s="7" t="str">
        <f>IF(Plantilla_SCAN_EQ3_COUNT_2[[#This Row],[ID MATERIAL]]="","",VLOOKUP(Plantilla_SCAN_EQ3_COUNT_2[[#This Row],[ID MATERIAL]],INVENTARIO!$A:$D,2,FALSE))</f>
        <v/>
      </c>
      <c r="F2564" s="7" t="str">
        <f>IF(Plantilla_SCAN_EQ3_COUNT_2[[#This Row],[ID MATERIAL]]="","",IF(Plantilla_SCAN_EQ3_COUNT_2[[#This Row],[No. Empaques]]="",1,Plantilla_SCAN_EQ3_COUNT_2[[#This Row],[No. Empaques]]*1))</f>
        <v/>
      </c>
      <c r="G2564" s="7" t="str">
        <f>IF(Plantilla_SCAN_EQ3_COUNT_2[[#This Row],[ID MATERIAL]]="","","PZ")</f>
        <v/>
      </c>
      <c r="H2564" s="7" t="str">
        <f>IF(Plantilla_SCAN_EQ3_COUNT_2[[#This Row],[ID MATERIAL]]="","",$B$13)</f>
        <v/>
      </c>
      <c r="I2564" s="7" t="str">
        <f>IF(Plantilla_SCAN_EQ3_COUNT_2[[#This Row],[ID MATERIAL]]="","","Segundo Conteo")</f>
        <v/>
      </c>
    </row>
    <row r="2565" spans="1:9" s="7" customFormat="1" ht="15" x14ac:dyDescent="0.2">
      <c r="A2565" s="7" t="str">
        <f>IF(Plantilla_SCAN_EQ3_COUNT_2[[#This Row],[ID MATERIAL]]="","",SIGN(Plantilla_SCAN_EQ3_COUNT_2[[#This Row],[Cantidad]])+A2564)</f>
        <v/>
      </c>
      <c r="B2565" s="21" t="str">
        <f>IF(Plantilla_SCAN_EQ3_COUNT_2[[#This Row],[ID MATERIAL]]="","",B2564)</f>
        <v/>
      </c>
      <c r="C2565" s="21"/>
      <c r="D2565" s="21"/>
      <c r="E2565" s="7" t="str">
        <f>IF(Plantilla_SCAN_EQ3_COUNT_2[[#This Row],[ID MATERIAL]]="","",VLOOKUP(Plantilla_SCAN_EQ3_COUNT_2[[#This Row],[ID MATERIAL]],INVENTARIO!$A:$D,2,FALSE))</f>
        <v/>
      </c>
      <c r="F2565" s="7" t="str">
        <f>IF(Plantilla_SCAN_EQ3_COUNT_2[[#This Row],[ID MATERIAL]]="","",IF(Plantilla_SCAN_EQ3_COUNT_2[[#This Row],[No. Empaques]]="",1,Plantilla_SCAN_EQ3_COUNT_2[[#This Row],[No. Empaques]]*1))</f>
        <v/>
      </c>
      <c r="G2565" s="7" t="str">
        <f>IF(Plantilla_SCAN_EQ3_COUNT_2[[#This Row],[ID MATERIAL]]="","","PZ")</f>
        <v/>
      </c>
      <c r="H2565" s="7" t="str">
        <f>IF(Plantilla_SCAN_EQ3_COUNT_2[[#This Row],[ID MATERIAL]]="","",$B$13)</f>
        <v/>
      </c>
      <c r="I2565" s="7" t="str">
        <f>IF(Plantilla_SCAN_EQ3_COUNT_2[[#This Row],[ID MATERIAL]]="","","Segundo Conteo")</f>
        <v/>
      </c>
    </row>
    <row r="2566" spans="1:9" s="7" customFormat="1" ht="15" x14ac:dyDescent="0.2">
      <c r="A2566" s="7" t="str">
        <f>IF(Plantilla_SCAN_EQ3_COUNT_2[[#This Row],[ID MATERIAL]]="","",SIGN(Plantilla_SCAN_EQ3_COUNT_2[[#This Row],[Cantidad]])+A2565)</f>
        <v/>
      </c>
      <c r="B2566" s="21" t="str">
        <f>IF(Plantilla_SCAN_EQ3_COUNT_2[[#This Row],[ID MATERIAL]]="","",B2565)</f>
        <v/>
      </c>
      <c r="C2566" s="21"/>
      <c r="D2566" s="21"/>
      <c r="E2566" s="7" t="str">
        <f>IF(Plantilla_SCAN_EQ3_COUNT_2[[#This Row],[ID MATERIAL]]="","",VLOOKUP(Plantilla_SCAN_EQ3_COUNT_2[[#This Row],[ID MATERIAL]],INVENTARIO!$A:$D,2,FALSE))</f>
        <v/>
      </c>
      <c r="F2566" s="7" t="str">
        <f>IF(Plantilla_SCAN_EQ3_COUNT_2[[#This Row],[ID MATERIAL]]="","",IF(Plantilla_SCAN_EQ3_COUNT_2[[#This Row],[No. Empaques]]="",1,Plantilla_SCAN_EQ3_COUNT_2[[#This Row],[No. Empaques]]*1))</f>
        <v/>
      </c>
      <c r="G2566" s="7" t="str">
        <f>IF(Plantilla_SCAN_EQ3_COUNT_2[[#This Row],[ID MATERIAL]]="","","PZ")</f>
        <v/>
      </c>
      <c r="H2566" s="7" t="str">
        <f>IF(Plantilla_SCAN_EQ3_COUNT_2[[#This Row],[ID MATERIAL]]="","",$B$13)</f>
        <v/>
      </c>
      <c r="I2566" s="7" t="str">
        <f>IF(Plantilla_SCAN_EQ3_COUNT_2[[#This Row],[ID MATERIAL]]="","","Segundo Conteo")</f>
        <v/>
      </c>
    </row>
    <row r="2567" spans="1:9" s="7" customFormat="1" ht="15" x14ac:dyDescent="0.2">
      <c r="A2567" s="7" t="str">
        <f>IF(Plantilla_SCAN_EQ3_COUNT_2[[#This Row],[ID MATERIAL]]="","",SIGN(Plantilla_SCAN_EQ3_COUNT_2[[#This Row],[Cantidad]])+A2566)</f>
        <v/>
      </c>
      <c r="B2567" s="21" t="str">
        <f>IF(Plantilla_SCAN_EQ3_COUNT_2[[#This Row],[ID MATERIAL]]="","",B2566)</f>
        <v/>
      </c>
      <c r="C2567" s="21"/>
      <c r="D2567" s="21"/>
      <c r="E2567" s="7" t="str">
        <f>IF(Plantilla_SCAN_EQ3_COUNT_2[[#This Row],[ID MATERIAL]]="","",VLOOKUP(Plantilla_SCAN_EQ3_COUNT_2[[#This Row],[ID MATERIAL]],INVENTARIO!$A:$D,2,FALSE))</f>
        <v/>
      </c>
      <c r="F2567" s="7" t="str">
        <f>IF(Plantilla_SCAN_EQ3_COUNT_2[[#This Row],[ID MATERIAL]]="","",IF(Plantilla_SCAN_EQ3_COUNT_2[[#This Row],[No. Empaques]]="",1,Plantilla_SCAN_EQ3_COUNT_2[[#This Row],[No. Empaques]]*1))</f>
        <v/>
      </c>
      <c r="G2567" s="7" t="str">
        <f>IF(Plantilla_SCAN_EQ3_COUNT_2[[#This Row],[ID MATERIAL]]="","","PZ")</f>
        <v/>
      </c>
      <c r="H2567" s="7" t="str">
        <f>IF(Plantilla_SCAN_EQ3_COUNT_2[[#This Row],[ID MATERIAL]]="","",$B$13)</f>
        <v/>
      </c>
      <c r="I2567" s="7" t="str">
        <f>IF(Plantilla_SCAN_EQ3_COUNT_2[[#This Row],[ID MATERIAL]]="","","Segundo Conteo")</f>
        <v/>
      </c>
    </row>
    <row r="2568" spans="1:9" s="7" customFormat="1" ht="15" x14ac:dyDescent="0.2">
      <c r="A2568" s="7" t="str">
        <f>IF(Plantilla_SCAN_EQ3_COUNT_2[[#This Row],[ID MATERIAL]]="","",SIGN(Plantilla_SCAN_EQ3_COUNT_2[[#This Row],[Cantidad]])+A2567)</f>
        <v/>
      </c>
      <c r="B2568" s="21" t="str">
        <f>IF(Plantilla_SCAN_EQ3_COUNT_2[[#This Row],[ID MATERIAL]]="","",B2567)</f>
        <v/>
      </c>
      <c r="C2568" s="21"/>
      <c r="D2568" s="21"/>
      <c r="E2568" s="7" t="str">
        <f>IF(Plantilla_SCAN_EQ3_COUNT_2[[#This Row],[ID MATERIAL]]="","",VLOOKUP(Plantilla_SCAN_EQ3_COUNT_2[[#This Row],[ID MATERIAL]],INVENTARIO!$A:$D,2,FALSE))</f>
        <v/>
      </c>
      <c r="F2568" s="7" t="str">
        <f>IF(Plantilla_SCAN_EQ3_COUNT_2[[#This Row],[ID MATERIAL]]="","",IF(Plantilla_SCAN_EQ3_COUNT_2[[#This Row],[No. Empaques]]="",1,Plantilla_SCAN_EQ3_COUNT_2[[#This Row],[No. Empaques]]*1))</f>
        <v/>
      </c>
      <c r="G2568" s="7" t="str">
        <f>IF(Plantilla_SCAN_EQ3_COUNT_2[[#This Row],[ID MATERIAL]]="","","PZ")</f>
        <v/>
      </c>
      <c r="H2568" s="7" t="str">
        <f>IF(Plantilla_SCAN_EQ3_COUNT_2[[#This Row],[ID MATERIAL]]="","",$B$13)</f>
        <v/>
      </c>
      <c r="I2568" s="7" t="str">
        <f>IF(Plantilla_SCAN_EQ3_COUNT_2[[#This Row],[ID MATERIAL]]="","","Segundo Conteo")</f>
        <v/>
      </c>
    </row>
    <row r="2569" spans="1:9" s="7" customFormat="1" ht="15" x14ac:dyDescent="0.2">
      <c r="A2569" s="7" t="str">
        <f>IF(Plantilla_SCAN_EQ3_COUNT_2[[#This Row],[ID MATERIAL]]="","",SIGN(Plantilla_SCAN_EQ3_COUNT_2[[#This Row],[Cantidad]])+A2568)</f>
        <v/>
      </c>
      <c r="B2569" s="21" t="str">
        <f>IF(Plantilla_SCAN_EQ3_COUNT_2[[#This Row],[ID MATERIAL]]="","",B2568)</f>
        <v/>
      </c>
      <c r="C2569" s="21"/>
      <c r="D2569" s="21"/>
      <c r="E2569" s="7" t="str">
        <f>IF(Plantilla_SCAN_EQ3_COUNT_2[[#This Row],[ID MATERIAL]]="","",VLOOKUP(Plantilla_SCAN_EQ3_COUNT_2[[#This Row],[ID MATERIAL]],INVENTARIO!$A:$D,2,FALSE))</f>
        <v/>
      </c>
      <c r="F2569" s="7" t="str">
        <f>IF(Plantilla_SCAN_EQ3_COUNT_2[[#This Row],[ID MATERIAL]]="","",IF(Plantilla_SCAN_EQ3_COUNT_2[[#This Row],[No. Empaques]]="",1,Plantilla_SCAN_EQ3_COUNT_2[[#This Row],[No. Empaques]]*1))</f>
        <v/>
      </c>
      <c r="G2569" s="7" t="str">
        <f>IF(Plantilla_SCAN_EQ3_COUNT_2[[#This Row],[ID MATERIAL]]="","","PZ")</f>
        <v/>
      </c>
      <c r="H2569" s="7" t="str">
        <f>IF(Plantilla_SCAN_EQ3_COUNT_2[[#This Row],[ID MATERIAL]]="","",$B$13)</f>
        <v/>
      </c>
      <c r="I2569" s="7" t="str">
        <f>IF(Plantilla_SCAN_EQ3_COUNT_2[[#This Row],[ID MATERIAL]]="","","Segundo Conteo")</f>
        <v/>
      </c>
    </row>
    <row r="2570" spans="1:9" s="7" customFormat="1" ht="15" x14ac:dyDescent="0.2">
      <c r="A2570" s="7" t="str">
        <f>IF(Plantilla_SCAN_EQ3_COUNT_2[[#This Row],[ID MATERIAL]]="","",SIGN(Plantilla_SCAN_EQ3_COUNT_2[[#This Row],[Cantidad]])+A2569)</f>
        <v/>
      </c>
      <c r="B2570" s="21" t="str">
        <f>IF(Plantilla_SCAN_EQ3_COUNT_2[[#This Row],[ID MATERIAL]]="","",B2569)</f>
        <v/>
      </c>
      <c r="C2570" s="21"/>
      <c r="D2570" s="21"/>
      <c r="E2570" s="7" t="str">
        <f>IF(Plantilla_SCAN_EQ3_COUNT_2[[#This Row],[ID MATERIAL]]="","",VLOOKUP(Plantilla_SCAN_EQ3_COUNT_2[[#This Row],[ID MATERIAL]],INVENTARIO!$A:$D,2,FALSE))</f>
        <v/>
      </c>
      <c r="F2570" s="7" t="str">
        <f>IF(Plantilla_SCAN_EQ3_COUNT_2[[#This Row],[ID MATERIAL]]="","",IF(Plantilla_SCAN_EQ3_COUNT_2[[#This Row],[No. Empaques]]="",1,Plantilla_SCAN_EQ3_COUNT_2[[#This Row],[No. Empaques]]*1))</f>
        <v/>
      </c>
      <c r="G2570" s="7" t="str">
        <f>IF(Plantilla_SCAN_EQ3_COUNT_2[[#This Row],[ID MATERIAL]]="","","PZ")</f>
        <v/>
      </c>
      <c r="H2570" s="7" t="str">
        <f>IF(Plantilla_SCAN_EQ3_COUNT_2[[#This Row],[ID MATERIAL]]="","",$B$13)</f>
        <v/>
      </c>
      <c r="I2570" s="7" t="str">
        <f>IF(Plantilla_SCAN_EQ3_COUNT_2[[#This Row],[ID MATERIAL]]="","","Segundo Conteo")</f>
        <v/>
      </c>
    </row>
    <row r="2571" spans="1:9" s="7" customFormat="1" ht="15" x14ac:dyDescent="0.2">
      <c r="A2571" s="7" t="str">
        <f>IF(Plantilla_SCAN_EQ3_COUNT_2[[#This Row],[ID MATERIAL]]="","",SIGN(Plantilla_SCAN_EQ3_COUNT_2[[#This Row],[Cantidad]])+A2570)</f>
        <v/>
      </c>
      <c r="B2571" s="21" t="str">
        <f>IF(Plantilla_SCAN_EQ3_COUNT_2[[#This Row],[ID MATERIAL]]="","",B2570)</f>
        <v/>
      </c>
      <c r="C2571" s="21"/>
      <c r="D2571" s="21"/>
      <c r="E2571" s="7" t="str">
        <f>IF(Plantilla_SCAN_EQ3_COUNT_2[[#This Row],[ID MATERIAL]]="","",VLOOKUP(Plantilla_SCAN_EQ3_COUNT_2[[#This Row],[ID MATERIAL]],INVENTARIO!$A:$D,2,FALSE))</f>
        <v/>
      </c>
      <c r="F2571" s="7" t="str">
        <f>IF(Plantilla_SCAN_EQ3_COUNT_2[[#This Row],[ID MATERIAL]]="","",IF(Plantilla_SCAN_EQ3_COUNT_2[[#This Row],[No. Empaques]]="",1,Plantilla_SCAN_EQ3_COUNT_2[[#This Row],[No. Empaques]]*1))</f>
        <v/>
      </c>
      <c r="G2571" s="7" t="str">
        <f>IF(Plantilla_SCAN_EQ3_COUNT_2[[#This Row],[ID MATERIAL]]="","","PZ")</f>
        <v/>
      </c>
      <c r="H2571" s="7" t="str">
        <f>IF(Plantilla_SCAN_EQ3_COUNT_2[[#This Row],[ID MATERIAL]]="","",$B$13)</f>
        <v/>
      </c>
      <c r="I2571" s="7" t="str">
        <f>IF(Plantilla_SCAN_EQ3_COUNT_2[[#This Row],[ID MATERIAL]]="","","Segundo Conteo")</f>
        <v/>
      </c>
    </row>
    <row r="2572" spans="1:9" s="7" customFormat="1" ht="15" x14ac:dyDescent="0.2">
      <c r="A2572" s="7" t="str">
        <f>IF(Plantilla_SCAN_EQ3_COUNT_2[[#This Row],[ID MATERIAL]]="","",SIGN(Plantilla_SCAN_EQ3_COUNT_2[[#This Row],[Cantidad]])+A2571)</f>
        <v/>
      </c>
      <c r="B2572" s="21" t="str">
        <f>IF(Plantilla_SCAN_EQ3_COUNT_2[[#This Row],[ID MATERIAL]]="","",B2571)</f>
        <v/>
      </c>
      <c r="C2572" s="21"/>
      <c r="D2572" s="21"/>
      <c r="E2572" s="7" t="str">
        <f>IF(Plantilla_SCAN_EQ3_COUNT_2[[#This Row],[ID MATERIAL]]="","",VLOOKUP(Plantilla_SCAN_EQ3_COUNT_2[[#This Row],[ID MATERIAL]],INVENTARIO!$A:$D,2,FALSE))</f>
        <v/>
      </c>
      <c r="F2572" s="7" t="str">
        <f>IF(Plantilla_SCAN_EQ3_COUNT_2[[#This Row],[ID MATERIAL]]="","",IF(Plantilla_SCAN_EQ3_COUNT_2[[#This Row],[No. Empaques]]="",1,Plantilla_SCAN_EQ3_COUNT_2[[#This Row],[No. Empaques]]*1))</f>
        <v/>
      </c>
      <c r="G2572" s="7" t="str">
        <f>IF(Plantilla_SCAN_EQ3_COUNT_2[[#This Row],[ID MATERIAL]]="","","PZ")</f>
        <v/>
      </c>
      <c r="H2572" s="7" t="str">
        <f>IF(Plantilla_SCAN_EQ3_COUNT_2[[#This Row],[ID MATERIAL]]="","",$B$13)</f>
        <v/>
      </c>
      <c r="I2572" s="7" t="str">
        <f>IF(Plantilla_SCAN_EQ3_COUNT_2[[#This Row],[ID MATERIAL]]="","","Segundo Conteo")</f>
        <v/>
      </c>
    </row>
    <row r="2573" spans="1:9" s="7" customFormat="1" ht="15" x14ac:dyDescent="0.2">
      <c r="A2573" s="7" t="str">
        <f>IF(Plantilla_SCAN_EQ3_COUNT_2[[#This Row],[ID MATERIAL]]="","",SIGN(Plantilla_SCAN_EQ3_COUNT_2[[#This Row],[Cantidad]])+A2572)</f>
        <v/>
      </c>
      <c r="B2573" s="21" t="str">
        <f>IF(Plantilla_SCAN_EQ3_COUNT_2[[#This Row],[ID MATERIAL]]="","",B2572)</f>
        <v/>
      </c>
      <c r="C2573" s="21"/>
      <c r="D2573" s="21"/>
      <c r="E2573" s="7" t="str">
        <f>IF(Plantilla_SCAN_EQ3_COUNT_2[[#This Row],[ID MATERIAL]]="","",VLOOKUP(Plantilla_SCAN_EQ3_COUNT_2[[#This Row],[ID MATERIAL]],INVENTARIO!$A:$D,2,FALSE))</f>
        <v/>
      </c>
      <c r="F2573" s="7" t="str">
        <f>IF(Plantilla_SCAN_EQ3_COUNT_2[[#This Row],[ID MATERIAL]]="","",IF(Plantilla_SCAN_EQ3_COUNT_2[[#This Row],[No. Empaques]]="",1,Plantilla_SCAN_EQ3_COUNT_2[[#This Row],[No. Empaques]]*1))</f>
        <v/>
      </c>
      <c r="G2573" s="7" t="str">
        <f>IF(Plantilla_SCAN_EQ3_COUNT_2[[#This Row],[ID MATERIAL]]="","","PZ")</f>
        <v/>
      </c>
      <c r="H2573" s="7" t="str">
        <f>IF(Plantilla_SCAN_EQ3_COUNT_2[[#This Row],[ID MATERIAL]]="","",$B$13)</f>
        <v/>
      </c>
      <c r="I2573" s="7" t="str">
        <f>IF(Plantilla_SCAN_EQ3_COUNT_2[[#This Row],[ID MATERIAL]]="","","Segundo Conteo")</f>
        <v/>
      </c>
    </row>
    <row r="2574" spans="1:9" s="7" customFormat="1" ht="15" x14ac:dyDescent="0.2">
      <c r="A2574" s="7" t="str">
        <f>IF(Plantilla_SCAN_EQ3_COUNT_2[[#This Row],[ID MATERIAL]]="","",SIGN(Plantilla_SCAN_EQ3_COUNT_2[[#This Row],[Cantidad]])+A2573)</f>
        <v/>
      </c>
      <c r="B2574" s="21" t="str">
        <f>IF(Plantilla_SCAN_EQ3_COUNT_2[[#This Row],[ID MATERIAL]]="","",B2573)</f>
        <v/>
      </c>
      <c r="C2574" s="21"/>
      <c r="D2574" s="21"/>
      <c r="E2574" s="7" t="str">
        <f>IF(Plantilla_SCAN_EQ3_COUNT_2[[#This Row],[ID MATERIAL]]="","",VLOOKUP(Plantilla_SCAN_EQ3_COUNT_2[[#This Row],[ID MATERIAL]],INVENTARIO!$A:$D,2,FALSE))</f>
        <v/>
      </c>
      <c r="F2574" s="7" t="str">
        <f>IF(Plantilla_SCAN_EQ3_COUNT_2[[#This Row],[ID MATERIAL]]="","",IF(Plantilla_SCAN_EQ3_COUNT_2[[#This Row],[No. Empaques]]="",1,Plantilla_SCAN_EQ3_COUNT_2[[#This Row],[No. Empaques]]*1))</f>
        <v/>
      </c>
      <c r="G2574" s="7" t="str">
        <f>IF(Plantilla_SCAN_EQ3_COUNT_2[[#This Row],[ID MATERIAL]]="","","PZ")</f>
        <v/>
      </c>
      <c r="H2574" s="7" t="str">
        <f>IF(Plantilla_SCAN_EQ3_COUNT_2[[#This Row],[ID MATERIAL]]="","",$B$13)</f>
        <v/>
      </c>
      <c r="I2574" s="7" t="str">
        <f>IF(Plantilla_SCAN_EQ3_COUNT_2[[#This Row],[ID MATERIAL]]="","","Segundo Conteo")</f>
        <v/>
      </c>
    </row>
    <row r="2575" spans="1:9" s="7" customFormat="1" ht="15" x14ac:dyDescent="0.2">
      <c r="A2575" s="7" t="str">
        <f>IF(Plantilla_SCAN_EQ3_COUNT_2[[#This Row],[ID MATERIAL]]="","",SIGN(Plantilla_SCAN_EQ3_COUNT_2[[#This Row],[Cantidad]])+A2574)</f>
        <v/>
      </c>
      <c r="B2575" s="21" t="str">
        <f>IF(Plantilla_SCAN_EQ3_COUNT_2[[#This Row],[ID MATERIAL]]="","",B2574)</f>
        <v/>
      </c>
      <c r="C2575" s="21"/>
      <c r="D2575" s="21"/>
      <c r="E2575" s="7" t="str">
        <f>IF(Plantilla_SCAN_EQ3_COUNT_2[[#This Row],[ID MATERIAL]]="","",VLOOKUP(Plantilla_SCAN_EQ3_COUNT_2[[#This Row],[ID MATERIAL]],INVENTARIO!$A:$D,2,FALSE))</f>
        <v/>
      </c>
      <c r="F2575" s="7" t="str">
        <f>IF(Plantilla_SCAN_EQ3_COUNT_2[[#This Row],[ID MATERIAL]]="","",IF(Plantilla_SCAN_EQ3_COUNT_2[[#This Row],[No. Empaques]]="",1,Plantilla_SCAN_EQ3_COUNT_2[[#This Row],[No. Empaques]]*1))</f>
        <v/>
      </c>
      <c r="G2575" s="7" t="str">
        <f>IF(Plantilla_SCAN_EQ3_COUNT_2[[#This Row],[ID MATERIAL]]="","","PZ")</f>
        <v/>
      </c>
      <c r="H2575" s="7" t="str">
        <f>IF(Plantilla_SCAN_EQ3_COUNT_2[[#This Row],[ID MATERIAL]]="","",$B$13)</f>
        <v/>
      </c>
      <c r="I2575" s="7" t="str">
        <f>IF(Plantilla_SCAN_EQ3_COUNT_2[[#This Row],[ID MATERIAL]]="","","Segundo Conteo")</f>
        <v/>
      </c>
    </row>
    <row r="2576" spans="1:9" s="7" customFormat="1" ht="15" x14ac:dyDescent="0.2">
      <c r="A2576" s="7" t="str">
        <f>IF(Plantilla_SCAN_EQ3_COUNT_2[[#This Row],[ID MATERIAL]]="","",SIGN(Plantilla_SCAN_EQ3_COUNT_2[[#This Row],[Cantidad]])+A2575)</f>
        <v/>
      </c>
      <c r="B2576" s="21" t="str">
        <f>IF(Plantilla_SCAN_EQ3_COUNT_2[[#This Row],[ID MATERIAL]]="","",B2575)</f>
        <v/>
      </c>
      <c r="C2576" s="21"/>
      <c r="D2576" s="21"/>
      <c r="E2576" s="7" t="str">
        <f>IF(Plantilla_SCAN_EQ3_COUNT_2[[#This Row],[ID MATERIAL]]="","",VLOOKUP(Plantilla_SCAN_EQ3_COUNT_2[[#This Row],[ID MATERIAL]],INVENTARIO!$A:$D,2,FALSE))</f>
        <v/>
      </c>
      <c r="F2576" s="7" t="str">
        <f>IF(Plantilla_SCAN_EQ3_COUNT_2[[#This Row],[ID MATERIAL]]="","",IF(Plantilla_SCAN_EQ3_COUNT_2[[#This Row],[No. Empaques]]="",1,Plantilla_SCAN_EQ3_COUNT_2[[#This Row],[No. Empaques]]*1))</f>
        <v/>
      </c>
      <c r="G2576" s="7" t="str">
        <f>IF(Plantilla_SCAN_EQ3_COUNT_2[[#This Row],[ID MATERIAL]]="","","PZ")</f>
        <v/>
      </c>
      <c r="H2576" s="7" t="str">
        <f>IF(Plantilla_SCAN_EQ3_COUNT_2[[#This Row],[ID MATERIAL]]="","",$B$13)</f>
        <v/>
      </c>
      <c r="I2576" s="7" t="str">
        <f>IF(Plantilla_SCAN_EQ3_COUNT_2[[#This Row],[ID MATERIAL]]="","","Segundo Conteo")</f>
        <v/>
      </c>
    </row>
    <row r="2577" spans="1:9" s="7" customFormat="1" ht="15" x14ac:dyDescent="0.2">
      <c r="A2577" s="7" t="str">
        <f>IF(Plantilla_SCAN_EQ3_COUNT_2[[#This Row],[ID MATERIAL]]="","",SIGN(Plantilla_SCAN_EQ3_COUNT_2[[#This Row],[Cantidad]])+A2576)</f>
        <v/>
      </c>
      <c r="B2577" s="21" t="str">
        <f>IF(Plantilla_SCAN_EQ3_COUNT_2[[#This Row],[ID MATERIAL]]="","",B2576)</f>
        <v/>
      </c>
      <c r="C2577" s="21"/>
      <c r="D2577" s="21"/>
      <c r="E2577" s="7" t="str">
        <f>IF(Plantilla_SCAN_EQ3_COUNT_2[[#This Row],[ID MATERIAL]]="","",VLOOKUP(Plantilla_SCAN_EQ3_COUNT_2[[#This Row],[ID MATERIAL]],INVENTARIO!$A:$D,2,FALSE))</f>
        <v/>
      </c>
      <c r="F2577" s="7" t="str">
        <f>IF(Plantilla_SCAN_EQ3_COUNT_2[[#This Row],[ID MATERIAL]]="","",IF(Plantilla_SCAN_EQ3_COUNT_2[[#This Row],[No. Empaques]]="",1,Plantilla_SCAN_EQ3_COUNT_2[[#This Row],[No. Empaques]]*1))</f>
        <v/>
      </c>
      <c r="G2577" s="7" t="str">
        <f>IF(Plantilla_SCAN_EQ3_COUNT_2[[#This Row],[ID MATERIAL]]="","","PZ")</f>
        <v/>
      </c>
      <c r="H2577" s="7" t="str">
        <f>IF(Plantilla_SCAN_EQ3_COUNT_2[[#This Row],[ID MATERIAL]]="","",$B$13)</f>
        <v/>
      </c>
      <c r="I2577" s="7" t="str">
        <f>IF(Plantilla_SCAN_EQ3_COUNT_2[[#This Row],[ID MATERIAL]]="","","Segundo Conteo")</f>
        <v/>
      </c>
    </row>
    <row r="2578" spans="1:9" s="7" customFormat="1" ht="15" x14ac:dyDescent="0.2">
      <c r="A2578" s="7" t="str">
        <f>IF(Plantilla_SCAN_EQ3_COUNT_2[[#This Row],[ID MATERIAL]]="","",SIGN(Plantilla_SCAN_EQ3_COUNT_2[[#This Row],[Cantidad]])+A2577)</f>
        <v/>
      </c>
      <c r="B2578" s="21" t="str">
        <f>IF(Plantilla_SCAN_EQ3_COUNT_2[[#This Row],[ID MATERIAL]]="","",B2577)</f>
        <v/>
      </c>
      <c r="C2578" s="21"/>
      <c r="D2578" s="21"/>
      <c r="E2578" s="7" t="str">
        <f>IF(Plantilla_SCAN_EQ3_COUNT_2[[#This Row],[ID MATERIAL]]="","",VLOOKUP(Plantilla_SCAN_EQ3_COUNT_2[[#This Row],[ID MATERIAL]],INVENTARIO!$A:$D,2,FALSE))</f>
        <v/>
      </c>
      <c r="F2578" s="7" t="str">
        <f>IF(Plantilla_SCAN_EQ3_COUNT_2[[#This Row],[ID MATERIAL]]="","",IF(Plantilla_SCAN_EQ3_COUNT_2[[#This Row],[No. Empaques]]="",1,Plantilla_SCAN_EQ3_COUNT_2[[#This Row],[No. Empaques]]*1))</f>
        <v/>
      </c>
      <c r="G2578" s="7" t="str">
        <f>IF(Plantilla_SCAN_EQ3_COUNT_2[[#This Row],[ID MATERIAL]]="","","PZ")</f>
        <v/>
      </c>
      <c r="H2578" s="7" t="str">
        <f>IF(Plantilla_SCAN_EQ3_COUNT_2[[#This Row],[ID MATERIAL]]="","",$B$13)</f>
        <v/>
      </c>
      <c r="I2578" s="7" t="str">
        <f>IF(Plantilla_SCAN_EQ3_COUNT_2[[#This Row],[ID MATERIAL]]="","","Segundo Conteo")</f>
        <v/>
      </c>
    </row>
    <row r="2579" spans="1:9" s="7" customFormat="1" ht="15" x14ac:dyDescent="0.2">
      <c r="A2579" s="7" t="str">
        <f>IF(Plantilla_SCAN_EQ3_COUNT_2[[#This Row],[ID MATERIAL]]="","",SIGN(Plantilla_SCAN_EQ3_COUNT_2[[#This Row],[Cantidad]])+A2578)</f>
        <v/>
      </c>
      <c r="B2579" s="21" t="str">
        <f>IF(Plantilla_SCAN_EQ3_COUNT_2[[#This Row],[ID MATERIAL]]="","",B2578)</f>
        <v/>
      </c>
      <c r="C2579" s="21"/>
      <c r="D2579" s="21"/>
      <c r="E2579" s="7" t="str">
        <f>IF(Plantilla_SCAN_EQ3_COUNT_2[[#This Row],[ID MATERIAL]]="","",VLOOKUP(Plantilla_SCAN_EQ3_COUNT_2[[#This Row],[ID MATERIAL]],INVENTARIO!$A:$D,2,FALSE))</f>
        <v/>
      </c>
      <c r="F2579" s="7" t="str">
        <f>IF(Plantilla_SCAN_EQ3_COUNT_2[[#This Row],[ID MATERIAL]]="","",IF(Plantilla_SCAN_EQ3_COUNT_2[[#This Row],[No. Empaques]]="",1,Plantilla_SCAN_EQ3_COUNT_2[[#This Row],[No. Empaques]]*1))</f>
        <v/>
      </c>
      <c r="G2579" s="7" t="str">
        <f>IF(Plantilla_SCAN_EQ3_COUNT_2[[#This Row],[ID MATERIAL]]="","","PZ")</f>
        <v/>
      </c>
      <c r="H2579" s="7" t="str">
        <f>IF(Plantilla_SCAN_EQ3_COUNT_2[[#This Row],[ID MATERIAL]]="","",$B$13)</f>
        <v/>
      </c>
      <c r="I2579" s="7" t="str">
        <f>IF(Plantilla_SCAN_EQ3_COUNT_2[[#This Row],[ID MATERIAL]]="","","Segundo Conteo")</f>
        <v/>
      </c>
    </row>
    <row r="2580" spans="1:9" s="7" customFormat="1" ht="15" x14ac:dyDescent="0.2">
      <c r="A2580" s="7" t="str">
        <f>IF(Plantilla_SCAN_EQ3_COUNT_2[[#This Row],[ID MATERIAL]]="","",SIGN(Plantilla_SCAN_EQ3_COUNT_2[[#This Row],[Cantidad]])+A2579)</f>
        <v/>
      </c>
      <c r="B2580" s="21" t="str">
        <f>IF(Plantilla_SCAN_EQ3_COUNT_2[[#This Row],[ID MATERIAL]]="","",B2579)</f>
        <v/>
      </c>
      <c r="C2580" s="21"/>
      <c r="D2580" s="21"/>
      <c r="E2580" s="7" t="str">
        <f>IF(Plantilla_SCAN_EQ3_COUNT_2[[#This Row],[ID MATERIAL]]="","",VLOOKUP(Plantilla_SCAN_EQ3_COUNT_2[[#This Row],[ID MATERIAL]],INVENTARIO!$A:$D,2,FALSE))</f>
        <v/>
      </c>
      <c r="F2580" s="7" t="str">
        <f>IF(Plantilla_SCAN_EQ3_COUNT_2[[#This Row],[ID MATERIAL]]="","",IF(Plantilla_SCAN_EQ3_COUNT_2[[#This Row],[No. Empaques]]="",1,Plantilla_SCAN_EQ3_COUNT_2[[#This Row],[No. Empaques]]*1))</f>
        <v/>
      </c>
      <c r="G2580" s="7" t="str">
        <f>IF(Plantilla_SCAN_EQ3_COUNT_2[[#This Row],[ID MATERIAL]]="","","PZ")</f>
        <v/>
      </c>
      <c r="H2580" s="7" t="str">
        <f>IF(Plantilla_SCAN_EQ3_COUNT_2[[#This Row],[ID MATERIAL]]="","",$B$13)</f>
        <v/>
      </c>
      <c r="I2580" s="7" t="str">
        <f>IF(Plantilla_SCAN_EQ3_COUNT_2[[#This Row],[ID MATERIAL]]="","","Segundo Conteo")</f>
        <v/>
      </c>
    </row>
    <row r="2581" spans="1:9" s="7" customFormat="1" ht="15" x14ac:dyDescent="0.2">
      <c r="A2581" s="7" t="str">
        <f>IF(Plantilla_SCAN_EQ3_COUNT_2[[#This Row],[ID MATERIAL]]="","",SIGN(Plantilla_SCAN_EQ3_COUNT_2[[#This Row],[Cantidad]])+A2580)</f>
        <v/>
      </c>
      <c r="B2581" s="21" t="str">
        <f>IF(Plantilla_SCAN_EQ3_COUNT_2[[#This Row],[ID MATERIAL]]="","",B2580)</f>
        <v/>
      </c>
      <c r="C2581" s="21"/>
      <c r="D2581" s="21"/>
      <c r="E2581" s="7" t="str">
        <f>IF(Plantilla_SCAN_EQ3_COUNT_2[[#This Row],[ID MATERIAL]]="","",VLOOKUP(Plantilla_SCAN_EQ3_COUNT_2[[#This Row],[ID MATERIAL]],INVENTARIO!$A:$D,2,FALSE))</f>
        <v/>
      </c>
      <c r="F2581" s="7" t="str">
        <f>IF(Plantilla_SCAN_EQ3_COUNT_2[[#This Row],[ID MATERIAL]]="","",IF(Plantilla_SCAN_EQ3_COUNT_2[[#This Row],[No. Empaques]]="",1,Plantilla_SCAN_EQ3_COUNT_2[[#This Row],[No. Empaques]]*1))</f>
        <v/>
      </c>
      <c r="G2581" s="7" t="str">
        <f>IF(Plantilla_SCAN_EQ3_COUNT_2[[#This Row],[ID MATERIAL]]="","","PZ")</f>
        <v/>
      </c>
      <c r="H2581" s="7" t="str">
        <f>IF(Plantilla_SCAN_EQ3_COUNT_2[[#This Row],[ID MATERIAL]]="","",$B$13)</f>
        <v/>
      </c>
      <c r="I2581" s="7" t="str">
        <f>IF(Plantilla_SCAN_EQ3_COUNT_2[[#This Row],[ID MATERIAL]]="","","Segundo Conteo")</f>
        <v/>
      </c>
    </row>
    <row r="2582" spans="1:9" s="7" customFormat="1" ht="15" x14ac:dyDescent="0.2">
      <c r="A2582" s="7" t="str">
        <f>IF(Plantilla_SCAN_EQ3_COUNT_2[[#This Row],[ID MATERIAL]]="","",SIGN(Plantilla_SCAN_EQ3_COUNT_2[[#This Row],[Cantidad]])+A2581)</f>
        <v/>
      </c>
      <c r="B2582" s="21" t="str">
        <f>IF(Plantilla_SCAN_EQ3_COUNT_2[[#This Row],[ID MATERIAL]]="","",B2581)</f>
        <v/>
      </c>
      <c r="C2582" s="21"/>
      <c r="D2582" s="21"/>
      <c r="E2582" s="7" t="str">
        <f>IF(Plantilla_SCAN_EQ3_COUNT_2[[#This Row],[ID MATERIAL]]="","",VLOOKUP(Plantilla_SCAN_EQ3_COUNT_2[[#This Row],[ID MATERIAL]],INVENTARIO!$A:$D,2,FALSE))</f>
        <v/>
      </c>
      <c r="F2582" s="7" t="str">
        <f>IF(Plantilla_SCAN_EQ3_COUNT_2[[#This Row],[ID MATERIAL]]="","",IF(Plantilla_SCAN_EQ3_COUNT_2[[#This Row],[No. Empaques]]="",1,Plantilla_SCAN_EQ3_COUNT_2[[#This Row],[No. Empaques]]*1))</f>
        <v/>
      </c>
      <c r="G2582" s="7" t="str">
        <f>IF(Plantilla_SCAN_EQ3_COUNT_2[[#This Row],[ID MATERIAL]]="","","PZ")</f>
        <v/>
      </c>
      <c r="H2582" s="7" t="str">
        <f>IF(Plantilla_SCAN_EQ3_COUNT_2[[#This Row],[ID MATERIAL]]="","",$B$13)</f>
        <v/>
      </c>
      <c r="I2582" s="7" t="str">
        <f>IF(Plantilla_SCAN_EQ3_COUNT_2[[#This Row],[ID MATERIAL]]="","","Segundo Conteo")</f>
        <v/>
      </c>
    </row>
    <row r="2583" spans="1:9" s="7" customFormat="1" ht="15" x14ac:dyDescent="0.2">
      <c r="A2583" s="7" t="str">
        <f>IF(Plantilla_SCAN_EQ3_COUNT_2[[#This Row],[ID MATERIAL]]="","",SIGN(Plantilla_SCAN_EQ3_COUNT_2[[#This Row],[Cantidad]])+A2582)</f>
        <v/>
      </c>
      <c r="B2583" s="21" t="str">
        <f>IF(Plantilla_SCAN_EQ3_COUNT_2[[#This Row],[ID MATERIAL]]="","",B2582)</f>
        <v/>
      </c>
      <c r="C2583" s="21"/>
      <c r="D2583" s="21"/>
      <c r="E2583" s="7" t="str">
        <f>IF(Plantilla_SCAN_EQ3_COUNT_2[[#This Row],[ID MATERIAL]]="","",VLOOKUP(Plantilla_SCAN_EQ3_COUNT_2[[#This Row],[ID MATERIAL]],INVENTARIO!$A:$D,2,FALSE))</f>
        <v/>
      </c>
      <c r="F2583" s="7" t="str">
        <f>IF(Plantilla_SCAN_EQ3_COUNT_2[[#This Row],[ID MATERIAL]]="","",IF(Plantilla_SCAN_EQ3_COUNT_2[[#This Row],[No. Empaques]]="",1,Plantilla_SCAN_EQ3_COUNT_2[[#This Row],[No. Empaques]]*1))</f>
        <v/>
      </c>
      <c r="G2583" s="7" t="str">
        <f>IF(Plantilla_SCAN_EQ3_COUNT_2[[#This Row],[ID MATERIAL]]="","","PZ")</f>
        <v/>
      </c>
      <c r="H2583" s="7" t="str">
        <f>IF(Plantilla_SCAN_EQ3_COUNT_2[[#This Row],[ID MATERIAL]]="","",$B$13)</f>
        <v/>
      </c>
      <c r="I2583" s="7" t="str">
        <f>IF(Plantilla_SCAN_EQ3_COUNT_2[[#This Row],[ID MATERIAL]]="","","Segundo Conteo")</f>
        <v/>
      </c>
    </row>
    <row r="2584" spans="1:9" s="7" customFormat="1" ht="15" x14ac:dyDescent="0.2">
      <c r="A2584" s="7" t="str">
        <f>IF(Plantilla_SCAN_EQ3_COUNT_2[[#This Row],[ID MATERIAL]]="","",SIGN(Plantilla_SCAN_EQ3_COUNT_2[[#This Row],[Cantidad]])+A2583)</f>
        <v/>
      </c>
      <c r="B2584" s="21" t="str">
        <f>IF(Plantilla_SCAN_EQ3_COUNT_2[[#This Row],[ID MATERIAL]]="","",B2583)</f>
        <v/>
      </c>
      <c r="C2584" s="21"/>
      <c r="D2584" s="21"/>
      <c r="E2584" s="7" t="str">
        <f>IF(Plantilla_SCAN_EQ3_COUNT_2[[#This Row],[ID MATERIAL]]="","",VLOOKUP(Plantilla_SCAN_EQ3_COUNT_2[[#This Row],[ID MATERIAL]],INVENTARIO!$A:$D,2,FALSE))</f>
        <v/>
      </c>
      <c r="F2584" s="7" t="str">
        <f>IF(Plantilla_SCAN_EQ3_COUNT_2[[#This Row],[ID MATERIAL]]="","",IF(Plantilla_SCAN_EQ3_COUNT_2[[#This Row],[No. Empaques]]="",1,Plantilla_SCAN_EQ3_COUNT_2[[#This Row],[No. Empaques]]*1))</f>
        <v/>
      </c>
      <c r="G2584" s="7" t="str">
        <f>IF(Plantilla_SCAN_EQ3_COUNT_2[[#This Row],[ID MATERIAL]]="","","PZ")</f>
        <v/>
      </c>
      <c r="H2584" s="7" t="str">
        <f>IF(Plantilla_SCAN_EQ3_COUNT_2[[#This Row],[ID MATERIAL]]="","",$B$13)</f>
        <v/>
      </c>
      <c r="I2584" s="7" t="str">
        <f>IF(Plantilla_SCAN_EQ3_COUNT_2[[#This Row],[ID MATERIAL]]="","","Segundo Conteo")</f>
        <v/>
      </c>
    </row>
    <row r="2585" spans="1:9" s="7" customFormat="1" ht="15" x14ac:dyDescent="0.2">
      <c r="A2585" s="7" t="str">
        <f>IF(Plantilla_SCAN_EQ3_COUNT_2[[#This Row],[ID MATERIAL]]="","",SIGN(Plantilla_SCAN_EQ3_COUNT_2[[#This Row],[Cantidad]])+A2584)</f>
        <v/>
      </c>
      <c r="B2585" s="21" t="str">
        <f>IF(Plantilla_SCAN_EQ3_COUNT_2[[#This Row],[ID MATERIAL]]="","",B2584)</f>
        <v/>
      </c>
      <c r="C2585" s="21"/>
      <c r="D2585" s="21"/>
      <c r="E2585" s="7" t="str">
        <f>IF(Plantilla_SCAN_EQ3_COUNT_2[[#This Row],[ID MATERIAL]]="","",VLOOKUP(Plantilla_SCAN_EQ3_COUNT_2[[#This Row],[ID MATERIAL]],INVENTARIO!$A:$D,2,FALSE))</f>
        <v/>
      </c>
      <c r="F2585" s="7" t="str">
        <f>IF(Plantilla_SCAN_EQ3_COUNT_2[[#This Row],[ID MATERIAL]]="","",IF(Plantilla_SCAN_EQ3_COUNT_2[[#This Row],[No. Empaques]]="",1,Plantilla_SCAN_EQ3_COUNT_2[[#This Row],[No. Empaques]]*1))</f>
        <v/>
      </c>
      <c r="G2585" s="7" t="str">
        <f>IF(Plantilla_SCAN_EQ3_COUNT_2[[#This Row],[ID MATERIAL]]="","","PZ")</f>
        <v/>
      </c>
      <c r="H2585" s="7" t="str">
        <f>IF(Plantilla_SCAN_EQ3_COUNT_2[[#This Row],[ID MATERIAL]]="","",$B$13)</f>
        <v/>
      </c>
      <c r="I2585" s="7" t="str">
        <f>IF(Plantilla_SCAN_EQ3_COUNT_2[[#This Row],[ID MATERIAL]]="","","Segundo Conteo")</f>
        <v/>
      </c>
    </row>
    <row r="2586" spans="1:9" s="7" customFormat="1" ht="15" x14ac:dyDescent="0.2">
      <c r="A2586" s="7" t="str">
        <f>IF(Plantilla_SCAN_EQ3_COUNT_2[[#This Row],[ID MATERIAL]]="","",SIGN(Plantilla_SCAN_EQ3_COUNT_2[[#This Row],[Cantidad]])+A2585)</f>
        <v/>
      </c>
      <c r="B2586" s="21" t="str">
        <f>IF(Plantilla_SCAN_EQ3_COUNT_2[[#This Row],[ID MATERIAL]]="","",B2585)</f>
        <v/>
      </c>
      <c r="C2586" s="21"/>
      <c r="D2586" s="21"/>
      <c r="E2586" s="7" t="str">
        <f>IF(Plantilla_SCAN_EQ3_COUNT_2[[#This Row],[ID MATERIAL]]="","",VLOOKUP(Plantilla_SCAN_EQ3_COUNT_2[[#This Row],[ID MATERIAL]],INVENTARIO!$A:$D,2,FALSE))</f>
        <v/>
      </c>
      <c r="F2586" s="7" t="str">
        <f>IF(Plantilla_SCAN_EQ3_COUNT_2[[#This Row],[ID MATERIAL]]="","",IF(Plantilla_SCAN_EQ3_COUNT_2[[#This Row],[No. Empaques]]="",1,Plantilla_SCAN_EQ3_COUNT_2[[#This Row],[No. Empaques]]*1))</f>
        <v/>
      </c>
      <c r="G2586" s="7" t="str">
        <f>IF(Plantilla_SCAN_EQ3_COUNT_2[[#This Row],[ID MATERIAL]]="","","PZ")</f>
        <v/>
      </c>
      <c r="H2586" s="7" t="str">
        <f>IF(Plantilla_SCAN_EQ3_COUNT_2[[#This Row],[ID MATERIAL]]="","",$B$13)</f>
        <v/>
      </c>
      <c r="I2586" s="7" t="str">
        <f>IF(Plantilla_SCAN_EQ3_COUNT_2[[#This Row],[ID MATERIAL]]="","","Segundo Conteo")</f>
        <v/>
      </c>
    </row>
    <row r="2587" spans="1:9" s="7" customFormat="1" ht="15" x14ac:dyDescent="0.2">
      <c r="A2587" s="7" t="str">
        <f>IF(Plantilla_SCAN_EQ3_COUNT_2[[#This Row],[ID MATERIAL]]="","",SIGN(Plantilla_SCAN_EQ3_COUNT_2[[#This Row],[Cantidad]])+A2586)</f>
        <v/>
      </c>
      <c r="B2587" s="21" t="str">
        <f>IF(Plantilla_SCAN_EQ3_COUNT_2[[#This Row],[ID MATERIAL]]="","",B2586)</f>
        <v/>
      </c>
      <c r="C2587" s="21"/>
      <c r="D2587" s="21"/>
      <c r="E2587" s="7" t="str">
        <f>IF(Plantilla_SCAN_EQ3_COUNT_2[[#This Row],[ID MATERIAL]]="","",VLOOKUP(Plantilla_SCAN_EQ3_COUNT_2[[#This Row],[ID MATERIAL]],INVENTARIO!$A:$D,2,FALSE))</f>
        <v/>
      </c>
      <c r="F2587" s="7" t="str">
        <f>IF(Plantilla_SCAN_EQ3_COUNT_2[[#This Row],[ID MATERIAL]]="","",IF(Plantilla_SCAN_EQ3_COUNT_2[[#This Row],[No. Empaques]]="",1,Plantilla_SCAN_EQ3_COUNT_2[[#This Row],[No. Empaques]]*1))</f>
        <v/>
      </c>
      <c r="G2587" s="7" t="str">
        <f>IF(Plantilla_SCAN_EQ3_COUNT_2[[#This Row],[ID MATERIAL]]="","","PZ")</f>
        <v/>
      </c>
      <c r="H2587" s="7" t="str">
        <f>IF(Plantilla_SCAN_EQ3_COUNT_2[[#This Row],[ID MATERIAL]]="","",$B$13)</f>
        <v/>
      </c>
      <c r="I2587" s="7" t="str">
        <f>IF(Plantilla_SCAN_EQ3_COUNT_2[[#This Row],[ID MATERIAL]]="","","Segundo Conteo")</f>
        <v/>
      </c>
    </row>
    <row r="2588" spans="1:9" s="7" customFormat="1" ht="15" x14ac:dyDescent="0.2">
      <c r="A2588" s="7" t="str">
        <f>IF(Plantilla_SCAN_EQ3_COUNT_2[[#This Row],[ID MATERIAL]]="","",SIGN(Plantilla_SCAN_EQ3_COUNT_2[[#This Row],[Cantidad]])+A2587)</f>
        <v/>
      </c>
      <c r="B2588" s="21" t="str">
        <f>IF(Plantilla_SCAN_EQ3_COUNT_2[[#This Row],[ID MATERIAL]]="","",B2587)</f>
        <v/>
      </c>
      <c r="C2588" s="21"/>
      <c r="D2588" s="21"/>
      <c r="E2588" s="7" t="str">
        <f>IF(Plantilla_SCAN_EQ3_COUNT_2[[#This Row],[ID MATERIAL]]="","",VLOOKUP(Plantilla_SCAN_EQ3_COUNT_2[[#This Row],[ID MATERIAL]],INVENTARIO!$A:$D,2,FALSE))</f>
        <v/>
      </c>
      <c r="F2588" s="7" t="str">
        <f>IF(Plantilla_SCAN_EQ3_COUNT_2[[#This Row],[ID MATERIAL]]="","",IF(Plantilla_SCAN_EQ3_COUNT_2[[#This Row],[No. Empaques]]="",1,Plantilla_SCAN_EQ3_COUNT_2[[#This Row],[No. Empaques]]*1))</f>
        <v/>
      </c>
      <c r="G2588" s="7" t="str">
        <f>IF(Plantilla_SCAN_EQ3_COUNT_2[[#This Row],[ID MATERIAL]]="","","PZ")</f>
        <v/>
      </c>
      <c r="H2588" s="7" t="str">
        <f>IF(Plantilla_SCAN_EQ3_COUNT_2[[#This Row],[ID MATERIAL]]="","",$B$13)</f>
        <v/>
      </c>
      <c r="I2588" s="7" t="str">
        <f>IF(Plantilla_SCAN_EQ3_COUNT_2[[#This Row],[ID MATERIAL]]="","","Segundo Conteo")</f>
        <v/>
      </c>
    </row>
    <row r="2589" spans="1:9" s="7" customFormat="1" ht="15" x14ac:dyDescent="0.2">
      <c r="A2589" s="7" t="str">
        <f>IF(Plantilla_SCAN_EQ3_COUNT_2[[#This Row],[ID MATERIAL]]="","",SIGN(Plantilla_SCAN_EQ3_COUNT_2[[#This Row],[Cantidad]])+A2588)</f>
        <v/>
      </c>
      <c r="B2589" s="21" t="str">
        <f>IF(Plantilla_SCAN_EQ3_COUNT_2[[#This Row],[ID MATERIAL]]="","",B2588)</f>
        <v/>
      </c>
      <c r="C2589" s="21"/>
      <c r="D2589" s="21"/>
      <c r="E2589" s="7" t="str">
        <f>IF(Plantilla_SCAN_EQ3_COUNT_2[[#This Row],[ID MATERIAL]]="","",VLOOKUP(Plantilla_SCAN_EQ3_COUNT_2[[#This Row],[ID MATERIAL]],INVENTARIO!$A:$D,2,FALSE))</f>
        <v/>
      </c>
      <c r="F2589" s="7" t="str">
        <f>IF(Plantilla_SCAN_EQ3_COUNT_2[[#This Row],[ID MATERIAL]]="","",IF(Plantilla_SCAN_EQ3_COUNT_2[[#This Row],[No. Empaques]]="",1,Plantilla_SCAN_EQ3_COUNT_2[[#This Row],[No. Empaques]]*1))</f>
        <v/>
      </c>
      <c r="G2589" s="7" t="str">
        <f>IF(Plantilla_SCAN_EQ3_COUNT_2[[#This Row],[ID MATERIAL]]="","","PZ")</f>
        <v/>
      </c>
      <c r="H2589" s="7" t="str">
        <f>IF(Plantilla_SCAN_EQ3_COUNT_2[[#This Row],[ID MATERIAL]]="","",$B$13)</f>
        <v/>
      </c>
      <c r="I2589" s="7" t="str">
        <f>IF(Plantilla_SCAN_EQ3_COUNT_2[[#This Row],[ID MATERIAL]]="","","Segundo Conteo")</f>
        <v/>
      </c>
    </row>
    <row r="2590" spans="1:9" s="7" customFormat="1" ht="15" x14ac:dyDescent="0.2">
      <c r="A2590" s="7" t="str">
        <f>IF(Plantilla_SCAN_EQ3_COUNT_2[[#This Row],[ID MATERIAL]]="","",SIGN(Plantilla_SCAN_EQ3_COUNT_2[[#This Row],[Cantidad]])+A2589)</f>
        <v/>
      </c>
      <c r="B2590" s="21" t="str">
        <f>IF(Plantilla_SCAN_EQ3_COUNT_2[[#This Row],[ID MATERIAL]]="","",B2589)</f>
        <v/>
      </c>
      <c r="C2590" s="21"/>
      <c r="D2590" s="21"/>
      <c r="E2590" s="7" t="str">
        <f>IF(Plantilla_SCAN_EQ3_COUNT_2[[#This Row],[ID MATERIAL]]="","",VLOOKUP(Plantilla_SCAN_EQ3_COUNT_2[[#This Row],[ID MATERIAL]],INVENTARIO!$A:$D,2,FALSE))</f>
        <v/>
      </c>
      <c r="F2590" s="7" t="str">
        <f>IF(Plantilla_SCAN_EQ3_COUNT_2[[#This Row],[ID MATERIAL]]="","",IF(Plantilla_SCAN_EQ3_COUNT_2[[#This Row],[No. Empaques]]="",1,Plantilla_SCAN_EQ3_COUNT_2[[#This Row],[No. Empaques]]*1))</f>
        <v/>
      </c>
      <c r="G2590" s="7" t="str">
        <f>IF(Plantilla_SCAN_EQ3_COUNT_2[[#This Row],[ID MATERIAL]]="","","PZ")</f>
        <v/>
      </c>
      <c r="H2590" s="7" t="str">
        <f>IF(Plantilla_SCAN_EQ3_COUNT_2[[#This Row],[ID MATERIAL]]="","",$B$13)</f>
        <v/>
      </c>
      <c r="I2590" s="7" t="str">
        <f>IF(Plantilla_SCAN_EQ3_COUNT_2[[#This Row],[ID MATERIAL]]="","","Segundo Conteo")</f>
        <v/>
      </c>
    </row>
    <row r="2591" spans="1:9" s="7" customFormat="1" ht="15" x14ac:dyDescent="0.2">
      <c r="A2591" s="7" t="str">
        <f>IF(Plantilla_SCAN_EQ3_COUNT_2[[#This Row],[ID MATERIAL]]="","",SIGN(Plantilla_SCAN_EQ3_COUNT_2[[#This Row],[Cantidad]])+A2590)</f>
        <v/>
      </c>
      <c r="B2591" s="21" t="str">
        <f>IF(Plantilla_SCAN_EQ3_COUNT_2[[#This Row],[ID MATERIAL]]="","",B2590)</f>
        <v/>
      </c>
      <c r="C2591" s="21"/>
      <c r="D2591" s="21"/>
      <c r="E2591" s="7" t="str">
        <f>IF(Plantilla_SCAN_EQ3_COUNT_2[[#This Row],[ID MATERIAL]]="","",VLOOKUP(Plantilla_SCAN_EQ3_COUNT_2[[#This Row],[ID MATERIAL]],INVENTARIO!$A:$D,2,FALSE))</f>
        <v/>
      </c>
      <c r="F2591" s="7" t="str">
        <f>IF(Plantilla_SCAN_EQ3_COUNT_2[[#This Row],[ID MATERIAL]]="","",IF(Plantilla_SCAN_EQ3_COUNT_2[[#This Row],[No. Empaques]]="",1,Plantilla_SCAN_EQ3_COUNT_2[[#This Row],[No. Empaques]]*1))</f>
        <v/>
      </c>
      <c r="G2591" s="7" t="str">
        <f>IF(Plantilla_SCAN_EQ3_COUNT_2[[#This Row],[ID MATERIAL]]="","","PZ")</f>
        <v/>
      </c>
      <c r="H2591" s="7" t="str">
        <f>IF(Plantilla_SCAN_EQ3_COUNT_2[[#This Row],[ID MATERIAL]]="","",$B$13)</f>
        <v/>
      </c>
      <c r="I2591" s="7" t="str">
        <f>IF(Plantilla_SCAN_EQ3_COUNT_2[[#This Row],[ID MATERIAL]]="","","Segundo Conteo")</f>
        <v/>
      </c>
    </row>
    <row r="2592" spans="1:9" s="7" customFormat="1" ht="15" x14ac:dyDescent="0.2">
      <c r="A2592" s="7" t="str">
        <f>IF(Plantilla_SCAN_EQ3_COUNT_2[[#This Row],[ID MATERIAL]]="","",SIGN(Plantilla_SCAN_EQ3_COUNT_2[[#This Row],[Cantidad]])+A2591)</f>
        <v/>
      </c>
      <c r="B2592" s="21" t="str">
        <f>IF(Plantilla_SCAN_EQ3_COUNT_2[[#This Row],[ID MATERIAL]]="","",B2591)</f>
        <v/>
      </c>
      <c r="C2592" s="21"/>
      <c r="D2592" s="21"/>
      <c r="E2592" s="7" t="str">
        <f>IF(Plantilla_SCAN_EQ3_COUNT_2[[#This Row],[ID MATERIAL]]="","",VLOOKUP(Plantilla_SCAN_EQ3_COUNT_2[[#This Row],[ID MATERIAL]],INVENTARIO!$A:$D,2,FALSE))</f>
        <v/>
      </c>
      <c r="F2592" s="7" t="str">
        <f>IF(Plantilla_SCAN_EQ3_COUNT_2[[#This Row],[ID MATERIAL]]="","",IF(Plantilla_SCAN_EQ3_COUNT_2[[#This Row],[No. Empaques]]="",1,Plantilla_SCAN_EQ3_COUNT_2[[#This Row],[No. Empaques]]*1))</f>
        <v/>
      </c>
      <c r="G2592" s="7" t="str">
        <f>IF(Plantilla_SCAN_EQ3_COUNT_2[[#This Row],[ID MATERIAL]]="","","PZ")</f>
        <v/>
      </c>
      <c r="H2592" s="7" t="str">
        <f>IF(Plantilla_SCAN_EQ3_COUNT_2[[#This Row],[ID MATERIAL]]="","",$B$13)</f>
        <v/>
      </c>
      <c r="I2592" s="7" t="str">
        <f>IF(Plantilla_SCAN_EQ3_COUNT_2[[#This Row],[ID MATERIAL]]="","","Segundo Conteo")</f>
        <v/>
      </c>
    </row>
    <row r="2593" spans="1:9" s="7" customFormat="1" ht="15" x14ac:dyDescent="0.2">
      <c r="A2593" s="7" t="str">
        <f>IF(Plantilla_SCAN_EQ3_COUNT_2[[#This Row],[ID MATERIAL]]="","",SIGN(Plantilla_SCAN_EQ3_COUNT_2[[#This Row],[Cantidad]])+A2592)</f>
        <v/>
      </c>
      <c r="B2593" s="21" t="str">
        <f>IF(Plantilla_SCAN_EQ3_COUNT_2[[#This Row],[ID MATERIAL]]="","",B2592)</f>
        <v/>
      </c>
      <c r="C2593" s="21"/>
      <c r="D2593" s="21"/>
      <c r="E2593" s="7" t="str">
        <f>IF(Plantilla_SCAN_EQ3_COUNT_2[[#This Row],[ID MATERIAL]]="","",VLOOKUP(Plantilla_SCAN_EQ3_COUNT_2[[#This Row],[ID MATERIAL]],INVENTARIO!$A:$D,2,FALSE))</f>
        <v/>
      </c>
      <c r="F2593" s="7" t="str">
        <f>IF(Plantilla_SCAN_EQ3_COUNT_2[[#This Row],[ID MATERIAL]]="","",IF(Plantilla_SCAN_EQ3_COUNT_2[[#This Row],[No. Empaques]]="",1,Plantilla_SCAN_EQ3_COUNT_2[[#This Row],[No. Empaques]]*1))</f>
        <v/>
      </c>
      <c r="G2593" s="7" t="str">
        <f>IF(Plantilla_SCAN_EQ3_COUNT_2[[#This Row],[ID MATERIAL]]="","","PZ")</f>
        <v/>
      </c>
      <c r="H2593" s="7" t="str">
        <f>IF(Plantilla_SCAN_EQ3_COUNT_2[[#This Row],[ID MATERIAL]]="","",$B$13)</f>
        <v/>
      </c>
      <c r="I2593" s="7" t="str">
        <f>IF(Plantilla_SCAN_EQ3_COUNT_2[[#This Row],[ID MATERIAL]]="","","Segundo Conteo")</f>
        <v/>
      </c>
    </row>
    <row r="2594" spans="1:9" s="7" customFormat="1" ht="15" x14ac:dyDescent="0.2">
      <c r="A2594" s="7" t="str">
        <f>IF(Plantilla_SCAN_EQ3_COUNT_2[[#This Row],[ID MATERIAL]]="","",SIGN(Plantilla_SCAN_EQ3_COUNT_2[[#This Row],[Cantidad]])+A2593)</f>
        <v/>
      </c>
      <c r="B2594" s="21" t="str">
        <f>IF(Plantilla_SCAN_EQ3_COUNT_2[[#This Row],[ID MATERIAL]]="","",B2593)</f>
        <v/>
      </c>
      <c r="C2594" s="21"/>
      <c r="D2594" s="21"/>
      <c r="E2594" s="7" t="str">
        <f>IF(Plantilla_SCAN_EQ3_COUNT_2[[#This Row],[ID MATERIAL]]="","",VLOOKUP(Plantilla_SCAN_EQ3_COUNT_2[[#This Row],[ID MATERIAL]],INVENTARIO!$A:$D,2,FALSE))</f>
        <v/>
      </c>
      <c r="F2594" s="7" t="str">
        <f>IF(Plantilla_SCAN_EQ3_COUNT_2[[#This Row],[ID MATERIAL]]="","",IF(Plantilla_SCAN_EQ3_COUNT_2[[#This Row],[No. Empaques]]="",1,Plantilla_SCAN_EQ3_COUNT_2[[#This Row],[No. Empaques]]*1))</f>
        <v/>
      </c>
      <c r="G2594" s="7" t="str">
        <f>IF(Plantilla_SCAN_EQ3_COUNT_2[[#This Row],[ID MATERIAL]]="","","PZ")</f>
        <v/>
      </c>
      <c r="H2594" s="7" t="str">
        <f>IF(Plantilla_SCAN_EQ3_COUNT_2[[#This Row],[ID MATERIAL]]="","",$B$13)</f>
        <v/>
      </c>
      <c r="I2594" s="7" t="str">
        <f>IF(Plantilla_SCAN_EQ3_COUNT_2[[#This Row],[ID MATERIAL]]="","","Segundo Conteo")</f>
        <v/>
      </c>
    </row>
    <row r="2595" spans="1:9" s="7" customFormat="1" ht="15" x14ac:dyDescent="0.2">
      <c r="A2595" s="7" t="str">
        <f>IF(Plantilla_SCAN_EQ3_COUNT_2[[#This Row],[ID MATERIAL]]="","",SIGN(Plantilla_SCAN_EQ3_COUNT_2[[#This Row],[Cantidad]])+A2594)</f>
        <v/>
      </c>
      <c r="B2595" s="21" t="str">
        <f>IF(Plantilla_SCAN_EQ3_COUNT_2[[#This Row],[ID MATERIAL]]="","",B2594)</f>
        <v/>
      </c>
      <c r="C2595" s="21"/>
      <c r="D2595" s="21"/>
      <c r="E2595" s="7" t="str">
        <f>IF(Plantilla_SCAN_EQ3_COUNT_2[[#This Row],[ID MATERIAL]]="","",VLOOKUP(Plantilla_SCAN_EQ3_COUNT_2[[#This Row],[ID MATERIAL]],INVENTARIO!$A:$D,2,FALSE))</f>
        <v/>
      </c>
      <c r="F2595" s="7" t="str">
        <f>IF(Plantilla_SCAN_EQ3_COUNT_2[[#This Row],[ID MATERIAL]]="","",IF(Plantilla_SCAN_EQ3_COUNT_2[[#This Row],[No. Empaques]]="",1,Plantilla_SCAN_EQ3_COUNT_2[[#This Row],[No. Empaques]]*1))</f>
        <v/>
      </c>
      <c r="G2595" s="7" t="str">
        <f>IF(Plantilla_SCAN_EQ3_COUNT_2[[#This Row],[ID MATERIAL]]="","","PZ")</f>
        <v/>
      </c>
      <c r="H2595" s="7" t="str">
        <f>IF(Plantilla_SCAN_EQ3_COUNT_2[[#This Row],[ID MATERIAL]]="","",$B$13)</f>
        <v/>
      </c>
      <c r="I2595" s="7" t="str">
        <f>IF(Plantilla_SCAN_EQ3_COUNT_2[[#This Row],[ID MATERIAL]]="","","Segundo Conteo")</f>
        <v/>
      </c>
    </row>
    <row r="2596" spans="1:9" s="7" customFormat="1" ht="15" x14ac:dyDescent="0.2">
      <c r="A2596" s="7" t="str">
        <f>IF(Plantilla_SCAN_EQ3_COUNT_2[[#This Row],[ID MATERIAL]]="","",SIGN(Plantilla_SCAN_EQ3_COUNT_2[[#This Row],[Cantidad]])+A2595)</f>
        <v/>
      </c>
      <c r="B2596" s="21" t="str">
        <f>IF(Plantilla_SCAN_EQ3_COUNT_2[[#This Row],[ID MATERIAL]]="","",B2595)</f>
        <v/>
      </c>
      <c r="C2596" s="21"/>
      <c r="D2596" s="21"/>
      <c r="E2596" s="7" t="str">
        <f>IF(Plantilla_SCAN_EQ3_COUNT_2[[#This Row],[ID MATERIAL]]="","",VLOOKUP(Plantilla_SCAN_EQ3_COUNT_2[[#This Row],[ID MATERIAL]],INVENTARIO!$A:$D,2,FALSE))</f>
        <v/>
      </c>
      <c r="F2596" s="7" t="str">
        <f>IF(Plantilla_SCAN_EQ3_COUNT_2[[#This Row],[ID MATERIAL]]="","",IF(Plantilla_SCAN_EQ3_COUNT_2[[#This Row],[No. Empaques]]="",1,Plantilla_SCAN_EQ3_COUNT_2[[#This Row],[No. Empaques]]*1))</f>
        <v/>
      </c>
      <c r="G2596" s="7" t="str">
        <f>IF(Plantilla_SCAN_EQ3_COUNT_2[[#This Row],[ID MATERIAL]]="","","PZ")</f>
        <v/>
      </c>
      <c r="H2596" s="7" t="str">
        <f>IF(Plantilla_SCAN_EQ3_COUNT_2[[#This Row],[ID MATERIAL]]="","",$B$13)</f>
        <v/>
      </c>
      <c r="I2596" s="7" t="str">
        <f>IF(Plantilla_SCAN_EQ3_COUNT_2[[#This Row],[ID MATERIAL]]="","","Segundo Conteo")</f>
        <v/>
      </c>
    </row>
    <row r="2597" spans="1:9" s="7" customFormat="1" ht="15" x14ac:dyDescent="0.2">
      <c r="A2597" s="7" t="str">
        <f>IF(Plantilla_SCAN_EQ3_COUNT_2[[#This Row],[ID MATERIAL]]="","",SIGN(Plantilla_SCAN_EQ3_COUNT_2[[#This Row],[Cantidad]])+A2596)</f>
        <v/>
      </c>
      <c r="B2597" s="21" t="str">
        <f>IF(Plantilla_SCAN_EQ3_COUNT_2[[#This Row],[ID MATERIAL]]="","",B2596)</f>
        <v/>
      </c>
      <c r="C2597" s="21"/>
      <c r="D2597" s="21"/>
      <c r="E2597" s="7" t="str">
        <f>IF(Plantilla_SCAN_EQ3_COUNT_2[[#This Row],[ID MATERIAL]]="","",VLOOKUP(Plantilla_SCAN_EQ3_COUNT_2[[#This Row],[ID MATERIAL]],INVENTARIO!$A:$D,2,FALSE))</f>
        <v/>
      </c>
      <c r="F2597" s="7" t="str">
        <f>IF(Plantilla_SCAN_EQ3_COUNT_2[[#This Row],[ID MATERIAL]]="","",IF(Plantilla_SCAN_EQ3_COUNT_2[[#This Row],[No. Empaques]]="",1,Plantilla_SCAN_EQ3_COUNT_2[[#This Row],[No. Empaques]]*1))</f>
        <v/>
      </c>
      <c r="G2597" s="7" t="str">
        <f>IF(Plantilla_SCAN_EQ3_COUNT_2[[#This Row],[ID MATERIAL]]="","","PZ")</f>
        <v/>
      </c>
      <c r="H2597" s="7" t="str">
        <f>IF(Plantilla_SCAN_EQ3_COUNT_2[[#This Row],[ID MATERIAL]]="","",$B$13)</f>
        <v/>
      </c>
      <c r="I2597" s="7" t="str">
        <f>IF(Plantilla_SCAN_EQ3_COUNT_2[[#This Row],[ID MATERIAL]]="","","Segundo Conteo")</f>
        <v/>
      </c>
    </row>
    <row r="2598" spans="1:9" s="7" customFormat="1" ht="15" x14ac:dyDescent="0.2">
      <c r="A2598" s="7" t="str">
        <f>IF(Plantilla_SCAN_EQ3_COUNT_2[[#This Row],[ID MATERIAL]]="","",SIGN(Plantilla_SCAN_EQ3_COUNT_2[[#This Row],[Cantidad]])+A2597)</f>
        <v/>
      </c>
      <c r="B2598" s="21" t="str">
        <f>IF(Plantilla_SCAN_EQ3_COUNT_2[[#This Row],[ID MATERIAL]]="","",B2597)</f>
        <v/>
      </c>
      <c r="C2598" s="21"/>
      <c r="D2598" s="21"/>
      <c r="E2598" s="7" t="str">
        <f>IF(Plantilla_SCAN_EQ3_COUNT_2[[#This Row],[ID MATERIAL]]="","",VLOOKUP(Plantilla_SCAN_EQ3_COUNT_2[[#This Row],[ID MATERIAL]],INVENTARIO!$A:$D,2,FALSE))</f>
        <v/>
      </c>
      <c r="F2598" s="7" t="str">
        <f>IF(Plantilla_SCAN_EQ3_COUNT_2[[#This Row],[ID MATERIAL]]="","",IF(Plantilla_SCAN_EQ3_COUNT_2[[#This Row],[No. Empaques]]="",1,Plantilla_SCAN_EQ3_COUNT_2[[#This Row],[No. Empaques]]*1))</f>
        <v/>
      </c>
      <c r="G2598" s="7" t="str">
        <f>IF(Plantilla_SCAN_EQ3_COUNT_2[[#This Row],[ID MATERIAL]]="","","PZ")</f>
        <v/>
      </c>
      <c r="H2598" s="7" t="str">
        <f>IF(Plantilla_SCAN_EQ3_COUNT_2[[#This Row],[ID MATERIAL]]="","",$B$13)</f>
        <v/>
      </c>
      <c r="I2598" s="7" t="str">
        <f>IF(Plantilla_SCAN_EQ3_COUNT_2[[#This Row],[ID MATERIAL]]="","","Segundo Conteo")</f>
        <v/>
      </c>
    </row>
    <row r="2599" spans="1:9" s="7" customFormat="1" ht="15" x14ac:dyDescent="0.2">
      <c r="A2599" s="7" t="str">
        <f>IF(Plantilla_SCAN_EQ3_COUNT_2[[#This Row],[ID MATERIAL]]="","",SIGN(Plantilla_SCAN_EQ3_COUNT_2[[#This Row],[Cantidad]])+A2598)</f>
        <v/>
      </c>
      <c r="B2599" s="21" t="str">
        <f>IF(Plantilla_SCAN_EQ3_COUNT_2[[#This Row],[ID MATERIAL]]="","",B2598)</f>
        <v/>
      </c>
      <c r="C2599" s="21"/>
      <c r="D2599" s="21"/>
      <c r="E2599" s="7" t="str">
        <f>IF(Plantilla_SCAN_EQ3_COUNT_2[[#This Row],[ID MATERIAL]]="","",VLOOKUP(Plantilla_SCAN_EQ3_COUNT_2[[#This Row],[ID MATERIAL]],INVENTARIO!$A:$D,2,FALSE))</f>
        <v/>
      </c>
      <c r="F2599" s="7" t="str">
        <f>IF(Plantilla_SCAN_EQ3_COUNT_2[[#This Row],[ID MATERIAL]]="","",IF(Plantilla_SCAN_EQ3_COUNT_2[[#This Row],[No. Empaques]]="",1,Plantilla_SCAN_EQ3_COUNT_2[[#This Row],[No. Empaques]]*1))</f>
        <v/>
      </c>
      <c r="G2599" s="7" t="str">
        <f>IF(Plantilla_SCAN_EQ3_COUNT_2[[#This Row],[ID MATERIAL]]="","","PZ")</f>
        <v/>
      </c>
      <c r="H2599" s="7" t="str">
        <f>IF(Plantilla_SCAN_EQ3_COUNT_2[[#This Row],[ID MATERIAL]]="","",$B$13)</f>
        <v/>
      </c>
      <c r="I2599" s="7" t="str">
        <f>IF(Plantilla_SCAN_EQ3_COUNT_2[[#This Row],[ID MATERIAL]]="","","Segundo Conteo")</f>
        <v/>
      </c>
    </row>
    <row r="2600" spans="1:9" s="7" customFormat="1" ht="15" x14ac:dyDescent="0.2">
      <c r="A2600" s="7" t="str">
        <f>IF(Plantilla_SCAN_EQ3_COUNT_2[[#This Row],[ID MATERIAL]]="","",SIGN(Plantilla_SCAN_EQ3_COUNT_2[[#This Row],[Cantidad]])+A2599)</f>
        <v/>
      </c>
      <c r="B2600" s="21" t="str">
        <f>IF(Plantilla_SCAN_EQ3_COUNT_2[[#This Row],[ID MATERIAL]]="","",B2599)</f>
        <v/>
      </c>
      <c r="C2600" s="21"/>
      <c r="D2600" s="21"/>
      <c r="E2600" s="7" t="str">
        <f>IF(Plantilla_SCAN_EQ3_COUNT_2[[#This Row],[ID MATERIAL]]="","",VLOOKUP(Plantilla_SCAN_EQ3_COUNT_2[[#This Row],[ID MATERIAL]],INVENTARIO!$A:$D,2,FALSE))</f>
        <v/>
      </c>
      <c r="F2600" s="7" t="str">
        <f>IF(Plantilla_SCAN_EQ3_COUNT_2[[#This Row],[ID MATERIAL]]="","",IF(Plantilla_SCAN_EQ3_COUNT_2[[#This Row],[No. Empaques]]="",1,Plantilla_SCAN_EQ3_COUNT_2[[#This Row],[No. Empaques]]*1))</f>
        <v/>
      </c>
      <c r="G2600" s="7" t="str">
        <f>IF(Plantilla_SCAN_EQ3_COUNT_2[[#This Row],[ID MATERIAL]]="","","PZ")</f>
        <v/>
      </c>
      <c r="H2600" s="7" t="str">
        <f>IF(Plantilla_SCAN_EQ3_COUNT_2[[#This Row],[ID MATERIAL]]="","",$B$13)</f>
        <v/>
      </c>
      <c r="I2600" s="7" t="str">
        <f>IF(Plantilla_SCAN_EQ3_COUNT_2[[#This Row],[ID MATERIAL]]="","","Segundo Conteo")</f>
        <v/>
      </c>
    </row>
    <row r="2601" spans="1:9" s="7" customFormat="1" ht="15" x14ac:dyDescent="0.2">
      <c r="A2601" s="7" t="str">
        <f>IF(Plantilla_SCAN_EQ3_COUNT_2[[#This Row],[ID MATERIAL]]="","",SIGN(Plantilla_SCAN_EQ3_COUNT_2[[#This Row],[Cantidad]])+A2600)</f>
        <v/>
      </c>
      <c r="B2601" s="21" t="str">
        <f>IF(Plantilla_SCAN_EQ3_COUNT_2[[#This Row],[ID MATERIAL]]="","",B2600)</f>
        <v/>
      </c>
      <c r="C2601" s="21"/>
      <c r="D2601" s="21"/>
      <c r="E2601" s="7" t="str">
        <f>IF(Plantilla_SCAN_EQ3_COUNT_2[[#This Row],[ID MATERIAL]]="","",VLOOKUP(Plantilla_SCAN_EQ3_COUNT_2[[#This Row],[ID MATERIAL]],INVENTARIO!$A:$D,2,FALSE))</f>
        <v/>
      </c>
      <c r="F2601" s="7" t="str">
        <f>IF(Plantilla_SCAN_EQ3_COUNT_2[[#This Row],[ID MATERIAL]]="","",IF(Plantilla_SCAN_EQ3_COUNT_2[[#This Row],[No. Empaques]]="",1,Plantilla_SCAN_EQ3_COUNT_2[[#This Row],[No. Empaques]]*1))</f>
        <v/>
      </c>
      <c r="G2601" s="7" t="str">
        <f>IF(Plantilla_SCAN_EQ3_COUNT_2[[#This Row],[ID MATERIAL]]="","","PZ")</f>
        <v/>
      </c>
      <c r="H2601" s="7" t="str">
        <f>IF(Plantilla_SCAN_EQ3_COUNT_2[[#This Row],[ID MATERIAL]]="","",$B$13)</f>
        <v/>
      </c>
      <c r="I2601" s="7" t="str">
        <f>IF(Plantilla_SCAN_EQ3_COUNT_2[[#This Row],[ID MATERIAL]]="","","Segundo Conteo")</f>
        <v/>
      </c>
    </row>
    <row r="2602" spans="1:9" s="7" customFormat="1" ht="15" x14ac:dyDescent="0.2">
      <c r="A2602" s="7" t="str">
        <f>IF(Plantilla_SCAN_EQ3_COUNT_2[[#This Row],[ID MATERIAL]]="","",SIGN(Plantilla_SCAN_EQ3_COUNT_2[[#This Row],[Cantidad]])+A2601)</f>
        <v/>
      </c>
      <c r="B2602" s="21" t="str">
        <f>IF(Plantilla_SCAN_EQ3_COUNT_2[[#This Row],[ID MATERIAL]]="","",B2601)</f>
        <v/>
      </c>
      <c r="C2602" s="21"/>
      <c r="D2602" s="21"/>
      <c r="E2602" s="7" t="str">
        <f>IF(Plantilla_SCAN_EQ3_COUNT_2[[#This Row],[ID MATERIAL]]="","",VLOOKUP(Plantilla_SCAN_EQ3_COUNT_2[[#This Row],[ID MATERIAL]],INVENTARIO!$A:$D,2,FALSE))</f>
        <v/>
      </c>
      <c r="F2602" s="7" t="str">
        <f>IF(Plantilla_SCAN_EQ3_COUNT_2[[#This Row],[ID MATERIAL]]="","",IF(Plantilla_SCAN_EQ3_COUNT_2[[#This Row],[No. Empaques]]="",1,Plantilla_SCAN_EQ3_COUNT_2[[#This Row],[No. Empaques]]*1))</f>
        <v/>
      </c>
      <c r="G2602" s="7" t="str">
        <f>IF(Plantilla_SCAN_EQ3_COUNT_2[[#This Row],[ID MATERIAL]]="","","PZ")</f>
        <v/>
      </c>
      <c r="H2602" s="7" t="str">
        <f>IF(Plantilla_SCAN_EQ3_COUNT_2[[#This Row],[ID MATERIAL]]="","",$B$13)</f>
        <v/>
      </c>
      <c r="I2602" s="7" t="str">
        <f>IF(Plantilla_SCAN_EQ3_COUNT_2[[#This Row],[ID MATERIAL]]="","","Segundo Conteo")</f>
        <v/>
      </c>
    </row>
    <row r="2603" spans="1:9" s="7" customFormat="1" ht="15" x14ac:dyDescent="0.2">
      <c r="A2603" s="7" t="str">
        <f>IF(Plantilla_SCAN_EQ3_COUNT_2[[#This Row],[ID MATERIAL]]="","",SIGN(Plantilla_SCAN_EQ3_COUNT_2[[#This Row],[Cantidad]])+A2602)</f>
        <v/>
      </c>
      <c r="B2603" s="21" t="str">
        <f>IF(Plantilla_SCAN_EQ3_COUNT_2[[#This Row],[ID MATERIAL]]="","",B2602)</f>
        <v/>
      </c>
      <c r="C2603" s="21"/>
      <c r="D2603" s="21"/>
      <c r="E2603" s="7" t="str">
        <f>IF(Plantilla_SCAN_EQ3_COUNT_2[[#This Row],[ID MATERIAL]]="","",VLOOKUP(Plantilla_SCAN_EQ3_COUNT_2[[#This Row],[ID MATERIAL]],INVENTARIO!$A:$D,2,FALSE))</f>
        <v/>
      </c>
      <c r="F2603" s="7" t="str">
        <f>IF(Plantilla_SCAN_EQ3_COUNT_2[[#This Row],[ID MATERIAL]]="","",IF(Plantilla_SCAN_EQ3_COUNT_2[[#This Row],[No. Empaques]]="",1,Plantilla_SCAN_EQ3_COUNT_2[[#This Row],[No. Empaques]]*1))</f>
        <v/>
      </c>
      <c r="G2603" s="7" t="str">
        <f>IF(Plantilla_SCAN_EQ3_COUNT_2[[#This Row],[ID MATERIAL]]="","","PZ")</f>
        <v/>
      </c>
      <c r="H2603" s="7" t="str">
        <f>IF(Plantilla_SCAN_EQ3_COUNT_2[[#This Row],[ID MATERIAL]]="","",$B$13)</f>
        <v/>
      </c>
      <c r="I2603" s="7" t="str">
        <f>IF(Plantilla_SCAN_EQ3_COUNT_2[[#This Row],[ID MATERIAL]]="","","Segundo Conteo")</f>
        <v/>
      </c>
    </row>
    <row r="2604" spans="1:9" s="7" customFormat="1" ht="15" x14ac:dyDescent="0.2">
      <c r="A2604" s="7" t="str">
        <f>IF(Plantilla_SCAN_EQ3_COUNT_2[[#This Row],[ID MATERIAL]]="","",SIGN(Plantilla_SCAN_EQ3_COUNT_2[[#This Row],[Cantidad]])+A2603)</f>
        <v/>
      </c>
      <c r="B2604" s="21" t="str">
        <f>IF(Plantilla_SCAN_EQ3_COUNT_2[[#This Row],[ID MATERIAL]]="","",B2603)</f>
        <v/>
      </c>
      <c r="C2604" s="21"/>
      <c r="D2604" s="21"/>
      <c r="E2604" s="7" t="str">
        <f>IF(Plantilla_SCAN_EQ3_COUNT_2[[#This Row],[ID MATERIAL]]="","",VLOOKUP(Plantilla_SCAN_EQ3_COUNT_2[[#This Row],[ID MATERIAL]],INVENTARIO!$A:$D,2,FALSE))</f>
        <v/>
      </c>
      <c r="F2604" s="7" t="str">
        <f>IF(Plantilla_SCAN_EQ3_COUNT_2[[#This Row],[ID MATERIAL]]="","",IF(Plantilla_SCAN_EQ3_COUNT_2[[#This Row],[No. Empaques]]="",1,Plantilla_SCAN_EQ3_COUNT_2[[#This Row],[No. Empaques]]*1))</f>
        <v/>
      </c>
      <c r="G2604" s="7" t="str">
        <f>IF(Plantilla_SCAN_EQ3_COUNT_2[[#This Row],[ID MATERIAL]]="","","PZ")</f>
        <v/>
      </c>
      <c r="H2604" s="7" t="str">
        <f>IF(Plantilla_SCAN_EQ3_COUNT_2[[#This Row],[ID MATERIAL]]="","",$B$13)</f>
        <v/>
      </c>
      <c r="I2604" s="7" t="str">
        <f>IF(Plantilla_SCAN_EQ3_COUNT_2[[#This Row],[ID MATERIAL]]="","","Segundo Conteo")</f>
        <v/>
      </c>
    </row>
    <row r="2605" spans="1:9" s="7" customFormat="1" ht="15" x14ac:dyDescent="0.2">
      <c r="A2605" s="7" t="str">
        <f>IF(Plantilla_SCAN_EQ3_COUNT_2[[#This Row],[ID MATERIAL]]="","",SIGN(Plantilla_SCAN_EQ3_COUNT_2[[#This Row],[Cantidad]])+A2604)</f>
        <v/>
      </c>
      <c r="B2605" s="21" t="str">
        <f>IF(Plantilla_SCAN_EQ3_COUNT_2[[#This Row],[ID MATERIAL]]="","",B2604)</f>
        <v/>
      </c>
      <c r="C2605" s="21"/>
      <c r="D2605" s="21"/>
      <c r="E2605" s="7" t="str">
        <f>IF(Plantilla_SCAN_EQ3_COUNT_2[[#This Row],[ID MATERIAL]]="","",VLOOKUP(Plantilla_SCAN_EQ3_COUNT_2[[#This Row],[ID MATERIAL]],INVENTARIO!$A:$D,2,FALSE))</f>
        <v/>
      </c>
      <c r="F2605" s="7" t="str">
        <f>IF(Plantilla_SCAN_EQ3_COUNT_2[[#This Row],[ID MATERIAL]]="","",IF(Plantilla_SCAN_EQ3_COUNT_2[[#This Row],[No. Empaques]]="",1,Plantilla_SCAN_EQ3_COUNT_2[[#This Row],[No. Empaques]]*1))</f>
        <v/>
      </c>
      <c r="G2605" s="7" t="str">
        <f>IF(Plantilla_SCAN_EQ3_COUNT_2[[#This Row],[ID MATERIAL]]="","","PZ")</f>
        <v/>
      </c>
      <c r="H2605" s="7" t="str">
        <f>IF(Plantilla_SCAN_EQ3_COUNT_2[[#This Row],[ID MATERIAL]]="","",$B$13)</f>
        <v/>
      </c>
      <c r="I2605" s="7" t="str">
        <f>IF(Plantilla_SCAN_EQ3_COUNT_2[[#This Row],[ID MATERIAL]]="","","Segundo Conteo")</f>
        <v/>
      </c>
    </row>
    <row r="2606" spans="1:9" s="7" customFormat="1" ht="15" x14ac:dyDescent="0.2">
      <c r="A2606" s="7" t="str">
        <f>IF(Plantilla_SCAN_EQ3_COUNT_2[[#This Row],[ID MATERIAL]]="","",SIGN(Plantilla_SCAN_EQ3_COUNT_2[[#This Row],[Cantidad]])+A2605)</f>
        <v/>
      </c>
      <c r="B2606" s="21" t="str">
        <f>IF(Plantilla_SCAN_EQ3_COUNT_2[[#This Row],[ID MATERIAL]]="","",B2605)</f>
        <v/>
      </c>
      <c r="C2606" s="21"/>
      <c r="D2606" s="21"/>
      <c r="E2606" s="7" t="str">
        <f>IF(Plantilla_SCAN_EQ3_COUNT_2[[#This Row],[ID MATERIAL]]="","",VLOOKUP(Plantilla_SCAN_EQ3_COUNT_2[[#This Row],[ID MATERIAL]],INVENTARIO!$A:$D,2,FALSE))</f>
        <v/>
      </c>
      <c r="F2606" s="7" t="str">
        <f>IF(Plantilla_SCAN_EQ3_COUNT_2[[#This Row],[ID MATERIAL]]="","",IF(Plantilla_SCAN_EQ3_COUNT_2[[#This Row],[No. Empaques]]="",1,Plantilla_SCAN_EQ3_COUNT_2[[#This Row],[No. Empaques]]*1))</f>
        <v/>
      </c>
      <c r="G2606" s="7" t="str">
        <f>IF(Plantilla_SCAN_EQ3_COUNT_2[[#This Row],[ID MATERIAL]]="","","PZ")</f>
        <v/>
      </c>
      <c r="H2606" s="7" t="str">
        <f>IF(Plantilla_SCAN_EQ3_COUNT_2[[#This Row],[ID MATERIAL]]="","",$B$13)</f>
        <v/>
      </c>
      <c r="I2606" s="7" t="str">
        <f>IF(Plantilla_SCAN_EQ3_COUNT_2[[#This Row],[ID MATERIAL]]="","","Segundo Conteo")</f>
        <v/>
      </c>
    </row>
    <row r="2607" spans="1:9" s="7" customFormat="1" ht="15" x14ac:dyDescent="0.2">
      <c r="A2607" s="7" t="str">
        <f>IF(Plantilla_SCAN_EQ3_COUNT_2[[#This Row],[ID MATERIAL]]="","",SIGN(Plantilla_SCAN_EQ3_COUNT_2[[#This Row],[Cantidad]])+A2606)</f>
        <v/>
      </c>
      <c r="B2607" s="21" t="str">
        <f>IF(Plantilla_SCAN_EQ3_COUNT_2[[#This Row],[ID MATERIAL]]="","",B2606)</f>
        <v/>
      </c>
      <c r="C2607" s="21"/>
      <c r="D2607" s="21"/>
      <c r="E2607" s="7" t="str">
        <f>IF(Plantilla_SCAN_EQ3_COUNT_2[[#This Row],[ID MATERIAL]]="","",VLOOKUP(Plantilla_SCAN_EQ3_COUNT_2[[#This Row],[ID MATERIAL]],INVENTARIO!$A:$D,2,FALSE))</f>
        <v/>
      </c>
      <c r="F2607" s="7" t="str">
        <f>IF(Plantilla_SCAN_EQ3_COUNT_2[[#This Row],[ID MATERIAL]]="","",IF(Plantilla_SCAN_EQ3_COUNT_2[[#This Row],[No. Empaques]]="",1,Plantilla_SCAN_EQ3_COUNT_2[[#This Row],[No. Empaques]]*1))</f>
        <v/>
      </c>
      <c r="G2607" s="7" t="str">
        <f>IF(Plantilla_SCAN_EQ3_COUNT_2[[#This Row],[ID MATERIAL]]="","","PZ")</f>
        <v/>
      </c>
      <c r="H2607" s="7" t="str">
        <f>IF(Plantilla_SCAN_EQ3_COUNT_2[[#This Row],[ID MATERIAL]]="","",$B$13)</f>
        <v/>
      </c>
      <c r="I2607" s="7" t="str">
        <f>IF(Plantilla_SCAN_EQ3_COUNT_2[[#This Row],[ID MATERIAL]]="","","Segundo Conteo")</f>
        <v/>
      </c>
    </row>
    <row r="2608" spans="1:9" s="7" customFormat="1" ht="15" x14ac:dyDescent="0.2">
      <c r="A2608" s="7" t="str">
        <f>IF(Plantilla_SCAN_EQ3_COUNT_2[[#This Row],[ID MATERIAL]]="","",SIGN(Plantilla_SCAN_EQ3_COUNT_2[[#This Row],[Cantidad]])+A2607)</f>
        <v/>
      </c>
      <c r="B2608" s="21" t="str">
        <f>IF(Plantilla_SCAN_EQ3_COUNT_2[[#This Row],[ID MATERIAL]]="","",B2607)</f>
        <v/>
      </c>
      <c r="C2608" s="21"/>
      <c r="D2608" s="21"/>
      <c r="E2608" s="7" t="str">
        <f>IF(Plantilla_SCAN_EQ3_COUNT_2[[#This Row],[ID MATERIAL]]="","",VLOOKUP(Plantilla_SCAN_EQ3_COUNT_2[[#This Row],[ID MATERIAL]],INVENTARIO!$A:$D,2,FALSE))</f>
        <v/>
      </c>
      <c r="F2608" s="7" t="str">
        <f>IF(Plantilla_SCAN_EQ3_COUNT_2[[#This Row],[ID MATERIAL]]="","",IF(Plantilla_SCAN_EQ3_COUNT_2[[#This Row],[No. Empaques]]="",1,Plantilla_SCAN_EQ3_COUNT_2[[#This Row],[No. Empaques]]*1))</f>
        <v/>
      </c>
      <c r="G2608" s="7" t="str">
        <f>IF(Plantilla_SCAN_EQ3_COUNT_2[[#This Row],[ID MATERIAL]]="","","PZ")</f>
        <v/>
      </c>
      <c r="H2608" s="7" t="str">
        <f>IF(Plantilla_SCAN_EQ3_COUNT_2[[#This Row],[ID MATERIAL]]="","",$B$13)</f>
        <v/>
      </c>
      <c r="I2608" s="7" t="str">
        <f>IF(Plantilla_SCAN_EQ3_COUNT_2[[#This Row],[ID MATERIAL]]="","","Segundo Conteo")</f>
        <v/>
      </c>
    </row>
    <row r="2609" spans="1:9" s="7" customFormat="1" ht="15" x14ac:dyDescent="0.2">
      <c r="A2609" s="7" t="str">
        <f>IF(Plantilla_SCAN_EQ3_COUNT_2[[#This Row],[ID MATERIAL]]="","",SIGN(Plantilla_SCAN_EQ3_COUNT_2[[#This Row],[Cantidad]])+A2608)</f>
        <v/>
      </c>
      <c r="B2609" s="21" t="str">
        <f>IF(Plantilla_SCAN_EQ3_COUNT_2[[#This Row],[ID MATERIAL]]="","",B2608)</f>
        <v/>
      </c>
      <c r="C2609" s="21"/>
      <c r="D2609" s="21"/>
      <c r="E2609" s="7" t="str">
        <f>IF(Plantilla_SCAN_EQ3_COUNT_2[[#This Row],[ID MATERIAL]]="","",VLOOKUP(Plantilla_SCAN_EQ3_COUNT_2[[#This Row],[ID MATERIAL]],INVENTARIO!$A:$D,2,FALSE))</f>
        <v/>
      </c>
      <c r="F2609" s="7" t="str">
        <f>IF(Plantilla_SCAN_EQ3_COUNT_2[[#This Row],[ID MATERIAL]]="","",IF(Plantilla_SCAN_EQ3_COUNT_2[[#This Row],[No. Empaques]]="",1,Plantilla_SCAN_EQ3_COUNT_2[[#This Row],[No. Empaques]]*1))</f>
        <v/>
      </c>
      <c r="G2609" s="7" t="str">
        <f>IF(Plantilla_SCAN_EQ3_COUNT_2[[#This Row],[ID MATERIAL]]="","","PZ")</f>
        <v/>
      </c>
      <c r="H2609" s="7" t="str">
        <f>IF(Plantilla_SCAN_EQ3_COUNT_2[[#This Row],[ID MATERIAL]]="","",$B$13)</f>
        <v/>
      </c>
      <c r="I2609" s="7" t="str">
        <f>IF(Plantilla_SCAN_EQ3_COUNT_2[[#This Row],[ID MATERIAL]]="","","Segundo Conteo")</f>
        <v/>
      </c>
    </row>
    <row r="2610" spans="1:9" s="7" customFormat="1" ht="15" x14ac:dyDescent="0.2">
      <c r="A2610" s="7" t="str">
        <f>IF(Plantilla_SCAN_EQ3_COUNT_2[[#This Row],[ID MATERIAL]]="","",SIGN(Plantilla_SCAN_EQ3_COUNT_2[[#This Row],[Cantidad]])+A2609)</f>
        <v/>
      </c>
      <c r="B2610" s="21" t="str">
        <f>IF(Plantilla_SCAN_EQ3_COUNT_2[[#This Row],[ID MATERIAL]]="","",B2609)</f>
        <v/>
      </c>
      <c r="C2610" s="21"/>
      <c r="D2610" s="21"/>
      <c r="E2610" s="7" t="str">
        <f>IF(Plantilla_SCAN_EQ3_COUNT_2[[#This Row],[ID MATERIAL]]="","",VLOOKUP(Plantilla_SCAN_EQ3_COUNT_2[[#This Row],[ID MATERIAL]],INVENTARIO!$A:$D,2,FALSE))</f>
        <v/>
      </c>
      <c r="F2610" s="7" t="str">
        <f>IF(Plantilla_SCAN_EQ3_COUNT_2[[#This Row],[ID MATERIAL]]="","",IF(Plantilla_SCAN_EQ3_COUNT_2[[#This Row],[No. Empaques]]="",1,Plantilla_SCAN_EQ3_COUNT_2[[#This Row],[No. Empaques]]*1))</f>
        <v/>
      </c>
      <c r="G2610" s="7" t="str">
        <f>IF(Plantilla_SCAN_EQ3_COUNT_2[[#This Row],[ID MATERIAL]]="","","PZ")</f>
        <v/>
      </c>
      <c r="H2610" s="7" t="str">
        <f>IF(Plantilla_SCAN_EQ3_COUNT_2[[#This Row],[ID MATERIAL]]="","",$B$13)</f>
        <v/>
      </c>
      <c r="I2610" s="7" t="str">
        <f>IF(Plantilla_SCAN_EQ3_COUNT_2[[#This Row],[ID MATERIAL]]="","","Segundo Conteo")</f>
        <v/>
      </c>
    </row>
    <row r="2611" spans="1:9" s="7" customFormat="1" ht="15" x14ac:dyDescent="0.2">
      <c r="A2611" s="7" t="str">
        <f>IF(Plantilla_SCAN_EQ3_COUNT_2[[#This Row],[ID MATERIAL]]="","",SIGN(Plantilla_SCAN_EQ3_COUNT_2[[#This Row],[Cantidad]])+A2610)</f>
        <v/>
      </c>
      <c r="B2611" s="21" t="str">
        <f>IF(Plantilla_SCAN_EQ3_COUNT_2[[#This Row],[ID MATERIAL]]="","",B2610)</f>
        <v/>
      </c>
      <c r="C2611" s="21"/>
      <c r="D2611" s="21"/>
      <c r="E2611" s="7" t="str">
        <f>IF(Plantilla_SCAN_EQ3_COUNT_2[[#This Row],[ID MATERIAL]]="","",VLOOKUP(Plantilla_SCAN_EQ3_COUNT_2[[#This Row],[ID MATERIAL]],INVENTARIO!$A:$D,2,FALSE))</f>
        <v/>
      </c>
      <c r="F2611" s="7" t="str">
        <f>IF(Plantilla_SCAN_EQ3_COUNT_2[[#This Row],[ID MATERIAL]]="","",IF(Plantilla_SCAN_EQ3_COUNT_2[[#This Row],[No. Empaques]]="",1,Plantilla_SCAN_EQ3_COUNT_2[[#This Row],[No. Empaques]]*1))</f>
        <v/>
      </c>
      <c r="G2611" s="7" t="str">
        <f>IF(Plantilla_SCAN_EQ3_COUNT_2[[#This Row],[ID MATERIAL]]="","","PZ")</f>
        <v/>
      </c>
      <c r="H2611" s="7" t="str">
        <f>IF(Plantilla_SCAN_EQ3_COUNT_2[[#This Row],[ID MATERIAL]]="","",$B$13)</f>
        <v/>
      </c>
      <c r="I2611" s="7" t="str">
        <f>IF(Plantilla_SCAN_EQ3_COUNT_2[[#This Row],[ID MATERIAL]]="","","Segundo Conteo")</f>
        <v/>
      </c>
    </row>
    <row r="2612" spans="1:9" s="7" customFormat="1" ht="15" x14ac:dyDescent="0.2">
      <c r="A2612" s="7" t="str">
        <f>IF(Plantilla_SCAN_EQ3_COUNT_2[[#This Row],[ID MATERIAL]]="","",SIGN(Plantilla_SCAN_EQ3_COUNT_2[[#This Row],[Cantidad]])+A2611)</f>
        <v/>
      </c>
      <c r="B2612" s="21" t="str">
        <f>IF(Plantilla_SCAN_EQ3_COUNT_2[[#This Row],[ID MATERIAL]]="","",B2611)</f>
        <v/>
      </c>
      <c r="C2612" s="21"/>
      <c r="D2612" s="21"/>
      <c r="E2612" s="7" t="str">
        <f>IF(Plantilla_SCAN_EQ3_COUNT_2[[#This Row],[ID MATERIAL]]="","",VLOOKUP(Plantilla_SCAN_EQ3_COUNT_2[[#This Row],[ID MATERIAL]],INVENTARIO!$A:$D,2,FALSE))</f>
        <v/>
      </c>
      <c r="F2612" s="7" t="str">
        <f>IF(Plantilla_SCAN_EQ3_COUNT_2[[#This Row],[ID MATERIAL]]="","",IF(Plantilla_SCAN_EQ3_COUNT_2[[#This Row],[No. Empaques]]="",1,Plantilla_SCAN_EQ3_COUNT_2[[#This Row],[No. Empaques]]*1))</f>
        <v/>
      </c>
      <c r="G2612" s="7" t="str">
        <f>IF(Plantilla_SCAN_EQ3_COUNT_2[[#This Row],[ID MATERIAL]]="","","PZ")</f>
        <v/>
      </c>
      <c r="H2612" s="7" t="str">
        <f>IF(Plantilla_SCAN_EQ3_COUNT_2[[#This Row],[ID MATERIAL]]="","",$B$13)</f>
        <v/>
      </c>
      <c r="I2612" s="7" t="str">
        <f>IF(Plantilla_SCAN_EQ3_COUNT_2[[#This Row],[ID MATERIAL]]="","","Segundo Conteo")</f>
        <v/>
      </c>
    </row>
    <row r="2613" spans="1:9" s="7" customFormat="1" ht="15" x14ac:dyDescent="0.2">
      <c r="A2613" s="7" t="str">
        <f>IF(Plantilla_SCAN_EQ3_COUNT_2[[#This Row],[ID MATERIAL]]="","",SIGN(Plantilla_SCAN_EQ3_COUNT_2[[#This Row],[Cantidad]])+A2612)</f>
        <v/>
      </c>
      <c r="B2613" s="21" t="str">
        <f>IF(Plantilla_SCAN_EQ3_COUNT_2[[#This Row],[ID MATERIAL]]="","",B2612)</f>
        <v/>
      </c>
      <c r="C2613" s="21"/>
      <c r="D2613" s="21"/>
      <c r="E2613" s="7" t="str">
        <f>IF(Plantilla_SCAN_EQ3_COUNT_2[[#This Row],[ID MATERIAL]]="","",VLOOKUP(Plantilla_SCAN_EQ3_COUNT_2[[#This Row],[ID MATERIAL]],INVENTARIO!$A:$D,2,FALSE))</f>
        <v/>
      </c>
      <c r="F2613" s="7" t="str">
        <f>IF(Plantilla_SCAN_EQ3_COUNT_2[[#This Row],[ID MATERIAL]]="","",IF(Plantilla_SCAN_EQ3_COUNT_2[[#This Row],[No. Empaques]]="",1,Plantilla_SCAN_EQ3_COUNT_2[[#This Row],[No. Empaques]]*1))</f>
        <v/>
      </c>
      <c r="G2613" s="7" t="str">
        <f>IF(Plantilla_SCAN_EQ3_COUNT_2[[#This Row],[ID MATERIAL]]="","","PZ")</f>
        <v/>
      </c>
      <c r="H2613" s="7" t="str">
        <f>IF(Plantilla_SCAN_EQ3_COUNT_2[[#This Row],[ID MATERIAL]]="","",$B$13)</f>
        <v/>
      </c>
      <c r="I2613" s="7" t="str">
        <f>IF(Plantilla_SCAN_EQ3_COUNT_2[[#This Row],[ID MATERIAL]]="","","Segundo Conteo")</f>
        <v/>
      </c>
    </row>
    <row r="2614" spans="1:9" s="7" customFormat="1" ht="15" x14ac:dyDescent="0.2">
      <c r="A2614" s="7" t="str">
        <f>IF(Plantilla_SCAN_EQ3_COUNT_2[[#This Row],[ID MATERIAL]]="","",SIGN(Plantilla_SCAN_EQ3_COUNT_2[[#This Row],[Cantidad]])+A2613)</f>
        <v/>
      </c>
      <c r="B2614" s="21" t="str">
        <f>IF(Plantilla_SCAN_EQ3_COUNT_2[[#This Row],[ID MATERIAL]]="","",B2613)</f>
        <v/>
      </c>
      <c r="C2614" s="21"/>
      <c r="D2614" s="21"/>
      <c r="E2614" s="7" t="str">
        <f>IF(Plantilla_SCAN_EQ3_COUNT_2[[#This Row],[ID MATERIAL]]="","",VLOOKUP(Plantilla_SCAN_EQ3_COUNT_2[[#This Row],[ID MATERIAL]],INVENTARIO!$A:$D,2,FALSE))</f>
        <v/>
      </c>
      <c r="F2614" s="7" t="str">
        <f>IF(Plantilla_SCAN_EQ3_COUNT_2[[#This Row],[ID MATERIAL]]="","",IF(Plantilla_SCAN_EQ3_COUNT_2[[#This Row],[No. Empaques]]="",1,Plantilla_SCAN_EQ3_COUNT_2[[#This Row],[No. Empaques]]*1))</f>
        <v/>
      </c>
      <c r="G2614" s="7" t="str">
        <f>IF(Plantilla_SCAN_EQ3_COUNT_2[[#This Row],[ID MATERIAL]]="","","PZ")</f>
        <v/>
      </c>
      <c r="H2614" s="7" t="str">
        <f>IF(Plantilla_SCAN_EQ3_COUNT_2[[#This Row],[ID MATERIAL]]="","",$B$13)</f>
        <v/>
      </c>
      <c r="I2614" s="7" t="str">
        <f>IF(Plantilla_SCAN_EQ3_COUNT_2[[#This Row],[ID MATERIAL]]="","","Segundo Conteo")</f>
        <v/>
      </c>
    </row>
    <row r="2615" spans="1:9" s="7" customFormat="1" ht="15" x14ac:dyDescent="0.2">
      <c r="A2615" s="7" t="str">
        <f>IF(Plantilla_SCAN_EQ3_COUNT_2[[#This Row],[ID MATERIAL]]="","",SIGN(Plantilla_SCAN_EQ3_COUNT_2[[#This Row],[Cantidad]])+A2614)</f>
        <v/>
      </c>
      <c r="B2615" s="21" t="str">
        <f>IF(Plantilla_SCAN_EQ3_COUNT_2[[#This Row],[ID MATERIAL]]="","",B2614)</f>
        <v/>
      </c>
      <c r="C2615" s="21"/>
      <c r="D2615" s="21"/>
      <c r="E2615" s="7" t="str">
        <f>IF(Plantilla_SCAN_EQ3_COUNT_2[[#This Row],[ID MATERIAL]]="","",VLOOKUP(Plantilla_SCAN_EQ3_COUNT_2[[#This Row],[ID MATERIAL]],INVENTARIO!$A:$D,2,FALSE))</f>
        <v/>
      </c>
      <c r="F2615" s="7" t="str">
        <f>IF(Plantilla_SCAN_EQ3_COUNT_2[[#This Row],[ID MATERIAL]]="","",IF(Plantilla_SCAN_EQ3_COUNT_2[[#This Row],[No. Empaques]]="",1,Plantilla_SCAN_EQ3_COUNT_2[[#This Row],[No. Empaques]]*1))</f>
        <v/>
      </c>
      <c r="G2615" s="7" t="str">
        <f>IF(Plantilla_SCAN_EQ3_COUNT_2[[#This Row],[ID MATERIAL]]="","","PZ")</f>
        <v/>
      </c>
      <c r="H2615" s="7" t="str">
        <f>IF(Plantilla_SCAN_EQ3_COUNT_2[[#This Row],[ID MATERIAL]]="","",$B$13)</f>
        <v/>
      </c>
      <c r="I2615" s="7" t="str">
        <f>IF(Plantilla_SCAN_EQ3_COUNT_2[[#This Row],[ID MATERIAL]]="","","Segundo Conteo")</f>
        <v/>
      </c>
    </row>
    <row r="2616" spans="1:9" s="7" customFormat="1" ht="15" x14ac:dyDescent="0.2">
      <c r="A2616" s="7" t="str">
        <f>IF(Plantilla_SCAN_EQ3_COUNT_2[[#This Row],[ID MATERIAL]]="","",SIGN(Plantilla_SCAN_EQ3_COUNT_2[[#This Row],[Cantidad]])+A2615)</f>
        <v/>
      </c>
      <c r="B2616" s="21" t="str">
        <f>IF(Plantilla_SCAN_EQ3_COUNT_2[[#This Row],[ID MATERIAL]]="","",B2615)</f>
        <v/>
      </c>
      <c r="C2616" s="21"/>
      <c r="D2616" s="21"/>
      <c r="E2616" s="7" t="str">
        <f>IF(Plantilla_SCAN_EQ3_COUNT_2[[#This Row],[ID MATERIAL]]="","",VLOOKUP(Plantilla_SCAN_EQ3_COUNT_2[[#This Row],[ID MATERIAL]],INVENTARIO!$A:$D,2,FALSE))</f>
        <v/>
      </c>
      <c r="F2616" s="7" t="str">
        <f>IF(Plantilla_SCAN_EQ3_COUNT_2[[#This Row],[ID MATERIAL]]="","",IF(Plantilla_SCAN_EQ3_COUNT_2[[#This Row],[No. Empaques]]="",1,Plantilla_SCAN_EQ3_COUNT_2[[#This Row],[No. Empaques]]*1))</f>
        <v/>
      </c>
      <c r="G2616" s="7" t="str">
        <f>IF(Plantilla_SCAN_EQ3_COUNT_2[[#This Row],[ID MATERIAL]]="","","PZ")</f>
        <v/>
      </c>
      <c r="H2616" s="7" t="str">
        <f>IF(Plantilla_SCAN_EQ3_COUNT_2[[#This Row],[ID MATERIAL]]="","",$B$13)</f>
        <v/>
      </c>
      <c r="I2616" s="7" t="str">
        <f>IF(Plantilla_SCAN_EQ3_COUNT_2[[#This Row],[ID MATERIAL]]="","","Segundo Conteo")</f>
        <v/>
      </c>
    </row>
    <row r="2617" spans="1:9" s="7" customFormat="1" ht="15" x14ac:dyDescent="0.2">
      <c r="A2617" s="7" t="str">
        <f>IF(Plantilla_SCAN_EQ3_COUNT_2[[#This Row],[ID MATERIAL]]="","",SIGN(Plantilla_SCAN_EQ3_COUNT_2[[#This Row],[Cantidad]])+A2616)</f>
        <v/>
      </c>
      <c r="B2617" s="21" t="str">
        <f>IF(Plantilla_SCAN_EQ3_COUNT_2[[#This Row],[ID MATERIAL]]="","",B2616)</f>
        <v/>
      </c>
      <c r="C2617" s="21"/>
      <c r="D2617" s="21"/>
      <c r="E2617" s="7" t="str">
        <f>IF(Plantilla_SCAN_EQ3_COUNT_2[[#This Row],[ID MATERIAL]]="","",VLOOKUP(Plantilla_SCAN_EQ3_COUNT_2[[#This Row],[ID MATERIAL]],INVENTARIO!$A:$D,2,FALSE))</f>
        <v/>
      </c>
      <c r="F2617" s="7" t="str">
        <f>IF(Plantilla_SCAN_EQ3_COUNT_2[[#This Row],[ID MATERIAL]]="","",IF(Plantilla_SCAN_EQ3_COUNT_2[[#This Row],[No. Empaques]]="",1,Plantilla_SCAN_EQ3_COUNT_2[[#This Row],[No. Empaques]]*1))</f>
        <v/>
      </c>
      <c r="G2617" s="7" t="str">
        <f>IF(Plantilla_SCAN_EQ3_COUNT_2[[#This Row],[ID MATERIAL]]="","","PZ")</f>
        <v/>
      </c>
      <c r="H2617" s="7" t="str">
        <f>IF(Plantilla_SCAN_EQ3_COUNT_2[[#This Row],[ID MATERIAL]]="","",$B$13)</f>
        <v/>
      </c>
      <c r="I2617" s="7" t="str">
        <f>IF(Plantilla_SCAN_EQ3_COUNT_2[[#This Row],[ID MATERIAL]]="","","Segundo Conteo")</f>
        <v/>
      </c>
    </row>
    <row r="2618" spans="1:9" s="7" customFormat="1" ht="15" x14ac:dyDescent="0.2">
      <c r="A2618" s="7" t="str">
        <f>IF(Plantilla_SCAN_EQ3_COUNT_2[[#This Row],[ID MATERIAL]]="","",SIGN(Plantilla_SCAN_EQ3_COUNT_2[[#This Row],[Cantidad]])+A2617)</f>
        <v/>
      </c>
      <c r="B2618" s="21" t="str">
        <f>IF(Plantilla_SCAN_EQ3_COUNT_2[[#This Row],[ID MATERIAL]]="","",B2617)</f>
        <v/>
      </c>
      <c r="C2618" s="21"/>
      <c r="D2618" s="21"/>
      <c r="E2618" s="7" t="str">
        <f>IF(Plantilla_SCAN_EQ3_COUNT_2[[#This Row],[ID MATERIAL]]="","",VLOOKUP(Plantilla_SCAN_EQ3_COUNT_2[[#This Row],[ID MATERIAL]],INVENTARIO!$A:$D,2,FALSE))</f>
        <v/>
      </c>
      <c r="F2618" s="7" t="str">
        <f>IF(Plantilla_SCAN_EQ3_COUNT_2[[#This Row],[ID MATERIAL]]="","",IF(Plantilla_SCAN_EQ3_COUNT_2[[#This Row],[No. Empaques]]="",1,Plantilla_SCAN_EQ3_COUNT_2[[#This Row],[No. Empaques]]*1))</f>
        <v/>
      </c>
      <c r="G2618" s="7" t="str">
        <f>IF(Plantilla_SCAN_EQ3_COUNT_2[[#This Row],[ID MATERIAL]]="","","PZ")</f>
        <v/>
      </c>
      <c r="H2618" s="7" t="str">
        <f>IF(Plantilla_SCAN_EQ3_COUNT_2[[#This Row],[ID MATERIAL]]="","",$B$13)</f>
        <v/>
      </c>
      <c r="I2618" s="7" t="str">
        <f>IF(Plantilla_SCAN_EQ3_COUNT_2[[#This Row],[ID MATERIAL]]="","","Segundo Conteo")</f>
        <v/>
      </c>
    </row>
    <row r="2619" spans="1:9" s="7" customFormat="1" ht="15" x14ac:dyDescent="0.2">
      <c r="A2619" s="7" t="str">
        <f>IF(Plantilla_SCAN_EQ3_COUNT_2[[#This Row],[ID MATERIAL]]="","",SIGN(Plantilla_SCAN_EQ3_COUNT_2[[#This Row],[Cantidad]])+A2618)</f>
        <v/>
      </c>
      <c r="B2619" s="21" t="str">
        <f>IF(Plantilla_SCAN_EQ3_COUNT_2[[#This Row],[ID MATERIAL]]="","",B2618)</f>
        <v/>
      </c>
      <c r="C2619" s="21"/>
      <c r="D2619" s="21"/>
      <c r="E2619" s="7" t="str">
        <f>IF(Plantilla_SCAN_EQ3_COUNT_2[[#This Row],[ID MATERIAL]]="","",VLOOKUP(Plantilla_SCAN_EQ3_COUNT_2[[#This Row],[ID MATERIAL]],INVENTARIO!$A:$D,2,FALSE))</f>
        <v/>
      </c>
      <c r="F2619" s="7" t="str">
        <f>IF(Plantilla_SCAN_EQ3_COUNT_2[[#This Row],[ID MATERIAL]]="","",IF(Plantilla_SCAN_EQ3_COUNT_2[[#This Row],[No. Empaques]]="",1,Plantilla_SCAN_EQ3_COUNT_2[[#This Row],[No. Empaques]]*1))</f>
        <v/>
      </c>
      <c r="G2619" s="7" t="str">
        <f>IF(Plantilla_SCAN_EQ3_COUNT_2[[#This Row],[ID MATERIAL]]="","","PZ")</f>
        <v/>
      </c>
      <c r="H2619" s="7" t="str">
        <f>IF(Plantilla_SCAN_EQ3_COUNT_2[[#This Row],[ID MATERIAL]]="","",$B$13)</f>
        <v/>
      </c>
      <c r="I2619" s="7" t="str">
        <f>IF(Plantilla_SCAN_EQ3_COUNT_2[[#This Row],[ID MATERIAL]]="","","Segundo Conteo")</f>
        <v/>
      </c>
    </row>
    <row r="2620" spans="1:9" s="7" customFormat="1" ht="15" x14ac:dyDescent="0.2">
      <c r="A2620" s="7" t="str">
        <f>IF(Plantilla_SCAN_EQ3_COUNT_2[[#This Row],[ID MATERIAL]]="","",SIGN(Plantilla_SCAN_EQ3_COUNT_2[[#This Row],[Cantidad]])+A2619)</f>
        <v/>
      </c>
      <c r="B2620" s="21" t="str">
        <f>IF(Plantilla_SCAN_EQ3_COUNT_2[[#This Row],[ID MATERIAL]]="","",B2619)</f>
        <v/>
      </c>
      <c r="C2620" s="21"/>
      <c r="D2620" s="21"/>
      <c r="E2620" s="7" t="str">
        <f>IF(Plantilla_SCAN_EQ3_COUNT_2[[#This Row],[ID MATERIAL]]="","",VLOOKUP(Plantilla_SCAN_EQ3_COUNT_2[[#This Row],[ID MATERIAL]],INVENTARIO!$A:$D,2,FALSE))</f>
        <v/>
      </c>
      <c r="F2620" s="7" t="str">
        <f>IF(Plantilla_SCAN_EQ3_COUNT_2[[#This Row],[ID MATERIAL]]="","",IF(Plantilla_SCAN_EQ3_COUNT_2[[#This Row],[No. Empaques]]="",1,Plantilla_SCAN_EQ3_COUNT_2[[#This Row],[No. Empaques]]*1))</f>
        <v/>
      </c>
      <c r="G2620" s="7" t="str">
        <f>IF(Plantilla_SCAN_EQ3_COUNT_2[[#This Row],[ID MATERIAL]]="","","PZ")</f>
        <v/>
      </c>
      <c r="H2620" s="7" t="str">
        <f>IF(Plantilla_SCAN_EQ3_COUNT_2[[#This Row],[ID MATERIAL]]="","",$B$13)</f>
        <v/>
      </c>
      <c r="I2620" s="7" t="str">
        <f>IF(Plantilla_SCAN_EQ3_COUNT_2[[#This Row],[ID MATERIAL]]="","","Segundo Conteo")</f>
        <v/>
      </c>
    </row>
    <row r="2621" spans="1:9" s="7" customFormat="1" ht="15" x14ac:dyDescent="0.2">
      <c r="A2621" s="7" t="str">
        <f>IF(Plantilla_SCAN_EQ3_COUNT_2[[#This Row],[ID MATERIAL]]="","",SIGN(Plantilla_SCAN_EQ3_COUNT_2[[#This Row],[Cantidad]])+A2620)</f>
        <v/>
      </c>
      <c r="B2621" s="21" t="str">
        <f>IF(Plantilla_SCAN_EQ3_COUNT_2[[#This Row],[ID MATERIAL]]="","",B2620)</f>
        <v/>
      </c>
      <c r="C2621" s="21"/>
      <c r="D2621" s="21"/>
      <c r="E2621" s="7" t="str">
        <f>IF(Plantilla_SCAN_EQ3_COUNT_2[[#This Row],[ID MATERIAL]]="","",VLOOKUP(Plantilla_SCAN_EQ3_COUNT_2[[#This Row],[ID MATERIAL]],INVENTARIO!$A:$D,2,FALSE))</f>
        <v/>
      </c>
      <c r="F2621" s="7" t="str">
        <f>IF(Plantilla_SCAN_EQ3_COUNT_2[[#This Row],[ID MATERIAL]]="","",IF(Plantilla_SCAN_EQ3_COUNT_2[[#This Row],[No. Empaques]]="",1,Plantilla_SCAN_EQ3_COUNT_2[[#This Row],[No. Empaques]]*1))</f>
        <v/>
      </c>
      <c r="G2621" s="7" t="str">
        <f>IF(Plantilla_SCAN_EQ3_COUNT_2[[#This Row],[ID MATERIAL]]="","","PZ")</f>
        <v/>
      </c>
      <c r="H2621" s="7" t="str">
        <f>IF(Plantilla_SCAN_EQ3_COUNT_2[[#This Row],[ID MATERIAL]]="","",$B$13)</f>
        <v/>
      </c>
      <c r="I2621" s="7" t="str">
        <f>IF(Plantilla_SCAN_EQ3_COUNT_2[[#This Row],[ID MATERIAL]]="","","Segundo Conteo")</f>
        <v/>
      </c>
    </row>
    <row r="2622" spans="1:9" s="7" customFormat="1" ht="15" x14ac:dyDescent="0.2">
      <c r="A2622" s="7" t="str">
        <f>IF(Plantilla_SCAN_EQ3_COUNT_2[[#This Row],[ID MATERIAL]]="","",SIGN(Plantilla_SCAN_EQ3_COUNT_2[[#This Row],[Cantidad]])+A2621)</f>
        <v/>
      </c>
      <c r="B2622" s="21" t="str">
        <f>IF(Plantilla_SCAN_EQ3_COUNT_2[[#This Row],[ID MATERIAL]]="","",B2621)</f>
        <v/>
      </c>
      <c r="C2622" s="21"/>
      <c r="D2622" s="21"/>
      <c r="E2622" s="7" t="str">
        <f>IF(Plantilla_SCAN_EQ3_COUNT_2[[#This Row],[ID MATERIAL]]="","",VLOOKUP(Plantilla_SCAN_EQ3_COUNT_2[[#This Row],[ID MATERIAL]],INVENTARIO!$A:$D,2,FALSE))</f>
        <v/>
      </c>
      <c r="F2622" s="7" t="str">
        <f>IF(Plantilla_SCAN_EQ3_COUNT_2[[#This Row],[ID MATERIAL]]="","",IF(Plantilla_SCAN_EQ3_COUNT_2[[#This Row],[No. Empaques]]="",1,Plantilla_SCAN_EQ3_COUNT_2[[#This Row],[No. Empaques]]*1))</f>
        <v/>
      </c>
      <c r="G2622" s="7" t="str">
        <f>IF(Plantilla_SCAN_EQ3_COUNT_2[[#This Row],[ID MATERIAL]]="","","PZ")</f>
        <v/>
      </c>
      <c r="H2622" s="7" t="str">
        <f>IF(Plantilla_SCAN_EQ3_COUNT_2[[#This Row],[ID MATERIAL]]="","",$B$13)</f>
        <v/>
      </c>
      <c r="I2622" s="7" t="str">
        <f>IF(Plantilla_SCAN_EQ3_COUNT_2[[#This Row],[ID MATERIAL]]="","","Segundo Conteo")</f>
        <v/>
      </c>
    </row>
    <row r="2623" spans="1:9" s="7" customFormat="1" ht="15" x14ac:dyDescent="0.2">
      <c r="A2623" s="7" t="str">
        <f>IF(Plantilla_SCAN_EQ3_COUNT_2[[#This Row],[ID MATERIAL]]="","",SIGN(Plantilla_SCAN_EQ3_COUNT_2[[#This Row],[Cantidad]])+A2622)</f>
        <v/>
      </c>
      <c r="B2623" s="21" t="str">
        <f>IF(Plantilla_SCAN_EQ3_COUNT_2[[#This Row],[ID MATERIAL]]="","",B2622)</f>
        <v/>
      </c>
      <c r="C2623" s="21"/>
      <c r="D2623" s="21"/>
      <c r="E2623" s="7" t="str">
        <f>IF(Plantilla_SCAN_EQ3_COUNT_2[[#This Row],[ID MATERIAL]]="","",VLOOKUP(Plantilla_SCAN_EQ3_COUNT_2[[#This Row],[ID MATERIAL]],INVENTARIO!$A:$D,2,FALSE))</f>
        <v/>
      </c>
      <c r="F2623" s="7" t="str">
        <f>IF(Plantilla_SCAN_EQ3_COUNT_2[[#This Row],[ID MATERIAL]]="","",IF(Plantilla_SCAN_EQ3_COUNT_2[[#This Row],[No. Empaques]]="",1,Plantilla_SCAN_EQ3_COUNT_2[[#This Row],[No. Empaques]]*1))</f>
        <v/>
      </c>
      <c r="G2623" s="7" t="str">
        <f>IF(Plantilla_SCAN_EQ3_COUNT_2[[#This Row],[ID MATERIAL]]="","","PZ")</f>
        <v/>
      </c>
      <c r="H2623" s="7" t="str">
        <f>IF(Plantilla_SCAN_EQ3_COUNT_2[[#This Row],[ID MATERIAL]]="","",$B$13)</f>
        <v/>
      </c>
      <c r="I2623" s="7" t="str">
        <f>IF(Plantilla_SCAN_EQ3_COUNT_2[[#This Row],[ID MATERIAL]]="","","Segundo Conteo")</f>
        <v/>
      </c>
    </row>
    <row r="2624" spans="1:9" s="7" customFormat="1" ht="15" x14ac:dyDescent="0.2">
      <c r="A2624" s="7" t="str">
        <f>IF(Plantilla_SCAN_EQ3_COUNT_2[[#This Row],[ID MATERIAL]]="","",SIGN(Plantilla_SCAN_EQ3_COUNT_2[[#This Row],[Cantidad]])+A2623)</f>
        <v/>
      </c>
      <c r="B2624" s="21" t="str">
        <f>IF(Plantilla_SCAN_EQ3_COUNT_2[[#This Row],[ID MATERIAL]]="","",B2623)</f>
        <v/>
      </c>
      <c r="C2624" s="21"/>
      <c r="D2624" s="21"/>
      <c r="E2624" s="7" t="str">
        <f>IF(Plantilla_SCAN_EQ3_COUNT_2[[#This Row],[ID MATERIAL]]="","",VLOOKUP(Plantilla_SCAN_EQ3_COUNT_2[[#This Row],[ID MATERIAL]],INVENTARIO!$A:$D,2,FALSE))</f>
        <v/>
      </c>
      <c r="F2624" s="7" t="str">
        <f>IF(Plantilla_SCAN_EQ3_COUNT_2[[#This Row],[ID MATERIAL]]="","",IF(Plantilla_SCAN_EQ3_COUNT_2[[#This Row],[No. Empaques]]="",1,Plantilla_SCAN_EQ3_COUNT_2[[#This Row],[No. Empaques]]*1))</f>
        <v/>
      </c>
      <c r="G2624" s="7" t="str">
        <f>IF(Plantilla_SCAN_EQ3_COUNT_2[[#This Row],[ID MATERIAL]]="","","PZ")</f>
        <v/>
      </c>
      <c r="H2624" s="7" t="str">
        <f>IF(Plantilla_SCAN_EQ3_COUNT_2[[#This Row],[ID MATERIAL]]="","",$B$13)</f>
        <v/>
      </c>
      <c r="I2624" s="7" t="str">
        <f>IF(Plantilla_SCAN_EQ3_COUNT_2[[#This Row],[ID MATERIAL]]="","","Segundo Conteo")</f>
        <v/>
      </c>
    </row>
    <row r="2625" spans="1:9" s="7" customFormat="1" ht="15" x14ac:dyDescent="0.2">
      <c r="A2625" s="7" t="str">
        <f>IF(Plantilla_SCAN_EQ3_COUNT_2[[#This Row],[ID MATERIAL]]="","",SIGN(Plantilla_SCAN_EQ3_COUNT_2[[#This Row],[Cantidad]])+A2624)</f>
        <v/>
      </c>
      <c r="B2625" s="21" t="str">
        <f>IF(Plantilla_SCAN_EQ3_COUNT_2[[#This Row],[ID MATERIAL]]="","",B2624)</f>
        <v/>
      </c>
      <c r="C2625" s="21"/>
      <c r="D2625" s="21"/>
      <c r="E2625" s="7" t="str">
        <f>IF(Plantilla_SCAN_EQ3_COUNT_2[[#This Row],[ID MATERIAL]]="","",VLOOKUP(Plantilla_SCAN_EQ3_COUNT_2[[#This Row],[ID MATERIAL]],INVENTARIO!$A:$D,2,FALSE))</f>
        <v/>
      </c>
      <c r="F2625" s="7" t="str">
        <f>IF(Plantilla_SCAN_EQ3_COUNT_2[[#This Row],[ID MATERIAL]]="","",IF(Plantilla_SCAN_EQ3_COUNT_2[[#This Row],[No. Empaques]]="",1,Plantilla_SCAN_EQ3_COUNT_2[[#This Row],[No. Empaques]]*1))</f>
        <v/>
      </c>
      <c r="G2625" s="7" t="str">
        <f>IF(Plantilla_SCAN_EQ3_COUNT_2[[#This Row],[ID MATERIAL]]="","","PZ")</f>
        <v/>
      </c>
      <c r="H2625" s="7" t="str">
        <f>IF(Plantilla_SCAN_EQ3_COUNT_2[[#This Row],[ID MATERIAL]]="","",$B$13)</f>
        <v/>
      </c>
      <c r="I2625" s="7" t="str">
        <f>IF(Plantilla_SCAN_EQ3_COUNT_2[[#This Row],[ID MATERIAL]]="","","Segundo Conteo")</f>
        <v/>
      </c>
    </row>
    <row r="2626" spans="1:9" s="7" customFormat="1" ht="15" x14ac:dyDescent="0.2">
      <c r="A2626" s="7" t="str">
        <f>IF(Plantilla_SCAN_EQ3_COUNT_2[[#This Row],[ID MATERIAL]]="","",SIGN(Plantilla_SCAN_EQ3_COUNT_2[[#This Row],[Cantidad]])+A2625)</f>
        <v/>
      </c>
      <c r="B2626" s="21" t="str">
        <f>IF(Plantilla_SCAN_EQ3_COUNT_2[[#This Row],[ID MATERIAL]]="","",B2625)</f>
        <v/>
      </c>
      <c r="C2626" s="21"/>
      <c r="D2626" s="21"/>
      <c r="E2626" s="7" t="str">
        <f>IF(Plantilla_SCAN_EQ3_COUNT_2[[#This Row],[ID MATERIAL]]="","",VLOOKUP(Plantilla_SCAN_EQ3_COUNT_2[[#This Row],[ID MATERIAL]],INVENTARIO!$A:$D,2,FALSE))</f>
        <v/>
      </c>
      <c r="F2626" s="7" t="str">
        <f>IF(Plantilla_SCAN_EQ3_COUNT_2[[#This Row],[ID MATERIAL]]="","",IF(Plantilla_SCAN_EQ3_COUNT_2[[#This Row],[No. Empaques]]="",1,Plantilla_SCAN_EQ3_COUNT_2[[#This Row],[No. Empaques]]*1))</f>
        <v/>
      </c>
      <c r="G2626" s="7" t="str">
        <f>IF(Plantilla_SCAN_EQ3_COUNT_2[[#This Row],[ID MATERIAL]]="","","PZ")</f>
        <v/>
      </c>
      <c r="H2626" s="7" t="str">
        <f>IF(Plantilla_SCAN_EQ3_COUNT_2[[#This Row],[ID MATERIAL]]="","",$B$13)</f>
        <v/>
      </c>
      <c r="I2626" s="7" t="str">
        <f>IF(Plantilla_SCAN_EQ3_COUNT_2[[#This Row],[ID MATERIAL]]="","","Segundo Conteo")</f>
        <v/>
      </c>
    </row>
    <row r="2627" spans="1:9" s="7" customFormat="1" ht="15" x14ac:dyDescent="0.2">
      <c r="A2627" s="7" t="str">
        <f>IF(Plantilla_SCAN_EQ3_COUNT_2[[#This Row],[ID MATERIAL]]="","",SIGN(Plantilla_SCAN_EQ3_COUNT_2[[#This Row],[Cantidad]])+A2626)</f>
        <v/>
      </c>
      <c r="B2627" s="21" t="str">
        <f>IF(Plantilla_SCAN_EQ3_COUNT_2[[#This Row],[ID MATERIAL]]="","",B2626)</f>
        <v/>
      </c>
      <c r="C2627" s="21"/>
      <c r="D2627" s="21"/>
      <c r="E2627" s="7" t="str">
        <f>IF(Plantilla_SCAN_EQ3_COUNT_2[[#This Row],[ID MATERIAL]]="","",VLOOKUP(Plantilla_SCAN_EQ3_COUNT_2[[#This Row],[ID MATERIAL]],INVENTARIO!$A:$D,2,FALSE))</f>
        <v/>
      </c>
      <c r="F2627" s="7" t="str">
        <f>IF(Plantilla_SCAN_EQ3_COUNT_2[[#This Row],[ID MATERIAL]]="","",IF(Plantilla_SCAN_EQ3_COUNT_2[[#This Row],[No. Empaques]]="",1,Plantilla_SCAN_EQ3_COUNT_2[[#This Row],[No. Empaques]]*1))</f>
        <v/>
      </c>
      <c r="G2627" s="7" t="str">
        <f>IF(Plantilla_SCAN_EQ3_COUNT_2[[#This Row],[ID MATERIAL]]="","","PZ")</f>
        <v/>
      </c>
      <c r="H2627" s="7" t="str">
        <f>IF(Plantilla_SCAN_EQ3_COUNT_2[[#This Row],[ID MATERIAL]]="","",$B$13)</f>
        <v/>
      </c>
      <c r="I2627" s="7" t="str">
        <f>IF(Plantilla_SCAN_EQ3_COUNT_2[[#This Row],[ID MATERIAL]]="","","Segundo Conteo")</f>
        <v/>
      </c>
    </row>
    <row r="2628" spans="1:9" s="7" customFormat="1" ht="15" x14ac:dyDescent="0.2">
      <c r="A2628" s="7" t="str">
        <f>IF(Plantilla_SCAN_EQ3_COUNT_2[[#This Row],[ID MATERIAL]]="","",SIGN(Plantilla_SCAN_EQ3_COUNT_2[[#This Row],[Cantidad]])+A2627)</f>
        <v/>
      </c>
      <c r="B2628" s="21" t="str">
        <f>IF(Plantilla_SCAN_EQ3_COUNT_2[[#This Row],[ID MATERIAL]]="","",B2627)</f>
        <v/>
      </c>
      <c r="C2628" s="21"/>
      <c r="D2628" s="21"/>
      <c r="E2628" s="7" t="str">
        <f>IF(Plantilla_SCAN_EQ3_COUNT_2[[#This Row],[ID MATERIAL]]="","",VLOOKUP(Plantilla_SCAN_EQ3_COUNT_2[[#This Row],[ID MATERIAL]],INVENTARIO!$A:$D,2,FALSE))</f>
        <v/>
      </c>
      <c r="F2628" s="7" t="str">
        <f>IF(Plantilla_SCAN_EQ3_COUNT_2[[#This Row],[ID MATERIAL]]="","",IF(Plantilla_SCAN_EQ3_COUNT_2[[#This Row],[No. Empaques]]="",1,Plantilla_SCAN_EQ3_COUNT_2[[#This Row],[No. Empaques]]*1))</f>
        <v/>
      </c>
      <c r="G2628" s="7" t="str">
        <f>IF(Plantilla_SCAN_EQ3_COUNT_2[[#This Row],[ID MATERIAL]]="","","PZ")</f>
        <v/>
      </c>
      <c r="H2628" s="7" t="str">
        <f>IF(Plantilla_SCAN_EQ3_COUNT_2[[#This Row],[ID MATERIAL]]="","",$B$13)</f>
        <v/>
      </c>
      <c r="I2628" s="7" t="str">
        <f>IF(Plantilla_SCAN_EQ3_COUNT_2[[#This Row],[ID MATERIAL]]="","","Segundo Conteo")</f>
        <v/>
      </c>
    </row>
    <row r="2629" spans="1:9" s="7" customFormat="1" ht="15" x14ac:dyDescent="0.2">
      <c r="A2629" s="7" t="str">
        <f>IF(Plantilla_SCAN_EQ3_COUNT_2[[#This Row],[ID MATERIAL]]="","",SIGN(Plantilla_SCAN_EQ3_COUNT_2[[#This Row],[Cantidad]])+A2628)</f>
        <v/>
      </c>
      <c r="B2629" s="21" t="str">
        <f>IF(Plantilla_SCAN_EQ3_COUNT_2[[#This Row],[ID MATERIAL]]="","",B2628)</f>
        <v/>
      </c>
      <c r="C2629" s="21"/>
      <c r="D2629" s="21"/>
      <c r="E2629" s="7" t="str">
        <f>IF(Plantilla_SCAN_EQ3_COUNT_2[[#This Row],[ID MATERIAL]]="","",VLOOKUP(Plantilla_SCAN_EQ3_COUNT_2[[#This Row],[ID MATERIAL]],INVENTARIO!$A:$D,2,FALSE))</f>
        <v/>
      </c>
      <c r="F2629" s="7" t="str">
        <f>IF(Plantilla_SCAN_EQ3_COUNT_2[[#This Row],[ID MATERIAL]]="","",IF(Plantilla_SCAN_EQ3_COUNT_2[[#This Row],[No. Empaques]]="",1,Plantilla_SCAN_EQ3_COUNT_2[[#This Row],[No. Empaques]]*1))</f>
        <v/>
      </c>
      <c r="G2629" s="7" t="str">
        <f>IF(Plantilla_SCAN_EQ3_COUNT_2[[#This Row],[ID MATERIAL]]="","","PZ")</f>
        <v/>
      </c>
      <c r="H2629" s="7" t="str">
        <f>IF(Plantilla_SCAN_EQ3_COUNT_2[[#This Row],[ID MATERIAL]]="","",$B$13)</f>
        <v/>
      </c>
      <c r="I2629" s="7" t="str">
        <f>IF(Plantilla_SCAN_EQ3_COUNT_2[[#This Row],[ID MATERIAL]]="","","Segundo Conteo")</f>
        <v/>
      </c>
    </row>
    <row r="2630" spans="1:9" s="7" customFormat="1" ht="15" x14ac:dyDescent="0.2">
      <c r="A2630" s="7" t="str">
        <f>IF(Plantilla_SCAN_EQ3_COUNT_2[[#This Row],[ID MATERIAL]]="","",SIGN(Plantilla_SCAN_EQ3_COUNT_2[[#This Row],[Cantidad]])+A2629)</f>
        <v/>
      </c>
      <c r="B2630" s="21" t="str">
        <f>IF(Plantilla_SCAN_EQ3_COUNT_2[[#This Row],[ID MATERIAL]]="","",B2629)</f>
        <v/>
      </c>
      <c r="C2630" s="21"/>
      <c r="D2630" s="21"/>
      <c r="E2630" s="7" t="str">
        <f>IF(Plantilla_SCAN_EQ3_COUNT_2[[#This Row],[ID MATERIAL]]="","",VLOOKUP(Plantilla_SCAN_EQ3_COUNT_2[[#This Row],[ID MATERIAL]],INVENTARIO!$A:$D,2,FALSE))</f>
        <v/>
      </c>
      <c r="F2630" s="7" t="str">
        <f>IF(Plantilla_SCAN_EQ3_COUNT_2[[#This Row],[ID MATERIAL]]="","",IF(Plantilla_SCAN_EQ3_COUNT_2[[#This Row],[No. Empaques]]="",1,Plantilla_SCAN_EQ3_COUNT_2[[#This Row],[No. Empaques]]*1))</f>
        <v/>
      </c>
      <c r="G2630" s="7" t="str">
        <f>IF(Plantilla_SCAN_EQ3_COUNT_2[[#This Row],[ID MATERIAL]]="","","PZ")</f>
        <v/>
      </c>
      <c r="H2630" s="7" t="str">
        <f>IF(Plantilla_SCAN_EQ3_COUNT_2[[#This Row],[ID MATERIAL]]="","",$B$13)</f>
        <v/>
      </c>
      <c r="I2630" s="7" t="str">
        <f>IF(Plantilla_SCAN_EQ3_COUNT_2[[#This Row],[ID MATERIAL]]="","","Segundo Conteo")</f>
        <v/>
      </c>
    </row>
    <row r="2631" spans="1:9" s="7" customFormat="1" ht="15" x14ac:dyDescent="0.2">
      <c r="A2631" s="7" t="str">
        <f>IF(Plantilla_SCAN_EQ3_COUNT_2[[#This Row],[ID MATERIAL]]="","",SIGN(Plantilla_SCAN_EQ3_COUNT_2[[#This Row],[Cantidad]])+A2630)</f>
        <v/>
      </c>
      <c r="B2631" s="21" t="str">
        <f>IF(Plantilla_SCAN_EQ3_COUNT_2[[#This Row],[ID MATERIAL]]="","",B2630)</f>
        <v/>
      </c>
      <c r="C2631" s="21"/>
      <c r="D2631" s="21"/>
      <c r="E2631" s="7" t="str">
        <f>IF(Plantilla_SCAN_EQ3_COUNT_2[[#This Row],[ID MATERIAL]]="","",VLOOKUP(Plantilla_SCAN_EQ3_COUNT_2[[#This Row],[ID MATERIAL]],INVENTARIO!$A:$D,2,FALSE))</f>
        <v/>
      </c>
      <c r="F2631" s="7" t="str">
        <f>IF(Plantilla_SCAN_EQ3_COUNT_2[[#This Row],[ID MATERIAL]]="","",IF(Plantilla_SCAN_EQ3_COUNT_2[[#This Row],[No. Empaques]]="",1,Plantilla_SCAN_EQ3_COUNT_2[[#This Row],[No. Empaques]]*1))</f>
        <v/>
      </c>
      <c r="G2631" s="7" t="str">
        <f>IF(Plantilla_SCAN_EQ3_COUNT_2[[#This Row],[ID MATERIAL]]="","","PZ")</f>
        <v/>
      </c>
      <c r="H2631" s="7" t="str">
        <f>IF(Plantilla_SCAN_EQ3_COUNT_2[[#This Row],[ID MATERIAL]]="","",$B$13)</f>
        <v/>
      </c>
      <c r="I2631" s="7" t="str">
        <f>IF(Plantilla_SCAN_EQ3_COUNT_2[[#This Row],[ID MATERIAL]]="","","Segundo Conteo")</f>
        <v/>
      </c>
    </row>
    <row r="2632" spans="1:9" s="7" customFormat="1" ht="15" x14ac:dyDescent="0.2">
      <c r="A2632" s="7" t="str">
        <f>IF(Plantilla_SCAN_EQ3_COUNT_2[[#This Row],[ID MATERIAL]]="","",SIGN(Plantilla_SCAN_EQ3_COUNT_2[[#This Row],[Cantidad]])+A2631)</f>
        <v/>
      </c>
      <c r="B2632" s="21" t="str">
        <f>IF(Plantilla_SCAN_EQ3_COUNT_2[[#This Row],[ID MATERIAL]]="","",B2631)</f>
        <v/>
      </c>
      <c r="C2632" s="21"/>
      <c r="D2632" s="21"/>
      <c r="E2632" s="7" t="str">
        <f>IF(Plantilla_SCAN_EQ3_COUNT_2[[#This Row],[ID MATERIAL]]="","",VLOOKUP(Plantilla_SCAN_EQ3_COUNT_2[[#This Row],[ID MATERIAL]],INVENTARIO!$A:$D,2,FALSE))</f>
        <v/>
      </c>
      <c r="F2632" s="7" t="str">
        <f>IF(Plantilla_SCAN_EQ3_COUNT_2[[#This Row],[ID MATERIAL]]="","",IF(Plantilla_SCAN_EQ3_COUNT_2[[#This Row],[No. Empaques]]="",1,Plantilla_SCAN_EQ3_COUNT_2[[#This Row],[No. Empaques]]*1))</f>
        <v/>
      </c>
      <c r="G2632" s="7" t="str">
        <f>IF(Plantilla_SCAN_EQ3_COUNT_2[[#This Row],[ID MATERIAL]]="","","PZ")</f>
        <v/>
      </c>
      <c r="H2632" s="7" t="str">
        <f>IF(Plantilla_SCAN_EQ3_COUNT_2[[#This Row],[ID MATERIAL]]="","",$B$13)</f>
        <v/>
      </c>
      <c r="I2632" s="7" t="str">
        <f>IF(Plantilla_SCAN_EQ3_COUNT_2[[#This Row],[ID MATERIAL]]="","","Segundo Conteo")</f>
        <v/>
      </c>
    </row>
    <row r="2633" spans="1:9" s="7" customFormat="1" ht="15" x14ac:dyDescent="0.2">
      <c r="A2633" s="7" t="str">
        <f>IF(Plantilla_SCAN_EQ3_COUNT_2[[#This Row],[ID MATERIAL]]="","",SIGN(Plantilla_SCAN_EQ3_COUNT_2[[#This Row],[Cantidad]])+A2632)</f>
        <v/>
      </c>
      <c r="B2633" s="21" t="str">
        <f>IF(Plantilla_SCAN_EQ3_COUNT_2[[#This Row],[ID MATERIAL]]="","",B2632)</f>
        <v/>
      </c>
      <c r="C2633" s="21"/>
      <c r="D2633" s="21"/>
      <c r="E2633" s="7" t="str">
        <f>IF(Plantilla_SCAN_EQ3_COUNT_2[[#This Row],[ID MATERIAL]]="","",VLOOKUP(Plantilla_SCAN_EQ3_COUNT_2[[#This Row],[ID MATERIAL]],INVENTARIO!$A:$D,2,FALSE))</f>
        <v/>
      </c>
      <c r="F2633" s="7" t="str">
        <f>IF(Plantilla_SCAN_EQ3_COUNT_2[[#This Row],[ID MATERIAL]]="","",IF(Plantilla_SCAN_EQ3_COUNT_2[[#This Row],[No. Empaques]]="",1,Plantilla_SCAN_EQ3_COUNT_2[[#This Row],[No. Empaques]]*1))</f>
        <v/>
      </c>
      <c r="G2633" s="7" t="str">
        <f>IF(Plantilla_SCAN_EQ3_COUNT_2[[#This Row],[ID MATERIAL]]="","","PZ")</f>
        <v/>
      </c>
      <c r="H2633" s="7" t="str">
        <f>IF(Plantilla_SCAN_EQ3_COUNT_2[[#This Row],[ID MATERIAL]]="","",$B$13)</f>
        <v/>
      </c>
      <c r="I2633" s="7" t="str">
        <f>IF(Plantilla_SCAN_EQ3_COUNT_2[[#This Row],[ID MATERIAL]]="","","Segundo Conteo")</f>
        <v/>
      </c>
    </row>
    <row r="2634" spans="1:9" s="7" customFormat="1" ht="15" x14ac:dyDescent="0.2">
      <c r="A2634" s="7" t="str">
        <f>IF(Plantilla_SCAN_EQ3_COUNT_2[[#This Row],[ID MATERIAL]]="","",SIGN(Plantilla_SCAN_EQ3_COUNT_2[[#This Row],[Cantidad]])+A2633)</f>
        <v/>
      </c>
      <c r="B2634" s="21" t="str">
        <f>IF(Plantilla_SCAN_EQ3_COUNT_2[[#This Row],[ID MATERIAL]]="","",B2633)</f>
        <v/>
      </c>
      <c r="C2634" s="21"/>
      <c r="D2634" s="21"/>
      <c r="E2634" s="7" t="str">
        <f>IF(Plantilla_SCAN_EQ3_COUNT_2[[#This Row],[ID MATERIAL]]="","",VLOOKUP(Plantilla_SCAN_EQ3_COUNT_2[[#This Row],[ID MATERIAL]],INVENTARIO!$A:$D,2,FALSE))</f>
        <v/>
      </c>
      <c r="F2634" s="7" t="str">
        <f>IF(Plantilla_SCAN_EQ3_COUNT_2[[#This Row],[ID MATERIAL]]="","",IF(Plantilla_SCAN_EQ3_COUNT_2[[#This Row],[No. Empaques]]="",1,Plantilla_SCAN_EQ3_COUNT_2[[#This Row],[No. Empaques]]*1))</f>
        <v/>
      </c>
      <c r="G2634" s="7" t="str">
        <f>IF(Plantilla_SCAN_EQ3_COUNT_2[[#This Row],[ID MATERIAL]]="","","PZ")</f>
        <v/>
      </c>
      <c r="H2634" s="7" t="str">
        <f>IF(Plantilla_SCAN_EQ3_COUNT_2[[#This Row],[ID MATERIAL]]="","",$B$13)</f>
        <v/>
      </c>
      <c r="I2634" s="7" t="str">
        <f>IF(Plantilla_SCAN_EQ3_COUNT_2[[#This Row],[ID MATERIAL]]="","","Segundo Conteo")</f>
        <v/>
      </c>
    </row>
    <row r="2635" spans="1:9" s="7" customFormat="1" ht="15" x14ac:dyDescent="0.2">
      <c r="A2635" s="7" t="str">
        <f>IF(Plantilla_SCAN_EQ3_COUNT_2[[#This Row],[ID MATERIAL]]="","",SIGN(Plantilla_SCAN_EQ3_COUNT_2[[#This Row],[Cantidad]])+A2634)</f>
        <v/>
      </c>
      <c r="B2635" s="21" t="str">
        <f>IF(Plantilla_SCAN_EQ3_COUNT_2[[#This Row],[ID MATERIAL]]="","",B2634)</f>
        <v/>
      </c>
      <c r="C2635" s="21"/>
      <c r="D2635" s="21"/>
      <c r="E2635" s="7" t="str">
        <f>IF(Plantilla_SCAN_EQ3_COUNT_2[[#This Row],[ID MATERIAL]]="","",VLOOKUP(Plantilla_SCAN_EQ3_COUNT_2[[#This Row],[ID MATERIAL]],INVENTARIO!$A:$D,2,FALSE))</f>
        <v/>
      </c>
      <c r="F2635" s="7" t="str">
        <f>IF(Plantilla_SCAN_EQ3_COUNT_2[[#This Row],[ID MATERIAL]]="","",IF(Plantilla_SCAN_EQ3_COUNT_2[[#This Row],[No. Empaques]]="",1,Plantilla_SCAN_EQ3_COUNT_2[[#This Row],[No. Empaques]]*1))</f>
        <v/>
      </c>
      <c r="G2635" s="7" t="str">
        <f>IF(Plantilla_SCAN_EQ3_COUNT_2[[#This Row],[ID MATERIAL]]="","","PZ")</f>
        <v/>
      </c>
      <c r="H2635" s="7" t="str">
        <f>IF(Plantilla_SCAN_EQ3_COUNT_2[[#This Row],[ID MATERIAL]]="","",$B$13)</f>
        <v/>
      </c>
      <c r="I2635" s="7" t="str">
        <f>IF(Plantilla_SCAN_EQ3_COUNT_2[[#This Row],[ID MATERIAL]]="","","Segundo Conteo")</f>
        <v/>
      </c>
    </row>
    <row r="2636" spans="1:9" s="7" customFormat="1" ht="15" x14ac:dyDescent="0.2">
      <c r="A2636" s="7" t="str">
        <f>IF(Plantilla_SCAN_EQ3_COUNT_2[[#This Row],[ID MATERIAL]]="","",SIGN(Plantilla_SCAN_EQ3_COUNT_2[[#This Row],[Cantidad]])+A2635)</f>
        <v/>
      </c>
      <c r="B2636" s="21" t="str">
        <f>IF(Plantilla_SCAN_EQ3_COUNT_2[[#This Row],[ID MATERIAL]]="","",B2635)</f>
        <v/>
      </c>
      <c r="C2636" s="21"/>
      <c r="D2636" s="21"/>
      <c r="E2636" s="7" t="str">
        <f>IF(Plantilla_SCAN_EQ3_COUNT_2[[#This Row],[ID MATERIAL]]="","",VLOOKUP(Plantilla_SCAN_EQ3_COUNT_2[[#This Row],[ID MATERIAL]],INVENTARIO!$A:$D,2,FALSE))</f>
        <v/>
      </c>
      <c r="F2636" s="7" t="str">
        <f>IF(Plantilla_SCAN_EQ3_COUNT_2[[#This Row],[ID MATERIAL]]="","",IF(Plantilla_SCAN_EQ3_COUNT_2[[#This Row],[No. Empaques]]="",1,Plantilla_SCAN_EQ3_COUNT_2[[#This Row],[No. Empaques]]*1))</f>
        <v/>
      </c>
      <c r="G2636" s="7" t="str">
        <f>IF(Plantilla_SCAN_EQ3_COUNT_2[[#This Row],[ID MATERIAL]]="","","PZ")</f>
        <v/>
      </c>
      <c r="H2636" s="7" t="str">
        <f>IF(Plantilla_SCAN_EQ3_COUNT_2[[#This Row],[ID MATERIAL]]="","",$B$13)</f>
        <v/>
      </c>
      <c r="I2636" s="7" t="str">
        <f>IF(Plantilla_SCAN_EQ3_COUNT_2[[#This Row],[ID MATERIAL]]="","","Segundo Conteo")</f>
        <v/>
      </c>
    </row>
    <row r="2637" spans="1:9" s="7" customFormat="1" ht="15" x14ac:dyDescent="0.2">
      <c r="A2637" s="7" t="str">
        <f>IF(Plantilla_SCAN_EQ3_COUNT_2[[#This Row],[ID MATERIAL]]="","",SIGN(Plantilla_SCAN_EQ3_COUNT_2[[#This Row],[Cantidad]])+A2636)</f>
        <v/>
      </c>
      <c r="B2637" s="21" t="str">
        <f>IF(Plantilla_SCAN_EQ3_COUNT_2[[#This Row],[ID MATERIAL]]="","",B2636)</f>
        <v/>
      </c>
      <c r="C2637" s="21"/>
      <c r="D2637" s="21"/>
      <c r="E2637" s="7" t="str">
        <f>IF(Plantilla_SCAN_EQ3_COUNT_2[[#This Row],[ID MATERIAL]]="","",VLOOKUP(Plantilla_SCAN_EQ3_COUNT_2[[#This Row],[ID MATERIAL]],INVENTARIO!$A:$D,2,FALSE))</f>
        <v/>
      </c>
      <c r="F2637" s="7" t="str">
        <f>IF(Plantilla_SCAN_EQ3_COUNT_2[[#This Row],[ID MATERIAL]]="","",IF(Plantilla_SCAN_EQ3_COUNT_2[[#This Row],[No. Empaques]]="",1,Plantilla_SCAN_EQ3_COUNT_2[[#This Row],[No. Empaques]]*1))</f>
        <v/>
      </c>
      <c r="G2637" s="7" t="str">
        <f>IF(Plantilla_SCAN_EQ3_COUNT_2[[#This Row],[ID MATERIAL]]="","","PZ")</f>
        <v/>
      </c>
      <c r="H2637" s="7" t="str">
        <f>IF(Plantilla_SCAN_EQ3_COUNT_2[[#This Row],[ID MATERIAL]]="","",$B$13)</f>
        <v/>
      </c>
      <c r="I2637" s="7" t="str">
        <f>IF(Plantilla_SCAN_EQ3_COUNT_2[[#This Row],[ID MATERIAL]]="","","Segundo Conteo")</f>
        <v/>
      </c>
    </row>
    <row r="2638" spans="1:9" s="7" customFormat="1" ht="15" x14ac:dyDescent="0.2">
      <c r="A2638" s="7" t="str">
        <f>IF(Plantilla_SCAN_EQ3_COUNT_2[[#This Row],[ID MATERIAL]]="","",SIGN(Plantilla_SCAN_EQ3_COUNT_2[[#This Row],[Cantidad]])+A2637)</f>
        <v/>
      </c>
      <c r="B2638" s="21" t="str">
        <f>IF(Plantilla_SCAN_EQ3_COUNT_2[[#This Row],[ID MATERIAL]]="","",B2637)</f>
        <v/>
      </c>
      <c r="C2638" s="21"/>
      <c r="D2638" s="21"/>
      <c r="E2638" s="7" t="str">
        <f>IF(Plantilla_SCAN_EQ3_COUNT_2[[#This Row],[ID MATERIAL]]="","",VLOOKUP(Plantilla_SCAN_EQ3_COUNT_2[[#This Row],[ID MATERIAL]],INVENTARIO!$A:$D,2,FALSE))</f>
        <v/>
      </c>
      <c r="F2638" s="7" t="str">
        <f>IF(Plantilla_SCAN_EQ3_COUNT_2[[#This Row],[ID MATERIAL]]="","",IF(Plantilla_SCAN_EQ3_COUNT_2[[#This Row],[No. Empaques]]="",1,Plantilla_SCAN_EQ3_COUNT_2[[#This Row],[No. Empaques]]*1))</f>
        <v/>
      </c>
      <c r="G2638" s="7" t="str">
        <f>IF(Plantilla_SCAN_EQ3_COUNT_2[[#This Row],[ID MATERIAL]]="","","PZ")</f>
        <v/>
      </c>
      <c r="H2638" s="7" t="str">
        <f>IF(Plantilla_SCAN_EQ3_COUNT_2[[#This Row],[ID MATERIAL]]="","",$B$13)</f>
        <v/>
      </c>
      <c r="I2638" s="7" t="str">
        <f>IF(Plantilla_SCAN_EQ3_COUNT_2[[#This Row],[ID MATERIAL]]="","","Segundo Conteo")</f>
        <v/>
      </c>
    </row>
    <row r="2639" spans="1:9" s="7" customFormat="1" ht="15" x14ac:dyDescent="0.2">
      <c r="A2639" s="7" t="str">
        <f>IF(Plantilla_SCAN_EQ3_COUNT_2[[#This Row],[ID MATERIAL]]="","",SIGN(Plantilla_SCAN_EQ3_COUNT_2[[#This Row],[Cantidad]])+A2638)</f>
        <v/>
      </c>
      <c r="B2639" s="21" t="str">
        <f>IF(Plantilla_SCAN_EQ3_COUNT_2[[#This Row],[ID MATERIAL]]="","",B2638)</f>
        <v/>
      </c>
      <c r="C2639" s="21"/>
      <c r="D2639" s="21"/>
      <c r="E2639" s="7" t="str">
        <f>IF(Plantilla_SCAN_EQ3_COUNT_2[[#This Row],[ID MATERIAL]]="","",VLOOKUP(Plantilla_SCAN_EQ3_COUNT_2[[#This Row],[ID MATERIAL]],INVENTARIO!$A:$D,2,FALSE))</f>
        <v/>
      </c>
      <c r="F2639" s="7" t="str">
        <f>IF(Plantilla_SCAN_EQ3_COUNT_2[[#This Row],[ID MATERIAL]]="","",IF(Plantilla_SCAN_EQ3_COUNT_2[[#This Row],[No. Empaques]]="",1,Plantilla_SCAN_EQ3_COUNT_2[[#This Row],[No. Empaques]]*1))</f>
        <v/>
      </c>
      <c r="G2639" s="7" t="str">
        <f>IF(Plantilla_SCAN_EQ3_COUNT_2[[#This Row],[ID MATERIAL]]="","","PZ")</f>
        <v/>
      </c>
      <c r="H2639" s="7" t="str">
        <f>IF(Plantilla_SCAN_EQ3_COUNT_2[[#This Row],[ID MATERIAL]]="","",$B$13)</f>
        <v/>
      </c>
      <c r="I2639" s="7" t="str">
        <f>IF(Plantilla_SCAN_EQ3_COUNT_2[[#This Row],[ID MATERIAL]]="","","Segundo Conteo")</f>
        <v/>
      </c>
    </row>
    <row r="2640" spans="1:9" s="7" customFormat="1" ht="15" x14ac:dyDescent="0.2">
      <c r="A2640" s="7" t="str">
        <f>IF(Plantilla_SCAN_EQ3_COUNT_2[[#This Row],[ID MATERIAL]]="","",SIGN(Plantilla_SCAN_EQ3_COUNT_2[[#This Row],[Cantidad]])+A2639)</f>
        <v/>
      </c>
      <c r="B2640" s="21" t="str">
        <f>IF(Plantilla_SCAN_EQ3_COUNT_2[[#This Row],[ID MATERIAL]]="","",B2639)</f>
        <v/>
      </c>
      <c r="C2640" s="21"/>
      <c r="D2640" s="21"/>
      <c r="E2640" s="7" t="str">
        <f>IF(Plantilla_SCAN_EQ3_COUNT_2[[#This Row],[ID MATERIAL]]="","",VLOOKUP(Plantilla_SCAN_EQ3_COUNT_2[[#This Row],[ID MATERIAL]],INVENTARIO!$A:$D,2,FALSE))</f>
        <v/>
      </c>
      <c r="F2640" s="7" t="str">
        <f>IF(Plantilla_SCAN_EQ3_COUNT_2[[#This Row],[ID MATERIAL]]="","",IF(Plantilla_SCAN_EQ3_COUNT_2[[#This Row],[No. Empaques]]="",1,Plantilla_SCAN_EQ3_COUNT_2[[#This Row],[No. Empaques]]*1))</f>
        <v/>
      </c>
      <c r="G2640" s="7" t="str">
        <f>IF(Plantilla_SCAN_EQ3_COUNT_2[[#This Row],[ID MATERIAL]]="","","PZ")</f>
        <v/>
      </c>
      <c r="H2640" s="7" t="str">
        <f>IF(Plantilla_SCAN_EQ3_COUNT_2[[#This Row],[ID MATERIAL]]="","",$B$13)</f>
        <v/>
      </c>
      <c r="I2640" s="7" t="str">
        <f>IF(Plantilla_SCAN_EQ3_COUNT_2[[#This Row],[ID MATERIAL]]="","","Segundo Conteo")</f>
        <v/>
      </c>
    </row>
    <row r="2641" spans="1:9" s="7" customFormat="1" ht="15" x14ac:dyDescent="0.2">
      <c r="A2641" s="7" t="str">
        <f>IF(Plantilla_SCAN_EQ3_COUNT_2[[#This Row],[ID MATERIAL]]="","",SIGN(Plantilla_SCAN_EQ3_COUNT_2[[#This Row],[Cantidad]])+A2640)</f>
        <v/>
      </c>
      <c r="B2641" s="21" t="str">
        <f>IF(Plantilla_SCAN_EQ3_COUNT_2[[#This Row],[ID MATERIAL]]="","",B2640)</f>
        <v/>
      </c>
      <c r="C2641" s="21"/>
      <c r="D2641" s="21"/>
      <c r="E2641" s="7" t="str">
        <f>IF(Plantilla_SCAN_EQ3_COUNT_2[[#This Row],[ID MATERIAL]]="","",VLOOKUP(Plantilla_SCAN_EQ3_COUNT_2[[#This Row],[ID MATERIAL]],INVENTARIO!$A:$D,2,FALSE))</f>
        <v/>
      </c>
      <c r="F2641" s="7" t="str">
        <f>IF(Plantilla_SCAN_EQ3_COUNT_2[[#This Row],[ID MATERIAL]]="","",IF(Plantilla_SCAN_EQ3_COUNT_2[[#This Row],[No. Empaques]]="",1,Plantilla_SCAN_EQ3_COUNT_2[[#This Row],[No. Empaques]]*1))</f>
        <v/>
      </c>
      <c r="G2641" s="7" t="str">
        <f>IF(Plantilla_SCAN_EQ3_COUNT_2[[#This Row],[ID MATERIAL]]="","","PZ")</f>
        <v/>
      </c>
      <c r="H2641" s="7" t="str">
        <f>IF(Plantilla_SCAN_EQ3_COUNT_2[[#This Row],[ID MATERIAL]]="","",$B$13)</f>
        <v/>
      </c>
      <c r="I2641" s="7" t="str">
        <f>IF(Plantilla_SCAN_EQ3_COUNT_2[[#This Row],[ID MATERIAL]]="","","Segundo Conteo")</f>
        <v/>
      </c>
    </row>
    <row r="2642" spans="1:9" s="7" customFormat="1" ht="15" x14ac:dyDescent="0.2">
      <c r="A2642" s="7" t="str">
        <f>IF(Plantilla_SCAN_EQ3_COUNT_2[[#This Row],[ID MATERIAL]]="","",SIGN(Plantilla_SCAN_EQ3_COUNT_2[[#This Row],[Cantidad]])+A2641)</f>
        <v/>
      </c>
      <c r="B2642" s="21" t="str">
        <f>IF(Plantilla_SCAN_EQ3_COUNT_2[[#This Row],[ID MATERIAL]]="","",B2641)</f>
        <v/>
      </c>
      <c r="C2642" s="21"/>
      <c r="D2642" s="21"/>
      <c r="E2642" s="7" t="str">
        <f>IF(Plantilla_SCAN_EQ3_COUNT_2[[#This Row],[ID MATERIAL]]="","",VLOOKUP(Plantilla_SCAN_EQ3_COUNT_2[[#This Row],[ID MATERIAL]],INVENTARIO!$A:$D,2,FALSE))</f>
        <v/>
      </c>
      <c r="F2642" s="7" t="str">
        <f>IF(Plantilla_SCAN_EQ3_COUNT_2[[#This Row],[ID MATERIAL]]="","",IF(Plantilla_SCAN_EQ3_COUNT_2[[#This Row],[No. Empaques]]="",1,Plantilla_SCAN_EQ3_COUNT_2[[#This Row],[No. Empaques]]*1))</f>
        <v/>
      </c>
      <c r="G2642" s="7" t="str">
        <f>IF(Plantilla_SCAN_EQ3_COUNT_2[[#This Row],[ID MATERIAL]]="","","PZ")</f>
        <v/>
      </c>
      <c r="H2642" s="7" t="str">
        <f>IF(Plantilla_SCAN_EQ3_COUNT_2[[#This Row],[ID MATERIAL]]="","",$B$13)</f>
        <v/>
      </c>
      <c r="I2642" s="7" t="str">
        <f>IF(Plantilla_SCAN_EQ3_COUNT_2[[#This Row],[ID MATERIAL]]="","","Segundo Conteo")</f>
        <v/>
      </c>
    </row>
    <row r="2643" spans="1:9" s="7" customFormat="1" ht="15" x14ac:dyDescent="0.2">
      <c r="A2643" s="7" t="str">
        <f>IF(Plantilla_SCAN_EQ3_COUNT_2[[#This Row],[ID MATERIAL]]="","",SIGN(Plantilla_SCAN_EQ3_COUNT_2[[#This Row],[Cantidad]])+A2642)</f>
        <v/>
      </c>
      <c r="B2643" s="21" t="str">
        <f>IF(Plantilla_SCAN_EQ3_COUNT_2[[#This Row],[ID MATERIAL]]="","",B2642)</f>
        <v/>
      </c>
      <c r="C2643" s="21"/>
      <c r="D2643" s="21"/>
      <c r="E2643" s="7" t="str">
        <f>IF(Plantilla_SCAN_EQ3_COUNT_2[[#This Row],[ID MATERIAL]]="","",VLOOKUP(Plantilla_SCAN_EQ3_COUNT_2[[#This Row],[ID MATERIAL]],INVENTARIO!$A:$D,2,FALSE))</f>
        <v/>
      </c>
      <c r="F2643" s="7" t="str">
        <f>IF(Plantilla_SCAN_EQ3_COUNT_2[[#This Row],[ID MATERIAL]]="","",IF(Plantilla_SCAN_EQ3_COUNT_2[[#This Row],[No. Empaques]]="",1,Plantilla_SCAN_EQ3_COUNT_2[[#This Row],[No. Empaques]]*1))</f>
        <v/>
      </c>
      <c r="G2643" s="7" t="str">
        <f>IF(Plantilla_SCAN_EQ3_COUNT_2[[#This Row],[ID MATERIAL]]="","","PZ")</f>
        <v/>
      </c>
      <c r="H2643" s="7" t="str">
        <f>IF(Plantilla_SCAN_EQ3_COUNT_2[[#This Row],[ID MATERIAL]]="","",$B$13)</f>
        <v/>
      </c>
      <c r="I2643" s="7" t="str">
        <f>IF(Plantilla_SCAN_EQ3_COUNT_2[[#This Row],[ID MATERIAL]]="","","Segundo Conteo")</f>
        <v/>
      </c>
    </row>
    <row r="2644" spans="1:9" s="7" customFormat="1" ht="15" x14ac:dyDescent="0.2">
      <c r="A2644" s="7" t="str">
        <f>IF(Plantilla_SCAN_EQ3_COUNT_2[[#This Row],[ID MATERIAL]]="","",SIGN(Plantilla_SCAN_EQ3_COUNT_2[[#This Row],[Cantidad]])+A2643)</f>
        <v/>
      </c>
      <c r="B2644" s="21" t="str">
        <f>IF(Plantilla_SCAN_EQ3_COUNT_2[[#This Row],[ID MATERIAL]]="","",B2643)</f>
        <v/>
      </c>
      <c r="C2644" s="21"/>
      <c r="D2644" s="21"/>
      <c r="E2644" s="7" t="str">
        <f>IF(Plantilla_SCAN_EQ3_COUNT_2[[#This Row],[ID MATERIAL]]="","",VLOOKUP(Plantilla_SCAN_EQ3_COUNT_2[[#This Row],[ID MATERIAL]],INVENTARIO!$A:$D,2,FALSE))</f>
        <v/>
      </c>
      <c r="F2644" s="7" t="str">
        <f>IF(Plantilla_SCAN_EQ3_COUNT_2[[#This Row],[ID MATERIAL]]="","",IF(Plantilla_SCAN_EQ3_COUNT_2[[#This Row],[No. Empaques]]="",1,Plantilla_SCAN_EQ3_COUNT_2[[#This Row],[No. Empaques]]*1))</f>
        <v/>
      </c>
      <c r="G2644" s="7" t="str">
        <f>IF(Plantilla_SCAN_EQ3_COUNT_2[[#This Row],[ID MATERIAL]]="","","PZ")</f>
        <v/>
      </c>
      <c r="H2644" s="7" t="str">
        <f>IF(Plantilla_SCAN_EQ3_COUNT_2[[#This Row],[ID MATERIAL]]="","",$B$13)</f>
        <v/>
      </c>
      <c r="I2644" s="7" t="str">
        <f>IF(Plantilla_SCAN_EQ3_COUNT_2[[#This Row],[ID MATERIAL]]="","","Segundo Conteo")</f>
        <v/>
      </c>
    </row>
    <row r="2645" spans="1:9" s="7" customFormat="1" ht="15" x14ac:dyDescent="0.2">
      <c r="A2645" s="7" t="str">
        <f>IF(Plantilla_SCAN_EQ3_COUNT_2[[#This Row],[ID MATERIAL]]="","",SIGN(Plantilla_SCAN_EQ3_COUNT_2[[#This Row],[Cantidad]])+A2644)</f>
        <v/>
      </c>
      <c r="B2645" s="21" t="str">
        <f>IF(Plantilla_SCAN_EQ3_COUNT_2[[#This Row],[ID MATERIAL]]="","",B2644)</f>
        <v/>
      </c>
      <c r="C2645" s="21"/>
      <c r="D2645" s="21"/>
      <c r="E2645" s="7" t="str">
        <f>IF(Plantilla_SCAN_EQ3_COUNT_2[[#This Row],[ID MATERIAL]]="","",VLOOKUP(Plantilla_SCAN_EQ3_COUNT_2[[#This Row],[ID MATERIAL]],INVENTARIO!$A:$D,2,FALSE))</f>
        <v/>
      </c>
      <c r="F2645" s="7" t="str">
        <f>IF(Plantilla_SCAN_EQ3_COUNT_2[[#This Row],[ID MATERIAL]]="","",IF(Plantilla_SCAN_EQ3_COUNT_2[[#This Row],[No. Empaques]]="",1,Plantilla_SCAN_EQ3_COUNT_2[[#This Row],[No. Empaques]]*1))</f>
        <v/>
      </c>
      <c r="G2645" s="7" t="str">
        <f>IF(Plantilla_SCAN_EQ3_COUNT_2[[#This Row],[ID MATERIAL]]="","","PZ")</f>
        <v/>
      </c>
      <c r="H2645" s="7" t="str">
        <f>IF(Plantilla_SCAN_EQ3_COUNT_2[[#This Row],[ID MATERIAL]]="","",$B$13)</f>
        <v/>
      </c>
      <c r="I2645" s="7" t="str">
        <f>IF(Plantilla_SCAN_EQ3_COUNT_2[[#This Row],[ID MATERIAL]]="","","Segundo Conteo")</f>
        <v/>
      </c>
    </row>
    <row r="2646" spans="1:9" s="7" customFormat="1" ht="15" x14ac:dyDescent="0.2">
      <c r="A2646" s="7" t="str">
        <f>IF(Plantilla_SCAN_EQ3_COUNT_2[[#This Row],[ID MATERIAL]]="","",SIGN(Plantilla_SCAN_EQ3_COUNT_2[[#This Row],[Cantidad]])+A2645)</f>
        <v/>
      </c>
      <c r="B2646" s="21" t="str">
        <f>IF(Plantilla_SCAN_EQ3_COUNT_2[[#This Row],[ID MATERIAL]]="","",B2645)</f>
        <v/>
      </c>
      <c r="C2646" s="21"/>
      <c r="D2646" s="21"/>
      <c r="E2646" s="7" t="str">
        <f>IF(Plantilla_SCAN_EQ3_COUNT_2[[#This Row],[ID MATERIAL]]="","",VLOOKUP(Plantilla_SCAN_EQ3_COUNT_2[[#This Row],[ID MATERIAL]],INVENTARIO!$A:$D,2,FALSE))</f>
        <v/>
      </c>
      <c r="F2646" s="7" t="str">
        <f>IF(Plantilla_SCAN_EQ3_COUNT_2[[#This Row],[ID MATERIAL]]="","",IF(Plantilla_SCAN_EQ3_COUNT_2[[#This Row],[No. Empaques]]="",1,Plantilla_SCAN_EQ3_COUNT_2[[#This Row],[No. Empaques]]*1))</f>
        <v/>
      </c>
      <c r="G2646" s="7" t="str">
        <f>IF(Plantilla_SCAN_EQ3_COUNT_2[[#This Row],[ID MATERIAL]]="","","PZ")</f>
        <v/>
      </c>
      <c r="H2646" s="7" t="str">
        <f>IF(Plantilla_SCAN_EQ3_COUNT_2[[#This Row],[ID MATERIAL]]="","",$B$13)</f>
        <v/>
      </c>
      <c r="I2646" s="7" t="str">
        <f>IF(Plantilla_SCAN_EQ3_COUNT_2[[#This Row],[ID MATERIAL]]="","","Segundo Conteo")</f>
        <v/>
      </c>
    </row>
    <row r="2647" spans="1:9" s="7" customFormat="1" ht="15" x14ac:dyDescent="0.2">
      <c r="A2647" s="7" t="str">
        <f>IF(Plantilla_SCAN_EQ3_COUNT_2[[#This Row],[ID MATERIAL]]="","",SIGN(Plantilla_SCAN_EQ3_COUNT_2[[#This Row],[Cantidad]])+A2646)</f>
        <v/>
      </c>
      <c r="B2647" s="21" t="str">
        <f>IF(Plantilla_SCAN_EQ3_COUNT_2[[#This Row],[ID MATERIAL]]="","",B2646)</f>
        <v/>
      </c>
      <c r="C2647" s="21"/>
      <c r="D2647" s="21"/>
      <c r="E2647" s="7" t="str">
        <f>IF(Plantilla_SCAN_EQ3_COUNT_2[[#This Row],[ID MATERIAL]]="","",VLOOKUP(Plantilla_SCAN_EQ3_COUNT_2[[#This Row],[ID MATERIAL]],INVENTARIO!$A:$D,2,FALSE))</f>
        <v/>
      </c>
      <c r="F2647" s="7" t="str">
        <f>IF(Plantilla_SCAN_EQ3_COUNT_2[[#This Row],[ID MATERIAL]]="","",IF(Plantilla_SCAN_EQ3_COUNT_2[[#This Row],[No. Empaques]]="",1,Plantilla_SCAN_EQ3_COUNT_2[[#This Row],[No. Empaques]]*1))</f>
        <v/>
      </c>
      <c r="G2647" s="7" t="str">
        <f>IF(Plantilla_SCAN_EQ3_COUNT_2[[#This Row],[ID MATERIAL]]="","","PZ")</f>
        <v/>
      </c>
      <c r="H2647" s="7" t="str">
        <f>IF(Plantilla_SCAN_EQ3_COUNT_2[[#This Row],[ID MATERIAL]]="","",$B$13)</f>
        <v/>
      </c>
      <c r="I2647" s="7" t="str">
        <f>IF(Plantilla_SCAN_EQ3_COUNT_2[[#This Row],[ID MATERIAL]]="","","Segundo Conteo")</f>
        <v/>
      </c>
    </row>
    <row r="2648" spans="1:9" s="7" customFormat="1" ht="15" x14ac:dyDescent="0.2">
      <c r="A2648" s="7" t="str">
        <f>IF(Plantilla_SCAN_EQ3_COUNT_2[[#This Row],[ID MATERIAL]]="","",SIGN(Plantilla_SCAN_EQ3_COUNT_2[[#This Row],[Cantidad]])+A2647)</f>
        <v/>
      </c>
      <c r="B2648" s="21" t="str">
        <f>IF(Plantilla_SCAN_EQ3_COUNT_2[[#This Row],[ID MATERIAL]]="","",B2647)</f>
        <v/>
      </c>
      <c r="C2648" s="21"/>
      <c r="D2648" s="21"/>
      <c r="E2648" s="7" t="str">
        <f>IF(Plantilla_SCAN_EQ3_COUNT_2[[#This Row],[ID MATERIAL]]="","",VLOOKUP(Plantilla_SCAN_EQ3_COUNT_2[[#This Row],[ID MATERIAL]],INVENTARIO!$A:$D,2,FALSE))</f>
        <v/>
      </c>
      <c r="F2648" s="7" t="str">
        <f>IF(Plantilla_SCAN_EQ3_COUNT_2[[#This Row],[ID MATERIAL]]="","",IF(Plantilla_SCAN_EQ3_COUNT_2[[#This Row],[No. Empaques]]="",1,Plantilla_SCAN_EQ3_COUNT_2[[#This Row],[No. Empaques]]*1))</f>
        <v/>
      </c>
      <c r="G2648" s="7" t="str">
        <f>IF(Plantilla_SCAN_EQ3_COUNT_2[[#This Row],[ID MATERIAL]]="","","PZ")</f>
        <v/>
      </c>
      <c r="H2648" s="7" t="str">
        <f>IF(Plantilla_SCAN_EQ3_COUNT_2[[#This Row],[ID MATERIAL]]="","",$B$13)</f>
        <v/>
      </c>
      <c r="I2648" s="7" t="str">
        <f>IF(Plantilla_SCAN_EQ3_COUNT_2[[#This Row],[ID MATERIAL]]="","","Segundo Conteo")</f>
        <v/>
      </c>
    </row>
    <row r="2649" spans="1:9" s="7" customFormat="1" ht="15" x14ac:dyDescent="0.2">
      <c r="A2649" s="7" t="str">
        <f>IF(Plantilla_SCAN_EQ3_COUNT_2[[#This Row],[ID MATERIAL]]="","",SIGN(Plantilla_SCAN_EQ3_COUNT_2[[#This Row],[Cantidad]])+A2648)</f>
        <v/>
      </c>
      <c r="B2649" s="21" t="str">
        <f>IF(Plantilla_SCAN_EQ3_COUNT_2[[#This Row],[ID MATERIAL]]="","",B2648)</f>
        <v/>
      </c>
      <c r="C2649" s="21"/>
      <c r="D2649" s="21"/>
      <c r="E2649" s="7" t="str">
        <f>IF(Plantilla_SCAN_EQ3_COUNT_2[[#This Row],[ID MATERIAL]]="","",VLOOKUP(Plantilla_SCAN_EQ3_COUNT_2[[#This Row],[ID MATERIAL]],INVENTARIO!$A:$D,2,FALSE))</f>
        <v/>
      </c>
      <c r="F2649" s="7" t="str">
        <f>IF(Plantilla_SCAN_EQ3_COUNT_2[[#This Row],[ID MATERIAL]]="","",IF(Plantilla_SCAN_EQ3_COUNT_2[[#This Row],[No. Empaques]]="",1,Plantilla_SCAN_EQ3_COUNT_2[[#This Row],[No. Empaques]]*1))</f>
        <v/>
      </c>
      <c r="G2649" s="7" t="str">
        <f>IF(Plantilla_SCAN_EQ3_COUNT_2[[#This Row],[ID MATERIAL]]="","","PZ")</f>
        <v/>
      </c>
      <c r="H2649" s="7" t="str">
        <f>IF(Plantilla_SCAN_EQ3_COUNT_2[[#This Row],[ID MATERIAL]]="","",$B$13)</f>
        <v/>
      </c>
      <c r="I2649" s="7" t="str">
        <f>IF(Plantilla_SCAN_EQ3_COUNT_2[[#This Row],[ID MATERIAL]]="","","Segundo Conteo")</f>
        <v/>
      </c>
    </row>
    <row r="2650" spans="1:9" s="7" customFormat="1" ht="15" x14ac:dyDescent="0.2">
      <c r="A2650" s="7" t="str">
        <f>IF(Plantilla_SCAN_EQ3_COUNT_2[[#This Row],[ID MATERIAL]]="","",SIGN(Plantilla_SCAN_EQ3_COUNT_2[[#This Row],[Cantidad]])+A2649)</f>
        <v/>
      </c>
      <c r="B2650" s="21" t="str">
        <f>IF(Plantilla_SCAN_EQ3_COUNT_2[[#This Row],[ID MATERIAL]]="","",B2649)</f>
        <v/>
      </c>
      <c r="C2650" s="21"/>
      <c r="D2650" s="21"/>
      <c r="E2650" s="7" t="str">
        <f>IF(Plantilla_SCAN_EQ3_COUNT_2[[#This Row],[ID MATERIAL]]="","",VLOOKUP(Plantilla_SCAN_EQ3_COUNT_2[[#This Row],[ID MATERIAL]],INVENTARIO!$A:$D,2,FALSE))</f>
        <v/>
      </c>
      <c r="F2650" s="7" t="str">
        <f>IF(Plantilla_SCAN_EQ3_COUNT_2[[#This Row],[ID MATERIAL]]="","",IF(Plantilla_SCAN_EQ3_COUNT_2[[#This Row],[No. Empaques]]="",1,Plantilla_SCAN_EQ3_COUNT_2[[#This Row],[No. Empaques]]*1))</f>
        <v/>
      </c>
      <c r="G2650" s="7" t="str">
        <f>IF(Plantilla_SCAN_EQ3_COUNT_2[[#This Row],[ID MATERIAL]]="","","PZ")</f>
        <v/>
      </c>
      <c r="H2650" s="7" t="str">
        <f>IF(Plantilla_SCAN_EQ3_COUNT_2[[#This Row],[ID MATERIAL]]="","",$B$13)</f>
        <v/>
      </c>
      <c r="I2650" s="7" t="str">
        <f>IF(Plantilla_SCAN_EQ3_COUNT_2[[#This Row],[ID MATERIAL]]="","","Segundo Conteo")</f>
        <v/>
      </c>
    </row>
    <row r="2651" spans="1:9" s="7" customFormat="1" ht="15" x14ac:dyDescent="0.2">
      <c r="A2651" s="7" t="str">
        <f>IF(Plantilla_SCAN_EQ3_COUNT_2[[#This Row],[ID MATERIAL]]="","",SIGN(Plantilla_SCAN_EQ3_COUNT_2[[#This Row],[Cantidad]])+A2650)</f>
        <v/>
      </c>
      <c r="B2651" s="21" t="str">
        <f>IF(Plantilla_SCAN_EQ3_COUNT_2[[#This Row],[ID MATERIAL]]="","",B2650)</f>
        <v/>
      </c>
      <c r="C2651" s="21"/>
      <c r="D2651" s="21"/>
      <c r="E2651" s="7" t="str">
        <f>IF(Plantilla_SCAN_EQ3_COUNT_2[[#This Row],[ID MATERIAL]]="","",VLOOKUP(Plantilla_SCAN_EQ3_COUNT_2[[#This Row],[ID MATERIAL]],INVENTARIO!$A:$D,2,FALSE))</f>
        <v/>
      </c>
      <c r="F2651" s="7" t="str">
        <f>IF(Plantilla_SCAN_EQ3_COUNT_2[[#This Row],[ID MATERIAL]]="","",IF(Plantilla_SCAN_EQ3_COUNT_2[[#This Row],[No. Empaques]]="",1,Plantilla_SCAN_EQ3_COUNT_2[[#This Row],[No. Empaques]]*1))</f>
        <v/>
      </c>
      <c r="G2651" s="7" t="str">
        <f>IF(Plantilla_SCAN_EQ3_COUNT_2[[#This Row],[ID MATERIAL]]="","","PZ")</f>
        <v/>
      </c>
      <c r="H2651" s="7" t="str">
        <f>IF(Plantilla_SCAN_EQ3_COUNT_2[[#This Row],[ID MATERIAL]]="","",$B$13)</f>
        <v/>
      </c>
      <c r="I2651" s="7" t="str">
        <f>IF(Plantilla_SCAN_EQ3_COUNT_2[[#This Row],[ID MATERIAL]]="","","Segundo Conteo")</f>
        <v/>
      </c>
    </row>
    <row r="2652" spans="1:9" s="7" customFormat="1" ht="15" x14ac:dyDescent="0.2">
      <c r="A2652" s="7" t="str">
        <f>IF(Plantilla_SCAN_EQ3_COUNT_2[[#This Row],[ID MATERIAL]]="","",SIGN(Plantilla_SCAN_EQ3_COUNT_2[[#This Row],[Cantidad]])+A2651)</f>
        <v/>
      </c>
      <c r="B2652" s="21" t="str">
        <f>IF(Plantilla_SCAN_EQ3_COUNT_2[[#This Row],[ID MATERIAL]]="","",B2651)</f>
        <v/>
      </c>
      <c r="C2652" s="21"/>
      <c r="D2652" s="21"/>
      <c r="E2652" s="7" t="str">
        <f>IF(Plantilla_SCAN_EQ3_COUNT_2[[#This Row],[ID MATERIAL]]="","",VLOOKUP(Plantilla_SCAN_EQ3_COUNT_2[[#This Row],[ID MATERIAL]],INVENTARIO!$A:$D,2,FALSE))</f>
        <v/>
      </c>
      <c r="F2652" s="7" t="str">
        <f>IF(Plantilla_SCAN_EQ3_COUNT_2[[#This Row],[ID MATERIAL]]="","",IF(Plantilla_SCAN_EQ3_COUNT_2[[#This Row],[No. Empaques]]="",1,Plantilla_SCAN_EQ3_COUNT_2[[#This Row],[No. Empaques]]*1))</f>
        <v/>
      </c>
      <c r="G2652" s="7" t="str">
        <f>IF(Plantilla_SCAN_EQ3_COUNT_2[[#This Row],[ID MATERIAL]]="","","PZ")</f>
        <v/>
      </c>
      <c r="H2652" s="7" t="str">
        <f>IF(Plantilla_SCAN_EQ3_COUNT_2[[#This Row],[ID MATERIAL]]="","",$B$13)</f>
        <v/>
      </c>
      <c r="I2652" s="7" t="str">
        <f>IF(Plantilla_SCAN_EQ3_COUNT_2[[#This Row],[ID MATERIAL]]="","","Segundo Conteo")</f>
        <v/>
      </c>
    </row>
    <row r="2653" spans="1:9" s="7" customFormat="1" ht="15" x14ac:dyDescent="0.2">
      <c r="A2653" s="7" t="str">
        <f>IF(Plantilla_SCAN_EQ3_COUNT_2[[#This Row],[ID MATERIAL]]="","",SIGN(Plantilla_SCAN_EQ3_COUNT_2[[#This Row],[Cantidad]])+A2652)</f>
        <v/>
      </c>
      <c r="B2653" s="21" t="str">
        <f>IF(Plantilla_SCAN_EQ3_COUNT_2[[#This Row],[ID MATERIAL]]="","",B2652)</f>
        <v/>
      </c>
      <c r="C2653" s="21"/>
      <c r="D2653" s="21"/>
      <c r="E2653" s="7" t="str">
        <f>IF(Plantilla_SCAN_EQ3_COUNT_2[[#This Row],[ID MATERIAL]]="","",VLOOKUP(Plantilla_SCAN_EQ3_COUNT_2[[#This Row],[ID MATERIAL]],INVENTARIO!$A:$D,2,FALSE))</f>
        <v/>
      </c>
      <c r="F2653" s="7" t="str">
        <f>IF(Plantilla_SCAN_EQ3_COUNT_2[[#This Row],[ID MATERIAL]]="","",IF(Plantilla_SCAN_EQ3_COUNT_2[[#This Row],[No. Empaques]]="",1,Plantilla_SCAN_EQ3_COUNT_2[[#This Row],[No. Empaques]]*1))</f>
        <v/>
      </c>
      <c r="G2653" s="7" t="str">
        <f>IF(Plantilla_SCAN_EQ3_COUNT_2[[#This Row],[ID MATERIAL]]="","","PZ")</f>
        <v/>
      </c>
      <c r="H2653" s="7" t="str">
        <f>IF(Plantilla_SCAN_EQ3_COUNT_2[[#This Row],[ID MATERIAL]]="","",$B$13)</f>
        <v/>
      </c>
      <c r="I2653" s="7" t="str">
        <f>IF(Plantilla_SCAN_EQ3_COUNT_2[[#This Row],[ID MATERIAL]]="","","Segundo Conteo")</f>
        <v/>
      </c>
    </row>
    <row r="2654" spans="1:9" s="7" customFormat="1" ht="15" x14ac:dyDescent="0.2">
      <c r="A2654" s="7" t="str">
        <f>IF(Plantilla_SCAN_EQ3_COUNT_2[[#This Row],[ID MATERIAL]]="","",SIGN(Plantilla_SCAN_EQ3_COUNT_2[[#This Row],[Cantidad]])+A2653)</f>
        <v/>
      </c>
      <c r="B2654" s="21" t="str">
        <f>IF(Plantilla_SCAN_EQ3_COUNT_2[[#This Row],[ID MATERIAL]]="","",B2653)</f>
        <v/>
      </c>
      <c r="C2654" s="21"/>
      <c r="D2654" s="21"/>
      <c r="E2654" s="7" t="str">
        <f>IF(Plantilla_SCAN_EQ3_COUNT_2[[#This Row],[ID MATERIAL]]="","",VLOOKUP(Plantilla_SCAN_EQ3_COUNT_2[[#This Row],[ID MATERIAL]],INVENTARIO!$A:$D,2,FALSE))</f>
        <v/>
      </c>
      <c r="F2654" s="7" t="str">
        <f>IF(Plantilla_SCAN_EQ3_COUNT_2[[#This Row],[ID MATERIAL]]="","",IF(Plantilla_SCAN_EQ3_COUNT_2[[#This Row],[No. Empaques]]="",1,Plantilla_SCAN_EQ3_COUNT_2[[#This Row],[No. Empaques]]*1))</f>
        <v/>
      </c>
      <c r="G2654" s="7" t="str">
        <f>IF(Plantilla_SCAN_EQ3_COUNT_2[[#This Row],[ID MATERIAL]]="","","PZ")</f>
        <v/>
      </c>
      <c r="H2654" s="7" t="str">
        <f>IF(Plantilla_SCAN_EQ3_COUNT_2[[#This Row],[ID MATERIAL]]="","",$B$13)</f>
        <v/>
      </c>
      <c r="I2654" s="7" t="str">
        <f>IF(Plantilla_SCAN_EQ3_COUNT_2[[#This Row],[ID MATERIAL]]="","","Segundo Conteo")</f>
        <v/>
      </c>
    </row>
    <row r="2655" spans="1:9" s="7" customFormat="1" ht="15" x14ac:dyDescent="0.2">
      <c r="A2655" s="7" t="str">
        <f>IF(Plantilla_SCAN_EQ3_COUNT_2[[#This Row],[ID MATERIAL]]="","",SIGN(Plantilla_SCAN_EQ3_COUNT_2[[#This Row],[Cantidad]])+A2654)</f>
        <v/>
      </c>
      <c r="B2655" s="21" t="str">
        <f>IF(Plantilla_SCAN_EQ3_COUNT_2[[#This Row],[ID MATERIAL]]="","",B2654)</f>
        <v/>
      </c>
      <c r="C2655" s="21"/>
      <c r="D2655" s="21"/>
      <c r="E2655" s="7" t="str">
        <f>IF(Plantilla_SCAN_EQ3_COUNT_2[[#This Row],[ID MATERIAL]]="","",VLOOKUP(Plantilla_SCAN_EQ3_COUNT_2[[#This Row],[ID MATERIAL]],INVENTARIO!$A:$D,2,FALSE))</f>
        <v/>
      </c>
      <c r="F2655" s="7" t="str">
        <f>IF(Plantilla_SCAN_EQ3_COUNT_2[[#This Row],[ID MATERIAL]]="","",IF(Plantilla_SCAN_EQ3_COUNT_2[[#This Row],[No. Empaques]]="",1,Plantilla_SCAN_EQ3_COUNT_2[[#This Row],[No. Empaques]]*1))</f>
        <v/>
      </c>
      <c r="G2655" s="7" t="str">
        <f>IF(Plantilla_SCAN_EQ3_COUNT_2[[#This Row],[ID MATERIAL]]="","","PZ")</f>
        <v/>
      </c>
      <c r="H2655" s="7" t="str">
        <f>IF(Plantilla_SCAN_EQ3_COUNT_2[[#This Row],[ID MATERIAL]]="","",$B$13)</f>
        <v/>
      </c>
      <c r="I2655" s="7" t="str">
        <f>IF(Plantilla_SCAN_EQ3_COUNT_2[[#This Row],[ID MATERIAL]]="","","Segundo Conteo")</f>
        <v/>
      </c>
    </row>
    <row r="2656" spans="1:9" s="7" customFormat="1" ht="15" x14ac:dyDescent="0.2">
      <c r="A2656" s="7" t="str">
        <f>IF(Plantilla_SCAN_EQ3_COUNT_2[[#This Row],[ID MATERIAL]]="","",SIGN(Plantilla_SCAN_EQ3_COUNT_2[[#This Row],[Cantidad]])+A2655)</f>
        <v/>
      </c>
      <c r="B2656" s="21" t="str">
        <f>IF(Plantilla_SCAN_EQ3_COUNT_2[[#This Row],[ID MATERIAL]]="","",B2655)</f>
        <v/>
      </c>
      <c r="C2656" s="21"/>
      <c r="D2656" s="21"/>
      <c r="E2656" s="7" t="str">
        <f>IF(Plantilla_SCAN_EQ3_COUNT_2[[#This Row],[ID MATERIAL]]="","",VLOOKUP(Plantilla_SCAN_EQ3_COUNT_2[[#This Row],[ID MATERIAL]],INVENTARIO!$A:$D,2,FALSE))</f>
        <v/>
      </c>
      <c r="F2656" s="7" t="str">
        <f>IF(Plantilla_SCAN_EQ3_COUNT_2[[#This Row],[ID MATERIAL]]="","",IF(Plantilla_SCAN_EQ3_COUNT_2[[#This Row],[No. Empaques]]="",1,Plantilla_SCAN_EQ3_COUNT_2[[#This Row],[No. Empaques]]*1))</f>
        <v/>
      </c>
      <c r="G2656" s="7" t="str">
        <f>IF(Plantilla_SCAN_EQ3_COUNT_2[[#This Row],[ID MATERIAL]]="","","PZ")</f>
        <v/>
      </c>
      <c r="H2656" s="7" t="str">
        <f>IF(Plantilla_SCAN_EQ3_COUNT_2[[#This Row],[ID MATERIAL]]="","",$B$13)</f>
        <v/>
      </c>
      <c r="I2656" s="7" t="str">
        <f>IF(Plantilla_SCAN_EQ3_COUNT_2[[#This Row],[ID MATERIAL]]="","","Segundo Conteo")</f>
        <v/>
      </c>
    </row>
    <row r="2657" spans="1:9" s="7" customFormat="1" ht="15" x14ac:dyDescent="0.2">
      <c r="A2657" s="7" t="str">
        <f>IF(Plantilla_SCAN_EQ3_COUNT_2[[#This Row],[ID MATERIAL]]="","",SIGN(Plantilla_SCAN_EQ3_COUNT_2[[#This Row],[Cantidad]])+A2656)</f>
        <v/>
      </c>
      <c r="B2657" s="21" t="str">
        <f>IF(Plantilla_SCAN_EQ3_COUNT_2[[#This Row],[ID MATERIAL]]="","",B2656)</f>
        <v/>
      </c>
      <c r="C2657" s="21"/>
      <c r="D2657" s="21"/>
      <c r="E2657" s="7" t="str">
        <f>IF(Plantilla_SCAN_EQ3_COUNT_2[[#This Row],[ID MATERIAL]]="","",VLOOKUP(Plantilla_SCAN_EQ3_COUNT_2[[#This Row],[ID MATERIAL]],INVENTARIO!$A:$D,2,FALSE))</f>
        <v/>
      </c>
      <c r="F2657" s="7" t="str">
        <f>IF(Plantilla_SCAN_EQ3_COUNT_2[[#This Row],[ID MATERIAL]]="","",IF(Plantilla_SCAN_EQ3_COUNT_2[[#This Row],[No. Empaques]]="",1,Plantilla_SCAN_EQ3_COUNT_2[[#This Row],[No. Empaques]]*1))</f>
        <v/>
      </c>
      <c r="G2657" s="7" t="str">
        <f>IF(Plantilla_SCAN_EQ3_COUNT_2[[#This Row],[ID MATERIAL]]="","","PZ")</f>
        <v/>
      </c>
      <c r="H2657" s="7" t="str">
        <f>IF(Plantilla_SCAN_EQ3_COUNT_2[[#This Row],[ID MATERIAL]]="","",$B$13)</f>
        <v/>
      </c>
      <c r="I2657" s="7" t="str">
        <f>IF(Plantilla_SCAN_EQ3_COUNT_2[[#This Row],[ID MATERIAL]]="","","Segundo Conteo")</f>
        <v/>
      </c>
    </row>
    <row r="2658" spans="1:9" s="7" customFormat="1" ht="15" x14ac:dyDescent="0.2">
      <c r="A2658" s="7" t="str">
        <f>IF(Plantilla_SCAN_EQ3_COUNT_2[[#This Row],[ID MATERIAL]]="","",SIGN(Plantilla_SCAN_EQ3_COUNT_2[[#This Row],[Cantidad]])+A2657)</f>
        <v/>
      </c>
      <c r="B2658" s="21" t="str">
        <f>IF(Plantilla_SCAN_EQ3_COUNT_2[[#This Row],[ID MATERIAL]]="","",B2657)</f>
        <v/>
      </c>
      <c r="C2658" s="21"/>
      <c r="D2658" s="21"/>
      <c r="E2658" s="7" t="str">
        <f>IF(Plantilla_SCAN_EQ3_COUNT_2[[#This Row],[ID MATERIAL]]="","",VLOOKUP(Plantilla_SCAN_EQ3_COUNT_2[[#This Row],[ID MATERIAL]],INVENTARIO!$A:$D,2,FALSE))</f>
        <v/>
      </c>
      <c r="F2658" s="7" t="str">
        <f>IF(Plantilla_SCAN_EQ3_COUNT_2[[#This Row],[ID MATERIAL]]="","",IF(Plantilla_SCAN_EQ3_COUNT_2[[#This Row],[No. Empaques]]="",1,Plantilla_SCAN_EQ3_COUNT_2[[#This Row],[No. Empaques]]*1))</f>
        <v/>
      </c>
      <c r="G2658" s="7" t="str">
        <f>IF(Plantilla_SCAN_EQ3_COUNT_2[[#This Row],[ID MATERIAL]]="","","PZ")</f>
        <v/>
      </c>
      <c r="H2658" s="7" t="str">
        <f>IF(Plantilla_SCAN_EQ3_COUNT_2[[#This Row],[ID MATERIAL]]="","",$B$13)</f>
        <v/>
      </c>
      <c r="I2658" s="7" t="str">
        <f>IF(Plantilla_SCAN_EQ3_COUNT_2[[#This Row],[ID MATERIAL]]="","","Segundo Conteo")</f>
        <v/>
      </c>
    </row>
    <row r="2659" spans="1:9" s="7" customFormat="1" ht="15" x14ac:dyDescent="0.2">
      <c r="A2659" s="7" t="str">
        <f>IF(Plantilla_SCAN_EQ3_COUNT_2[[#This Row],[ID MATERIAL]]="","",SIGN(Plantilla_SCAN_EQ3_COUNT_2[[#This Row],[Cantidad]])+A2658)</f>
        <v/>
      </c>
      <c r="B2659" s="21" t="str">
        <f>IF(Plantilla_SCAN_EQ3_COUNT_2[[#This Row],[ID MATERIAL]]="","",B2658)</f>
        <v/>
      </c>
      <c r="C2659" s="21"/>
      <c r="D2659" s="21"/>
      <c r="E2659" s="7" t="str">
        <f>IF(Plantilla_SCAN_EQ3_COUNT_2[[#This Row],[ID MATERIAL]]="","",VLOOKUP(Plantilla_SCAN_EQ3_COUNT_2[[#This Row],[ID MATERIAL]],INVENTARIO!$A:$D,2,FALSE))</f>
        <v/>
      </c>
      <c r="F2659" s="7" t="str">
        <f>IF(Plantilla_SCAN_EQ3_COUNT_2[[#This Row],[ID MATERIAL]]="","",IF(Plantilla_SCAN_EQ3_COUNT_2[[#This Row],[No. Empaques]]="",1,Plantilla_SCAN_EQ3_COUNT_2[[#This Row],[No. Empaques]]*1))</f>
        <v/>
      </c>
      <c r="G2659" s="7" t="str">
        <f>IF(Plantilla_SCAN_EQ3_COUNT_2[[#This Row],[ID MATERIAL]]="","","PZ")</f>
        <v/>
      </c>
      <c r="H2659" s="7" t="str">
        <f>IF(Plantilla_SCAN_EQ3_COUNT_2[[#This Row],[ID MATERIAL]]="","",$B$13)</f>
        <v/>
      </c>
      <c r="I2659" s="7" t="str">
        <f>IF(Plantilla_SCAN_EQ3_COUNT_2[[#This Row],[ID MATERIAL]]="","","Segundo Conteo")</f>
        <v/>
      </c>
    </row>
    <row r="2660" spans="1:9" s="7" customFormat="1" ht="15" x14ac:dyDescent="0.2">
      <c r="A2660" s="7" t="str">
        <f>IF(Plantilla_SCAN_EQ3_COUNT_2[[#This Row],[ID MATERIAL]]="","",SIGN(Plantilla_SCAN_EQ3_COUNT_2[[#This Row],[Cantidad]])+A2659)</f>
        <v/>
      </c>
      <c r="B2660" s="21" t="str">
        <f>IF(Plantilla_SCAN_EQ3_COUNT_2[[#This Row],[ID MATERIAL]]="","",B2659)</f>
        <v/>
      </c>
      <c r="C2660" s="21"/>
      <c r="D2660" s="21"/>
      <c r="E2660" s="7" t="str">
        <f>IF(Plantilla_SCAN_EQ3_COUNT_2[[#This Row],[ID MATERIAL]]="","",VLOOKUP(Plantilla_SCAN_EQ3_COUNT_2[[#This Row],[ID MATERIAL]],INVENTARIO!$A:$D,2,FALSE))</f>
        <v/>
      </c>
      <c r="F2660" s="7" t="str">
        <f>IF(Plantilla_SCAN_EQ3_COUNT_2[[#This Row],[ID MATERIAL]]="","",IF(Plantilla_SCAN_EQ3_COUNT_2[[#This Row],[No. Empaques]]="",1,Plantilla_SCAN_EQ3_COUNT_2[[#This Row],[No. Empaques]]*1))</f>
        <v/>
      </c>
      <c r="G2660" s="7" t="str">
        <f>IF(Plantilla_SCAN_EQ3_COUNT_2[[#This Row],[ID MATERIAL]]="","","PZ")</f>
        <v/>
      </c>
      <c r="H2660" s="7" t="str">
        <f>IF(Plantilla_SCAN_EQ3_COUNT_2[[#This Row],[ID MATERIAL]]="","",$B$13)</f>
        <v/>
      </c>
      <c r="I2660" s="7" t="str">
        <f>IF(Plantilla_SCAN_EQ3_COUNT_2[[#This Row],[ID MATERIAL]]="","","Segundo Conteo")</f>
        <v/>
      </c>
    </row>
    <row r="2661" spans="1:9" s="7" customFormat="1" ht="15" x14ac:dyDescent="0.2">
      <c r="A2661" s="7" t="str">
        <f>IF(Plantilla_SCAN_EQ3_COUNT_2[[#This Row],[ID MATERIAL]]="","",SIGN(Plantilla_SCAN_EQ3_COUNT_2[[#This Row],[Cantidad]])+A2660)</f>
        <v/>
      </c>
      <c r="B2661" s="21" t="str">
        <f>IF(Plantilla_SCAN_EQ3_COUNT_2[[#This Row],[ID MATERIAL]]="","",B2660)</f>
        <v/>
      </c>
      <c r="C2661" s="21"/>
      <c r="D2661" s="21"/>
      <c r="E2661" s="7" t="str">
        <f>IF(Plantilla_SCAN_EQ3_COUNT_2[[#This Row],[ID MATERIAL]]="","",VLOOKUP(Plantilla_SCAN_EQ3_COUNT_2[[#This Row],[ID MATERIAL]],INVENTARIO!$A:$D,2,FALSE))</f>
        <v/>
      </c>
      <c r="F2661" s="7" t="str">
        <f>IF(Plantilla_SCAN_EQ3_COUNT_2[[#This Row],[ID MATERIAL]]="","",IF(Plantilla_SCAN_EQ3_COUNT_2[[#This Row],[No. Empaques]]="",1,Plantilla_SCAN_EQ3_COUNT_2[[#This Row],[No. Empaques]]*1))</f>
        <v/>
      </c>
      <c r="G2661" s="7" t="str">
        <f>IF(Plantilla_SCAN_EQ3_COUNT_2[[#This Row],[ID MATERIAL]]="","","PZ")</f>
        <v/>
      </c>
      <c r="H2661" s="7" t="str">
        <f>IF(Plantilla_SCAN_EQ3_COUNT_2[[#This Row],[ID MATERIAL]]="","",$B$13)</f>
        <v/>
      </c>
      <c r="I2661" s="7" t="str">
        <f>IF(Plantilla_SCAN_EQ3_COUNT_2[[#This Row],[ID MATERIAL]]="","","Segundo Conteo")</f>
        <v/>
      </c>
    </row>
    <row r="2662" spans="1:9" s="7" customFormat="1" ht="15" x14ac:dyDescent="0.2">
      <c r="A2662" s="7" t="str">
        <f>IF(Plantilla_SCAN_EQ3_COUNT_2[[#This Row],[ID MATERIAL]]="","",SIGN(Plantilla_SCAN_EQ3_COUNT_2[[#This Row],[Cantidad]])+A2661)</f>
        <v/>
      </c>
      <c r="B2662" s="21" t="str">
        <f>IF(Plantilla_SCAN_EQ3_COUNT_2[[#This Row],[ID MATERIAL]]="","",B2661)</f>
        <v/>
      </c>
      <c r="C2662" s="21"/>
      <c r="D2662" s="21"/>
      <c r="E2662" s="7" t="str">
        <f>IF(Plantilla_SCAN_EQ3_COUNT_2[[#This Row],[ID MATERIAL]]="","",VLOOKUP(Plantilla_SCAN_EQ3_COUNT_2[[#This Row],[ID MATERIAL]],INVENTARIO!$A:$D,2,FALSE))</f>
        <v/>
      </c>
      <c r="F2662" s="7" t="str">
        <f>IF(Plantilla_SCAN_EQ3_COUNT_2[[#This Row],[ID MATERIAL]]="","",IF(Plantilla_SCAN_EQ3_COUNT_2[[#This Row],[No. Empaques]]="",1,Plantilla_SCAN_EQ3_COUNT_2[[#This Row],[No. Empaques]]*1))</f>
        <v/>
      </c>
      <c r="G2662" s="7" t="str">
        <f>IF(Plantilla_SCAN_EQ3_COUNT_2[[#This Row],[ID MATERIAL]]="","","PZ")</f>
        <v/>
      </c>
      <c r="H2662" s="7" t="str">
        <f>IF(Plantilla_SCAN_EQ3_COUNT_2[[#This Row],[ID MATERIAL]]="","",$B$13)</f>
        <v/>
      </c>
      <c r="I2662" s="7" t="str">
        <f>IF(Plantilla_SCAN_EQ3_COUNT_2[[#This Row],[ID MATERIAL]]="","","Segundo Conteo")</f>
        <v/>
      </c>
    </row>
    <row r="2663" spans="1:9" s="7" customFormat="1" ht="15" x14ac:dyDescent="0.2">
      <c r="A2663" s="7" t="str">
        <f>IF(Plantilla_SCAN_EQ3_COUNT_2[[#This Row],[ID MATERIAL]]="","",SIGN(Plantilla_SCAN_EQ3_COUNT_2[[#This Row],[Cantidad]])+A2662)</f>
        <v/>
      </c>
      <c r="B2663" s="21" t="str">
        <f>IF(Plantilla_SCAN_EQ3_COUNT_2[[#This Row],[ID MATERIAL]]="","",B2662)</f>
        <v/>
      </c>
      <c r="C2663" s="21"/>
      <c r="D2663" s="21"/>
      <c r="E2663" s="7" t="str">
        <f>IF(Plantilla_SCAN_EQ3_COUNT_2[[#This Row],[ID MATERIAL]]="","",VLOOKUP(Plantilla_SCAN_EQ3_COUNT_2[[#This Row],[ID MATERIAL]],INVENTARIO!$A:$D,2,FALSE))</f>
        <v/>
      </c>
      <c r="F2663" s="7" t="str">
        <f>IF(Plantilla_SCAN_EQ3_COUNT_2[[#This Row],[ID MATERIAL]]="","",IF(Plantilla_SCAN_EQ3_COUNT_2[[#This Row],[No. Empaques]]="",1,Plantilla_SCAN_EQ3_COUNT_2[[#This Row],[No. Empaques]]*1))</f>
        <v/>
      </c>
      <c r="G2663" s="7" t="str">
        <f>IF(Plantilla_SCAN_EQ3_COUNT_2[[#This Row],[ID MATERIAL]]="","","PZ")</f>
        <v/>
      </c>
      <c r="H2663" s="7" t="str">
        <f>IF(Plantilla_SCAN_EQ3_COUNT_2[[#This Row],[ID MATERIAL]]="","",$B$13)</f>
        <v/>
      </c>
      <c r="I2663" s="7" t="str">
        <f>IF(Plantilla_SCAN_EQ3_COUNT_2[[#This Row],[ID MATERIAL]]="","","Segundo Conteo")</f>
        <v/>
      </c>
    </row>
    <row r="2664" spans="1:9" s="7" customFormat="1" ht="15" x14ac:dyDescent="0.2">
      <c r="A2664" s="7" t="str">
        <f>IF(Plantilla_SCAN_EQ3_COUNT_2[[#This Row],[ID MATERIAL]]="","",SIGN(Plantilla_SCAN_EQ3_COUNT_2[[#This Row],[Cantidad]])+A2663)</f>
        <v/>
      </c>
      <c r="B2664" s="21" t="str">
        <f>IF(Plantilla_SCAN_EQ3_COUNT_2[[#This Row],[ID MATERIAL]]="","",B2663)</f>
        <v/>
      </c>
      <c r="C2664" s="21"/>
      <c r="D2664" s="21"/>
      <c r="E2664" s="7" t="str">
        <f>IF(Plantilla_SCAN_EQ3_COUNT_2[[#This Row],[ID MATERIAL]]="","",VLOOKUP(Plantilla_SCAN_EQ3_COUNT_2[[#This Row],[ID MATERIAL]],INVENTARIO!$A:$D,2,FALSE))</f>
        <v/>
      </c>
      <c r="F2664" s="7" t="str">
        <f>IF(Plantilla_SCAN_EQ3_COUNT_2[[#This Row],[ID MATERIAL]]="","",IF(Plantilla_SCAN_EQ3_COUNT_2[[#This Row],[No. Empaques]]="",1,Plantilla_SCAN_EQ3_COUNT_2[[#This Row],[No. Empaques]]*1))</f>
        <v/>
      </c>
      <c r="G2664" s="7" t="str">
        <f>IF(Plantilla_SCAN_EQ3_COUNT_2[[#This Row],[ID MATERIAL]]="","","PZ")</f>
        <v/>
      </c>
      <c r="H2664" s="7" t="str">
        <f>IF(Plantilla_SCAN_EQ3_COUNT_2[[#This Row],[ID MATERIAL]]="","",$B$13)</f>
        <v/>
      </c>
      <c r="I2664" s="7" t="str">
        <f>IF(Plantilla_SCAN_EQ3_COUNT_2[[#This Row],[ID MATERIAL]]="","","Segundo Conteo")</f>
        <v/>
      </c>
    </row>
    <row r="2665" spans="1:9" s="7" customFormat="1" ht="15" x14ac:dyDescent="0.2">
      <c r="A2665" s="7" t="str">
        <f>IF(Plantilla_SCAN_EQ3_COUNT_2[[#This Row],[ID MATERIAL]]="","",SIGN(Plantilla_SCAN_EQ3_COUNT_2[[#This Row],[Cantidad]])+A2664)</f>
        <v/>
      </c>
      <c r="B2665" s="21" t="str">
        <f>IF(Plantilla_SCAN_EQ3_COUNT_2[[#This Row],[ID MATERIAL]]="","",B2664)</f>
        <v/>
      </c>
      <c r="C2665" s="21"/>
      <c r="D2665" s="21"/>
      <c r="E2665" s="7" t="str">
        <f>IF(Plantilla_SCAN_EQ3_COUNT_2[[#This Row],[ID MATERIAL]]="","",VLOOKUP(Plantilla_SCAN_EQ3_COUNT_2[[#This Row],[ID MATERIAL]],INVENTARIO!$A:$D,2,FALSE))</f>
        <v/>
      </c>
      <c r="F2665" s="7" t="str">
        <f>IF(Plantilla_SCAN_EQ3_COUNT_2[[#This Row],[ID MATERIAL]]="","",IF(Plantilla_SCAN_EQ3_COUNT_2[[#This Row],[No. Empaques]]="",1,Plantilla_SCAN_EQ3_COUNT_2[[#This Row],[No. Empaques]]*1))</f>
        <v/>
      </c>
      <c r="G2665" s="7" t="str">
        <f>IF(Plantilla_SCAN_EQ3_COUNT_2[[#This Row],[ID MATERIAL]]="","","PZ")</f>
        <v/>
      </c>
      <c r="H2665" s="7" t="str">
        <f>IF(Plantilla_SCAN_EQ3_COUNT_2[[#This Row],[ID MATERIAL]]="","",$B$13)</f>
        <v/>
      </c>
      <c r="I2665" s="7" t="str">
        <f>IF(Plantilla_SCAN_EQ3_COUNT_2[[#This Row],[ID MATERIAL]]="","","Segundo Conteo")</f>
        <v/>
      </c>
    </row>
    <row r="2666" spans="1:9" s="7" customFormat="1" ht="15" x14ac:dyDescent="0.2">
      <c r="A2666" s="7" t="str">
        <f>IF(Plantilla_SCAN_EQ3_COUNT_2[[#This Row],[ID MATERIAL]]="","",SIGN(Plantilla_SCAN_EQ3_COUNT_2[[#This Row],[Cantidad]])+A2665)</f>
        <v/>
      </c>
      <c r="B2666" s="21" t="str">
        <f>IF(Plantilla_SCAN_EQ3_COUNT_2[[#This Row],[ID MATERIAL]]="","",B2665)</f>
        <v/>
      </c>
      <c r="C2666" s="21"/>
      <c r="D2666" s="21"/>
      <c r="E2666" s="7" t="str">
        <f>IF(Plantilla_SCAN_EQ3_COUNT_2[[#This Row],[ID MATERIAL]]="","",VLOOKUP(Plantilla_SCAN_EQ3_COUNT_2[[#This Row],[ID MATERIAL]],INVENTARIO!$A:$D,2,FALSE))</f>
        <v/>
      </c>
      <c r="F2666" s="7" t="str">
        <f>IF(Plantilla_SCAN_EQ3_COUNT_2[[#This Row],[ID MATERIAL]]="","",IF(Plantilla_SCAN_EQ3_COUNT_2[[#This Row],[No. Empaques]]="",1,Plantilla_SCAN_EQ3_COUNT_2[[#This Row],[No. Empaques]]*1))</f>
        <v/>
      </c>
      <c r="G2666" s="7" t="str">
        <f>IF(Plantilla_SCAN_EQ3_COUNT_2[[#This Row],[ID MATERIAL]]="","","PZ")</f>
        <v/>
      </c>
      <c r="H2666" s="7" t="str">
        <f>IF(Plantilla_SCAN_EQ3_COUNT_2[[#This Row],[ID MATERIAL]]="","",$B$13)</f>
        <v/>
      </c>
      <c r="I2666" s="7" t="str">
        <f>IF(Plantilla_SCAN_EQ3_COUNT_2[[#This Row],[ID MATERIAL]]="","","Segundo Conteo")</f>
        <v/>
      </c>
    </row>
    <row r="2667" spans="1:9" s="7" customFormat="1" ht="15" x14ac:dyDescent="0.2">
      <c r="A2667" s="7" t="str">
        <f>IF(Plantilla_SCAN_EQ3_COUNT_2[[#This Row],[ID MATERIAL]]="","",SIGN(Plantilla_SCAN_EQ3_COUNT_2[[#This Row],[Cantidad]])+A2666)</f>
        <v/>
      </c>
      <c r="B2667" s="21" t="str">
        <f>IF(Plantilla_SCAN_EQ3_COUNT_2[[#This Row],[ID MATERIAL]]="","",B2666)</f>
        <v/>
      </c>
      <c r="C2667" s="21"/>
      <c r="D2667" s="21"/>
      <c r="E2667" s="7" t="str">
        <f>IF(Plantilla_SCAN_EQ3_COUNT_2[[#This Row],[ID MATERIAL]]="","",VLOOKUP(Plantilla_SCAN_EQ3_COUNT_2[[#This Row],[ID MATERIAL]],INVENTARIO!$A:$D,2,FALSE))</f>
        <v/>
      </c>
      <c r="F2667" s="7" t="str">
        <f>IF(Plantilla_SCAN_EQ3_COUNT_2[[#This Row],[ID MATERIAL]]="","",IF(Plantilla_SCAN_EQ3_COUNT_2[[#This Row],[No. Empaques]]="",1,Plantilla_SCAN_EQ3_COUNT_2[[#This Row],[No. Empaques]]*1))</f>
        <v/>
      </c>
      <c r="G2667" s="7" t="str">
        <f>IF(Plantilla_SCAN_EQ3_COUNT_2[[#This Row],[ID MATERIAL]]="","","PZ")</f>
        <v/>
      </c>
      <c r="H2667" s="7" t="str">
        <f>IF(Plantilla_SCAN_EQ3_COUNT_2[[#This Row],[ID MATERIAL]]="","",$B$13)</f>
        <v/>
      </c>
      <c r="I2667" s="7" t="str">
        <f>IF(Plantilla_SCAN_EQ3_COUNT_2[[#This Row],[ID MATERIAL]]="","","Segundo Conteo")</f>
        <v/>
      </c>
    </row>
    <row r="2668" spans="1:9" s="7" customFormat="1" ht="15" x14ac:dyDescent="0.2">
      <c r="A2668" s="7" t="str">
        <f>IF(Plantilla_SCAN_EQ3_COUNT_2[[#This Row],[ID MATERIAL]]="","",SIGN(Plantilla_SCAN_EQ3_COUNT_2[[#This Row],[Cantidad]])+A2667)</f>
        <v/>
      </c>
      <c r="B2668" s="21" t="str">
        <f>IF(Plantilla_SCAN_EQ3_COUNT_2[[#This Row],[ID MATERIAL]]="","",B2667)</f>
        <v/>
      </c>
      <c r="C2668" s="21"/>
      <c r="D2668" s="21"/>
      <c r="E2668" s="7" t="str">
        <f>IF(Plantilla_SCAN_EQ3_COUNT_2[[#This Row],[ID MATERIAL]]="","",VLOOKUP(Plantilla_SCAN_EQ3_COUNT_2[[#This Row],[ID MATERIAL]],INVENTARIO!$A:$D,2,FALSE))</f>
        <v/>
      </c>
      <c r="F2668" s="7" t="str">
        <f>IF(Plantilla_SCAN_EQ3_COUNT_2[[#This Row],[ID MATERIAL]]="","",IF(Plantilla_SCAN_EQ3_COUNT_2[[#This Row],[No. Empaques]]="",1,Plantilla_SCAN_EQ3_COUNT_2[[#This Row],[No. Empaques]]*1))</f>
        <v/>
      </c>
      <c r="G2668" s="7" t="str">
        <f>IF(Plantilla_SCAN_EQ3_COUNT_2[[#This Row],[ID MATERIAL]]="","","PZ")</f>
        <v/>
      </c>
      <c r="H2668" s="7" t="str">
        <f>IF(Plantilla_SCAN_EQ3_COUNT_2[[#This Row],[ID MATERIAL]]="","",$B$13)</f>
        <v/>
      </c>
      <c r="I2668" s="7" t="str">
        <f>IF(Plantilla_SCAN_EQ3_COUNT_2[[#This Row],[ID MATERIAL]]="","","Segundo Conteo")</f>
        <v/>
      </c>
    </row>
    <row r="2669" spans="1:9" s="7" customFormat="1" ht="15" x14ac:dyDescent="0.2">
      <c r="A2669" s="7" t="str">
        <f>IF(Plantilla_SCAN_EQ3_COUNT_2[[#This Row],[ID MATERIAL]]="","",SIGN(Plantilla_SCAN_EQ3_COUNT_2[[#This Row],[Cantidad]])+A2668)</f>
        <v/>
      </c>
      <c r="B2669" s="21" t="str">
        <f>IF(Plantilla_SCAN_EQ3_COUNT_2[[#This Row],[ID MATERIAL]]="","",B2668)</f>
        <v/>
      </c>
      <c r="C2669" s="21"/>
      <c r="D2669" s="21"/>
      <c r="E2669" s="7" t="str">
        <f>IF(Plantilla_SCAN_EQ3_COUNT_2[[#This Row],[ID MATERIAL]]="","",VLOOKUP(Plantilla_SCAN_EQ3_COUNT_2[[#This Row],[ID MATERIAL]],INVENTARIO!$A:$D,2,FALSE))</f>
        <v/>
      </c>
      <c r="F2669" s="7" t="str">
        <f>IF(Plantilla_SCAN_EQ3_COUNT_2[[#This Row],[ID MATERIAL]]="","",IF(Plantilla_SCAN_EQ3_COUNT_2[[#This Row],[No. Empaques]]="",1,Plantilla_SCAN_EQ3_COUNT_2[[#This Row],[No. Empaques]]*1))</f>
        <v/>
      </c>
      <c r="G2669" s="7" t="str">
        <f>IF(Plantilla_SCAN_EQ3_COUNT_2[[#This Row],[ID MATERIAL]]="","","PZ")</f>
        <v/>
      </c>
      <c r="H2669" s="7" t="str">
        <f>IF(Plantilla_SCAN_EQ3_COUNT_2[[#This Row],[ID MATERIAL]]="","",$B$13)</f>
        <v/>
      </c>
      <c r="I2669" s="7" t="str">
        <f>IF(Plantilla_SCAN_EQ3_COUNT_2[[#This Row],[ID MATERIAL]]="","","Segundo Conteo")</f>
        <v/>
      </c>
    </row>
    <row r="2670" spans="1:9" s="7" customFormat="1" ht="15" x14ac:dyDescent="0.2">
      <c r="A2670" s="7" t="str">
        <f>IF(Plantilla_SCAN_EQ3_COUNT_2[[#This Row],[ID MATERIAL]]="","",SIGN(Plantilla_SCAN_EQ3_COUNT_2[[#This Row],[Cantidad]])+A2669)</f>
        <v/>
      </c>
      <c r="B2670" s="21" t="str">
        <f>IF(Plantilla_SCAN_EQ3_COUNT_2[[#This Row],[ID MATERIAL]]="","",B2669)</f>
        <v/>
      </c>
      <c r="C2670" s="21"/>
      <c r="D2670" s="21"/>
      <c r="E2670" s="7" t="str">
        <f>IF(Plantilla_SCAN_EQ3_COUNT_2[[#This Row],[ID MATERIAL]]="","",VLOOKUP(Plantilla_SCAN_EQ3_COUNT_2[[#This Row],[ID MATERIAL]],INVENTARIO!$A:$D,2,FALSE))</f>
        <v/>
      </c>
      <c r="F2670" s="7" t="str">
        <f>IF(Plantilla_SCAN_EQ3_COUNT_2[[#This Row],[ID MATERIAL]]="","",IF(Plantilla_SCAN_EQ3_COUNT_2[[#This Row],[No. Empaques]]="",1,Plantilla_SCAN_EQ3_COUNT_2[[#This Row],[No. Empaques]]*1))</f>
        <v/>
      </c>
      <c r="G2670" s="7" t="str">
        <f>IF(Plantilla_SCAN_EQ3_COUNT_2[[#This Row],[ID MATERIAL]]="","","PZ")</f>
        <v/>
      </c>
      <c r="H2670" s="7" t="str">
        <f>IF(Plantilla_SCAN_EQ3_COUNT_2[[#This Row],[ID MATERIAL]]="","",$B$13)</f>
        <v/>
      </c>
      <c r="I2670" s="7" t="str">
        <f>IF(Plantilla_SCAN_EQ3_COUNT_2[[#This Row],[ID MATERIAL]]="","","Segundo Conteo")</f>
        <v/>
      </c>
    </row>
    <row r="2671" spans="1:9" s="7" customFormat="1" ht="15" x14ac:dyDescent="0.2">
      <c r="A2671" s="7" t="str">
        <f>IF(Plantilla_SCAN_EQ3_COUNT_2[[#This Row],[ID MATERIAL]]="","",SIGN(Plantilla_SCAN_EQ3_COUNT_2[[#This Row],[Cantidad]])+A2670)</f>
        <v/>
      </c>
      <c r="B2671" s="21" t="str">
        <f>IF(Plantilla_SCAN_EQ3_COUNT_2[[#This Row],[ID MATERIAL]]="","",B2670)</f>
        <v/>
      </c>
      <c r="C2671" s="21"/>
      <c r="D2671" s="21"/>
      <c r="E2671" s="7" t="str">
        <f>IF(Plantilla_SCAN_EQ3_COUNT_2[[#This Row],[ID MATERIAL]]="","",VLOOKUP(Plantilla_SCAN_EQ3_COUNT_2[[#This Row],[ID MATERIAL]],INVENTARIO!$A:$D,2,FALSE))</f>
        <v/>
      </c>
      <c r="F2671" s="7" t="str">
        <f>IF(Plantilla_SCAN_EQ3_COUNT_2[[#This Row],[ID MATERIAL]]="","",IF(Plantilla_SCAN_EQ3_COUNT_2[[#This Row],[No. Empaques]]="",1,Plantilla_SCAN_EQ3_COUNT_2[[#This Row],[No. Empaques]]*1))</f>
        <v/>
      </c>
      <c r="G2671" s="7" t="str">
        <f>IF(Plantilla_SCAN_EQ3_COUNT_2[[#This Row],[ID MATERIAL]]="","","PZ")</f>
        <v/>
      </c>
      <c r="H2671" s="7" t="str">
        <f>IF(Plantilla_SCAN_EQ3_COUNT_2[[#This Row],[ID MATERIAL]]="","",$B$13)</f>
        <v/>
      </c>
      <c r="I2671" s="7" t="str">
        <f>IF(Plantilla_SCAN_EQ3_COUNT_2[[#This Row],[ID MATERIAL]]="","","Segundo Conteo")</f>
        <v/>
      </c>
    </row>
    <row r="2672" spans="1:9" s="7" customFormat="1" ht="15" x14ac:dyDescent="0.2">
      <c r="A2672" s="7" t="str">
        <f>IF(Plantilla_SCAN_EQ3_COUNT_2[[#This Row],[ID MATERIAL]]="","",SIGN(Plantilla_SCAN_EQ3_COUNT_2[[#This Row],[Cantidad]])+A2671)</f>
        <v/>
      </c>
      <c r="B2672" s="21" t="str">
        <f>IF(Plantilla_SCAN_EQ3_COUNT_2[[#This Row],[ID MATERIAL]]="","",B2671)</f>
        <v/>
      </c>
      <c r="C2672" s="21"/>
      <c r="D2672" s="21"/>
      <c r="E2672" s="7" t="str">
        <f>IF(Plantilla_SCAN_EQ3_COUNT_2[[#This Row],[ID MATERIAL]]="","",VLOOKUP(Plantilla_SCAN_EQ3_COUNT_2[[#This Row],[ID MATERIAL]],INVENTARIO!$A:$D,2,FALSE))</f>
        <v/>
      </c>
      <c r="F2672" s="7" t="str">
        <f>IF(Plantilla_SCAN_EQ3_COUNT_2[[#This Row],[ID MATERIAL]]="","",IF(Plantilla_SCAN_EQ3_COUNT_2[[#This Row],[No. Empaques]]="",1,Plantilla_SCAN_EQ3_COUNT_2[[#This Row],[No. Empaques]]*1))</f>
        <v/>
      </c>
      <c r="G2672" s="7" t="str">
        <f>IF(Plantilla_SCAN_EQ3_COUNT_2[[#This Row],[ID MATERIAL]]="","","PZ")</f>
        <v/>
      </c>
      <c r="H2672" s="7" t="str">
        <f>IF(Plantilla_SCAN_EQ3_COUNT_2[[#This Row],[ID MATERIAL]]="","",$B$13)</f>
        <v/>
      </c>
      <c r="I2672" s="7" t="str">
        <f>IF(Plantilla_SCAN_EQ3_COUNT_2[[#This Row],[ID MATERIAL]]="","","Segundo Conteo")</f>
        <v/>
      </c>
    </row>
    <row r="2673" spans="1:9" s="7" customFormat="1" ht="15" x14ac:dyDescent="0.2">
      <c r="A2673" s="7" t="str">
        <f>IF(Plantilla_SCAN_EQ3_COUNT_2[[#This Row],[ID MATERIAL]]="","",SIGN(Plantilla_SCAN_EQ3_COUNT_2[[#This Row],[Cantidad]])+A2672)</f>
        <v/>
      </c>
      <c r="B2673" s="21" t="str">
        <f>IF(Plantilla_SCAN_EQ3_COUNT_2[[#This Row],[ID MATERIAL]]="","",B2672)</f>
        <v/>
      </c>
      <c r="C2673" s="21"/>
      <c r="D2673" s="21"/>
      <c r="E2673" s="7" t="str">
        <f>IF(Plantilla_SCAN_EQ3_COUNT_2[[#This Row],[ID MATERIAL]]="","",VLOOKUP(Plantilla_SCAN_EQ3_COUNT_2[[#This Row],[ID MATERIAL]],INVENTARIO!$A:$D,2,FALSE))</f>
        <v/>
      </c>
      <c r="F2673" s="7" t="str">
        <f>IF(Plantilla_SCAN_EQ3_COUNT_2[[#This Row],[ID MATERIAL]]="","",IF(Plantilla_SCAN_EQ3_COUNT_2[[#This Row],[No. Empaques]]="",1,Plantilla_SCAN_EQ3_COUNT_2[[#This Row],[No. Empaques]]*1))</f>
        <v/>
      </c>
      <c r="G2673" s="7" t="str">
        <f>IF(Plantilla_SCAN_EQ3_COUNT_2[[#This Row],[ID MATERIAL]]="","","PZ")</f>
        <v/>
      </c>
      <c r="H2673" s="7" t="str">
        <f>IF(Plantilla_SCAN_EQ3_COUNT_2[[#This Row],[ID MATERIAL]]="","",$B$13)</f>
        <v/>
      </c>
      <c r="I2673" s="7" t="str">
        <f>IF(Plantilla_SCAN_EQ3_COUNT_2[[#This Row],[ID MATERIAL]]="","","Segundo Conteo")</f>
        <v/>
      </c>
    </row>
    <row r="2674" spans="1:9" s="7" customFormat="1" ht="15" x14ac:dyDescent="0.2">
      <c r="A2674" s="7" t="str">
        <f>IF(Plantilla_SCAN_EQ3_COUNT_2[[#This Row],[ID MATERIAL]]="","",SIGN(Plantilla_SCAN_EQ3_COUNT_2[[#This Row],[Cantidad]])+A2673)</f>
        <v/>
      </c>
      <c r="B2674" s="21" t="str">
        <f>IF(Plantilla_SCAN_EQ3_COUNT_2[[#This Row],[ID MATERIAL]]="","",B2673)</f>
        <v/>
      </c>
      <c r="C2674" s="21"/>
      <c r="D2674" s="21"/>
      <c r="E2674" s="7" t="str">
        <f>IF(Plantilla_SCAN_EQ3_COUNT_2[[#This Row],[ID MATERIAL]]="","",VLOOKUP(Plantilla_SCAN_EQ3_COUNT_2[[#This Row],[ID MATERIAL]],INVENTARIO!$A:$D,2,FALSE))</f>
        <v/>
      </c>
      <c r="F2674" s="7" t="str">
        <f>IF(Plantilla_SCAN_EQ3_COUNT_2[[#This Row],[ID MATERIAL]]="","",IF(Plantilla_SCAN_EQ3_COUNT_2[[#This Row],[No. Empaques]]="",1,Plantilla_SCAN_EQ3_COUNT_2[[#This Row],[No. Empaques]]*1))</f>
        <v/>
      </c>
      <c r="G2674" s="7" t="str">
        <f>IF(Plantilla_SCAN_EQ3_COUNT_2[[#This Row],[ID MATERIAL]]="","","PZ")</f>
        <v/>
      </c>
      <c r="H2674" s="7" t="str">
        <f>IF(Plantilla_SCAN_EQ3_COUNT_2[[#This Row],[ID MATERIAL]]="","",$B$13)</f>
        <v/>
      </c>
      <c r="I2674" s="7" t="str">
        <f>IF(Plantilla_SCAN_EQ3_COUNT_2[[#This Row],[ID MATERIAL]]="","","Segundo Conteo")</f>
        <v/>
      </c>
    </row>
    <row r="2675" spans="1:9" s="7" customFormat="1" ht="15" x14ac:dyDescent="0.2">
      <c r="A2675" s="7" t="str">
        <f>IF(Plantilla_SCAN_EQ3_COUNT_2[[#This Row],[ID MATERIAL]]="","",SIGN(Plantilla_SCAN_EQ3_COUNT_2[[#This Row],[Cantidad]])+A2674)</f>
        <v/>
      </c>
      <c r="B2675" s="21" t="str">
        <f>IF(Plantilla_SCAN_EQ3_COUNT_2[[#This Row],[ID MATERIAL]]="","",B2674)</f>
        <v/>
      </c>
      <c r="C2675" s="21"/>
      <c r="D2675" s="21"/>
      <c r="E2675" s="7" t="str">
        <f>IF(Plantilla_SCAN_EQ3_COUNT_2[[#This Row],[ID MATERIAL]]="","",VLOOKUP(Plantilla_SCAN_EQ3_COUNT_2[[#This Row],[ID MATERIAL]],INVENTARIO!$A:$D,2,FALSE))</f>
        <v/>
      </c>
      <c r="F2675" s="7" t="str">
        <f>IF(Plantilla_SCAN_EQ3_COUNT_2[[#This Row],[ID MATERIAL]]="","",IF(Plantilla_SCAN_EQ3_COUNT_2[[#This Row],[No. Empaques]]="",1,Plantilla_SCAN_EQ3_COUNT_2[[#This Row],[No. Empaques]]*1))</f>
        <v/>
      </c>
      <c r="G2675" s="7" t="str">
        <f>IF(Plantilla_SCAN_EQ3_COUNT_2[[#This Row],[ID MATERIAL]]="","","PZ")</f>
        <v/>
      </c>
      <c r="H2675" s="7" t="str">
        <f>IF(Plantilla_SCAN_EQ3_COUNT_2[[#This Row],[ID MATERIAL]]="","",$B$13)</f>
        <v/>
      </c>
      <c r="I2675" s="7" t="str">
        <f>IF(Plantilla_SCAN_EQ3_COUNT_2[[#This Row],[ID MATERIAL]]="","","Segundo Conteo")</f>
        <v/>
      </c>
    </row>
    <row r="2676" spans="1:9" s="7" customFormat="1" ht="15" x14ac:dyDescent="0.2">
      <c r="A2676" s="7" t="str">
        <f>IF(Plantilla_SCAN_EQ3_COUNT_2[[#This Row],[ID MATERIAL]]="","",SIGN(Plantilla_SCAN_EQ3_COUNT_2[[#This Row],[Cantidad]])+A2675)</f>
        <v/>
      </c>
      <c r="B2676" s="21" t="str">
        <f>IF(Plantilla_SCAN_EQ3_COUNT_2[[#This Row],[ID MATERIAL]]="","",B2675)</f>
        <v/>
      </c>
      <c r="C2676" s="21"/>
      <c r="D2676" s="21"/>
      <c r="E2676" s="7" t="str">
        <f>IF(Plantilla_SCAN_EQ3_COUNT_2[[#This Row],[ID MATERIAL]]="","",VLOOKUP(Plantilla_SCAN_EQ3_COUNT_2[[#This Row],[ID MATERIAL]],INVENTARIO!$A:$D,2,FALSE))</f>
        <v/>
      </c>
      <c r="F2676" s="7" t="str">
        <f>IF(Plantilla_SCAN_EQ3_COUNT_2[[#This Row],[ID MATERIAL]]="","",IF(Plantilla_SCAN_EQ3_COUNT_2[[#This Row],[No. Empaques]]="",1,Plantilla_SCAN_EQ3_COUNT_2[[#This Row],[No. Empaques]]*1))</f>
        <v/>
      </c>
      <c r="G2676" s="7" t="str">
        <f>IF(Plantilla_SCAN_EQ3_COUNT_2[[#This Row],[ID MATERIAL]]="","","PZ")</f>
        <v/>
      </c>
      <c r="H2676" s="7" t="str">
        <f>IF(Plantilla_SCAN_EQ3_COUNT_2[[#This Row],[ID MATERIAL]]="","",$B$13)</f>
        <v/>
      </c>
      <c r="I2676" s="7" t="str">
        <f>IF(Plantilla_SCAN_EQ3_COUNT_2[[#This Row],[ID MATERIAL]]="","","Segundo Conteo")</f>
        <v/>
      </c>
    </row>
    <row r="2677" spans="1:9" s="7" customFormat="1" ht="15" x14ac:dyDescent="0.2">
      <c r="A2677" s="7" t="str">
        <f>IF(Plantilla_SCAN_EQ3_COUNT_2[[#This Row],[ID MATERIAL]]="","",SIGN(Plantilla_SCAN_EQ3_COUNT_2[[#This Row],[Cantidad]])+A2676)</f>
        <v/>
      </c>
      <c r="B2677" s="21" t="str">
        <f>IF(Plantilla_SCAN_EQ3_COUNT_2[[#This Row],[ID MATERIAL]]="","",B2676)</f>
        <v/>
      </c>
      <c r="C2677" s="21"/>
      <c r="D2677" s="21"/>
      <c r="E2677" s="7" t="str">
        <f>IF(Plantilla_SCAN_EQ3_COUNT_2[[#This Row],[ID MATERIAL]]="","",VLOOKUP(Plantilla_SCAN_EQ3_COUNT_2[[#This Row],[ID MATERIAL]],INVENTARIO!$A:$D,2,FALSE))</f>
        <v/>
      </c>
      <c r="F2677" s="7" t="str">
        <f>IF(Plantilla_SCAN_EQ3_COUNT_2[[#This Row],[ID MATERIAL]]="","",IF(Plantilla_SCAN_EQ3_COUNT_2[[#This Row],[No. Empaques]]="",1,Plantilla_SCAN_EQ3_COUNT_2[[#This Row],[No. Empaques]]*1))</f>
        <v/>
      </c>
      <c r="G2677" s="7" t="str">
        <f>IF(Plantilla_SCAN_EQ3_COUNT_2[[#This Row],[ID MATERIAL]]="","","PZ")</f>
        <v/>
      </c>
      <c r="H2677" s="7" t="str">
        <f>IF(Plantilla_SCAN_EQ3_COUNT_2[[#This Row],[ID MATERIAL]]="","",$B$13)</f>
        <v/>
      </c>
      <c r="I2677" s="7" t="str">
        <f>IF(Plantilla_SCAN_EQ3_COUNT_2[[#This Row],[ID MATERIAL]]="","","Segundo Conteo")</f>
        <v/>
      </c>
    </row>
    <row r="2678" spans="1:9" s="7" customFormat="1" ht="15" x14ac:dyDescent="0.2">
      <c r="A2678" s="7" t="str">
        <f>IF(Plantilla_SCAN_EQ3_COUNT_2[[#This Row],[ID MATERIAL]]="","",SIGN(Plantilla_SCAN_EQ3_COUNT_2[[#This Row],[Cantidad]])+A2677)</f>
        <v/>
      </c>
      <c r="B2678" s="21" t="str">
        <f>IF(Plantilla_SCAN_EQ3_COUNT_2[[#This Row],[ID MATERIAL]]="","",B2677)</f>
        <v/>
      </c>
      <c r="C2678" s="21"/>
      <c r="D2678" s="21"/>
      <c r="E2678" s="7" t="str">
        <f>IF(Plantilla_SCAN_EQ3_COUNT_2[[#This Row],[ID MATERIAL]]="","",VLOOKUP(Plantilla_SCAN_EQ3_COUNT_2[[#This Row],[ID MATERIAL]],INVENTARIO!$A:$D,2,FALSE))</f>
        <v/>
      </c>
      <c r="F2678" s="7" t="str">
        <f>IF(Plantilla_SCAN_EQ3_COUNT_2[[#This Row],[ID MATERIAL]]="","",IF(Plantilla_SCAN_EQ3_COUNT_2[[#This Row],[No. Empaques]]="",1,Plantilla_SCAN_EQ3_COUNT_2[[#This Row],[No. Empaques]]*1))</f>
        <v/>
      </c>
      <c r="G2678" s="7" t="str">
        <f>IF(Plantilla_SCAN_EQ3_COUNT_2[[#This Row],[ID MATERIAL]]="","","PZ")</f>
        <v/>
      </c>
      <c r="H2678" s="7" t="str">
        <f>IF(Plantilla_SCAN_EQ3_COUNT_2[[#This Row],[ID MATERIAL]]="","",$B$13)</f>
        <v/>
      </c>
      <c r="I2678" s="7" t="str">
        <f>IF(Plantilla_SCAN_EQ3_COUNT_2[[#This Row],[ID MATERIAL]]="","","Segundo Conteo")</f>
        <v/>
      </c>
    </row>
    <row r="2679" spans="1:9" s="7" customFormat="1" ht="15" x14ac:dyDescent="0.2">
      <c r="A2679" s="7" t="str">
        <f>IF(Plantilla_SCAN_EQ3_COUNT_2[[#This Row],[ID MATERIAL]]="","",SIGN(Plantilla_SCAN_EQ3_COUNT_2[[#This Row],[Cantidad]])+A2678)</f>
        <v/>
      </c>
      <c r="B2679" s="21" t="str">
        <f>IF(Plantilla_SCAN_EQ3_COUNT_2[[#This Row],[ID MATERIAL]]="","",B2678)</f>
        <v/>
      </c>
      <c r="C2679" s="21"/>
      <c r="D2679" s="21"/>
      <c r="E2679" s="7" t="str">
        <f>IF(Plantilla_SCAN_EQ3_COUNT_2[[#This Row],[ID MATERIAL]]="","",VLOOKUP(Plantilla_SCAN_EQ3_COUNT_2[[#This Row],[ID MATERIAL]],INVENTARIO!$A:$D,2,FALSE))</f>
        <v/>
      </c>
      <c r="F2679" s="7" t="str">
        <f>IF(Plantilla_SCAN_EQ3_COUNT_2[[#This Row],[ID MATERIAL]]="","",IF(Plantilla_SCAN_EQ3_COUNT_2[[#This Row],[No. Empaques]]="",1,Plantilla_SCAN_EQ3_COUNT_2[[#This Row],[No. Empaques]]*1))</f>
        <v/>
      </c>
      <c r="G2679" s="7" t="str">
        <f>IF(Plantilla_SCAN_EQ3_COUNT_2[[#This Row],[ID MATERIAL]]="","","PZ")</f>
        <v/>
      </c>
      <c r="H2679" s="7" t="str">
        <f>IF(Plantilla_SCAN_EQ3_COUNT_2[[#This Row],[ID MATERIAL]]="","",$B$13)</f>
        <v/>
      </c>
      <c r="I2679" s="7" t="str">
        <f>IF(Plantilla_SCAN_EQ3_COUNT_2[[#This Row],[ID MATERIAL]]="","","Segundo Conteo")</f>
        <v/>
      </c>
    </row>
    <row r="2680" spans="1:9" s="7" customFormat="1" ht="15" x14ac:dyDescent="0.2">
      <c r="A2680" s="7" t="str">
        <f>IF(Plantilla_SCAN_EQ3_COUNT_2[[#This Row],[ID MATERIAL]]="","",SIGN(Plantilla_SCAN_EQ3_COUNT_2[[#This Row],[Cantidad]])+A2679)</f>
        <v/>
      </c>
      <c r="B2680" s="21" t="str">
        <f>IF(Plantilla_SCAN_EQ3_COUNT_2[[#This Row],[ID MATERIAL]]="","",B2679)</f>
        <v/>
      </c>
      <c r="C2680" s="21"/>
      <c r="D2680" s="21"/>
      <c r="E2680" s="7" t="str">
        <f>IF(Plantilla_SCAN_EQ3_COUNT_2[[#This Row],[ID MATERIAL]]="","",VLOOKUP(Plantilla_SCAN_EQ3_COUNT_2[[#This Row],[ID MATERIAL]],INVENTARIO!$A:$D,2,FALSE))</f>
        <v/>
      </c>
      <c r="F2680" s="7" t="str">
        <f>IF(Plantilla_SCAN_EQ3_COUNT_2[[#This Row],[ID MATERIAL]]="","",IF(Plantilla_SCAN_EQ3_COUNT_2[[#This Row],[No. Empaques]]="",1,Plantilla_SCAN_EQ3_COUNT_2[[#This Row],[No. Empaques]]*1))</f>
        <v/>
      </c>
      <c r="G2680" s="7" t="str">
        <f>IF(Plantilla_SCAN_EQ3_COUNT_2[[#This Row],[ID MATERIAL]]="","","PZ")</f>
        <v/>
      </c>
      <c r="H2680" s="7" t="str">
        <f>IF(Plantilla_SCAN_EQ3_COUNT_2[[#This Row],[ID MATERIAL]]="","",$B$13)</f>
        <v/>
      </c>
      <c r="I2680" s="7" t="str">
        <f>IF(Plantilla_SCAN_EQ3_COUNT_2[[#This Row],[ID MATERIAL]]="","","Segundo Conteo")</f>
        <v/>
      </c>
    </row>
    <row r="2681" spans="1:9" s="7" customFormat="1" ht="15" x14ac:dyDescent="0.2">
      <c r="A2681" s="7" t="str">
        <f>IF(Plantilla_SCAN_EQ3_COUNT_2[[#This Row],[ID MATERIAL]]="","",SIGN(Plantilla_SCAN_EQ3_COUNT_2[[#This Row],[Cantidad]])+A2680)</f>
        <v/>
      </c>
      <c r="B2681" s="21" t="str">
        <f>IF(Plantilla_SCAN_EQ3_COUNT_2[[#This Row],[ID MATERIAL]]="","",B2680)</f>
        <v/>
      </c>
      <c r="C2681" s="21"/>
      <c r="D2681" s="21"/>
      <c r="E2681" s="7" t="str">
        <f>IF(Plantilla_SCAN_EQ3_COUNT_2[[#This Row],[ID MATERIAL]]="","",VLOOKUP(Plantilla_SCAN_EQ3_COUNT_2[[#This Row],[ID MATERIAL]],INVENTARIO!$A:$D,2,FALSE))</f>
        <v/>
      </c>
      <c r="F2681" s="7" t="str">
        <f>IF(Plantilla_SCAN_EQ3_COUNT_2[[#This Row],[ID MATERIAL]]="","",IF(Plantilla_SCAN_EQ3_COUNT_2[[#This Row],[No. Empaques]]="",1,Plantilla_SCAN_EQ3_COUNT_2[[#This Row],[No. Empaques]]*1))</f>
        <v/>
      </c>
      <c r="G2681" s="7" t="str">
        <f>IF(Plantilla_SCAN_EQ3_COUNT_2[[#This Row],[ID MATERIAL]]="","","PZ")</f>
        <v/>
      </c>
      <c r="H2681" s="7" t="str">
        <f>IF(Plantilla_SCAN_EQ3_COUNT_2[[#This Row],[ID MATERIAL]]="","",$B$13)</f>
        <v/>
      </c>
      <c r="I2681" s="7" t="str">
        <f>IF(Plantilla_SCAN_EQ3_COUNT_2[[#This Row],[ID MATERIAL]]="","","Segundo Conteo")</f>
        <v/>
      </c>
    </row>
    <row r="2682" spans="1:9" s="7" customFormat="1" ht="15" x14ac:dyDescent="0.2">
      <c r="A2682" s="7" t="str">
        <f>IF(Plantilla_SCAN_EQ3_COUNT_2[[#This Row],[ID MATERIAL]]="","",SIGN(Plantilla_SCAN_EQ3_COUNT_2[[#This Row],[Cantidad]])+A2681)</f>
        <v/>
      </c>
      <c r="B2682" s="21" t="str">
        <f>IF(Plantilla_SCAN_EQ3_COUNT_2[[#This Row],[ID MATERIAL]]="","",B2681)</f>
        <v/>
      </c>
      <c r="C2682" s="21"/>
      <c r="D2682" s="21"/>
      <c r="E2682" s="7" t="str">
        <f>IF(Plantilla_SCAN_EQ3_COUNT_2[[#This Row],[ID MATERIAL]]="","",VLOOKUP(Plantilla_SCAN_EQ3_COUNT_2[[#This Row],[ID MATERIAL]],INVENTARIO!$A:$D,2,FALSE))</f>
        <v/>
      </c>
      <c r="F2682" s="7" t="str">
        <f>IF(Plantilla_SCAN_EQ3_COUNT_2[[#This Row],[ID MATERIAL]]="","",IF(Plantilla_SCAN_EQ3_COUNT_2[[#This Row],[No. Empaques]]="",1,Plantilla_SCAN_EQ3_COUNT_2[[#This Row],[No. Empaques]]*1))</f>
        <v/>
      </c>
      <c r="G2682" s="7" t="str">
        <f>IF(Plantilla_SCAN_EQ3_COUNT_2[[#This Row],[ID MATERIAL]]="","","PZ")</f>
        <v/>
      </c>
      <c r="H2682" s="7" t="str">
        <f>IF(Plantilla_SCAN_EQ3_COUNT_2[[#This Row],[ID MATERIAL]]="","",$B$13)</f>
        <v/>
      </c>
      <c r="I2682" s="7" t="str">
        <f>IF(Plantilla_SCAN_EQ3_COUNT_2[[#This Row],[ID MATERIAL]]="","","Segundo Conteo")</f>
        <v/>
      </c>
    </row>
    <row r="2683" spans="1:9" s="7" customFormat="1" ht="15" x14ac:dyDescent="0.2">
      <c r="A2683" s="7" t="str">
        <f>IF(Plantilla_SCAN_EQ3_COUNT_2[[#This Row],[ID MATERIAL]]="","",SIGN(Plantilla_SCAN_EQ3_COUNT_2[[#This Row],[Cantidad]])+A2682)</f>
        <v/>
      </c>
      <c r="B2683" s="21" t="str">
        <f>IF(Plantilla_SCAN_EQ3_COUNT_2[[#This Row],[ID MATERIAL]]="","",B2682)</f>
        <v/>
      </c>
      <c r="C2683" s="21"/>
      <c r="D2683" s="21"/>
      <c r="E2683" s="7" t="str">
        <f>IF(Plantilla_SCAN_EQ3_COUNT_2[[#This Row],[ID MATERIAL]]="","",VLOOKUP(Plantilla_SCAN_EQ3_COUNT_2[[#This Row],[ID MATERIAL]],INVENTARIO!$A:$D,2,FALSE))</f>
        <v/>
      </c>
      <c r="F2683" s="7" t="str">
        <f>IF(Plantilla_SCAN_EQ3_COUNT_2[[#This Row],[ID MATERIAL]]="","",IF(Plantilla_SCAN_EQ3_COUNT_2[[#This Row],[No. Empaques]]="",1,Plantilla_SCAN_EQ3_COUNT_2[[#This Row],[No. Empaques]]*1))</f>
        <v/>
      </c>
      <c r="G2683" s="7" t="str">
        <f>IF(Plantilla_SCAN_EQ3_COUNT_2[[#This Row],[ID MATERIAL]]="","","PZ")</f>
        <v/>
      </c>
      <c r="H2683" s="7" t="str">
        <f>IF(Plantilla_SCAN_EQ3_COUNT_2[[#This Row],[ID MATERIAL]]="","",$B$13)</f>
        <v/>
      </c>
      <c r="I2683" s="7" t="str">
        <f>IF(Plantilla_SCAN_EQ3_COUNT_2[[#This Row],[ID MATERIAL]]="","","Segundo Conteo")</f>
        <v/>
      </c>
    </row>
    <row r="2684" spans="1:9" s="7" customFormat="1" ht="15" x14ac:dyDescent="0.2">
      <c r="A2684" s="7" t="str">
        <f>IF(Plantilla_SCAN_EQ3_COUNT_2[[#This Row],[ID MATERIAL]]="","",SIGN(Plantilla_SCAN_EQ3_COUNT_2[[#This Row],[Cantidad]])+A2683)</f>
        <v/>
      </c>
      <c r="B2684" s="21" t="str">
        <f>IF(Plantilla_SCAN_EQ3_COUNT_2[[#This Row],[ID MATERIAL]]="","",B2683)</f>
        <v/>
      </c>
      <c r="C2684" s="21"/>
      <c r="D2684" s="21"/>
      <c r="E2684" s="7" t="str">
        <f>IF(Plantilla_SCAN_EQ3_COUNT_2[[#This Row],[ID MATERIAL]]="","",VLOOKUP(Plantilla_SCAN_EQ3_COUNT_2[[#This Row],[ID MATERIAL]],INVENTARIO!$A:$D,2,FALSE))</f>
        <v/>
      </c>
      <c r="F2684" s="7" t="str">
        <f>IF(Plantilla_SCAN_EQ3_COUNT_2[[#This Row],[ID MATERIAL]]="","",IF(Plantilla_SCAN_EQ3_COUNT_2[[#This Row],[No. Empaques]]="",1,Plantilla_SCAN_EQ3_COUNT_2[[#This Row],[No. Empaques]]*1))</f>
        <v/>
      </c>
      <c r="G2684" s="7" t="str">
        <f>IF(Plantilla_SCAN_EQ3_COUNT_2[[#This Row],[ID MATERIAL]]="","","PZ")</f>
        <v/>
      </c>
      <c r="H2684" s="7" t="str">
        <f>IF(Plantilla_SCAN_EQ3_COUNT_2[[#This Row],[ID MATERIAL]]="","",$B$13)</f>
        <v/>
      </c>
      <c r="I2684" s="7" t="str">
        <f>IF(Plantilla_SCAN_EQ3_COUNT_2[[#This Row],[ID MATERIAL]]="","","Segundo Conteo")</f>
        <v/>
      </c>
    </row>
    <row r="2685" spans="1:9" s="7" customFormat="1" ht="15" x14ac:dyDescent="0.2">
      <c r="A2685" s="7" t="str">
        <f>IF(Plantilla_SCAN_EQ3_COUNT_2[[#This Row],[ID MATERIAL]]="","",SIGN(Plantilla_SCAN_EQ3_COUNT_2[[#This Row],[Cantidad]])+A2684)</f>
        <v/>
      </c>
      <c r="B2685" s="21" t="str">
        <f>IF(Plantilla_SCAN_EQ3_COUNT_2[[#This Row],[ID MATERIAL]]="","",B2684)</f>
        <v/>
      </c>
      <c r="C2685" s="21"/>
      <c r="D2685" s="21"/>
      <c r="E2685" s="7" t="str">
        <f>IF(Plantilla_SCAN_EQ3_COUNT_2[[#This Row],[ID MATERIAL]]="","",VLOOKUP(Plantilla_SCAN_EQ3_COUNT_2[[#This Row],[ID MATERIAL]],INVENTARIO!$A:$D,2,FALSE))</f>
        <v/>
      </c>
      <c r="F2685" s="7" t="str">
        <f>IF(Plantilla_SCAN_EQ3_COUNT_2[[#This Row],[ID MATERIAL]]="","",IF(Plantilla_SCAN_EQ3_COUNT_2[[#This Row],[No. Empaques]]="",1,Plantilla_SCAN_EQ3_COUNT_2[[#This Row],[No. Empaques]]*1))</f>
        <v/>
      </c>
      <c r="G2685" s="7" t="str">
        <f>IF(Plantilla_SCAN_EQ3_COUNT_2[[#This Row],[ID MATERIAL]]="","","PZ")</f>
        <v/>
      </c>
      <c r="H2685" s="7" t="str">
        <f>IF(Plantilla_SCAN_EQ3_COUNT_2[[#This Row],[ID MATERIAL]]="","",$B$13)</f>
        <v/>
      </c>
      <c r="I2685" s="7" t="str">
        <f>IF(Plantilla_SCAN_EQ3_COUNT_2[[#This Row],[ID MATERIAL]]="","","Segundo Conteo")</f>
        <v/>
      </c>
    </row>
    <row r="2686" spans="1:9" s="7" customFormat="1" ht="15" x14ac:dyDescent="0.2">
      <c r="A2686" s="7" t="str">
        <f>IF(Plantilla_SCAN_EQ3_COUNT_2[[#This Row],[ID MATERIAL]]="","",SIGN(Plantilla_SCAN_EQ3_COUNT_2[[#This Row],[Cantidad]])+A2685)</f>
        <v/>
      </c>
      <c r="B2686" s="21" t="str">
        <f>IF(Plantilla_SCAN_EQ3_COUNT_2[[#This Row],[ID MATERIAL]]="","",B2685)</f>
        <v/>
      </c>
      <c r="C2686" s="21"/>
      <c r="D2686" s="21"/>
      <c r="E2686" s="7" t="str">
        <f>IF(Plantilla_SCAN_EQ3_COUNT_2[[#This Row],[ID MATERIAL]]="","",VLOOKUP(Plantilla_SCAN_EQ3_COUNT_2[[#This Row],[ID MATERIAL]],INVENTARIO!$A:$D,2,FALSE))</f>
        <v/>
      </c>
      <c r="F2686" s="7" t="str">
        <f>IF(Plantilla_SCAN_EQ3_COUNT_2[[#This Row],[ID MATERIAL]]="","",IF(Plantilla_SCAN_EQ3_COUNT_2[[#This Row],[No. Empaques]]="",1,Plantilla_SCAN_EQ3_COUNT_2[[#This Row],[No. Empaques]]*1))</f>
        <v/>
      </c>
      <c r="G2686" s="7" t="str">
        <f>IF(Plantilla_SCAN_EQ3_COUNT_2[[#This Row],[ID MATERIAL]]="","","PZ")</f>
        <v/>
      </c>
      <c r="H2686" s="7" t="str">
        <f>IF(Plantilla_SCAN_EQ3_COUNT_2[[#This Row],[ID MATERIAL]]="","",$B$13)</f>
        <v/>
      </c>
      <c r="I2686" s="7" t="str">
        <f>IF(Plantilla_SCAN_EQ3_COUNT_2[[#This Row],[ID MATERIAL]]="","","Segundo Conteo")</f>
        <v/>
      </c>
    </row>
    <row r="2687" spans="1:9" s="7" customFormat="1" ht="15" x14ac:dyDescent="0.2">
      <c r="A2687" s="7" t="str">
        <f>IF(Plantilla_SCAN_EQ3_COUNT_2[[#This Row],[ID MATERIAL]]="","",SIGN(Plantilla_SCAN_EQ3_COUNT_2[[#This Row],[Cantidad]])+A2686)</f>
        <v/>
      </c>
      <c r="B2687" s="21" t="str">
        <f>IF(Plantilla_SCAN_EQ3_COUNT_2[[#This Row],[ID MATERIAL]]="","",B2686)</f>
        <v/>
      </c>
      <c r="C2687" s="21"/>
      <c r="D2687" s="21"/>
      <c r="E2687" s="7" t="str">
        <f>IF(Plantilla_SCAN_EQ3_COUNT_2[[#This Row],[ID MATERIAL]]="","",VLOOKUP(Plantilla_SCAN_EQ3_COUNT_2[[#This Row],[ID MATERIAL]],INVENTARIO!$A:$D,2,FALSE))</f>
        <v/>
      </c>
      <c r="F2687" s="7" t="str">
        <f>IF(Plantilla_SCAN_EQ3_COUNT_2[[#This Row],[ID MATERIAL]]="","",IF(Plantilla_SCAN_EQ3_COUNT_2[[#This Row],[No. Empaques]]="",1,Plantilla_SCAN_EQ3_COUNT_2[[#This Row],[No. Empaques]]*1))</f>
        <v/>
      </c>
      <c r="G2687" s="7" t="str">
        <f>IF(Plantilla_SCAN_EQ3_COUNT_2[[#This Row],[ID MATERIAL]]="","","PZ")</f>
        <v/>
      </c>
      <c r="H2687" s="7" t="str">
        <f>IF(Plantilla_SCAN_EQ3_COUNT_2[[#This Row],[ID MATERIAL]]="","",$B$13)</f>
        <v/>
      </c>
      <c r="I2687" s="7" t="str">
        <f>IF(Plantilla_SCAN_EQ3_COUNT_2[[#This Row],[ID MATERIAL]]="","","Segundo Conteo")</f>
        <v/>
      </c>
    </row>
    <row r="2688" spans="1:9" s="7" customFormat="1" ht="15" x14ac:dyDescent="0.2">
      <c r="A2688" s="7" t="str">
        <f>IF(Plantilla_SCAN_EQ3_COUNT_2[[#This Row],[ID MATERIAL]]="","",SIGN(Plantilla_SCAN_EQ3_COUNT_2[[#This Row],[Cantidad]])+A2687)</f>
        <v/>
      </c>
      <c r="B2688" s="21" t="str">
        <f>IF(Plantilla_SCAN_EQ3_COUNT_2[[#This Row],[ID MATERIAL]]="","",B2687)</f>
        <v/>
      </c>
      <c r="C2688" s="21"/>
      <c r="D2688" s="21"/>
      <c r="E2688" s="7" t="str">
        <f>IF(Plantilla_SCAN_EQ3_COUNT_2[[#This Row],[ID MATERIAL]]="","",VLOOKUP(Plantilla_SCAN_EQ3_COUNT_2[[#This Row],[ID MATERIAL]],INVENTARIO!$A:$D,2,FALSE))</f>
        <v/>
      </c>
      <c r="F2688" s="7" t="str">
        <f>IF(Plantilla_SCAN_EQ3_COUNT_2[[#This Row],[ID MATERIAL]]="","",IF(Plantilla_SCAN_EQ3_COUNT_2[[#This Row],[No. Empaques]]="",1,Plantilla_SCAN_EQ3_COUNT_2[[#This Row],[No. Empaques]]*1))</f>
        <v/>
      </c>
      <c r="G2688" s="7" t="str">
        <f>IF(Plantilla_SCAN_EQ3_COUNT_2[[#This Row],[ID MATERIAL]]="","","PZ")</f>
        <v/>
      </c>
      <c r="H2688" s="7" t="str">
        <f>IF(Plantilla_SCAN_EQ3_COUNT_2[[#This Row],[ID MATERIAL]]="","",$B$13)</f>
        <v/>
      </c>
      <c r="I2688" s="7" t="str">
        <f>IF(Plantilla_SCAN_EQ3_COUNT_2[[#This Row],[ID MATERIAL]]="","","Segundo Conteo")</f>
        <v/>
      </c>
    </row>
    <row r="2689" spans="1:9" s="7" customFormat="1" ht="15" x14ac:dyDescent="0.2">
      <c r="A2689" s="7" t="str">
        <f>IF(Plantilla_SCAN_EQ3_COUNT_2[[#This Row],[ID MATERIAL]]="","",SIGN(Plantilla_SCAN_EQ3_COUNT_2[[#This Row],[Cantidad]])+A2688)</f>
        <v/>
      </c>
      <c r="B2689" s="21" t="str">
        <f>IF(Plantilla_SCAN_EQ3_COUNT_2[[#This Row],[ID MATERIAL]]="","",B2688)</f>
        <v/>
      </c>
      <c r="C2689" s="21"/>
      <c r="D2689" s="21"/>
      <c r="E2689" s="7" t="str">
        <f>IF(Plantilla_SCAN_EQ3_COUNT_2[[#This Row],[ID MATERIAL]]="","",VLOOKUP(Plantilla_SCAN_EQ3_COUNT_2[[#This Row],[ID MATERIAL]],INVENTARIO!$A:$D,2,FALSE))</f>
        <v/>
      </c>
      <c r="F2689" s="7" t="str">
        <f>IF(Plantilla_SCAN_EQ3_COUNT_2[[#This Row],[ID MATERIAL]]="","",IF(Plantilla_SCAN_EQ3_COUNT_2[[#This Row],[No. Empaques]]="",1,Plantilla_SCAN_EQ3_COUNT_2[[#This Row],[No. Empaques]]*1))</f>
        <v/>
      </c>
      <c r="G2689" s="7" t="str">
        <f>IF(Plantilla_SCAN_EQ3_COUNT_2[[#This Row],[ID MATERIAL]]="","","PZ")</f>
        <v/>
      </c>
      <c r="H2689" s="7" t="str">
        <f>IF(Plantilla_SCAN_EQ3_COUNT_2[[#This Row],[ID MATERIAL]]="","",$B$13)</f>
        <v/>
      </c>
      <c r="I2689" s="7" t="str">
        <f>IF(Plantilla_SCAN_EQ3_COUNT_2[[#This Row],[ID MATERIAL]]="","","Segundo Conteo")</f>
        <v/>
      </c>
    </row>
    <row r="2690" spans="1:9" s="7" customFormat="1" ht="15" x14ac:dyDescent="0.2">
      <c r="A2690" s="7" t="str">
        <f>IF(Plantilla_SCAN_EQ3_COUNT_2[[#This Row],[ID MATERIAL]]="","",SIGN(Plantilla_SCAN_EQ3_COUNT_2[[#This Row],[Cantidad]])+A2689)</f>
        <v/>
      </c>
      <c r="B2690" s="21" t="str">
        <f>IF(Plantilla_SCAN_EQ3_COUNT_2[[#This Row],[ID MATERIAL]]="","",B2689)</f>
        <v/>
      </c>
      <c r="C2690" s="21"/>
      <c r="D2690" s="21"/>
      <c r="E2690" s="7" t="str">
        <f>IF(Plantilla_SCAN_EQ3_COUNT_2[[#This Row],[ID MATERIAL]]="","",VLOOKUP(Plantilla_SCAN_EQ3_COUNT_2[[#This Row],[ID MATERIAL]],INVENTARIO!$A:$D,2,FALSE))</f>
        <v/>
      </c>
      <c r="F2690" s="7" t="str">
        <f>IF(Plantilla_SCAN_EQ3_COUNT_2[[#This Row],[ID MATERIAL]]="","",IF(Plantilla_SCAN_EQ3_COUNT_2[[#This Row],[No. Empaques]]="",1,Plantilla_SCAN_EQ3_COUNT_2[[#This Row],[No. Empaques]]*1))</f>
        <v/>
      </c>
      <c r="G2690" s="7" t="str">
        <f>IF(Plantilla_SCAN_EQ3_COUNT_2[[#This Row],[ID MATERIAL]]="","","PZ")</f>
        <v/>
      </c>
      <c r="H2690" s="7" t="str">
        <f>IF(Plantilla_SCAN_EQ3_COUNT_2[[#This Row],[ID MATERIAL]]="","",$B$13)</f>
        <v/>
      </c>
      <c r="I2690" s="7" t="str">
        <f>IF(Plantilla_SCAN_EQ3_COUNT_2[[#This Row],[ID MATERIAL]]="","","Segundo Conteo")</f>
        <v/>
      </c>
    </row>
    <row r="2691" spans="1:9" s="7" customFormat="1" ht="15" x14ac:dyDescent="0.2">
      <c r="A2691" s="7" t="str">
        <f>IF(Plantilla_SCAN_EQ3_COUNT_2[[#This Row],[ID MATERIAL]]="","",SIGN(Plantilla_SCAN_EQ3_COUNT_2[[#This Row],[Cantidad]])+A2690)</f>
        <v/>
      </c>
      <c r="B2691" s="21" t="str">
        <f>IF(Plantilla_SCAN_EQ3_COUNT_2[[#This Row],[ID MATERIAL]]="","",B2690)</f>
        <v/>
      </c>
      <c r="C2691" s="21"/>
      <c r="D2691" s="21"/>
      <c r="E2691" s="7" t="str">
        <f>IF(Plantilla_SCAN_EQ3_COUNT_2[[#This Row],[ID MATERIAL]]="","",VLOOKUP(Plantilla_SCAN_EQ3_COUNT_2[[#This Row],[ID MATERIAL]],INVENTARIO!$A:$D,2,FALSE))</f>
        <v/>
      </c>
      <c r="F2691" s="7" t="str">
        <f>IF(Plantilla_SCAN_EQ3_COUNT_2[[#This Row],[ID MATERIAL]]="","",IF(Plantilla_SCAN_EQ3_COUNT_2[[#This Row],[No. Empaques]]="",1,Plantilla_SCAN_EQ3_COUNT_2[[#This Row],[No. Empaques]]*1))</f>
        <v/>
      </c>
      <c r="G2691" s="7" t="str">
        <f>IF(Plantilla_SCAN_EQ3_COUNT_2[[#This Row],[ID MATERIAL]]="","","PZ")</f>
        <v/>
      </c>
      <c r="H2691" s="7" t="str">
        <f>IF(Plantilla_SCAN_EQ3_COUNT_2[[#This Row],[ID MATERIAL]]="","",$B$13)</f>
        <v/>
      </c>
      <c r="I2691" s="7" t="str">
        <f>IF(Plantilla_SCAN_EQ3_COUNT_2[[#This Row],[ID MATERIAL]]="","","Segundo Conteo")</f>
        <v/>
      </c>
    </row>
    <row r="2692" spans="1:9" s="7" customFormat="1" ht="15" x14ac:dyDescent="0.2">
      <c r="A2692" s="7" t="str">
        <f>IF(Plantilla_SCAN_EQ3_COUNT_2[[#This Row],[ID MATERIAL]]="","",SIGN(Plantilla_SCAN_EQ3_COUNT_2[[#This Row],[Cantidad]])+A2691)</f>
        <v/>
      </c>
      <c r="B2692" s="21" t="str">
        <f>IF(Plantilla_SCAN_EQ3_COUNT_2[[#This Row],[ID MATERIAL]]="","",B2691)</f>
        <v/>
      </c>
      <c r="C2692" s="21"/>
      <c r="D2692" s="21"/>
      <c r="E2692" s="7" t="str">
        <f>IF(Plantilla_SCAN_EQ3_COUNT_2[[#This Row],[ID MATERIAL]]="","",VLOOKUP(Plantilla_SCAN_EQ3_COUNT_2[[#This Row],[ID MATERIAL]],INVENTARIO!$A:$D,2,FALSE))</f>
        <v/>
      </c>
      <c r="F2692" s="7" t="str">
        <f>IF(Plantilla_SCAN_EQ3_COUNT_2[[#This Row],[ID MATERIAL]]="","",IF(Plantilla_SCAN_EQ3_COUNT_2[[#This Row],[No. Empaques]]="",1,Plantilla_SCAN_EQ3_COUNT_2[[#This Row],[No. Empaques]]*1))</f>
        <v/>
      </c>
      <c r="G2692" s="7" t="str">
        <f>IF(Plantilla_SCAN_EQ3_COUNT_2[[#This Row],[ID MATERIAL]]="","","PZ")</f>
        <v/>
      </c>
      <c r="H2692" s="7" t="str">
        <f>IF(Plantilla_SCAN_EQ3_COUNT_2[[#This Row],[ID MATERIAL]]="","",$B$13)</f>
        <v/>
      </c>
      <c r="I2692" s="7" t="str">
        <f>IF(Plantilla_SCAN_EQ3_COUNT_2[[#This Row],[ID MATERIAL]]="","","Segundo Conteo")</f>
        <v/>
      </c>
    </row>
    <row r="2693" spans="1:9" s="7" customFormat="1" ht="15" x14ac:dyDescent="0.2">
      <c r="A2693" s="7" t="str">
        <f>IF(Plantilla_SCAN_EQ3_COUNT_2[[#This Row],[ID MATERIAL]]="","",SIGN(Plantilla_SCAN_EQ3_COUNT_2[[#This Row],[Cantidad]])+A2692)</f>
        <v/>
      </c>
      <c r="B2693" s="21" t="str">
        <f>IF(Plantilla_SCAN_EQ3_COUNT_2[[#This Row],[ID MATERIAL]]="","",B2692)</f>
        <v/>
      </c>
      <c r="C2693" s="21"/>
      <c r="D2693" s="21"/>
      <c r="E2693" s="7" t="str">
        <f>IF(Plantilla_SCAN_EQ3_COUNT_2[[#This Row],[ID MATERIAL]]="","",VLOOKUP(Plantilla_SCAN_EQ3_COUNT_2[[#This Row],[ID MATERIAL]],INVENTARIO!$A:$D,2,FALSE))</f>
        <v/>
      </c>
      <c r="F2693" s="7" t="str">
        <f>IF(Plantilla_SCAN_EQ3_COUNT_2[[#This Row],[ID MATERIAL]]="","",IF(Plantilla_SCAN_EQ3_COUNT_2[[#This Row],[No. Empaques]]="",1,Plantilla_SCAN_EQ3_COUNT_2[[#This Row],[No. Empaques]]*1))</f>
        <v/>
      </c>
      <c r="G2693" s="7" t="str">
        <f>IF(Plantilla_SCAN_EQ3_COUNT_2[[#This Row],[ID MATERIAL]]="","","PZ")</f>
        <v/>
      </c>
      <c r="H2693" s="7" t="str">
        <f>IF(Plantilla_SCAN_EQ3_COUNT_2[[#This Row],[ID MATERIAL]]="","",$B$13)</f>
        <v/>
      </c>
      <c r="I2693" s="7" t="str">
        <f>IF(Plantilla_SCAN_EQ3_COUNT_2[[#This Row],[ID MATERIAL]]="","","Segundo Conteo")</f>
        <v/>
      </c>
    </row>
    <row r="2694" spans="1:9" s="7" customFormat="1" ht="15" x14ac:dyDescent="0.2">
      <c r="A2694" s="7" t="str">
        <f>IF(Plantilla_SCAN_EQ3_COUNT_2[[#This Row],[ID MATERIAL]]="","",SIGN(Plantilla_SCAN_EQ3_COUNT_2[[#This Row],[Cantidad]])+A2693)</f>
        <v/>
      </c>
      <c r="B2694" s="21" t="str">
        <f>IF(Plantilla_SCAN_EQ3_COUNT_2[[#This Row],[ID MATERIAL]]="","",B2693)</f>
        <v/>
      </c>
      <c r="C2694" s="21"/>
      <c r="D2694" s="21"/>
      <c r="E2694" s="7" t="str">
        <f>IF(Plantilla_SCAN_EQ3_COUNT_2[[#This Row],[ID MATERIAL]]="","",VLOOKUP(Plantilla_SCAN_EQ3_COUNT_2[[#This Row],[ID MATERIAL]],INVENTARIO!$A:$D,2,FALSE))</f>
        <v/>
      </c>
      <c r="F2694" s="7" t="str">
        <f>IF(Plantilla_SCAN_EQ3_COUNT_2[[#This Row],[ID MATERIAL]]="","",IF(Plantilla_SCAN_EQ3_COUNT_2[[#This Row],[No. Empaques]]="",1,Plantilla_SCAN_EQ3_COUNT_2[[#This Row],[No. Empaques]]*1))</f>
        <v/>
      </c>
      <c r="G2694" s="7" t="str">
        <f>IF(Plantilla_SCAN_EQ3_COUNT_2[[#This Row],[ID MATERIAL]]="","","PZ")</f>
        <v/>
      </c>
      <c r="H2694" s="7" t="str">
        <f>IF(Plantilla_SCAN_EQ3_COUNT_2[[#This Row],[ID MATERIAL]]="","",$B$13)</f>
        <v/>
      </c>
      <c r="I2694" s="7" t="str">
        <f>IF(Plantilla_SCAN_EQ3_COUNT_2[[#This Row],[ID MATERIAL]]="","","Segundo Conteo")</f>
        <v/>
      </c>
    </row>
    <row r="2695" spans="1:9" s="7" customFormat="1" ht="15" x14ac:dyDescent="0.2">
      <c r="A2695" s="7" t="str">
        <f>IF(Plantilla_SCAN_EQ3_COUNT_2[[#This Row],[ID MATERIAL]]="","",SIGN(Plantilla_SCAN_EQ3_COUNT_2[[#This Row],[Cantidad]])+A2694)</f>
        <v/>
      </c>
      <c r="B2695" s="21" t="str">
        <f>IF(Plantilla_SCAN_EQ3_COUNT_2[[#This Row],[ID MATERIAL]]="","",B2694)</f>
        <v/>
      </c>
      <c r="C2695" s="21"/>
      <c r="D2695" s="21"/>
      <c r="E2695" s="7" t="str">
        <f>IF(Plantilla_SCAN_EQ3_COUNT_2[[#This Row],[ID MATERIAL]]="","",VLOOKUP(Plantilla_SCAN_EQ3_COUNT_2[[#This Row],[ID MATERIAL]],INVENTARIO!$A:$D,2,FALSE))</f>
        <v/>
      </c>
      <c r="F2695" s="7" t="str">
        <f>IF(Plantilla_SCAN_EQ3_COUNT_2[[#This Row],[ID MATERIAL]]="","",IF(Plantilla_SCAN_EQ3_COUNT_2[[#This Row],[No. Empaques]]="",1,Plantilla_SCAN_EQ3_COUNT_2[[#This Row],[No. Empaques]]*1))</f>
        <v/>
      </c>
      <c r="G2695" s="7" t="str">
        <f>IF(Plantilla_SCAN_EQ3_COUNT_2[[#This Row],[ID MATERIAL]]="","","PZ")</f>
        <v/>
      </c>
      <c r="H2695" s="7" t="str">
        <f>IF(Plantilla_SCAN_EQ3_COUNT_2[[#This Row],[ID MATERIAL]]="","",$B$13)</f>
        <v/>
      </c>
      <c r="I2695" s="7" t="str">
        <f>IF(Plantilla_SCAN_EQ3_COUNT_2[[#This Row],[ID MATERIAL]]="","","Segundo Conteo")</f>
        <v/>
      </c>
    </row>
    <row r="2696" spans="1:9" s="7" customFormat="1" ht="15" x14ac:dyDescent="0.2">
      <c r="A2696" s="7" t="str">
        <f>IF(Plantilla_SCAN_EQ3_COUNT_2[[#This Row],[ID MATERIAL]]="","",SIGN(Plantilla_SCAN_EQ3_COUNT_2[[#This Row],[Cantidad]])+A2695)</f>
        <v/>
      </c>
      <c r="B2696" s="21" t="str">
        <f>IF(Plantilla_SCAN_EQ3_COUNT_2[[#This Row],[ID MATERIAL]]="","",B2695)</f>
        <v/>
      </c>
      <c r="C2696" s="21"/>
      <c r="D2696" s="21"/>
      <c r="E2696" s="7" t="str">
        <f>IF(Plantilla_SCAN_EQ3_COUNT_2[[#This Row],[ID MATERIAL]]="","",VLOOKUP(Plantilla_SCAN_EQ3_COUNT_2[[#This Row],[ID MATERIAL]],INVENTARIO!$A:$D,2,FALSE))</f>
        <v/>
      </c>
      <c r="F2696" s="7" t="str">
        <f>IF(Plantilla_SCAN_EQ3_COUNT_2[[#This Row],[ID MATERIAL]]="","",IF(Plantilla_SCAN_EQ3_COUNT_2[[#This Row],[No. Empaques]]="",1,Plantilla_SCAN_EQ3_COUNT_2[[#This Row],[No. Empaques]]*1))</f>
        <v/>
      </c>
      <c r="G2696" s="7" t="str">
        <f>IF(Plantilla_SCAN_EQ3_COUNT_2[[#This Row],[ID MATERIAL]]="","","PZ")</f>
        <v/>
      </c>
      <c r="H2696" s="7" t="str">
        <f>IF(Plantilla_SCAN_EQ3_COUNT_2[[#This Row],[ID MATERIAL]]="","",$B$13)</f>
        <v/>
      </c>
      <c r="I2696" s="7" t="str">
        <f>IF(Plantilla_SCAN_EQ3_COUNT_2[[#This Row],[ID MATERIAL]]="","","Segundo Conteo")</f>
        <v/>
      </c>
    </row>
    <row r="2697" spans="1:9" s="7" customFormat="1" ht="15" x14ac:dyDescent="0.2">
      <c r="A2697" s="7" t="str">
        <f>IF(Plantilla_SCAN_EQ3_COUNT_2[[#This Row],[ID MATERIAL]]="","",SIGN(Plantilla_SCAN_EQ3_COUNT_2[[#This Row],[Cantidad]])+A2696)</f>
        <v/>
      </c>
      <c r="B2697" s="21" t="str">
        <f>IF(Plantilla_SCAN_EQ3_COUNT_2[[#This Row],[ID MATERIAL]]="","",B2696)</f>
        <v/>
      </c>
      <c r="C2697" s="21"/>
      <c r="D2697" s="21"/>
      <c r="E2697" s="7" t="str">
        <f>IF(Plantilla_SCAN_EQ3_COUNT_2[[#This Row],[ID MATERIAL]]="","",VLOOKUP(Plantilla_SCAN_EQ3_COUNT_2[[#This Row],[ID MATERIAL]],INVENTARIO!$A:$D,2,FALSE))</f>
        <v/>
      </c>
      <c r="F2697" s="7" t="str">
        <f>IF(Plantilla_SCAN_EQ3_COUNT_2[[#This Row],[ID MATERIAL]]="","",IF(Plantilla_SCAN_EQ3_COUNT_2[[#This Row],[No. Empaques]]="",1,Plantilla_SCAN_EQ3_COUNT_2[[#This Row],[No. Empaques]]*1))</f>
        <v/>
      </c>
      <c r="G2697" s="7" t="str">
        <f>IF(Plantilla_SCAN_EQ3_COUNT_2[[#This Row],[ID MATERIAL]]="","","PZ")</f>
        <v/>
      </c>
      <c r="H2697" s="7" t="str">
        <f>IF(Plantilla_SCAN_EQ3_COUNT_2[[#This Row],[ID MATERIAL]]="","",$B$13)</f>
        <v/>
      </c>
      <c r="I2697" s="7" t="str">
        <f>IF(Plantilla_SCAN_EQ3_COUNT_2[[#This Row],[ID MATERIAL]]="","","Segundo Conteo")</f>
        <v/>
      </c>
    </row>
    <row r="2698" spans="1:9" s="7" customFormat="1" ht="15" x14ac:dyDescent="0.2">
      <c r="A2698" s="7" t="str">
        <f>IF(Plantilla_SCAN_EQ3_COUNT_2[[#This Row],[ID MATERIAL]]="","",SIGN(Plantilla_SCAN_EQ3_COUNT_2[[#This Row],[Cantidad]])+A2697)</f>
        <v/>
      </c>
      <c r="B2698" s="21" t="str">
        <f>IF(Plantilla_SCAN_EQ3_COUNT_2[[#This Row],[ID MATERIAL]]="","",B2697)</f>
        <v/>
      </c>
      <c r="C2698" s="21"/>
      <c r="D2698" s="21"/>
      <c r="E2698" s="7" t="str">
        <f>IF(Plantilla_SCAN_EQ3_COUNT_2[[#This Row],[ID MATERIAL]]="","",VLOOKUP(Plantilla_SCAN_EQ3_COUNT_2[[#This Row],[ID MATERIAL]],INVENTARIO!$A:$D,2,FALSE))</f>
        <v/>
      </c>
      <c r="F2698" s="7" t="str">
        <f>IF(Plantilla_SCAN_EQ3_COUNT_2[[#This Row],[ID MATERIAL]]="","",IF(Plantilla_SCAN_EQ3_COUNT_2[[#This Row],[No. Empaques]]="",1,Plantilla_SCAN_EQ3_COUNT_2[[#This Row],[No. Empaques]]*1))</f>
        <v/>
      </c>
      <c r="G2698" s="7" t="str">
        <f>IF(Plantilla_SCAN_EQ3_COUNT_2[[#This Row],[ID MATERIAL]]="","","PZ")</f>
        <v/>
      </c>
      <c r="H2698" s="7" t="str">
        <f>IF(Plantilla_SCAN_EQ3_COUNT_2[[#This Row],[ID MATERIAL]]="","",$B$13)</f>
        <v/>
      </c>
      <c r="I2698" s="7" t="str">
        <f>IF(Plantilla_SCAN_EQ3_COUNT_2[[#This Row],[ID MATERIAL]]="","","Segundo Conteo")</f>
        <v/>
      </c>
    </row>
    <row r="2699" spans="1:9" s="7" customFormat="1" ht="15" x14ac:dyDescent="0.2">
      <c r="A2699" s="7" t="str">
        <f>IF(Plantilla_SCAN_EQ3_COUNT_2[[#This Row],[ID MATERIAL]]="","",SIGN(Plantilla_SCAN_EQ3_COUNT_2[[#This Row],[Cantidad]])+A2698)</f>
        <v/>
      </c>
      <c r="B2699" s="21" t="str">
        <f>IF(Plantilla_SCAN_EQ3_COUNT_2[[#This Row],[ID MATERIAL]]="","",B2698)</f>
        <v/>
      </c>
      <c r="C2699" s="21"/>
      <c r="D2699" s="21"/>
      <c r="E2699" s="7" t="str">
        <f>IF(Plantilla_SCAN_EQ3_COUNT_2[[#This Row],[ID MATERIAL]]="","",VLOOKUP(Plantilla_SCAN_EQ3_COUNT_2[[#This Row],[ID MATERIAL]],INVENTARIO!$A:$D,2,FALSE))</f>
        <v/>
      </c>
      <c r="F2699" s="7" t="str">
        <f>IF(Plantilla_SCAN_EQ3_COUNT_2[[#This Row],[ID MATERIAL]]="","",IF(Plantilla_SCAN_EQ3_COUNT_2[[#This Row],[No. Empaques]]="",1,Plantilla_SCAN_EQ3_COUNT_2[[#This Row],[No. Empaques]]*1))</f>
        <v/>
      </c>
      <c r="G2699" s="7" t="str">
        <f>IF(Plantilla_SCAN_EQ3_COUNT_2[[#This Row],[ID MATERIAL]]="","","PZ")</f>
        <v/>
      </c>
      <c r="H2699" s="7" t="str">
        <f>IF(Plantilla_SCAN_EQ3_COUNT_2[[#This Row],[ID MATERIAL]]="","",$B$13)</f>
        <v/>
      </c>
      <c r="I2699" s="7" t="str">
        <f>IF(Plantilla_SCAN_EQ3_COUNT_2[[#This Row],[ID MATERIAL]]="","","Segundo Conteo")</f>
        <v/>
      </c>
    </row>
    <row r="2700" spans="1:9" s="7" customFormat="1" ht="15" x14ac:dyDescent="0.2">
      <c r="A2700" s="7" t="str">
        <f>IF(Plantilla_SCAN_EQ3_COUNT_2[[#This Row],[ID MATERIAL]]="","",SIGN(Plantilla_SCAN_EQ3_COUNT_2[[#This Row],[Cantidad]])+A2699)</f>
        <v/>
      </c>
      <c r="B2700" s="21" t="str">
        <f>IF(Plantilla_SCAN_EQ3_COUNT_2[[#This Row],[ID MATERIAL]]="","",B2699)</f>
        <v/>
      </c>
      <c r="C2700" s="21"/>
      <c r="D2700" s="21"/>
      <c r="E2700" s="7" t="str">
        <f>IF(Plantilla_SCAN_EQ3_COUNT_2[[#This Row],[ID MATERIAL]]="","",VLOOKUP(Plantilla_SCAN_EQ3_COUNT_2[[#This Row],[ID MATERIAL]],INVENTARIO!$A:$D,2,FALSE))</f>
        <v/>
      </c>
      <c r="F2700" s="7" t="str">
        <f>IF(Plantilla_SCAN_EQ3_COUNT_2[[#This Row],[ID MATERIAL]]="","",IF(Plantilla_SCAN_EQ3_COUNT_2[[#This Row],[No. Empaques]]="",1,Plantilla_SCAN_EQ3_COUNT_2[[#This Row],[No. Empaques]]*1))</f>
        <v/>
      </c>
      <c r="G2700" s="7" t="str">
        <f>IF(Plantilla_SCAN_EQ3_COUNT_2[[#This Row],[ID MATERIAL]]="","","PZ")</f>
        <v/>
      </c>
      <c r="H2700" s="7" t="str">
        <f>IF(Plantilla_SCAN_EQ3_COUNT_2[[#This Row],[ID MATERIAL]]="","",$B$13)</f>
        <v/>
      </c>
      <c r="I2700" s="7" t="str">
        <f>IF(Plantilla_SCAN_EQ3_COUNT_2[[#This Row],[ID MATERIAL]]="","","Segundo Conteo")</f>
        <v/>
      </c>
    </row>
    <row r="2701" spans="1:9" s="7" customFormat="1" ht="15" x14ac:dyDescent="0.2">
      <c r="A2701" s="7" t="str">
        <f>IF(Plantilla_SCAN_EQ3_COUNT_2[[#This Row],[ID MATERIAL]]="","",SIGN(Plantilla_SCAN_EQ3_COUNT_2[[#This Row],[Cantidad]])+A2700)</f>
        <v/>
      </c>
      <c r="B2701" s="21" t="str">
        <f>IF(Plantilla_SCAN_EQ3_COUNT_2[[#This Row],[ID MATERIAL]]="","",B2700)</f>
        <v/>
      </c>
      <c r="C2701" s="21"/>
      <c r="D2701" s="21"/>
      <c r="E2701" s="7" t="str">
        <f>IF(Plantilla_SCAN_EQ3_COUNT_2[[#This Row],[ID MATERIAL]]="","",VLOOKUP(Plantilla_SCAN_EQ3_COUNT_2[[#This Row],[ID MATERIAL]],INVENTARIO!$A:$D,2,FALSE))</f>
        <v/>
      </c>
      <c r="F2701" s="7" t="str">
        <f>IF(Plantilla_SCAN_EQ3_COUNT_2[[#This Row],[ID MATERIAL]]="","",IF(Plantilla_SCAN_EQ3_COUNT_2[[#This Row],[No. Empaques]]="",1,Plantilla_SCAN_EQ3_COUNT_2[[#This Row],[No. Empaques]]*1))</f>
        <v/>
      </c>
      <c r="G2701" s="7" t="str">
        <f>IF(Plantilla_SCAN_EQ3_COUNT_2[[#This Row],[ID MATERIAL]]="","","PZ")</f>
        <v/>
      </c>
      <c r="H2701" s="7" t="str">
        <f>IF(Plantilla_SCAN_EQ3_COUNT_2[[#This Row],[ID MATERIAL]]="","",$B$13)</f>
        <v/>
      </c>
      <c r="I2701" s="7" t="str">
        <f>IF(Plantilla_SCAN_EQ3_COUNT_2[[#This Row],[ID MATERIAL]]="","","Segundo Conteo")</f>
        <v/>
      </c>
    </row>
    <row r="2702" spans="1:9" s="7" customFormat="1" ht="15" x14ac:dyDescent="0.2">
      <c r="A2702" s="7" t="str">
        <f>IF(Plantilla_SCAN_EQ3_COUNT_2[[#This Row],[ID MATERIAL]]="","",SIGN(Plantilla_SCAN_EQ3_COUNT_2[[#This Row],[Cantidad]])+A2701)</f>
        <v/>
      </c>
      <c r="B2702" s="21" t="str">
        <f>IF(Plantilla_SCAN_EQ3_COUNT_2[[#This Row],[ID MATERIAL]]="","",B2701)</f>
        <v/>
      </c>
      <c r="C2702" s="21"/>
      <c r="D2702" s="21"/>
      <c r="E2702" s="7" t="str">
        <f>IF(Plantilla_SCAN_EQ3_COUNT_2[[#This Row],[ID MATERIAL]]="","",VLOOKUP(Plantilla_SCAN_EQ3_COUNT_2[[#This Row],[ID MATERIAL]],INVENTARIO!$A:$D,2,FALSE))</f>
        <v/>
      </c>
      <c r="F2702" s="7" t="str">
        <f>IF(Plantilla_SCAN_EQ3_COUNT_2[[#This Row],[ID MATERIAL]]="","",IF(Plantilla_SCAN_EQ3_COUNT_2[[#This Row],[No. Empaques]]="",1,Plantilla_SCAN_EQ3_COUNT_2[[#This Row],[No. Empaques]]*1))</f>
        <v/>
      </c>
      <c r="G2702" s="7" t="str">
        <f>IF(Plantilla_SCAN_EQ3_COUNT_2[[#This Row],[ID MATERIAL]]="","","PZ")</f>
        <v/>
      </c>
      <c r="H2702" s="7" t="str">
        <f>IF(Plantilla_SCAN_EQ3_COUNT_2[[#This Row],[ID MATERIAL]]="","",$B$13)</f>
        <v/>
      </c>
      <c r="I2702" s="7" t="str">
        <f>IF(Plantilla_SCAN_EQ3_COUNT_2[[#This Row],[ID MATERIAL]]="","","Segundo Conteo")</f>
        <v/>
      </c>
    </row>
    <row r="2703" spans="1:9" s="7" customFormat="1" ht="15" x14ac:dyDescent="0.2">
      <c r="A2703" s="7" t="str">
        <f>IF(Plantilla_SCAN_EQ3_COUNT_2[[#This Row],[ID MATERIAL]]="","",SIGN(Plantilla_SCAN_EQ3_COUNT_2[[#This Row],[Cantidad]])+A2702)</f>
        <v/>
      </c>
      <c r="B2703" s="21" t="str">
        <f>IF(Plantilla_SCAN_EQ3_COUNT_2[[#This Row],[ID MATERIAL]]="","",B2702)</f>
        <v/>
      </c>
      <c r="C2703" s="21"/>
      <c r="D2703" s="21"/>
      <c r="E2703" s="7" t="str">
        <f>IF(Plantilla_SCAN_EQ3_COUNT_2[[#This Row],[ID MATERIAL]]="","",VLOOKUP(Plantilla_SCAN_EQ3_COUNT_2[[#This Row],[ID MATERIAL]],INVENTARIO!$A:$D,2,FALSE))</f>
        <v/>
      </c>
      <c r="F2703" s="7" t="str">
        <f>IF(Plantilla_SCAN_EQ3_COUNT_2[[#This Row],[ID MATERIAL]]="","",IF(Plantilla_SCAN_EQ3_COUNT_2[[#This Row],[No. Empaques]]="",1,Plantilla_SCAN_EQ3_COUNT_2[[#This Row],[No. Empaques]]*1))</f>
        <v/>
      </c>
      <c r="G2703" s="7" t="str">
        <f>IF(Plantilla_SCAN_EQ3_COUNT_2[[#This Row],[ID MATERIAL]]="","","PZ")</f>
        <v/>
      </c>
      <c r="H2703" s="7" t="str">
        <f>IF(Plantilla_SCAN_EQ3_COUNT_2[[#This Row],[ID MATERIAL]]="","",$B$13)</f>
        <v/>
      </c>
      <c r="I2703" s="7" t="str">
        <f>IF(Plantilla_SCAN_EQ3_COUNT_2[[#This Row],[ID MATERIAL]]="","","Segundo Conteo")</f>
        <v/>
      </c>
    </row>
    <row r="2704" spans="1:9" s="7" customFormat="1" ht="15" x14ac:dyDescent="0.2">
      <c r="A2704" s="7" t="str">
        <f>IF(Plantilla_SCAN_EQ3_COUNT_2[[#This Row],[ID MATERIAL]]="","",SIGN(Plantilla_SCAN_EQ3_COUNT_2[[#This Row],[Cantidad]])+A2703)</f>
        <v/>
      </c>
      <c r="B2704" s="21" t="str">
        <f>IF(Plantilla_SCAN_EQ3_COUNT_2[[#This Row],[ID MATERIAL]]="","",B2703)</f>
        <v/>
      </c>
      <c r="C2704" s="21"/>
      <c r="D2704" s="21"/>
      <c r="E2704" s="7" t="str">
        <f>IF(Plantilla_SCAN_EQ3_COUNT_2[[#This Row],[ID MATERIAL]]="","",VLOOKUP(Plantilla_SCAN_EQ3_COUNT_2[[#This Row],[ID MATERIAL]],INVENTARIO!$A:$D,2,FALSE))</f>
        <v/>
      </c>
      <c r="F2704" s="7" t="str">
        <f>IF(Plantilla_SCAN_EQ3_COUNT_2[[#This Row],[ID MATERIAL]]="","",IF(Plantilla_SCAN_EQ3_COUNT_2[[#This Row],[No. Empaques]]="",1,Plantilla_SCAN_EQ3_COUNT_2[[#This Row],[No. Empaques]]*1))</f>
        <v/>
      </c>
      <c r="G2704" s="7" t="str">
        <f>IF(Plantilla_SCAN_EQ3_COUNT_2[[#This Row],[ID MATERIAL]]="","","PZ")</f>
        <v/>
      </c>
      <c r="H2704" s="7" t="str">
        <f>IF(Plantilla_SCAN_EQ3_COUNT_2[[#This Row],[ID MATERIAL]]="","",$B$13)</f>
        <v/>
      </c>
      <c r="I2704" s="7" t="str">
        <f>IF(Plantilla_SCAN_EQ3_COUNT_2[[#This Row],[ID MATERIAL]]="","","Segundo Conteo")</f>
        <v/>
      </c>
    </row>
    <row r="2705" spans="1:9" s="7" customFormat="1" ht="15" x14ac:dyDescent="0.2">
      <c r="A2705" s="7" t="str">
        <f>IF(Plantilla_SCAN_EQ3_COUNT_2[[#This Row],[ID MATERIAL]]="","",SIGN(Plantilla_SCAN_EQ3_COUNT_2[[#This Row],[Cantidad]])+A2704)</f>
        <v/>
      </c>
      <c r="B2705" s="21" t="str">
        <f>IF(Plantilla_SCAN_EQ3_COUNT_2[[#This Row],[ID MATERIAL]]="","",B2704)</f>
        <v/>
      </c>
      <c r="C2705" s="21"/>
      <c r="D2705" s="21"/>
      <c r="E2705" s="7" t="str">
        <f>IF(Plantilla_SCAN_EQ3_COUNT_2[[#This Row],[ID MATERIAL]]="","",VLOOKUP(Plantilla_SCAN_EQ3_COUNT_2[[#This Row],[ID MATERIAL]],INVENTARIO!$A:$D,2,FALSE))</f>
        <v/>
      </c>
      <c r="F2705" s="7" t="str">
        <f>IF(Plantilla_SCAN_EQ3_COUNT_2[[#This Row],[ID MATERIAL]]="","",IF(Plantilla_SCAN_EQ3_COUNT_2[[#This Row],[No. Empaques]]="",1,Plantilla_SCAN_EQ3_COUNT_2[[#This Row],[No. Empaques]]*1))</f>
        <v/>
      </c>
      <c r="G2705" s="7" t="str">
        <f>IF(Plantilla_SCAN_EQ3_COUNT_2[[#This Row],[ID MATERIAL]]="","","PZ")</f>
        <v/>
      </c>
      <c r="H2705" s="7" t="str">
        <f>IF(Plantilla_SCAN_EQ3_COUNT_2[[#This Row],[ID MATERIAL]]="","",$B$13)</f>
        <v/>
      </c>
      <c r="I2705" s="7" t="str">
        <f>IF(Plantilla_SCAN_EQ3_COUNT_2[[#This Row],[ID MATERIAL]]="","","Segundo Conteo")</f>
        <v/>
      </c>
    </row>
    <row r="2706" spans="1:9" s="7" customFormat="1" ht="15" x14ac:dyDescent="0.2">
      <c r="A2706" s="7" t="str">
        <f>IF(Plantilla_SCAN_EQ3_COUNT_2[[#This Row],[ID MATERIAL]]="","",SIGN(Plantilla_SCAN_EQ3_COUNT_2[[#This Row],[Cantidad]])+A2705)</f>
        <v/>
      </c>
      <c r="B2706" s="21" t="str">
        <f>IF(Plantilla_SCAN_EQ3_COUNT_2[[#This Row],[ID MATERIAL]]="","",B2705)</f>
        <v/>
      </c>
      <c r="C2706" s="21"/>
      <c r="D2706" s="21"/>
      <c r="E2706" s="7" t="str">
        <f>IF(Plantilla_SCAN_EQ3_COUNT_2[[#This Row],[ID MATERIAL]]="","",VLOOKUP(Plantilla_SCAN_EQ3_COUNT_2[[#This Row],[ID MATERIAL]],INVENTARIO!$A:$D,2,FALSE))</f>
        <v/>
      </c>
      <c r="F2706" s="7" t="str">
        <f>IF(Plantilla_SCAN_EQ3_COUNT_2[[#This Row],[ID MATERIAL]]="","",IF(Plantilla_SCAN_EQ3_COUNT_2[[#This Row],[No. Empaques]]="",1,Plantilla_SCAN_EQ3_COUNT_2[[#This Row],[No. Empaques]]*1))</f>
        <v/>
      </c>
      <c r="G2706" s="7" t="str">
        <f>IF(Plantilla_SCAN_EQ3_COUNT_2[[#This Row],[ID MATERIAL]]="","","PZ")</f>
        <v/>
      </c>
      <c r="H2706" s="7" t="str">
        <f>IF(Plantilla_SCAN_EQ3_COUNT_2[[#This Row],[ID MATERIAL]]="","",$B$13)</f>
        <v/>
      </c>
      <c r="I2706" s="7" t="str">
        <f>IF(Plantilla_SCAN_EQ3_COUNT_2[[#This Row],[ID MATERIAL]]="","","Segundo Conteo")</f>
        <v/>
      </c>
    </row>
    <row r="2707" spans="1:9" s="7" customFormat="1" ht="15" x14ac:dyDescent="0.2">
      <c r="A2707" s="7" t="str">
        <f>IF(Plantilla_SCAN_EQ3_COUNT_2[[#This Row],[ID MATERIAL]]="","",SIGN(Plantilla_SCAN_EQ3_COUNT_2[[#This Row],[Cantidad]])+A2706)</f>
        <v/>
      </c>
      <c r="B2707" s="21" t="str">
        <f>IF(Plantilla_SCAN_EQ3_COUNT_2[[#This Row],[ID MATERIAL]]="","",B2706)</f>
        <v/>
      </c>
      <c r="C2707" s="21"/>
      <c r="D2707" s="21"/>
      <c r="E2707" s="7" t="str">
        <f>IF(Plantilla_SCAN_EQ3_COUNT_2[[#This Row],[ID MATERIAL]]="","",VLOOKUP(Plantilla_SCAN_EQ3_COUNT_2[[#This Row],[ID MATERIAL]],INVENTARIO!$A:$D,2,FALSE))</f>
        <v/>
      </c>
      <c r="F2707" s="7" t="str">
        <f>IF(Plantilla_SCAN_EQ3_COUNT_2[[#This Row],[ID MATERIAL]]="","",IF(Plantilla_SCAN_EQ3_COUNT_2[[#This Row],[No. Empaques]]="",1,Plantilla_SCAN_EQ3_COUNT_2[[#This Row],[No. Empaques]]*1))</f>
        <v/>
      </c>
      <c r="G2707" s="7" t="str">
        <f>IF(Plantilla_SCAN_EQ3_COUNT_2[[#This Row],[ID MATERIAL]]="","","PZ")</f>
        <v/>
      </c>
      <c r="H2707" s="7" t="str">
        <f>IF(Plantilla_SCAN_EQ3_COUNT_2[[#This Row],[ID MATERIAL]]="","",$B$13)</f>
        <v/>
      </c>
      <c r="I2707" s="7" t="str">
        <f>IF(Plantilla_SCAN_EQ3_COUNT_2[[#This Row],[ID MATERIAL]]="","","Segundo Conteo")</f>
        <v/>
      </c>
    </row>
    <row r="2708" spans="1:9" s="7" customFormat="1" ht="15" x14ac:dyDescent="0.2">
      <c r="A2708" s="7" t="str">
        <f>IF(Plantilla_SCAN_EQ3_COUNT_2[[#This Row],[ID MATERIAL]]="","",SIGN(Plantilla_SCAN_EQ3_COUNT_2[[#This Row],[Cantidad]])+A2707)</f>
        <v/>
      </c>
      <c r="B2708" s="21" t="str">
        <f>IF(Plantilla_SCAN_EQ3_COUNT_2[[#This Row],[ID MATERIAL]]="","",B2707)</f>
        <v/>
      </c>
      <c r="C2708" s="21"/>
      <c r="D2708" s="21"/>
      <c r="E2708" s="7" t="str">
        <f>IF(Plantilla_SCAN_EQ3_COUNT_2[[#This Row],[ID MATERIAL]]="","",VLOOKUP(Plantilla_SCAN_EQ3_COUNT_2[[#This Row],[ID MATERIAL]],INVENTARIO!$A:$D,2,FALSE))</f>
        <v/>
      </c>
      <c r="F2708" s="7" t="str">
        <f>IF(Plantilla_SCAN_EQ3_COUNT_2[[#This Row],[ID MATERIAL]]="","",IF(Plantilla_SCAN_EQ3_COUNT_2[[#This Row],[No. Empaques]]="",1,Plantilla_SCAN_EQ3_COUNT_2[[#This Row],[No. Empaques]]*1))</f>
        <v/>
      </c>
      <c r="G2708" s="7" t="str">
        <f>IF(Plantilla_SCAN_EQ3_COUNT_2[[#This Row],[ID MATERIAL]]="","","PZ")</f>
        <v/>
      </c>
      <c r="H2708" s="7" t="str">
        <f>IF(Plantilla_SCAN_EQ3_COUNT_2[[#This Row],[ID MATERIAL]]="","",$B$13)</f>
        <v/>
      </c>
      <c r="I2708" s="7" t="str">
        <f>IF(Plantilla_SCAN_EQ3_COUNT_2[[#This Row],[ID MATERIAL]]="","","Segundo Conteo")</f>
        <v/>
      </c>
    </row>
    <row r="2709" spans="1:9" s="7" customFormat="1" ht="15" x14ac:dyDescent="0.2">
      <c r="A2709" s="7" t="str">
        <f>IF(Plantilla_SCAN_EQ3_COUNT_2[[#This Row],[ID MATERIAL]]="","",SIGN(Plantilla_SCAN_EQ3_COUNT_2[[#This Row],[Cantidad]])+A2708)</f>
        <v/>
      </c>
      <c r="B2709" s="21" t="str">
        <f>IF(Plantilla_SCAN_EQ3_COUNT_2[[#This Row],[ID MATERIAL]]="","",B2708)</f>
        <v/>
      </c>
      <c r="C2709" s="21"/>
      <c r="D2709" s="21"/>
      <c r="E2709" s="7" t="str">
        <f>IF(Plantilla_SCAN_EQ3_COUNT_2[[#This Row],[ID MATERIAL]]="","",VLOOKUP(Plantilla_SCAN_EQ3_COUNT_2[[#This Row],[ID MATERIAL]],INVENTARIO!$A:$D,2,FALSE))</f>
        <v/>
      </c>
      <c r="F2709" s="7" t="str">
        <f>IF(Plantilla_SCAN_EQ3_COUNT_2[[#This Row],[ID MATERIAL]]="","",IF(Plantilla_SCAN_EQ3_COUNT_2[[#This Row],[No. Empaques]]="",1,Plantilla_SCAN_EQ3_COUNT_2[[#This Row],[No. Empaques]]*1))</f>
        <v/>
      </c>
      <c r="G2709" s="7" t="str">
        <f>IF(Plantilla_SCAN_EQ3_COUNT_2[[#This Row],[ID MATERIAL]]="","","PZ")</f>
        <v/>
      </c>
      <c r="H2709" s="7" t="str">
        <f>IF(Plantilla_SCAN_EQ3_COUNT_2[[#This Row],[ID MATERIAL]]="","",$B$13)</f>
        <v/>
      </c>
      <c r="I2709" s="7" t="str">
        <f>IF(Plantilla_SCAN_EQ3_COUNT_2[[#This Row],[ID MATERIAL]]="","","Segundo Conteo")</f>
        <v/>
      </c>
    </row>
    <row r="2710" spans="1:9" s="7" customFormat="1" ht="15" x14ac:dyDescent="0.2">
      <c r="A2710" s="7" t="str">
        <f>IF(Plantilla_SCAN_EQ3_COUNT_2[[#This Row],[ID MATERIAL]]="","",SIGN(Plantilla_SCAN_EQ3_COUNT_2[[#This Row],[Cantidad]])+A2709)</f>
        <v/>
      </c>
      <c r="B2710" s="21" t="str">
        <f>IF(Plantilla_SCAN_EQ3_COUNT_2[[#This Row],[ID MATERIAL]]="","",B2709)</f>
        <v/>
      </c>
      <c r="C2710" s="21"/>
      <c r="D2710" s="21"/>
      <c r="E2710" s="7" t="str">
        <f>IF(Plantilla_SCAN_EQ3_COUNT_2[[#This Row],[ID MATERIAL]]="","",VLOOKUP(Plantilla_SCAN_EQ3_COUNT_2[[#This Row],[ID MATERIAL]],INVENTARIO!$A:$D,2,FALSE))</f>
        <v/>
      </c>
      <c r="F2710" s="7" t="str">
        <f>IF(Plantilla_SCAN_EQ3_COUNT_2[[#This Row],[ID MATERIAL]]="","",IF(Plantilla_SCAN_EQ3_COUNT_2[[#This Row],[No. Empaques]]="",1,Plantilla_SCAN_EQ3_COUNT_2[[#This Row],[No. Empaques]]*1))</f>
        <v/>
      </c>
      <c r="G2710" s="7" t="str">
        <f>IF(Plantilla_SCAN_EQ3_COUNT_2[[#This Row],[ID MATERIAL]]="","","PZ")</f>
        <v/>
      </c>
      <c r="H2710" s="7" t="str">
        <f>IF(Plantilla_SCAN_EQ3_COUNT_2[[#This Row],[ID MATERIAL]]="","",$B$13)</f>
        <v/>
      </c>
      <c r="I2710" s="7" t="str">
        <f>IF(Plantilla_SCAN_EQ3_COUNT_2[[#This Row],[ID MATERIAL]]="","","Segundo Conteo")</f>
        <v/>
      </c>
    </row>
    <row r="2711" spans="1:9" s="7" customFormat="1" ht="15" x14ac:dyDescent="0.2">
      <c r="A2711" s="7" t="str">
        <f>IF(Plantilla_SCAN_EQ3_COUNT_2[[#This Row],[ID MATERIAL]]="","",SIGN(Plantilla_SCAN_EQ3_COUNT_2[[#This Row],[Cantidad]])+A2710)</f>
        <v/>
      </c>
      <c r="B2711" s="21" t="str">
        <f>IF(Plantilla_SCAN_EQ3_COUNT_2[[#This Row],[ID MATERIAL]]="","",B2710)</f>
        <v/>
      </c>
      <c r="C2711" s="21"/>
      <c r="D2711" s="21"/>
      <c r="E2711" s="7" t="str">
        <f>IF(Plantilla_SCAN_EQ3_COUNT_2[[#This Row],[ID MATERIAL]]="","",VLOOKUP(Plantilla_SCAN_EQ3_COUNT_2[[#This Row],[ID MATERIAL]],INVENTARIO!$A:$D,2,FALSE))</f>
        <v/>
      </c>
      <c r="F2711" s="7" t="str">
        <f>IF(Plantilla_SCAN_EQ3_COUNT_2[[#This Row],[ID MATERIAL]]="","",IF(Plantilla_SCAN_EQ3_COUNT_2[[#This Row],[No. Empaques]]="",1,Plantilla_SCAN_EQ3_COUNT_2[[#This Row],[No. Empaques]]*1))</f>
        <v/>
      </c>
      <c r="G2711" s="7" t="str">
        <f>IF(Plantilla_SCAN_EQ3_COUNT_2[[#This Row],[ID MATERIAL]]="","","PZ")</f>
        <v/>
      </c>
      <c r="H2711" s="7" t="str">
        <f>IF(Plantilla_SCAN_EQ3_COUNT_2[[#This Row],[ID MATERIAL]]="","",$B$13)</f>
        <v/>
      </c>
      <c r="I2711" s="7" t="str">
        <f>IF(Plantilla_SCAN_EQ3_COUNT_2[[#This Row],[ID MATERIAL]]="","","Segundo Conteo")</f>
        <v/>
      </c>
    </row>
    <row r="2712" spans="1:9" s="7" customFormat="1" ht="15" x14ac:dyDescent="0.2">
      <c r="A2712" s="7" t="str">
        <f>IF(Plantilla_SCAN_EQ3_COUNT_2[[#This Row],[ID MATERIAL]]="","",SIGN(Plantilla_SCAN_EQ3_COUNT_2[[#This Row],[Cantidad]])+A2711)</f>
        <v/>
      </c>
      <c r="B2712" s="21" t="str">
        <f>IF(Plantilla_SCAN_EQ3_COUNT_2[[#This Row],[ID MATERIAL]]="","",B2711)</f>
        <v/>
      </c>
      <c r="C2712" s="21"/>
      <c r="D2712" s="21"/>
      <c r="E2712" s="7" t="str">
        <f>IF(Plantilla_SCAN_EQ3_COUNT_2[[#This Row],[ID MATERIAL]]="","",VLOOKUP(Plantilla_SCAN_EQ3_COUNT_2[[#This Row],[ID MATERIAL]],INVENTARIO!$A:$D,2,FALSE))</f>
        <v/>
      </c>
      <c r="F2712" s="7" t="str">
        <f>IF(Plantilla_SCAN_EQ3_COUNT_2[[#This Row],[ID MATERIAL]]="","",IF(Plantilla_SCAN_EQ3_COUNT_2[[#This Row],[No. Empaques]]="",1,Plantilla_SCAN_EQ3_COUNT_2[[#This Row],[No. Empaques]]*1))</f>
        <v/>
      </c>
      <c r="G2712" s="7" t="str">
        <f>IF(Plantilla_SCAN_EQ3_COUNT_2[[#This Row],[ID MATERIAL]]="","","PZ")</f>
        <v/>
      </c>
      <c r="H2712" s="7" t="str">
        <f>IF(Plantilla_SCAN_EQ3_COUNT_2[[#This Row],[ID MATERIAL]]="","",$B$13)</f>
        <v/>
      </c>
      <c r="I2712" s="7" t="str">
        <f>IF(Plantilla_SCAN_EQ3_COUNT_2[[#This Row],[ID MATERIAL]]="","","Segundo Conteo")</f>
        <v/>
      </c>
    </row>
    <row r="2713" spans="1:9" s="7" customFormat="1" ht="15" x14ac:dyDescent="0.2">
      <c r="A2713" s="7" t="str">
        <f>IF(Plantilla_SCAN_EQ3_COUNT_2[[#This Row],[ID MATERIAL]]="","",SIGN(Plantilla_SCAN_EQ3_COUNT_2[[#This Row],[Cantidad]])+A2712)</f>
        <v/>
      </c>
      <c r="B2713" s="21" t="str">
        <f>IF(Plantilla_SCAN_EQ3_COUNT_2[[#This Row],[ID MATERIAL]]="","",B2712)</f>
        <v/>
      </c>
      <c r="C2713" s="21"/>
      <c r="D2713" s="21"/>
      <c r="E2713" s="7" t="str">
        <f>IF(Plantilla_SCAN_EQ3_COUNT_2[[#This Row],[ID MATERIAL]]="","",VLOOKUP(Plantilla_SCAN_EQ3_COUNT_2[[#This Row],[ID MATERIAL]],INVENTARIO!$A:$D,2,FALSE))</f>
        <v/>
      </c>
      <c r="F2713" s="7" t="str">
        <f>IF(Plantilla_SCAN_EQ3_COUNT_2[[#This Row],[ID MATERIAL]]="","",IF(Plantilla_SCAN_EQ3_COUNT_2[[#This Row],[No. Empaques]]="",1,Plantilla_SCAN_EQ3_COUNT_2[[#This Row],[No. Empaques]]*1))</f>
        <v/>
      </c>
      <c r="G2713" s="7" t="str">
        <f>IF(Plantilla_SCAN_EQ3_COUNT_2[[#This Row],[ID MATERIAL]]="","","PZ")</f>
        <v/>
      </c>
      <c r="H2713" s="7" t="str">
        <f>IF(Plantilla_SCAN_EQ3_COUNT_2[[#This Row],[ID MATERIAL]]="","",$B$13)</f>
        <v/>
      </c>
      <c r="I2713" s="7" t="str">
        <f>IF(Plantilla_SCAN_EQ3_COUNT_2[[#This Row],[ID MATERIAL]]="","","Segundo Conteo")</f>
        <v/>
      </c>
    </row>
    <row r="2714" spans="1:9" s="7" customFormat="1" ht="15" x14ac:dyDescent="0.2">
      <c r="A2714" s="7" t="str">
        <f>IF(Plantilla_SCAN_EQ3_COUNT_2[[#This Row],[ID MATERIAL]]="","",SIGN(Plantilla_SCAN_EQ3_COUNT_2[[#This Row],[Cantidad]])+A2713)</f>
        <v/>
      </c>
      <c r="B2714" s="21" t="str">
        <f>IF(Plantilla_SCAN_EQ3_COUNT_2[[#This Row],[ID MATERIAL]]="","",B2713)</f>
        <v/>
      </c>
      <c r="C2714" s="21"/>
      <c r="D2714" s="21"/>
      <c r="E2714" s="7" t="str">
        <f>IF(Plantilla_SCAN_EQ3_COUNT_2[[#This Row],[ID MATERIAL]]="","",VLOOKUP(Plantilla_SCAN_EQ3_COUNT_2[[#This Row],[ID MATERIAL]],INVENTARIO!$A:$D,2,FALSE))</f>
        <v/>
      </c>
      <c r="F2714" s="7" t="str">
        <f>IF(Plantilla_SCAN_EQ3_COUNT_2[[#This Row],[ID MATERIAL]]="","",IF(Plantilla_SCAN_EQ3_COUNT_2[[#This Row],[No. Empaques]]="",1,Plantilla_SCAN_EQ3_COUNT_2[[#This Row],[No. Empaques]]*1))</f>
        <v/>
      </c>
      <c r="G2714" s="7" t="str">
        <f>IF(Plantilla_SCAN_EQ3_COUNT_2[[#This Row],[ID MATERIAL]]="","","PZ")</f>
        <v/>
      </c>
      <c r="H2714" s="7" t="str">
        <f>IF(Plantilla_SCAN_EQ3_COUNT_2[[#This Row],[ID MATERIAL]]="","",$B$13)</f>
        <v/>
      </c>
      <c r="I2714" s="7" t="str">
        <f>IF(Plantilla_SCAN_EQ3_COUNT_2[[#This Row],[ID MATERIAL]]="","","Segundo Conteo")</f>
        <v/>
      </c>
    </row>
    <row r="2715" spans="1:9" s="7" customFormat="1" ht="15" x14ac:dyDescent="0.2">
      <c r="A2715" s="7" t="str">
        <f>IF(Plantilla_SCAN_EQ3_COUNT_2[[#This Row],[ID MATERIAL]]="","",SIGN(Plantilla_SCAN_EQ3_COUNT_2[[#This Row],[Cantidad]])+A2714)</f>
        <v/>
      </c>
      <c r="B2715" s="21" t="str">
        <f>IF(Plantilla_SCAN_EQ3_COUNT_2[[#This Row],[ID MATERIAL]]="","",B2714)</f>
        <v/>
      </c>
      <c r="C2715" s="21"/>
      <c r="D2715" s="21"/>
      <c r="E2715" s="7" t="str">
        <f>IF(Plantilla_SCAN_EQ3_COUNT_2[[#This Row],[ID MATERIAL]]="","",VLOOKUP(Plantilla_SCAN_EQ3_COUNT_2[[#This Row],[ID MATERIAL]],INVENTARIO!$A:$D,2,FALSE))</f>
        <v/>
      </c>
      <c r="F2715" s="7" t="str">
        <f>IF(Plantilla_SCAN_EQ3_COUNT_2[[#This Row],[ID MATERIAL]]="","",IF(Plantilla_SCAN_EQ3_COUNT_2[[#This Row],[No. Empaques]]="",1,Plantilla_SCAN_EQ3_COUNT_2[[#This Row],[No. Empaques]]*1))</f>
        <v/>
      </c>
      <c r="G2715" s="7" t="str">
        <f>IF(Plantilla_SCAN_EQ3_COUNT_2[[#This Row],[ID MATERIAL]]="","","PZ")</f>
        <v/>
      </c>
      <c r="H2715" s="7" t="str">
        <f>IF(Plantilla_SCAN_EQ3_COUNT_2[[#This Row],[ID MATERIAL]]="","",$B$13)</f>
        <v/>
      </c>
      <c r="I2715" s="7" t="str">
        <f>IF(Plantilla_SCAN_EQ3_COUNT_2[[#This Row],[ID MATERIAL]]="","","Segundo Conteo")</f>
        <v/>
      </c>
    </row>
    <row r="2716" spans="1:9" s="7" customFormat="1" ht="15" x14ac:dyDescent="0.2">
      <c r="A2716" s="7" t="str">
        <f>IF(Plantilla_SCAN_EQ3_COUNT_2[[#This Row],[ID MATERIAL]]="","",SIGN(Plantilla_SCAN_EQ3_COUNT_2[[#This Row],[Cantidad]])+A2715)</f>
        <v/>
      </c>
      <c r="B2716" s="21" t="str">
        <f>IF(Plantilla_SCAN_EQ3_COUNT_2[[#This Row],[ID MATERIAL]]="","",B2715)</f>
        <v/>
      </c>
      <c r="C2716" s="21"/>
      <c r="D2716" s="21"/>
      <c r="E2716" s="7" t="str">
        <f>IF(Plantilla_SCAN_EQ3_COUNT_2[[#This Row],[ID MATERIAL]]="","",VLOOKUP(Plantilla_SCAN_EQ3_COUNT_2[[#This Row],[ID MATERIAL]],INVENTARIO!$A:$D,2,FALSE))</f>
        <v/>
      </c>
      <c r="F2716" s="7" t="str">
        <f>IF(Plantilla_SCAN_EQ3_COUNT_2[[#This Row],[ID MATERIAL]]="","",IF(Plantilla_SCAN_EQ3_COUNT_2[[#This Row],[No. Empaques]]="",1,Plantilla_SCAN_EQ3_COUNT_2[[#This Row],[No. Empaques]]*1))</f>
        <v/>
      </c>
      <c r="G2716" s="7" t="str">
        <f>IF(Plantilla_SCAN_EQ3_COUNT_2[[#This Row],[ID MATERIAL]]="","","PZ")</f>
        <v/>
      </c>
      <c r="H2716" s="7" t="str">
        <f>IF(Plantilla_SCAN_EQ3_COUNT_2[[#This Row],[ID MATERIAL]]="","",$B$13)</f>
        <v/>
      </c>
      <c r="I2716" s="7" t="str">
        <f>IF(Plantilla_SCAN_EQ3_COUNT_2[[#This Row],[ID MATERIAL]]="","","Segundo Conteo")</f>
        <v/>
      </c>
    </row>
    <row r="2717" spans="1:9" s="7" customFormat="1" ht="15" x14ac:dyDescent="0.2">
      <c r="A2717" s="7" t="str">
        <f>IF(Plantilla_SCAN_EQ3_COUNT_2[[#This Row],[ID MATERIAL]]="","",SIGN(Plantilla_SCAN_EQ3_COUNT_2[[#This Row],[Cantidad]])+A2716)</f>
        <v/>
      </c>
      <c r="B2717" s="21" t="str">
        <f>IF(Plantilla_SCAN_EQ3_COUNT_2[[#This Row],[ID MATERIAL]]="","",B2716)</f>
        <v/>
      </c>
      <c r="C2717" s="21"/>
      <c r="D2717" s="21"/>
      <c r="E2717" s="7" t="str">
        <f>IF(Plantilla_SCAN_EQ3_COUNT_2[[#This Row],[ID MATERIAL]]="","",VLOOKUP(Plantilla_SCAN_EQ3_COUNT_2[[#This Row],[ID MATERIAL]],INVENTARIO!$A:$D,2,FALSE))</f>
        <v/>
      </c>
      <c r="F2717" s="7" t="str">
        <f>IF(Plantilla_SCAN_EQ3_COUNT_2[[#This Row],[ID MATERIAL]]="","",IF(Plantilla_SCAN_EQ3_COUNT_2[[#This Row],[No. Empaques]]="",1,Plantilla_SCAN_EQ3_COUNT_2[[#This Row],[No. Empaques]]*1))</f>
        <v/>
      </c>
      <c r="G2717" s="7" t="str">
        <f>IF(Plantilla_SCAN_EQ3_COUNT_2[[#This Row],[ID MATERIAL]]="","","PZ")</f>
        <v/>
      </c>
      <c r="H2717" s="7" t="str">
        <f>IF(Plantilla_SCAN_EQ3_COUNT_2[[#This Row],[ID MATERIAL]]="","",$B$13)</f>
        <v/>
      </c>
      <c r="I2717" s="7" t="str">
        <f>IF(Plantilla_SCAN_EQ3_COUNT_2[[#This Row],[ID MATERIAL]]="","","Segundo Conteo")</f>
        <v/>
      </c>
    </row>
    <row r="2718" spans="1:9" s="7" customFormat="1" ht="15" x14ac:dyDescent="0.2">
      <c r="A2718" s="7" t="str">
        <f>IF(Plantilla_SCAN_EQ3_COUNT_2[[#This Row],[ID MATERIAL]]="","",SIGN(Plantilla_SCAN_EQ3_COUNT_2[[#This Row],[Cantidad]])+A2717)</f>
        <v/>
      </c>
      <c r="B2718" s="21" t="str">
        <f>IF(Plantilla_SCAN_EQ3_COUNT_2[[#This Row],[ID MATERIAL]]="","",B2717)</f>
        <v/>
      </c>
      <c r="C2718" s="21"/>
      <c r="D2718" s="21"/>
      <c r="E2718" s="7" t="str">
        <f>IF(Plantilla_SCAN_EQ3_COUNT_2[[#This Row],[ID MATERIAL]]="","",VLOOKUP(Plantilla_SCAN_EQ3_COUNT_2[[#This Row],[ID MATERIAL]],INVENTARIO!$A:$D,2,FALSE))</f>
        <v/>
      </c>
      <c r="F2718" s="7" t="str">
        <f>IF(Plantilla_SCAN_EQ3_COUNT_2[[#This Row],[ID MATERIAL]]="","",IF(Plantilla_SCAN_EQ3_COUNT_2[[#This Row],[No. Empaques]]="",1,Plantilla_SCAN_EQ3_COUNT_2[[#This Row],[No. Empaques]]*1))</f>
        <v/>
      </c>
      <c r="G2718" s="7" t="str">
        <f>IF(Plantilla_SCAN_EQ3_COUNT_2[[#This Row],[ID MATERIAL]]="","","PZ")</f>
        <v/>
      </c>
      <c r="H2718" s="7" t="str">
        <f>IF(Plantilla_SCAN_EQ3_COUNT_2[[#This Row],[ID MATERIAL]]="","",$B$13)</f>
        <v/>
      </c>
      <c r="I2718" s="7" t="str">
        <f>IF(Plantilla_SCAN_EQ3_COUNT_2[[#This Row],[ID MATERIAL]]="","","Segundo Conteo")</f>
        <v/>
      </c>
    </row>
    <row r="2719" spans="1:9" s="7" customFormat="1" ht="15" x14ac:dyDescent="0.2">
      <c r="A2719" s="7" t="str">
        <f>IF(Plantilla_SCAN_EQ3_COUNT_2[[#This Row],[ID MATERIAL]]="","",SIGN(Plantilla_SCAN_EQ3_COUNT_2[[#This Row],[Cantidad]])+A2718)</f>
        <v/>
      </c>
      <c r="B2719" s="21" t="str">
        <f>IF(Plantilla_SCAN_EQ3_COUNT_2[[#This Row],[ID MATERIAL]]="","",B2718)</f>
        <v/>
      </c>
      <c r="C2719" s="21"/>
      <c r="D2719" s="21"/>
      <c r="E2719" s="7" t="str">
        <f>IF(Plantilla_SCAN_EQ3_COUNT_2[[#This Row],[ID MATERIAL]]="","",VLOOKUP(Plantilla_SCAN_EQ3_COUNT_2[[#This Row],[ID MATERIAL]],INVENTARIO!$A:$D,2,FALSE))</f>
        <v/>
      </c>
      <c r="F2719" s="7" t="str">
        <f>IF(Plantilla_SCAN_EQ3_COUNT_2[[#This Row],[ID MATERIAL]]="","",IF(Plantilla_SCAN_EQ3_COUNT_2[[#This Row],[No. Empaques]]="",1,Plantilla_SCAN_EQ3_COUNT_2[[#This Row],[No. Empaques]]*1))</f>
        <v/>
      </c>
      <c r="G2719" s="7" t="str">
        <f>IF(Plantilla_SCAN_EQ3_COUNT_2[[#This Row],[ID MATERIAL]]="","","PZ")</f>
        <v/>
      </c>
      <c r="H2719" s="7" t="str">
        <f>IF(Plantilla_SCAN_EQ3_COUNT_2[[#This Row],[ID MATERIAL]]="","",$B$13)</f>
        <v/>
      </c>
      <c r="I2719" s="7" t="str">
        <f>IF(Plantilla_SCAN_EQ3_COUNT_2[[#This Row],[ID MATERIAL]]="","","Segundo Conteo")</f>
        <v/>
      </c>
    </row>
    <row r="2720" spans="1:9" s="7" customFormat="1" ht="15" x14ac:dyDescent="0.2">
      <c r="A2720" s="7" t="str">
        <f>IF(Plantilla_SCAN_EQ3_COUNT_2[[#This Row],[ID MATERIAL]]="","",SIGN(Plantilla_SCAN_EQ3_COUNT_2[[#This Row],[Cantidad]])+A2719)</f>
        <v/>
      </c>
      <c r="B2720" s="21" t="str">
        <f>IF(Plantilla_SCAN_EQ3_COUNT_2[[#This Row],[ID MATERIAL]]="","",B2719)</f>
        <v/>
      </c>
      <c r="C2720" s="21"/>
      <c r="D2720" s="21"/>
      <c r="E2720" s="7" t="str">
        <f>IF(Plantilla_SCAN_EQ3_COUNT_2[[#This Row],[ID MATERIAL]]="","",VLOOKUP(Plantilla_SCAN_EQ3_COUNT_2[[#This Row],[ID MATERIAL]],INVENTARIO!$A:$D,2,FALSE))</f>
        <v/>
      </c>
      <c r="F2720" s="7" t="str">
        <f>IF(Plantilla_SCAN_EQ3_COUNT_2[[#This Row],[ID MATERIAL]]="","",IF(Plantilla_SCAN_EQ3_COUNT_2[[#This Row],[No. Empaques]]="",1,Plantilla_SCAN_EQ3_COUNT_2[[#This Row],[No. Empaques]]*1))</f>
        <v/>
      </c>
      <c r="G2720" s="7" t="str">
        <f>IF(Plantilla_SCAN_EQ3_COUNT_2[[#This Row],[ID MATERIAL]]="","","PZ")</f>
        <v/>
      </c>
      <c r="H2720" s="7" t="str">
        <f>IF(Plantilla_SCAN_EQ3_COUNT_2[[#This Row],[ID MATERIAL]]="","",$B$13)</f>
        <v/>
      </c>
      <c r="I2720" s="7" t="str">
        <f>IF(Plantilla_SCAN_EQ3_COUNT_2[[#This Row],[ID MATERIAL]]="","","Segundo Conteo")</f>
        <v/>
      </c>
    </row>
    <row r="2721" spans="1:9" s="7" customFormat="1" ht="15" x14ac:dyDescent="0.2">
      <c r="A2721" s="7" t="str">
        <f>IF(Plantilla_SCAN_EQ3_COUNT_2[[#This Row],[ID MATERIAL]]="","",SIGN(Plantilla_SCAN_EQ3_COUNT_2[[#This Row],[Cantidad]])+A2720)</f>
        <v/>
      </c>
      <c r="B2721" s="21" t="str">
        <f>IF(Plantilla_SCAN_EQ3_COUNT_2[[#This Row],[ID MATERIAL]]="","",B2720)</f>
        <v/>
      </c>
      <c r="C2721" s="21"/>
      <c r="D2721" s="21"/>
      <c r="E2721" s="7" t="str">
        <f>IF(Plantilla_SCAN_EQ3_COUNT_2[[#This Row],[ID MATERIAL]]="","",VLOOKUP(Plantilla_SCAN_EQ3_COUNT_2[[#This Row],[ID MATERIAL]],INVENTARIO!$A:$D,2,FALSE))</f>
        <v/>
      </c>
      <c r="F2721" s="7" t="str">
        <f>IF(Plantilla_SCAN_EQ3_COUNT_2[[#This Row],[ID MATERIAL]]="","",IF(Plantilla_SCAN_EQ3_COUNT_2[[#This Row],[No. Empaques]]="",1,Plantilla_SCAN_EQ3_COUNT_2[[#This Row],[No. Empaques]]*1))</f>
        <v/>
      </c>
      <c r="G2721" s="7" t="str">
        <f>IF(Plantilla_SCAN_EQ3_COUNT_2[[#This Row],[ID MATERIAL]]="","","PZ")</f>
        <v/>
      </c>
      <c r="H2721" s="7" t="str">
        <f>IF(Plantilla_SCAN_EQ3_COUNT_2[[#This Row],[ID MATERIAL]]="","",$B$13)</f>
        <v/>
      </c>
      <c r="I2721" s="7" t="str">
        <f>IF(Plantilla_SCAN_EQ3_COUNT_2[[#This Row],[ID MATERIAL]]="","","Segundo Conteo")</f>
        <v/>
      </c>
    </row>
    <row r="2722" spans="1:9" s="7" customFormat="1" ht="15" x14ac:dyDescent="0.2">
      <c r="A2722" s="7" t="str">
        <f>IF(Plantilla_SCAN_EQ3_COUNT_2[[#This Row],[ID MATERIAL]]="","",SIGN(Plantilla_SCAN_EQ3_COUNT_2[[#This Row],[Cantidad]])+A2721)</f>
        <v/>
      </c>
      <c r="B2722" s="21" t="str">
        <f>IF(Plantilla_SCAN_EQ3_COUNT_2[[#This Row],[ID MATERIAL]]="","",B2721)</f>
        <v/>
      </c>
      <c r="C2722" s="21"/>
      <c r="D2722" s="21"/>
      <c r="E2722" s="7" t="str">
        <f>IF(Plantilla_SCAN_EQ3_COUNT_2[[#This Row],[ID MATERIAL]]="","",VLOOKUP(Plantilla_SCAN_EQ3_COUNT_2[[#This Row],[ID MATERIAL]],INVENTARIO!$A:$D,2,FALSE))</f>
        <v/>
      </c>
      <c r="F2722" s="7" t="str">
        <f>IF(Plantilla_SCAN_EQ3_COUNT_2[[#This Row],[ID MATERIAL]]="","",IF(Plantilla_SCAN_EQ3_COUNT_2[[#This Row],[No. Empaques]]="",1,Plantilla_SCAN_EQ3_COUNT_2[[#This Row],[No. Empaques]]*1))</f>
        <v/>
      </c>
      <c r="G2722" s="7" t="str">
        <f>IF(Plantilla_SCAN_EQ3_COUNT_2[[#This Row],[ID MATERIAL]]="","","PZ")</f>
        <v/>
      </c>
      <c r="H2722" s="7" t="str">
        <f>IF(Plantilla_SCAN_EQ3_COUNT_2[[#This Row],[ID MATERIAL]]="","",$B$13)</f>
        <v/>
      </c>
      <c r="I2722" s="7" t="str">
        <f>IF(Plantilla_SCAN_EQ3_COUNT_2[[#This Row],[ID MATERIAL]]="","","Segundo Conteo")</f>
        <v/>
      </c>
    </row>
    <row r="2723" spans="1:9" s="7" customFormat="1" ht="15" x14ac:dyDescent="0.2">
      <c r="A2723" s="7" t="str">
        <f>IF(Plantilla_SCAN_EQ3_COUNT_2[[#This Row],[ID MATERIAL]]="","",SIGN(Plantilla_SCAN_EQ3_COUNT_2[[#This Row],[Cantidad]])+A2722)</f>
        <v/>
      </c>
      <c r="B2723" s="21" t="str">
        <f>IF(Plantilla_SCAN_EQ3_COUNT_2[[#This Row],[ID MATERIAL]]="","",B2722)</f>
        <v/>
      </c>
      <c r="C2723" s="21"/>
      <c r="D2723" s="21"/>
      <c r="E2723" s="7" t="str">
        <f>IF(Plantilla_SCAN_EQ3_COUNT_2[[#This Row],[ID MATERIAL]]="","",VLOOKUP(Plantilla_SCAN_EQ3_COUNT_2[[#This Row],[ID MATERIAL]],INVENTARIO!$A:$D,2,FALSE))</f>
        <v/>
      </c>
      <c r="F2723" s="7" t="str">
        <f>IF(Plantilla_SCAN_EQ3_COUNT_2[[#This Row],[ID MATERIAL]]="","",IF(Plantilla_SCAN_EQ3_COUNT_2[[#This Row],[No. Empaques]]="",1,Plantilla_SCAN_EQ3_COUNT_2[[#This Row],[No. Empaques]]*1))</f>
        <v/>
      </c>
      <c r="G2723" s="7" t="str">
        <f>IF(Plantilla_SCAN_EQ3_COUNT_2[[#This Row],[ID MATERIAL]]="","","PZ")</f>
        <v/>
      </c>
      <c r="H2723" s="7" t="str">
        <f>IF(Plantilla_SCAN_EQ3_COUNT_2[[#This Row],[ID MATERIAL]]="","",$B$13)</f>
        <v/>
      </c>
      <c r="I2723" s="7" t="str">
        <f>IF(Plantilla_SCAN_EQ3_COUNT_2[[#This Row],[ID MATERIAL]]="","","Segundo Conteo")</f>
        <v/>
      </c>
    </row>
    <row r="2724" spans="1:9" s="7" customFormat="1" ht="15" x14ac:dyDescent="0.2">
      <c r="A2724" s="7" t="str">
        <f>IF(Plantilla_SCAN_EQ3_COUNT_2[[#This Row],[ID MATERIAL]]="","",SIGN(Plantilla_SCAN_EQ3_COUNT_2[[#This Row],[Cantidad]])+A2723)</f>
        <v/>
      </c>
      <c r="B2724" s="21" t="str">
        <f>IF(Plantilla_SCAN_EQ3_COUNT_2[[#This Row],[ID MATERIAL]]="","",B2723)</f>
        <v/>
      </c>
      <c r="C2724" s="21"/>
      <c r="D2724" s="21"/>
      <c r="E2724" s="7" t="str">
        <f>IF(Plantilla_SCAN_EQ3_COUNT_2[[#This Row],[ID MATERIAL]]="","",VLOOKUP(Plantilla_SCAN_EQ3_COUNT_2[[#This Row],[ID MATERIAL]],INVENTARIO!$A:$D,2,FALSE))</f>
        <v/>
      </c>
      <c r="F2724" s="7" t="str">
        <f>IF(Plantilla_SCAN_EQ3_COUNT_2[[#This Row],[ID MATERIAL]]="","",IF(Plantilla_SCAN_EQ3_COUNT_2[[#This Row],[No. Empaques]]="",1,Plantilla_SCAN_EQ3_COUNT_2[[#This Row],[No. Empaques]]*1))</f>
        <v/>
      </c>
      <c r="G2724" s="7" t="str">
        <f>IF(Plantilla_SCAN_EQ3_COUNT_2[[#This Row],[ID MATERIAL]]="","","PZ")</f>
        <v/>
      </c>
      <c r="H2724" s="7" t="str">
        <f>IF(Plantilla_SCAN_EQ3_COUNT_2[[#This Row],[ID MATERIAL]]="","",$B$13)</f>
        <v/>
      </c>
      <c r="I2724" s="7" t="str">
        <f>IF(Plantilla_SCAN_EQ3_COUNT_2[[#This Row],[ID MATERIAL]]="","","Segundo Conteo")</f>
        <v/>
      </c>
    </row>
    <row r="2725" spans="1:9" s="7" customFormat="1" ht="15" x14ac:dyDescent="0.2">
      <c r="A2725" s="7" t="str">
        <f>IF(Plantilla_SCAN_EQ3_COUNT_2[[#This Row],[ID MATERIAL]]="","",SIGN(Plantilla_SCAN_EQ3_COUNT_2[[#This Row],[Cantidad]])+A2724)</f>
        <v/>
      </c>
      <c r="B2725" s="21" t="str">
        <f>IF(Plantilla_SCAN_EQ3_COUNT_2[[#This Row],[ID MATERIAL]]="","",B2724)</f>
        <v/>
      </c>
      <c r="C2725" s="21"/>
      <c r="D2725" s="21"/>
      <c r="E2725" s="7" t="str">
        <f>IF(Plantilla_SCAN_EQ3_COUNT_2[[#This Row],[ID MATERIAL]]="","",VLOOKUP(Plantilla_SCAN_EQ3_COUNT_2[[#This Row],[ID MATERIAL]],INVENTARIO!$A:$D,2,FALSE))</f>
        <v/>
      </c>
      <c r="F2725" s="7" t="str">
        <f>IF(Plantilla_SCAN_EQ3_COUNT_2[[#This Row],[ID MATERIAL]]="","",IF(Plantilla_SCAN_EQ3_COUNT_2[[#This Row],[No. Empaques]]="",1,Plantilla_SCAN_EQ3_COUNT_2[[#This Row],[No. Empaques]]*1))</f>
        <v/>
      </c>
      <c r="G2725" s="7" t="str">
        <f>IF(Plantilla_SCAN_EQ3_COUNT_2[[#This Row],[ID MATERIAL]]="","","PZ")</f>
        <v/>
      </c>
      <c r="H2725" s="7" t="str">
        <f>IF(Plantilla_SCAN_EQ3_COUNT_2[[#This Row],[ID MATERIAL]]="","",$B$13)</f>
        <v/>
      </c>
      <c r="I2725" s="7" t="str">
        <f>IF(Plantilla_SCAN_EQ3_COUNT_2[[#This Row],[ID MATERIAL]]="","","Segundo Conteo")</f>
        <v/>
      </c>
    </row>
    <row r="2726" spans="1:9" s="7" customFormat="1" ht="15" x14ac:dyDescent="0.2">
      <c r="A2726" s="7" t="str">
        <f>IF(Plantilla_SCAN_EQ3_COUNT_2[[#This Row],[ID MATERIAL]]="","",SIGN(Plantilla_SCAN_EQ3_COUNT_2[[#This Row],[Cantidad]])+A2725)</f>
        <v/>
      </c>
      <c r="B2726" s="21" t="str">
        <f>IF(Plantilla_SCAN_EQ3_COUNT_2[[#This Row],[ID MATERIAL]]="","",B2725)</f>
        <v/>
      </c>
      <c r="C2726" s="21"/>
      <c r="D2726" s="21"/>
      <c r="E2726" s="7" t="str">
        <f>IF(Plantilla_SCAN_EQ3_COUNT_2[[#This Row],[ID MATERIAL]]="","",VLOOKUP(Plantilla_SCAN_EQ3_COUNT_2[[#This Row],[ID MATERIAL]],INVENTARIO!$A:$D,2,FALSE))</f>
        <v/>
      </c>
      <c r="F2726" s="7" t="str">
        <f>IF(Plantilla_SCAN_EQ3_COUNT_2[[#This Row],[ID MATERIAL]]="","",IF(Plantilla_SCAN_EQ3_COUNT_2[[#This Row],[No. Empaques]]="",1,Plantilla_SCAN_EQ3_COUNT_2[[#This Row],[No. Empaques]]*1))</f>
        <v/>
      </c>
      <c r="G2726" s="7" t="str">
        <f>IF(Plantilla_SCAN_EQ3_COUNT_2[[#This Row],[ID MATERIAL]]="","","PZ")</f>
        <v/>
      </c>
      <c r="H2726" s="7" t="str">
        <f>IF(Plantilla_SCAN_EQ3_COUNT_2[[#This Row],[ID MATERIAL]]="","",$B$13)</f>
        <v/>
      </c>
      <c r="I2726" s="7" t="str">
        <f>IF(Plantilla_SCAN_EQ3_COUNT_2[[#This Row],[ID MATERIAL]]="","","Segundo Conteo")</f>
        <v/>
      </c>
    </row>
    <row r="2727" spans="1:9" s="7" customFormat="1" ht="15" x14ac:dyDescent="0.2">
      <c r="A2727" s="7" t="str">
        <f>IF(Plantilla_SCAN_EQ3_COUNT_2[[#This Row],[ID MATERIAL]]="","",SIGN(Plantilla_SCAN_EQ3_COUNT_2[[#This Row],[Cantidad]])+A2726)</f>
        <v/>
      </c>
      <c r="B2727" s="21" t="str">
        <f>IF(Plantilla_SCAN_EQ3_COUNT_2[[#This Row],[ID MATERIAL]]="","",B2726)</f>
        <v/>
      </c>
      <c r="C2727" s="21"/>
      <c r="D2727" s="21"/>
      <c r="E2727" s="7" t="str">
        <f>IF(Plantilla_SCAN_EQ3_COUNT_2[[#This Row],[ID MATERIAL]]="","",VLOOKUP(Plantilla_SCAN_EQ3_COUNT_2[[#This Row],[ID MATERIAL]],INVENTARIO!$A:$D,2,FALSE))</f>
        <v/>
      </c>
      <c r="F2727" s="7" t="str">
        <f>IF(Plantilla_SCAN_EQ3_COUNT_2[[#This Row],[ID MATERIAL]]="","",IF(Plantilla_SCAN_EQ3_COUNT_2[[#This Row],[No. Empaques]]="",1,Plantilla_SCAN_EQ3_COUNT_2[[#This Row],[No. Empaques]]*1))</f>
        <v/>
      </c>
      <c r="G2727" s="7" t="str">
        <f>IF(Plantilla_SCAN_EQ3_COUNT_2[[#This Row],[ID MATERIAL]]="","","PZ")</f>
        <v/>
      </c>
      <c r="H2727" s="7" t="str">
        <f>IF(Plantilla_SCAN_EQ3_COUNT_2[[#This Row],[ID MATERIAL]]="","",$B$13)</f>
        <v/>
      </c>
      <c r="I2727" s="7" t="str">
        <f>IF(Plantilla_SCAN_EQ3_COUNT_2[[#This Row],[ID MATERIAL]]="","","Segundo Conteo")</f>
        <v/>
      </c>
    </row>
    <row r="2728" spans="1:9" s="7" customFormat="1" ht="15" x14ac:dyDescent="0.2">
      <c r="A2728" s="7" t="str">
        <f>IF(Plantilla_SCAN_EQ3_COUNT_2[[#This Row],[ID MATERIAL]]="","",SIGN(Plantilla_SCAN_EQ3_COUNT_2[[#This Row],[Cantidad]])+A2727)</f>
        <v/>
      </c>
      <c r="B2728" s="21" t="str">
        <f>IF(Plantilla_SCAN_EQ3_COUNT_2[[#This Row],[ID MATERIAL]]="","",B2727)</f>
        <v/>
      </c>
      <c r="C2728" s="21"/>
      <c r="D2728" s="21"/>
      <c r="E2728" s="7" t="str">
        <f>IF(Plantilla_SCAN_EQ3_COUNT_2[[#This Row],[ID MATERIAL]]="","",VLOOKUP(Plantilla_SCAN_EQ3_COUNT_2[[#This Row],[ID MATERIAL]],INVENTARIO!$A:$D,2,FALSE))</f>
        <v/>
      </c>
      <c r="F2728" s="7" t="str">
        <f>IF(Plantilla_SCAN_EQ3_COUNT_2[[#This Row],[ID MATERIAL]]="","",IF(Plantilla_SCAN_EQ3_COUNT_2[[#This Row],[No. Empaques]]="",1,Plantilla_SCAN_EQ3_COUNT_2[[#This Row],[No. Empaques]]*1))</f>
        <v/>
      </c>
      <c r="G2728" s="7" t="str">
        <f>IF(Plantilla_SCAN_EQ3_COUNT_2[[#This Row],[ID MATERIAL]]="","","PZ")</f>
        <v/>
      </c>
      <c r="H2728" s="7" t="str">
        <f>IF(Plantilla_SCAN_EQ3_COUNT_2[[#This Row],[ID MATERIAL]]="","",$B$13)</f>
        <v/>
      </c>
      <c r="I2728" s="7" t="str">
        <f>IF(Plantilla_SCAN_EQ3_COUNT_2[[#This Row],[ID MATERIAL]]="","","Segundo Conteo")</f>
        <v/>
      </c>
    </row>
    <row r="2729" spans="1:9" s="7" customFormat="1" ht="15" x14ac:dyDescent="0.2">
      <c r="A2729" s="7" t="str">
        <f>IF(Plantilla_SCAN_EQ3_COUNT_2[[#This Row],[ID MATERIAL]]="","",SIGN(Plantilla_SCAN_EQ3_COUNT_2[[#This Row],[Cantidad]])+A2728)</f>
        <v/>
      </c>
      <c r="B2729" s="21" t="str">
        <f>IF(Plantilla_SCAN_EQ3_COUNT_2[[#This Row],[ID MATERIAL]]="","",B2728)</f>
        <v/>
      </c>
      <c r="C2729" s="21"/>
      <c r="D2729" s="21"/>
      <c r="E2729" s="7" t="str">
        <f>IF(Plantilla_SCAN_EQ3_COUNT_2[[#This Row],[ID MATERIAL]]="","",VLOOKUP(Plantilla_SCAN_EQ3_COUNT_2[[#This Row],[ID MATERIAL]],INVENTARIO!$A:$D,2,FALSE))</f>
        <v/>
      </c>
      <c r="F2729" s="7" t="str">
        <f>IF(Plantilla_SCAN_EQ3_COUNT_2[[#This Row],[ID MATERIAL]]="","",IF(Plantilla_SCAN_EQ3_COUNT_2[[#This Row],[No. Empaques]]="",1,Plantilla_SCAN_EQ3_COUNT_2[[#This Row],[No. Empaques]]*1))</f>
        <v/>
      </c>
      <c r="G2729" s="7" t="str">
        <f>IF(Plantilla_SCAN_EQ3_COUNT_2[[#This Row],[ID MATERIAL]]="","","PZ")</f>
        <v/>
      </c>
      <c r="H2729" s="7" t="str">
        <f>IF(Plantilla_SCAN_EQ3_COUNT_2[[#This Row],[ID MATERIAL]]="","",$B$13)</f>
        <v/>
      </c>
      <c r="I2729" s="7" t="str">
        <f>IF(Plantilla_SCAN_EQ3_COUNT_2[[#This Row],[ID MATERIAL]]="","","Segundo Conteo")</f>
        <v/>
      </c>
    </row>
    <row r="2730" spans="1:9" s="7" customFormat="1" ht="15" x14ac:dyDescent="0.2">
      <c r="A2730" s="7" t="str">
        <f>IF(Plantilla_SCAN_EQ3_COUNT_2[[#This Row],[ID MATERIAL]]="","",SIGN(Plantilla_SCAN_EQ3_COUNT_2[[#This Row],[Cantidad]])+A2729)</f>
        <v/>
      </c>
      <c r="B2730" s="21" t="str">
        <f>IF(Plantilla_SCAN_EQ3_COUNT_2[[#This Row],[ID MATERIAL]]="","",B2729)</f>
        <v/>
      </c>
      <c r="C2730" s="21"/>
      <c r="D2730" s="21"/>
      <c r="E2730" s="7" t="str">
        <f>IF(Plantilla_SCAN_EQ3_COUNT_2[[#This Row],[ID MATERIAL]]="","",VLOOKUP(Plantilla_SCAN_EQ3_COUNT_2[[#This Row],[ID MATERIAL]],INVENTARIO!$A:$D,2,FALSE))</f>
        <v/>
      </c>
      <c r="F2730" s="7" t="str">
        <f>IF(Plantilla_SCAN_EQ3_COUNT_2[[#This Row],[ID MATERIAL]]="","",IF(Plantilla_SCAN_EQ3_COUNT_2[[#This Row],[No. Empaques]]="",1,Plantilla_SCAN_EQ3_COUNT_2[[#This Row],[No. Empaques]]*1))</f>
        <v/>
      </c>
      <c r="G2730" s="7" t="str">
        <f>IF(Plantilla_SCAN_EQ3_COUNT_2[[#This Row],[ID MATERIAL]]="","","PZ")</f>
        <v/>
      </c>
      <c r="H2730" s="7" t="str">
        <f>IF(Plantilla_SCAN_EQ3_COUNT_2[[#This Row],[ID MATERIAL]]="","",$B$13)</f>
        <v/>
      </c>
      <c r="I2730" s="7" t="str">
        <f>IF(Plantilla_SCAN_EQ3_COUNT_2[[#This Row],[ID MATERIAL]]="","","Segundo Conteo")</f>
        <v/>
      </c>
    </row>
    <row r="2731" spans="1:9" s="7" customFormat="1" ht="15" x14ac:dyDescent="0.2">
      <c r="A2731" s="7" t="str">
        <f>IF(Plantilla_SCAN_EQ3_COUNT_2[[#This Row],[ID MATERIAL]]="","",SIGN(Plantilla_SCAN_EQ3_COUNT_2[[#This Row],[Cantidad]])+A2730)</f>
        <v/>
      </c>
      <c r="B2731" s="21" t="str">
        <f>IF(Plantilla_SCAN_EQ3_COUNT_2[[#This Row],[ID MATERIAL]]="","",B2730)</f>
        <v/>
      </c>
      <c r="C2731" s="21"/>
      <c r="D2731" s="21"/>
      <c r="E2731" s="7" t="str">
        <f>IF(Plantilla_SCAN_EQ3_COUNT_2[[#This Row],[ID MATERIAL]]="","",VLOOKUP(Plantilla_SCAN_EQ3_COUNT_2[[#This Row],[ID MATERIAL]],INVENTARIO!$A:$D,2,FALSE))</f>
        <v/>
      </c>
      <c r="F2731" s="7" t="str">
        <f>IF(Plantilla_SCAN_EQ3_COUNT_2[[#This Row],[ID MATERIAL]]="","",IF(Plantilla_SCAN_EQ3_COUNT_2[[#This Row],[No. Empaques]]="",1,Plantilla_SCAN_EQ3_COUNT_2[[#This Row],[No. Empaques]]*1))</f>
        <v/>
      </c>
      <c r="G2731" s="7" t="str">
        <f>IF(Plantilla_SCAN_EQ3_COUNT_2[[#This Row],[ID MATERIAL]]="","","PZ")</f>
        <v/>
      </c>
      <c r="H2731" s="7" t="str">
        <f>IF(Plantilla_SCAN_EQ3_COUNT_2[[#This Row],[ID MATERIAL]]="","",$B$13)</f>
        <v/>
      </c>
      <c r="I2731" s="7" t="str">
        <f>IF(Plantilla_SCAN_EQ3_COUNT_2[[#This Row],[ID MATERIAL]]="","","Segundo Conteo")</f>
        <v/>
      </c>
    </row>
    <row r="2732" spans="1:9" s="7" customFormat="1" ht="15" x14ac:dyDescent="0.2">
      <c r="A2732" s="7" t="str">
        <f>IF(Plantilla_SCAN_EQ3_COUNT_2[[#This Row],[ID MATERIAL]]="","",SIGN(Plantilla_SCAN_EQ3_COUNT_2[[#This Row],[Cantidad]])+A2731)</f>
        <v/>
      </c>
      <c r="B2732" s="21" t="str">
        <f>IF(Plantilla_SCAN_EQ3_COUNT_2[[#This Row],[ID MATERIAL]]="","",B2731)</f>
        <v/>
      </c>
      <c r="C2732" s="21"/>
      <c r="D2732" s="21"/>
      <c r="E2732" s="7" t="str">
        <f>IF(Plantilla_SCAN_EQ3_COUNT_2[[#This Row],[ID MATERIAL]]="","",VLOOKUP(Plantilla_SCAN_EQ3_COUNT_2[[#This Row],[ID MATERIAL]],INVENTARIO!$A:$D,2,FALSE))</f>
        <v/>
      </c>
      <c r="F2732" s="7" t="str">
        <f>IF(Plantilla_SCAN_EQ3_COUNT_2[[#This Row],[ID MATERIAL]]="","",IF(Plantilla_SCAN_EQ3_COUNT_2[[#This Row],[No. Empaques]]="",1,Plantilla_SCAN_EQ3_COUNT_2[[#This Row],[No. Empaques]]*1))</f>
        <v/>
      </c>
      <c r="G2732" s="7" t="str">
        <f>IF(Plantilla_SCAN_EQ3_COUNT_2[[#This Row],[ID MATERIAL]]="","","PZ")</f>
        <v/>
      </c>
      <c r="H2732" s="7" t="str">
        <f>IF(Plantilla_SCAN_EQ3_COUNT_2[[#This Row],[ID MATERIAL]]="","",$B$13)</f>
        <v/>
      </c>
      <c r="I2732" s="7" t="str">
        <f>IF(Plantilla_SCAN_EQ3_COUNT_2[[#This Row],[ID MATERIAL]]="","","Segundo Conteo")</f>
        <v/>
      </c>
    </row>
    <row r="2733" spans="1:9" s="7" customFormat="1" ht="15" x14ac:dyDescent="0.2">
      <c r="A2733" s="7" t="str">
        <f>IF(Plantilla_SCAN_EQ3_COUNT_2[[#This Row],[ID MATERIAL]]="","",SIGN(Plantilla_SCAN_EQ3_COUNT_2[[#This Row],[Cantidad]])+A2732)</f>
        <v/>
      </c>
      <c r="B2733" s="21" t="str">
        <f>IF(Plantilla_SCAN_EQ3_COUNT_2[[#This Row],[ID MATERIAL]]="","",B2732)</f>
        <v/>
      </c>
      <c r="C2733" s="21"/>
      <c r="D2733" s="21"/>
      <c r="E2733" s="7" t="str">
        <f>IF(Plantilla_SCAN_EQ3_COUNT_2[[#This Row],[ID MATERIAL]]="","",VLOOKUP(Plantilla_SCAN_EQ3_COUNT_2[[#This Row],[ID MATERIAL]],INVENTARIO!$A:$D,2,FALSE))</f>
        <v/>
      </c>
      <c r="F2733" s="7" t="str">
        <f>IF(Plantilla_SCAN_EQ3_COUNT_2[[#This Row],[ID MATERIAL]]="","",IF(Plantilla_SCAN_EQ3_COUNT_2[[#This Row],[No. Empaques]]="",1,Plantilla_SCAN_EQ3_COUNT_2[[#This Row],[No. Empaques]]*1))</f>
        <v/>
      </c>
      <c r="G2733" s="7" t="str">
        <f>IF(Plantilla_SCAN_EQ3_COUNT_2[[#This Row],[ID MATERIAL]]="","","PZ")</f>
        <v/>
      </c>
      <c r="H2733" s="7" t="str">
        <f>IF(Plantilla_SCAN_EQ3_COUNT_2[[#This Row],[ID MATERIAL]]="","",$B$13)</f>
        <v/>
      </c>
      <c r="I2733" s="7" t="str">
        <f>IF(Plantilla_SCAN_EQ3_COUNT_2[[#This Row],[ID MATERIAL]]="","","Segundo Conteo")</f>
        <v/>
      </c>
    </row>
    <row r="2734" spans="1:9" s="7" customFormat="1" ht="15" x14ac:dyDescent="0.2">
      <c r="A2734" s="7" t="str">
        <f>IF(Plantilla_SCAN_EQ3_COUNT_2[[#This Row],[ID MATERIAL]]="","",SIGN(Plantilla_SCAN_EQ3_COUNT_2[[#This Row],[Cantidad]])+A2733)</f>
        <v/>
      </c>
      <c r="B2734" s="21" t="str">
        <f>IF(Plantilla_SCAN_EQ3_COUNT_2[[#This Row],[ID MATERIAL]]="","",B2733)</f>
        <v/>
      </c>
      <c r="C2734" s="21"/>
      <c r="D2734" s="21"/>
      <c r="E2734" s="7" t="str">
        <f>IF(Plantilla_SCAN_EQ3_COUNT_2[[#This Row],[ID MATERIAL]]="","",VLOOKUP(Plantilla_SCAN_EQ3_COUNT_2[[#This Row],[ID MATERIAL]],INVENTARIO!$A:$D,2,FALSE))</f>
        <v/>
      </c>
      <c r="F2734" s="7" t="str">
        <f>IF(Plantilla_SCAN_EQ3_COUNT_2[[#This Row],[ID MATERIAL]]="","",IF(Plantilla_SCAN_EQ3_COUNT_2[[#This Row],[No. Empaques]]="",1,Plantilla_SCAN_EQ3_COUNT_2[[#This Row],[No. Empaques]]*1))</f>
        <v/>
      </c>
      <c r="G2734" s="7" t="str">
        <f>IF(Plantilla_SCAN_EQ3_COUNT_2[[#This Row],[ID MATERIAL]]="","","PZ")</f>
        <v/>
      </c>
      <c r="H2734" s="7" t="str">
        <f>IF(Plantilla_SCAN_EQ3_COUNT_2[[#This Row],[ID MATERIAL]]="","",$B$13)</f>
        <v/>
      </c>
      <c r="I2734" s="7" t="str">
        <f>IF(Plantilla_SCAN_EQ3_COUNT_2[[#This Row],[ID MATERIAL]]="","","Segundo Conteo")</f>
        <v/>
      </c>
    </row>
    <row r="2735" spans="1:9" s="7" customFormat="1" ht="15" x14ac:dyDescent="0.2">
      <c r="A2735" s="7" t="str">
        <f>IF(Plantilla_SCAN_EQ3_COUNT_2[[#This Row],[ID MATERIAL]]="","",SIGN(Plantilla_SCAN_EQ3_COUNT_2[[#This Row],[Cantidad]])+A2734)</f>
        <v/>
      </c>
      <c r="B2735" s="21" t="str">
        <f>IF(Plantilla_SCAN_EQ3_COUNT_2[[#This Row],[ID MATERIAL]]="","",B2734)</f>
        <v/>
      </c>
      <c r="C2735" s="21"/>
      <c r="D2735" s="21"/>
      <c r="E2735" s="7" t="str">
        <f>IF(Plantilla_SCAN_EQ3_COUNT_2[[#This Row],[ID MATERIAL]]="","",VLOOKUP(Plantilla_SCAN_EQ3_COUNT_2[[#This Row],[ID MATERIAL]],INVENTARIO!$A:$D,2,FALSE))</f>
        <v/>
      </c>
      <c r="F2735" s="7" t="str">
        <f>IF(Plantilla_SCAN_EQ3_COUNT_2[[#This Row],[ID MATERIAL]]="","",IF(Plantilla_SCAN_EQ3_COUNT_2[[#This Row],[No. Empaques]]="",1,Plantilla_SCAN_EQ3_COUNT_2[[#This Row],[No. Empaques]]*1))</f>
        <v/>
      </c>
      <c r="G2735" s="7" t="str">
        <f>IF(Plantilla_SCAN_EQ3_COUNT_2[[#This Row],[ID MATERIAL]]="","","PZ")</f>
        <v/>
      </c>
      <c r="H2735" s="7" t="str">
        <f>IF(Plantilla_SCAN_EQ3_COUNT_2[[#This Row],[ID MATERIAL]]="","",$B$13)</f>
        <v/>
      </c>
      <c r="I2735" s="7" t="str">
        <f>IF(Plantilla_SCAN_EQ3_COUNT_2[[#This Row],[ID MATERIAL]]="","","Segundo Conteo")</f>
        <v/>
      </c>
    </row>
    <row r="2736" spans="1:9" s="7" customFormat="1" ht="15" x14ac:dyDescent="0.2">
      <c r="A2736" s="7" t="str">
        <f>IF(Plantilla_SCAN_EQ3_COUNT_2[[#This Row],[ID MATERIAL]]="","",SIGN(Plantilla_SCAN_EQ3_COUNT_2[[#This Row],[Cantidad]])+A2735)</f>
        <v/>
      </c>
      <c r="B2736" s="21" t="str">
        <f>IF(Plantilla_SCAN_EQ3_COUNT_2[[#This Row],[ID MATERIAL]]="","",B2735)</f>
        <v/>
      </c>
      <c r="C2736" s="21"/>
      <c r="D2736" s="21"/>
      <c r="E2736" s="7" t="str">
        <f>IF(Plantilla_SCAN_EQ3_COUNT_2[[#This Row],[ID MATERIAL]]="","",VLOOKUP(Plantilla_SCAN_EQ3_COUNT_2[[#This Row],[ID MATERIAL]],INVENTARIO!$A:$D,2,FALSE))</f>
        <v/>
      </c>
      <c r="F2736" s="7" t="str">
        <f>IF(Plantilla_SCAN_EQ3_COUNT_2[[#This Row],[ID MATERIAL]]="","",IF(Plantilla_SCAN_EQ3_COUNT_2[[#This Row],[No. Empaques]]="",1,Plantilla_SCAN_EQ3_COUNT_2[[#This Row],[No. Empaques]]*1))</f>
        <v/>
      </c>
      <c r="G2736" s="7" t="str">
        <f>IF(Plantilla_SCAN_EQ3_COUNT_2[[#This Row],[ID MATERIAL]]="","","PZ")</f>
        <v/>
      </c>
      <c r="H2736" s="7" t="str">
        <f>IF(Plantilla_SCAN_EQ3_COUNT_2[[#This Row],[ID MATERIAL]]="","",$B$13)</f>
        <v/>
      </c>
      <c r="I2736" s="7" t="str">
        <f>IF(Plantilla_SCAN_EQ3_COUNT_2[[#This Row],[ID MATERIAL]]="","","Segundo Conteo")</f>
        <v/>
      </c>
    </row>
    <row r="2737" spans="1:9" s="7" customFormat="1" ht="15" x14ac:dyDescent="0.2">
      <c r="A2737" s="7" t="str">
        <f>IF(Plantilla_SCAN_EQ3_COUNT_2[[#This Row],[ID MATERIAL]]="","",SIGN(Plantilla_SCAN_EQ3_COUNT_2[[#This Row],[Cantidad]])+A2736)</f>
        <v/>
      </c>
      <c r="B2737" s="21" t="str">
        <f>IF(Plantilla_SCAN_EQ3_COUNT_2[[#This Row],[ID MATERIAL]]="","",B2736)</f>
        <v/>
      </c>
      <c r="C2737" s="21"/>
      <c r="D2737" s="21"/>
      <c r="E2737" s="7" t="str">
        <f>IF(Plantilla_SCAN_EQ3_COUNT_2[[#This Row],[ID MATERIAL]]="","",VLOOKUP(Plantilla_SCAN_EQ3_COUNT_2[[#This Row],[ID MATERIAL]],INVENTARIO!$A:$D,2,FALSE))</f>
        <v/>
      </c>
      <c r="F2737" s="7" t="str">
        <f>IF(Plantilla_SCAN_EQ3_COUNT_2[[#This Row],[ID MATERIAL]]="","",IF(Plantilla_SCAN_EQ3_COUNT_2[[#This Row],[No. Empaques]]="",1,Plantilla_SCAN_EQ3_COUNT_2[[#This Row],[No. Empaques]]*1))</f>
        <v/>
      </c>
      <c r="G2737" s="7" t="str">
        <f>IF(Plantilla_SCAN_EQ3_COUNT_2[[#This Row],[ID MATERIAL]]="","","PZ")</f>
        <v/>
      </c>
      <c r="H2737" s="7" t="str">
        <f>IF(Plantilla_SCAN_EQ3_COUNT_2[[#This Row],[ID MATERIAL]]="","",$B$13)</f>
        <v/>
      </c>
      <c r="I2737" s="7" t="str">
        <f>IF(Plantilla_SCAN_EQ3_COUNT_2[[#This Row],[ID MATERIAL]]="","","Segundo Conteo")</f>
        <v/>
      </c>
    </row>
    <row r="2738" spans="1:9" s="7" customFormat="1" ht="15" x14ac:dyDescent="0.2">
      <c r="A2738" s="7" t="str">
        <f>IF(Plantilla_SCAN_EQ3_COUNT_2[[#This Row],[ID MATERIAL]]="","",SIGN(Plantilla_SCAN_EQ3_COUNT_2[[#This Row],[Cantidad]])+A2737)</f>
        <v/>
      </c>
      <c r="B2738" s="21" t="str">
        <f>IF(Plantilla_SCAN_EQ3_COUNT_2[[#This Row],[ID MATERIAL]]="","",B2737)</f>
        <v/>
      </c>
      <c r="C2738" s="21"/>
      <c r="D2738" s="21"/>
      <c r="E2738" s="7" t="str">
        <f>IF(Plantilla_SCAN_EQ3_COUNT_2[[#This Row],[ID MATERIAL]]="","",VLOOKUP(Plantilla_SCAN_EQ3_COUNT_2[[#This Row],[ID MATERIAL]],INVENTARIO!$A:$D,2,FALSE))</f>
        <v/>
      </c>
      <c r="F2738" s="7" t="str">
        <f>IF(Plantilla_SCAN_EQ3_COUNT_2[[#This Row],[ID MATERIAL]]="","",IF(Plantilla_SCAN_EQ3_COUNT_2[[#This Row],[No. Empaques]]="",1,Plantilla_SCAN_EQ3_COUNT_2[[#This Row],[No. Empaques]]*1))</f>
        <v/>
      </c>
      <c r="G2738" s="7" t="str">
        <f>IF(Plantilla_SCAN_EQ3_COUNT_2[[#This Row],[ID MATERIAL]]="","","PZ")</f>
        <v/>
      </c>
      <c r="H2738" s="7" t="str">
        <f>IF(Plantilla_SCAN_EQ3_COUNT_2[[#This Row],[ID MATERIAL]]="","",$B$13)</f>
        <v/>
      </c>
      <c r="I2738" s="7" t="str">
        <f>IF(Plantilla_SCAN_EQ3_COUNT_2[[#This Row],[ID MATERIAL]]="","","Segundo Conteo")</f>
        <v/>
      </c>
    </row>
    <row r="2739" spans="1:9" s="7" customFormat="1" ht="15" x14ac:dyDescent="0.2">
      <c r="A2739" s="7" t="str">
        <f>IF(Plantilla_SCAN_EQ3_COUNT_2[[#This Row],[ID MATERIAL]]="","",SIGN(Plantilla_SCAN_EQ3_COUNT_2[[#This Row],[Cantidad]])+A2738)</f>
        <v/>
      </c>
      <c r="B2739" s="21" t="str">
        <f>IF(Plantilla_SCAN_EQ3_COUNT_2[[#This Row],[ID MATERIAL]]="","",B2738)</f>
        <v/>
      </c>
      <c r="C2739" s="21"/>
      <c r="D2739" s="21"/>
      <c r="E2739" s="7" t="str">
        <f>IF(Plantilla_SCAN_EQ3_COUNT_2[[#This Row],[ID MATERIAL]]="","",VLOOKUP(Plantilla_SCAN_EQ3_COUNT_2[[#This Row],[ID MATERIAL]],INVENTARIO!$A:$D,2,FALSE))</f>
        <v/>
      </c>
      <c r="F2739" s="7" t="str">
        <f>IF(Plantilla_SCAN_EQ3_COUNT_2[[#This Row],[ID MATERIAL]]="","",IF(Plantilla_SCAN_EQ3_COUNT_2[[#This Row],[No. Empaques]]="",1,Plantilla_SCAN_EQ3_COUNT_2[[#This Row],[No. Empaques]]*1))</f>
        <v/>
      </c>
      <c r="G2739" s="7" t="str">
        <f>IF(Plantilla_SCAN_EQ3_COUNT_2[[#This Row],[ID MATERIAL]]="","","PZ")</f>
        <v/>
      </c>
      <c r="H2739" s="7" t="str">
        <f>IF(Plantilla_SCAN_EQ3_COUNT_2[[#This Row],[ID MATERIAL]]="","",$B$13)</f>
        <v/>
      </c>
      <c r="I2739" s="7" t="str">
        <f>IF(Plantilla_SCAN_EQ3_COUNT_2[[#This Row],[ID MATERIAL]]="","","Segundo Conteo")</f>
        <v/>
      </c>
    </row>
    <row r="2740" spans="1:9" s="7" customFormat="1" ht="15" x14ac:dyDescent="0.2">
      <c r="A2740" s="7" t="str">
        <f>IF(Plantilla_SCAN_EQ3_COUNT_2[[#This Row],[ID MATERIAL]]="","",SIGN(Plantilla_SCAN_EQ3_COUNT_2[[#This Row],[Cantidad]])+A2739)</f>
        <v/>
      </c>
      <c r="B2740" s="21" t="str">
        <f>IF(Plantilla_SCAN_EQ3_COUNT_2[[#This Row],[ID MATERIAL]]="","",B2739)</f>
        <v/>
      </c>
      <c r="C2740" s="21"/>
      <c r="D2740" s="21"/>
      <c r="E2740" s="7" t="str">
        <f>IF(Plantilla_SCAN_EQ3_COUNT_2[[#This Row],[ID MATERIAL]]="","",VLOOKUP(Plantilla_SCAN_EQ3_COUNT_2[[#This Row],[ID MATERIAL]],INVENTARIO!$A:$D,2,FALSE))</f>
        <v/>
      </c>
      <c r="F2740" s="7" t="str">
        <f>IF(Plantilla_SCAN_EQ3_COUNT_2[[#This Row],[ID MATERIAL]]="","",IF(Plantilla_SCAN_EQ3_COUNT_2[[#This Row],[No. Empaques]]="",1,Plantilla_SCAN_EQ3_COUNT_2[[#This Row],[No. Empaques]]*1))</f>
        <v/>
      </c>
      <c r="G2740" s="7" t="str">
        <f>IF(Plantilla_SCAN_EQ3_COUNT_2[[#This Row],[ID MATERIAL]]="","","PZ")</f>
        <v/>
      </c>
      <c r="H2740" s="7" t="str">
        <f>IF(Plantilla_SCAN_EQ3_COUNT_2[[#This Row],[ID MATERIAL]]="","",$B$13)</f>
        <v/>
      </c>
      <c r="I2740" s="7" t="str">
        <f>IF(Plantilla_SCAN_EQ3_COUNT_2[[#This Row],[ID MATERIAL]]="","","Segundo Conteo")</f>
        <v/>
      </c>
    </row>
    <row r="2741" spans="1:9" s="7" customFormat="1" ht="15" x14ac:dyDescent="0.2">
      <c r="A2741" s="7" t="str">
        <f>IF(Plantilla_SCAN_EQ3_COUNT_2[[#This Row],[ID MATERIAL]]="","",SIGN(Plantilla_SCAN_EQ3_COUNT_2[[#This Row],[Cantidad]])+A2740)</f>
        <v/>
      </c>
      <c r="B2741" s="21" t="str">
        <f>IF(Plantilla_SCAN_EQ3_COUNT_2[[#This Row],[ID MATERIAL]]="","",B2740)</f>
        <v/>
      </c>
      <c r="C2741" s="21"/>
      <c r="D2741" s="21"/>
      <c r="E2741" s="7" t="str">
        <f>IF(Plantilla_SCAN_EQ3_COUNT_2[[#This Row],[ID MATERIAL]]="","",VLOOKUP(Plantilla_SCAN_EQ3_COUNT_2[[#This Row],[ID MATERIAL]],INVENTARIO!$A:$D,2,FALSE))</f>
        <v/>
      </c>
      <c r="F2741" s="7" t="str">
        <f>IF(Plantilla_SCAN_EQ3_COUNT_2[[#This Row],[ID MATERIAL]]="","",IF(Plantilla_SCAN_EQ3_COUNT_2[[#This Row],[No. Empaques]]="",1,Plantilla_SCAN_EQ3_COUNT_2[[#This Row],[No. Empaques]]*1))</f>
        <v/>
      </c>
      <c r="G2741" s="7" t="str">
        <f>IF(Plantilla_SCAN_EQ3_COUNT_2[[#This Row],[ID MATERIAL]]="","","PZ")</f>
        <v/>
      </c>
      <c r="H2741" s="7" t="str">
        <f>IF(Plantilla_SCAN_EQ3_COUNT_2[[#This Row],[ID MATERIAL]]="","",$B$13)</f>
        <v/>
      </c>
      <c r="I2741" s="7" t="str">
        <f>IF(Plantilla_SCAN_EQ3_COUNT_2[[#This Row],[ID MATERIAL]]="","","Segundo Conteo")</f>
        <v/>
      </c>
    </row>
    <row r="2742" spans="1:9" s="7" customFormat="1" ht="15" x14ac:dyDescent="0.2">
      <c r="A2742" s="7" t="str">
        <f>IF(Plantilla_SCAN_EQ3_COUNT_2[[#This Row],[ID MATERIAL]]="","",SIGN(Plantilla_SCAN_EQ3_COUNT_2[[#This Row],[Cantidad]])+A2741)</f>
        <v/>
      </c>
      <c r="B2742" s="21" t="str">
        <f>IF(Plantilla_SCAN_EQ3_COUNT_2[[#This Row],[ID MATERIAL]]="","",B2741)</f>
        <v/>
      </c>
      <c r="C2742" s="21"/>
      <c r="D2742" s="21"/>
      <c r="E2742" s="7" t="str">
        <f>IF(Plantilla_SCAN_EQ3_COUNT_2[[#This Row],[ID MATERIAL]]="","",VLOOKUP(Plantilla_SCAN_EQ3_COUNT_2[[#This Row],[ID MATERIAL]],INVENTARIO!$A:$D,2,FALSE))</f>
        <v/>
      </c>
      <c r="F2742" s="7" t="str">
        <f>IF(Plantilla_SCAN_EQ3_COUNT_2[[#This Row],[ID MATERIAL]]="","",IF(Plantilla_SCAN_EQ3_COUNT_2[[#This Row],[No. Empaques]]="",1,Plantilla_SCAN_EQ3_COUNT_2[[#This Row],[No. Empaques]]*1))</f>
        <v/>
      </c>
      <c r="G2742" s="7" t="str">
        <f>IF(Plantilla_SCAN_EQ3_COUNT_2[[#This Row],[ID MATERIAL]]="","","PZ")</f>
        <v/>
      </c>
      <c r="H2742" s="7" t="str">
        <f>IF(Plantilla_SCAN_EQ3_COUNT_2[[#This Row],[ID MATERIAL]]="","",$B$13)</f>
        <v/>
      </c>
      <c r="I2742" s="7" t="str">
        <f>IF(Plantilla_SCAN_EQ3_COUNT_2[[#This Row],[ID MATERIAL]]="","","Segundo Conteo")</f>
        <v/>
      </c>
    </row>
    <row r="2743" spans="1:9" s="7" customFormat="1" ht="15" x14ac:dyDescent="0.2">
      <c r="A2743" s="7" t="str">
        <f>IF(Plantilla_SCAN_EQ3_COUNT_2[[#This Row],[ID MATERIAL]]="","",SIGN(Plantilla_SCAN_EQ3_COUNT_2[[#This Row],[Cantidad]])+A2742)</f>
        <v/>
      </c>
      <c r="B2743" s="21" t="str">
        <f>IF(Plantilla_SCAN_EQ3_COUNT_2[[#This Row],[ID MATERIAL]]="","",B2742)</f>
        <v/>
      </c>
      <c r="C2743" s="21"/>
      <c r="D2743" s="21"/>
      <c r="E2743" s="7" t="str">
        <f>IF(Plantilla_SCAN_EQ3_COUNT_2[[#This Row],[ID MATERIAL]]="","",VLOOKUP(Plantilla_SCAN_EQ3_COUNT_2[[#This Row],[ID MATERIAL]],INVENTARIO!$A:$D,2,FALSE))</f>
        <v/>
      </c>
      <c r="F2743" s="7" t="str">
        <f>IF(Plantilla_SCAN_EQ3_COUNT_2[[#This Row],[ID MATERIAL]]="","",IF(Plantilla_SCAN_EQ3_COUNT_2[[#This Row],[No. Empaques]]="",1,Plantilla_SCAN_EQ3_COUNT_2[[#This Row],[No. Empaques]]*1))</f>
        <v/>
      </c>
      <c r="G2743" s="7" t="str">
        <f>IF(Plantilla_SCAN_EQ3_COUNT_2[[#This Row],[ID MATERIAL]]="","","PZ")</f>
        <v/>
      </c>
      <c r="H2743" s="7" t="str">
        <f>IF(Plantilla_SCAN_EQ3_COUNT_2[[#This Row],[ID MATERIAL]]="","",$B$13)</f>
        <v/>
      </c>
      <c r="I2743" s="7" t="str">
        <f>IF(Plantilla_SCAN_EQ3_COUNT_2[[#This Row],[ID MATERIAL]]="","","Segundo Conteo")</f>
        <v/>
      </c>
    </row>
    <row r="2744" spans="1:9" s="7" customFormat="1" ht="15" x14ac:dyDescent="0.2">
      <c r="A2744" s="7" t="str">
        <f>IF(Plantilla_SCAN_EQ3_COUNT_2[[#This Row],[ID MATERIAL]]="","",SIGN(Plantilla_SCAN_EQ3_COUNT_2[[#This Row],[Cantidad]])+A2743)</f>
        <v/>
      </c>
      <c r="B2744" s="21" t="str">
        <f>IF(Plantilla_SCAN_EQ3_COUNT_2[[#This Row],[ID MATERIAL]]="","",B2743)</f>
        <v/>
      </c>
      <c r="C2744" s="21"/>
      <c r="D2744" s="21"/>
      <c r="E2744" s="7" t="str">
        <f>IF(Plantilla_SCAN_EQ3_COUNT_2[[#This Row],[ID MATERIAL]]="","",VLOOKUP(Plantilla_SCAN_EQ3_COUNT_2[[#This Row],[ID MATERIAL]],INVENTARIO!$A:$D,2,FALSE))</f>
        <v/>
      </c>
      <c r="F2744" s="7" t="str">
        <f>IF(Plantilla_SCAN_EQ3_COUNT_2[[#This Row],[ID MATERIAL]]="","",IF(Plantilla_SCAN_EQ3_COUNT_2[[#This Row],[No. Empaques]]="",1,Plantilla_SCAN_EQ3_COUNT_2[[#This Row],[No. Empaques]]*1))</f>
        <v/>
      </c>
      <c r="G2744" s="7" t="str">
        <f>IF(Plantilla_SCAN_EQ3_COUNT_2[[#This Row],[ID MATERIAL]]="","","PZ")</f>
        <v/>
      </c>
      <c r="H2744" s="7" t="str">
        <f>IF(Plantilla_SCAN_EQ3_COUNT_2[[#This Row],[ID MATERIAL]]="","",$B$13)</f>
        <v/>
      </c>
      <c r="I2744" s="7" t="str">
        <f>IF(Plantilla_SCAN_EQ3_COUNT_2[[#This Row],[ID MATERIAL]]="","","Segundo Conteo")</f>
        <v/>
      </c>
    </row>
    <row r="2745" spans="1:9" s="7" customFormat="1" ht="15" x14ac:dyDescent="0.2">
      <c r="A2745" s="7" t="str">
        <f>IF(Plantilla_SCAN_EQ3_COUNT_2[[#This Row],[ID MATERIAL]]="","",SIGN(Plantilla_SCAN_EQ3_COUNT_2[[#This Row],[Cantidad]])+A2744)</f>
        <v/>
      </c>
      <c r="B2745" s="21" t="str">
        <f>IF(Plantilla_SCAN_EQ3_COUNT_2[[#This Row],[ID MATERIAL]]="","",B2744)</f>
        <v/>
      </c>
      <c r="C2745" s="21"/>
      <c r="D2745" s="21"/>
      <c r="E2745" s="7" t="str">
        <f>IF(Plantilla_SCAN_EQ3_COUNT_2[[#This Row],[ID MATERIAL]]="","",VLOOKUP(Plantilla_SCAN_EQ3_COUNT_2[[#This Row],[ID MATERIAL]],INVENTARIO!$A:$D,2,FALSE))</f>
        <v/>
      </c>
      <c r="F2745" s="7" t="str">
        <f>IF(Plantilla_SCAN_EQ3_COUNT_2[[#This Row],[ID MATERIAL]]="","",IF(Plantilla_SCAN_EQ3_COUNT_2[[#This Row],[No. Empaques]]="",1,Plantilla_SCAN_EQ3_COUNT_2[[#This Row],[No. Empaques]]*1))</f>
        <v/>
      </c>
      <c r="G2745" s="7" t="str">
        <f>IF(Plantilla_SCAN_EQ3_COUNT_2[[#This Row],[ID MATERIAL]]="","","PZ")</f>
        <v/>
      </c>
      <c r="H2745" s="7" t="str">
        <f>IF(Plantilla_SCAN_EQ3_COUNT_2[[#This Row],[ID MATERIAL]]="","",$B$13)</f>
        <v/>
      </c>
      <c r="I2745" s="7" t="str">
        <f>IF(Plantilla_SCAN_EQ3_COUNT_2[[#This Row],[ID MATERIAL]]="","","Segundo Conteo")</f>
        <v/>
      </c>
    </row>
    <row r="2746" spans="1:9" s="7" customFormat="1" ht="15" x14ac:dyDescent="0.2">
      <c r="A2746" s="7" t="str">
        <f>IF(Plantilla_SCAN_EQ3_COUNT_2[[#This Row],[ID MATERIAL]]="","",SIGN(Plantilla_SCAN_EQ3_COUNT_2[[#This Row],[Cantidad]])+A2745)</f>
        <v/>
      </c>
      <c r="B2746" s="21" t="str">
        <f>IF(Plantilla_SCAN_EQ3_COUNT_2[[#This Row],[ID MATERIAL]]="","",B2745)</f>
        <v/>
      </c>
      <c r="C2746" s="21"/>
      <c r="D2746" s="21"/>
      <c r="E2746" s="7" t="str">
        <f>IF(Plantilla_SCAN_EQ3_COUNT_2[[#This Row],[ID MATERIAL]]="","",VLOOKUP(Plantilla_SCAN_EQ3_COUNT_2[[#This Row],[ID MATERIAL]],INVENTARIO!$A:$D,2,FALSE))</f>
        <v/>
      </c>
      <c r="F2746" s="7" t="str">
        <f>IF(Plantilla_SCAN_EQ3_COUNT_2[[#This Row],[ID MATERIAL]]="","",IF(Plantilla_SCAN_EQ3_COUNT_2[[#This Row],[No. Empaques]]="",1,Plantilla_SCAN_EQ3_COUNT_2[[#This Row],[No. Empaques]]*1))</f>
        <v/>
      </c>
      <c r="G2746" s="7" t="str">
        <f>IF(Plantilla_SCAN_EQ3_COUNT_2[[#This Row],[ID MATERIAL]]="","","PZ")</f>
        <v/>
      </c>
      <c r="H2746" s="7" t="str">
        <f>IF(Plantilla_SCAN_EQ3_COUNT_2[[#This Row],[ID MATERIAL]]="","",$B$13)</f>
        <v/>
      </c>
      <c r="I2746" s="7" t="str">
        <f>IF(Plantilla_SCAN_EQ3_COUNT_2[[#This Row],[ID MATERIAL]]="","","Segundo Conteo")</f>
        <v/>
      </c>
    </row>
    <row r="2747" spans="1:9" s="7" customFormat="1" ht="15" x14ac:dyDescent="0.2">
      <c r="A2747" s="7" t="str">
        <f>IF(Plantilla_SCAN_EQ3_COUNT_2[[#This Row],[ID MATERIAL]]="","",SIGN(Plantilla_SCAN_EQ3_COUNT_2[[#This Row],[Cantidad]])+A2746)</f>
        <v/>
      </c>
      <c r="B2747" s="21" t="str">
        <f>IF(Plantilla_SCAN_EQ3_COUNT_2[[#This Row],[ID MATERIAL]]="","",B2746)</f>
        <v/>
      </c>
      <c r="C2747" s="21"/>
      <c r="D2747" s="21"/>
      <c r="E2747" s="7" t="str">
        <f>IF(Plantilla_SCAN_EQ3_COUNT_2[[#This Row],[ID MATERIAL]]="","",VLOOKUP(Plantilla_SCAN_EQ3_COUNT_2[[#This Row],[ID MATERIAL]],INVENTARIO!$A:$D,2,FALSE))</f>
        <v/>
      </c>
      <c r="F2747" s="7" t="str">
        <f>IF(Plantilla_SCAN_EQ3_COUNT_2[[#This Row],[ID MATERIAL]]="","",IF(Plantilla_SCAN_EQ3_COUNT_2[[#This Row],[No. Empaques]]="",1,Plantilla_SCAN_EQ3_COUNT_2[[#This Row],[No. Empaques]]*1))</f>
        <v/>
      </c>
      <c r="G2747" s="7" t="str">
        <f>IF(Plantilla_SCAN_EQ3_COUNT_2[[#This Row],[ID MATERIAL]]="","","PZ")</f>
        <v/>
      </c>
      <c r="H2747" s="7" t="str">
        <f>IF(Plantilla_SCAN_EQ3_COUNT_2[[#This Row],[ID MATERIAL]]="","",$B$13)</f>
        <v/>
      </c>
      <c r="I2747" s="7" t="str">
        <f>IF(Plantilla_SCAN_EQ3_COUNT_2[[#This Row],[ID MATERIAL]]="","","Segundo Conteo")</f>
        <v/>
      </c>
    </row>
    <row r="2748" spans="1:9" s="7" customFormat="1" ht="15" x14ac:dyDescent="0.2">
      <c r="A2748" s="7" t="str">
        <f>IF(Plantilla_SCAN_EQ3_COUNT_2[[#This Row],[ID MATERIAL]]="","",SIGN(Plantilla_SCAN_EQ3_COUNT_2[[#This Row],[Cantidad]])+A2747)</f>
        <v/>
      </c>
      <c r="B2748" s="21" t="str">
        <f>IF(Plantilla_SCAN_EQ3_COUNT_2[[#This Row],[ID MATERIAL]]="","",B2747)</f>
        <v/>
      </c>
      <c r="C2748" s="21"/>
      <c r="D2748" s="21"/>
      <c r="E2748" s="7" t="str">
        <f>IF(Plantilla_SCAN_EQ3_COUNT_2[[#This Row],[ID MATERIAL]]="","",VLOOKUP(Plantilla_SCAN_EQ3_COUNT_2[[#This Row],[ID MATERIAL]],INVENTARIO!$A:$D,2,FALSE))</f>
        <v/>
      </c>
      <c r="F2748" s="7" t="str">
        <f>IF(Plantilla_SCAN_EQ3_COUNT_2[[#This Row],[ID MATERIAL]]="","",IF(Plantilla_SCAN_EQ3_COUNT_2[[#This Row],[No. Empaques]]="",1,Plantilla_SCAN_EQ3_COUNT_2[[#This Row],[No. Empaques]]*1))</f>
        <v/>
      </c>
      <c r="G2748" s="7" t="str">
        <f>IF(Plantilla_SCAN_EQ3_COUNT_2[[#This Row],[ID MATERIAL]]="","","PZ")</f>
        <v/>
      </c>
      <c r="H2748" s="7" t="str">
        <f>IF(Plantilla_SCAN_EQ3_COUNT_2[[#This Row],[ID MATERIAL]]="","",$B$13)</f>
        <v/>
      </c>
      <c r="I2748" s="7" t="str">
        <f>IF(Plantilla_SCAN_EQ3_COUNT_2[[#This Row],[ID MATERIAL]]="","","Segundo Conteo")</f>
        <v/>
      </c>
    </row>
    <row r="2749" spans="1:9" s="7" customFormat="1" ht="15" x14ac:dyDescent="0.2">
      <c r="A2749" s="7" t="str">
        <f>IF(Plantilla_SCAN_EQ3_COUNT_2[[#This Row],[ID MATERIAL]]="","",SIGN(Plantilla_SCAN_EQ3_COUNT_2[[#This Row],[Cantidad]])+A2748)</f>
        <v/>
      </c>
      <c r="B2749" s="21" t="str">
        <f>IF(Plantilla_SCAN_EQ3_COUNT_2[[#This Row],[ID MATERIAL]]="","",B2748)</f>
        <v/>
      </c>
      <c r="C2749" s="21"/>
      <c r="D2749" s="21"/>
      <c r="E2749" s="7" t="str">
        <f>IF(Plantilla_SCAN_EQ3_COUNT_2[[#This Row],[ID MATERIAL]]="","",VLOOKUP(Plantilla_SCAN_EQ3_COUNT_2[[#This Row],[ID MATERIAL]],INVENTARIO!$A:$D,2,FALSE))</f>
        <v/>
      </c>
      <c r="F2749" s="7" t="str">
        <f>IF(Plantilla_SCAN_EQ3_COUNT_2[[#This Row],[ID MATERIAL]]="","",IF(Plantilla_SCAN_EQ3_COUNT_2[[#This Row],[No. Empaques]]="",1,Plantilla_SCAN_EQ3_COUNT_2[[#This Row],[No. Empaques]]*1))</f>
        <v/>
      </c>
      <c r="G2749" s="7" t="str">
        <f>IF(Plantilla_SCAN_EQ3_COUNT_2[[#This Row],[ID MATERIAL]]="","","PZ")</f>
        <v/>
      </c>
      <c r="H2749" s="7" t="str">
        <f>IF(Plantilla_SCAN_EQ3_COUNT_2[[#This Row],[ID MATERIAL]]="","",$B$13)</f>
        <v/>
      </c>
      <c r="I2749" s="7" t="str">
        <f>IF(Plantilla_SCAN_EQ3_COUNT_2[[#This Row],[ID MATERIAL]]="","","Segundo Conteo")</f>
        <v/>
      </c>
    </row>
    <row r="2750" spans="1:9" s="7" customFormat="1" ht="15" x14ac:dyDescent="0.2">
      <c r="A2750" s="7" t="str">
        <f>IF(Plantilla_SCAN_EQ3_COUNT_2[[#This Row],[ID MATERIAL]]="","",SIGN(Plantilla_SCAN_EQ3_COUNT_2[[#This Row],[Cantidad]])+A2749)</f>
        <v/>
      </c>
      <c r="B2750" s="21" t="str">
        <f>IF(Plantilla_SCAN_EQ3_COUNT_2[[#This Row],[ID MATERIAL]]="","",B2749)</f>
        <v/>
      </c>
      <c r="C2750" s="21"/>
      <c r="D2750" s="21"/>
      <c r="E2750" s="7" t="str">
        <f>IF(Plantilla_SCAN_EQ3_COUNT_2[[#This Row],[ID MATERIAL]]="","",VLOOKUP(Plantilla_SCAN_EQ3_COUNT_2[[#This Row],[ID MATERIAL]],INVENTARIO!$A:$D,2,FALSE))</f>
        <v/>
      </c>
      <c r="F2750" s="7" t="str">
        <f>IF(Plantilla_SCAN_EQ3_COUNT_2[[#This Row],[ID MATERIAL]]="","",IF(Plantilla_SCAN_EQ3_COUNT_2[[#This Row],[No. Empaques]]="",1,Plantilla_SCAN_EQ3_COUNT_2[[#This Row],[No. Empaques]]*1))</f>
        <v/>
      </c>
      <c r="G2750" s="7" t="str">
        <f>IF(Plantilla_SCAN_EQ3_COUNT_2[[#This Row],[ID MATERIAL]]="","","PZ")</f>
        <v/>
      </c>
      <c r="H2750" s="7" t="str">
        <f>IF(Plantilla_SCAN_EQ3_COUNT_2[[#This Row],[ID MATERIAL]]="","",$B$13)</f>
        <v/>
      </c>
      <c r="I2750" s="7" t="str">
        <f>IF(Plantilla_SCAN_EQ3_COUNT_2[[#This Row],[ID MATERIAL]]="","","Segundo Conteo")</f>
        <v/>
      </c>
    </row>
    <row r="2751" spans="1:9" s="7" customFormat="1" ht="15" x14ac:dyDescent="0.2">
      <c r="A2751" s="7" t="str">
        <f>IF(Plantilla_SCAN_EQ3_COUNT_2[[#This Row],[ID MATERIAL]]="","",SIGN(Plantilla_SCAN_EQ3_COUNT_2[[#This Row],[Cantidad]])+A2750)</f>
        <v/>
      </c>
      <c r="B2751" s="21" t="str">
        <f>IF(Plantilla_SCAN_EQ3_COUNT_2[[#This Row],[ID MATERIAL]]="","",B2750)</f>
        <v/>
      </c>
      <c r="C2751" s="21"/>
      <c r="D2751" s="21"/>
      <c r="E2751" s="7" t="str">
        <f>IF(Plantilla_SCAN_EQ3_COUNT_2[[#This Row],[ID MATERIAL]]="","",VLOOKUP(Plantilla_SCAN_EQ3_COUNT_2[[#This Row],[ID MATERIAL]],INVENTARIO!$A:$D,2,FALSE))</f>
        <v/>
      </c>
      <c r="F2751" s="7" t="str">
        <f>IF(Plantilla_SCAN_EQ3_COUNT_2[[#This Row],[ID MATERIAL]]="","",IF(Plantilla_SCAN_EQ3_COUNT_2[[#This Row],[No. Empaques]]="",1,Plantilla_SCAN_EQ3_COUNT_2[[#This Row],[No. Empaques]]*1))</f>
        <v/>
      </c>
      <c r="G2751" s="7" t="str">
        <f>IF(Plantilla_SCAN_EQ3_COUNT_2[[#This Row],[ID MATERIAL]]="","","PZ")</f>
        <v/>
      </c>
      <c r="H2751" s="7" t="str">
        <f>IF(Plantilla_SCAN_EQ3_COUNT_2[[#This Row],[ID MATERIAL]]="","",$B$13)</f>
        <v/>
      </c>
      <c r="I2751" s="7" t="str">
        <f>IF(Plantilla_SCAN_EQ3_COUNT_2[[#This Row],[ID MATERIAL]]="","","Segundo Conteo")</f>
        <v/>
      </c>
    </row>
    <row r="2752" spans="1:9" s="7" customFormat="1" ht="15" x14ac:dyDescent="0.2">
      <c r="A2752" s="7" t="str">
        <f>IF(Plantilla_SCAN_EQ3_COUNT_2[[#This Row],[ID MATERIAL]]="","",SIGN(Plantilla_SCAN_EQ3_COUNT_2[[#This Row],[Cantidad]])+A2751)</f>
        <v/>
      </c>
      <c r="B2752" s="21" t="str">
        <f>IF(Plantilla_SCAN_EQ3_COUNT_2[[#This Row],[ID MATERIAL]]="","",B2751)</f>
        <v/>
      </c>
      <c r="C2752" s="21"/>
      <c r="D2752" s="21"/>
      <c r="E2752" s="7" t="str">
        <f>IF(Plantilla_SCAN_EQ3_COUNT_2[[#This Row],[ID MATERIAL]]="","",VLOOKUP(Plantilla_SCAN_EQ3_COUNT_2[[#This Row],[ID MATERIAL]],INVENTARIO!$A:$D,2,FALSE))</f>
        <v/>
      </c>
      <c r="F2752" s="7" t="str">
        <f>IF(Plantilla_SCAN_EQ3_COUNT_2[[#This Row],[ID MATERIAL]]="","",IF(Plantilla_SCAN_EQ3_COUNT_2[[#This Row],[No. Empaques]]="",1,Plantilla_SCAN_EQ3_COUNT_2[[#This Row],[No. Empaques]]*1))</f>
        <v/>
      </c>
      <c r="G2752" s="7" t="str">
        <f>IF(Plantilla_SCAN_EQ3_COUNT_2[[#This Row],[ID MATERIAL]]="","","PZ")</f>
        <v/>
      </c>
      <c r="H2752" s="7" t="str">
        <f>IF(Plantilla_SCAN_EQ3_COUNT_2[[#This Row],[ID MATERIAL]]="","",$B$13)</f>
        <v/>
      </c>
      <c r="I2752" s="7" t="str">
        <f>IF(Plantilla_SCAN_EQ3_COUNT_2[[#This Row],[ID MATERIAL]]="","","Segundo Conteo")</f>
        <v/>
      </c>
    </row>
    <row r="2753" spans="1:9" s="7" customFormat="1" ht="15" x14ac:dyDescent="0.2">
      <c r="A2753" s="7" t="str">
        <f>IF(Plantilla_SCAN_EQ3_COUNT_2[[#This Row],[ID MATERIAL]]="","",SIGN(Plantilla_SCAN_EQ3_COUNT_2[[#This Row],[Cantidad]])+A2752)</f>
        <v/>
      </c>
      <c r="B2753" s="21" t="str">
        <f>IF(Plantilla_SCAN_EQ3_COUNT_2[[#This Row],[ID MATERIAL]]="","",B2752)</f>
        <v/>
      </c>
      <c r="C2753" s="21"/>
      <c r="D2753" s="21"/>
      <c r="E2753" s="7" t="str">
        <f>IF(Plantilla_SCAN_EQ3_COUNT_2[[#This Row],[ID MATERIAL]]="","",VLOOKUP(Plantilla_SCAN_EQ3_COUNT_2[[#This Row],[ID MATERIAL]],INVENTARIO!$A:$D,2,FALSE))</f>
        <v/>
      </c>
      <c r="F2753" s="7" t="str">
        <f>IF(Plantilla_SCAN_EQ3_COUNT_2[[#This Row],[ID MATERIAL]]="","",IF(Plantilla_SCAN_EQ3_COUNT_2[[#This Row],[No. Empaques]]="",1,Plantilla_SCAN_EQ3_COUNT_2[[#This Row],[No. Empaques]]*1))</f>
        <v/>
      </c>
      <c r="G2753" s="7" t="str">
        <f>IF(Plantilla_SCAN_EQ3_COUNT_2[[#This Row],[ID MATERIAL]]="","","PZ")</f>
        <v/>
      </c>
      <c r="H2753" s="7" t="str">
        <f>IF(Plantilla_SCAN_EQ3_COUNT_2[[#This Row],[ID MATERIAL]]="","",$B$13)</f>
        <v/>
      </c>
      <c r="I2753" s="7" t="str">
        <f>IF(Plantilla_SCAN_EQ3_COUNT_2[[#This Row],[ID MATERIAL]]="","","Segundo Conteo")</f>
        <v/>
      </c>
    </row>
    <row r="2754" spans="1:9" s="7" customFormat="1" ht="15" x14ac:dyDescent="0.2">
      <c r="A2754" s="7" t="str">
        <f>IF(Plantilla_SCAN_EQ3_COUNT_2[[#This Row],[ID MATERIAL]]="","",SIGN(Plantilla_SCAN_EQ3_COUNT_2[[#This Row],[Cantidad]])+A2753)</f>
        <v/>
      </c>
      <c r="B2754" s="21" t="str">
        <f>IF(Plantilla_SCAN_EQ3_COUNT_2[[#This Row],[ID MATERIAL]]="","",B2753)</f>
        <v/>
      </c>
      <c r="C2754" s="21"/>
      <c r="D2754" s="21"/>
      <c r="E2754" s="7" t="str">
        <f>IF(Plantilla_SCAN_EQ3_COUNT_2[[#This Row],[ID MATERIAL]]="","",VLOOKUP(Plantilla_SCAN_EQ3_COUNT_2[[#This Row],[ID MATERIAL]],INVENTARIO!$A:$D,2,FALSE))</f>
        <v/>
      </c>
      <c r="F2754" s="7" t="str">
        <f>IF(Plantilla_SCAN_EQ3_COUNT_2[[#This Row],[ID MATERIAL]]="","",IF(Plantilla_SCAN_EQ3_COUNT_2[[#This Row],[No. Empaques]]="",1,Plantilla_SCAN_EQ3_COUNT_2[[#This Row],[No. Empaques]]*1))</f>
        <v/>
      </c>
      <c r="G2754" s="7" t="str">
        <f>IF(Plantilla_SCAN_EQ3_COUNT_2[[#This Row],[ID MATERIAL]]="","","PZ")</f>
        <v/>
      </c>
      <c r="H2754" s="7" t="str">
        <f>IF(Plantilla_SCAN_EQ3_COUNT_2[[#This Row],[ID MATERIAL]]="","",$B$13)</f>
        <v/>
      </c>
      <c r="I2754" s="7" t="str">
        <f>IF(Plantilla_SCAN_EQ3_COUNT_2[[#This Row],[ID MATERIAL]]="","","Segundo Conteo")</f>
        <v/>
      </c>
    </row>
    <row r="2755" spans="1:9" s="7" customFormat="1" ht="15" x14ac:dyDescent="0.2">
      <c r="A2755" s="7" t="str">
        <f>IF(Plantilla_SCAN_EQ3_COUNT_2[[#This Row],[ID MATERIAL]]="","",SIGN(Plantilla_SCAN_EQ3_COUNT_2[[#This Row],[Cantidad]])+A2754)</f>
        <v/>
      </c>
      <c r="B2755" s="21" t="str">
        <f>IF(Plantilla_SCAN_EQ3_COUNT_2[[#This Row],[ID MATERIAL]]="","",B2754)</f>
        <v/>
      </c>
      <c r="C2755" s="21"/>
      <c r="D2755" s="21"/>
      <c r="E2755" s="7" t="str">
        <f>IF(Plantilla_SCAN_EQ3_COUNT_2[[#This Row],[ID MATERIAL]]="","",VLOOKUP(Plantilla_SCAN_EQ3_COUNT_2[[#This Row],[ID MATERIAL]],INVENTARIO!$A:$D,2,FALSE))</f>
        <v/>
      </c>
      <c r="F2755" s="7" t="str">
        <f>IF(Plantilla_SCAN_EQ3_COUNT_2[[#This Row],[ID MATERIAL]]="","",IF(Plantilla_SCAN_EQ3_COUNT_2[[#This Row],[No. Empaques]]="",1,Plantilla_SCAN_EQ3_COUNT_2[[#This Row],[No. Empaques]]*1))</f>
        <v/>
      </c>
      <c r="G2755" s="7" t="str">
        <f>IF(Plantilla_SCAN_EQ3_COUNT_2[[#This Row],[ID MATERIAL]]="","","PZ")</f>
        <v/>
      </c>
      <c r="H2755" s="7" t="str">
        <f>IF(Plantilla_SCAN_EQ3_COUNT_2[[#This Row],[ID MATERIAL]]="","",$B$13)</f>
        <v/>
      </c>
      <c r="I2755" s="7" t="str">
        <f>IF(Plantilla_SCAN_EQ3_COUNT_2[[#This Row],[ID MATERIAL]]="","","Segundo Conteo")</f>
        <v/>
      </c>
    </row>
    <row r="2756" spans="1:9" s="7" customFormat="1" ht="15" x14ac:dyDescent="0.2">
      <c r="A2756" s="7" t="str">
        <f>IF(Plantilla_SCAN_EQ3_COUNT_2[[#This Row],[ID MATERIAL]]="","",SIGN(Plantilla_SCAN_EQ3_COUNT_2[[#This Row],[Cantidad]])+A2755)</f>
        <v/>
      </c>
      <c r="B2756" s="21" t="str">
        <f>IF(Plantilla_SCAN_EQ3_COUNT_2[[#This Row],[ID MATERIAL]]="","",B2755)</f>
        <v/>
      </c>
      <c r="C2756" s="21"/>
      <c r="D2756" s="21"/>
      <c r="E2756" s="7" t="str">
        <f>IF(Plantilla_SCAN_EQ3_COUNT_2[[#This Row],[ID MATERIAL]]="","",VLOOKUP(Plantilla_SCAN_EQ3_COUNT_2[[#This Row],[ID MATERIAL]],INVENTARIO!$A:$D,2,FALSE))</f>
        <v/>
      </c>
      <c r="F2756" s="7" t="str">
        <f>IF(Plantilla_SCAN_EQ3_COUNT_2[[#This Row],[ID MATERIAL]]="","",IF(Plantilla_SCAN_EQ3_COUNT_2[[#This Row],[No. Empaques]]="",1,Plantilla_SCAN_EQ3_COUNT_2[[#This Row],[No. Empaques]]*1))</f>
        <v/>
      </c>
      <c r="G2756" s="7" t="str">
        <f>IF(Plantilla_SCAN_EQ3_COUNT_2[[#This Row],[ID MATERIAL]]="","","PZ")</f>
        <v/>
      </c>
      <c r="H2756" s="7" t="str">
        <f>IF(Plantilla_SCAN_EQ3_COUNT_2[[#This Row],[ID MATERIAL]]="","",$B$13)</f>
        <v/>
      </c>
      <c r="I2756" s="7" t="str">
        <f>IF(Plantilla_SCAN_EQ3_COUNT_2[[#This Row],[ID MATERIAL]]="","","Segundo Conteo")</f>
        <v/>
      </c>
    </row>
    <row r="2757" spans="1:9" s="7" customFormat="1" ht="15" x14ac:dyDescent="0.2">
      <c r="A2757" s="7" t="str">
        <f>IF(Plantilla_SCAN_EQ3_COUNT_2[[#This Row],[ID MATERIAL]]="","",SIGN(Plantilla_SCAN_EQ3_COUNT_2[[#This Row],[Cantidad]])+A2756)</f>
        <v/>
      </c>
      <c r="B2757" s="21" t="str">
        <f>IF(Plantilla_SCAN_EQ3_COUNT_2[[#This Row],[ID MATERIAL]]="","",B2756)</f>
        <v/>
      </c>
      <c r="C2757" s="21"/>
      <c r="D2757" s="21"/>
      <c r="E2757" s="7" t="str">
        <f>IF(Plantilla_SCAN_EQ3_COUNT_2[[#This Row],[ID MATERIAL]]="","",VLOOKUP(Plantilla_SCAN_EQ3_COUNT_2[[#This Row],[ID MATERIAL]],INVENTARIO!$A:$D,2,FALSE))</f>
        <v/>
      </c>
      <c r="F2757" s="7" t="str">
        <f>IF(Plantilla_SCAN_EQ3_COUNT_2[[#This Row],[ID MATERIAL]]="","",IF(Plantilla_SCAN_EQ3_COUNT_2[[#This Row],[No. Empaques]]="",1,Plantilla_SCAN_EQ3_COUNT_2[[#This Row],[No. Empaques]]*1))</f>
        <v/>
      </c>
      <c r="G2757" s="7" t="str">
        <f>IF(Plantilla_SCAN_EQ3_COUNT_2[[#This Row],[ID MATERIAL]]="","","PZ")</f>
        <v/>
      </c>
      <c r="H2757" s="7" t="str">
        <f>IF(Plantilla_SCAN_EQ3_COUNT_2[[#This Row],[ID MATERIAL]]="","",$B$13)</f>
        <v/>
      </c>
      <c r="I2757" s="7" t="str">
        <f>IF(Plantilla_SCAN_EQ3_COUNT_2[[#This Row],[ID MATERIAL]]="","","Segundo Conteo")</f>
        <v/>
      </c>
    </row>
    <row r="2758" spans="1:9" s="7" customFormat="1" ht="15" x14ac:dyDescent="0.2">
      <c r="A2758" s="7" t="str">
        <f>IF(Plantilla_SCAN_EQ3_COUNT_2[[#This Row],[ID MATERIAL]]="","",SIGN(Plantilla_SCAN_EQ3_COUNT_2[[#This Row],[Cantidad]])+A2757)</f>
        <v/>
      </c>
      <c r="B2758" s="21" t="str">
        <f>IF(Plantilla_SCAN_EQ3_COUNT_2[[#This Row],[ID MATERIAL]]="","",B2757)</f>
        <v/>
      </c>
      <c r="C2758" s="21"/>
      <c r="D2758" s="21"/>
      <c r="E2758" s="7" t="str">
        <f>IF(Plantilla_SCAN_EQ3_COUNT_2[[#This Row],[ID MATERIAL]]="","",VLOOKUP(Plantilla_SCAN_EQ3_COUNT_2[[#This Row],[ID MATERIAL]],INVENTARIO!$A:$D,2,FALSE))</f>
        <v/>
      </c>
      <c r="F2758" s="7" t="str">
        <f>IF(Plantilla_SCAN_EQ3_COUNT_2[[#This Row],[ID MATERIAL]]="","",IF(Plantilla_SCAN_EQ3_COUNT_2[[#This Row],[No. Empaques]]="",1,Plantilla_SCAN_EQ3_COUNT_2[[#This Row],[No. Empaques]]*1))</f>
        <v/>
      </c>
      <c r="G2758" s="7" t="str">
        <f>IF(Plantilla_SCAN_EQ3_COUNT_2[[#This Row],[ID MATERIAL]]="","","PZ")</f>
        <v/>
      </c>
      <c r="H2758" s="7" t="str">
        <f>IF(Plantilla_SCAN_EQ3_COUNT_2[[#This Row],[ID MATERIAL]]="","",$B$13)</f>
        <v/>
      </c>
      <c r="I2758" s="7" t="str">
        <f>IF(Plantilla_SCAN_EQ3_COUNT_2[[#This Row],[ID MATERIAL]]="","","Segundo Conteo")</f>
        <v/>
      </c>
    </row>
    <row r="2759" spans="1:9" s="7" customFormat="1" ht="15" x14ac:dyDescent="0.2">
      <c r="A2759" s="7" t="str">
        <f>IF(Plantilla_SCAN_EQ3_COUNT_2[[#This Row],[ID MATERIAL]]="","",SIGN(Plantilla_SCAN_EQ3_COUNT_2[[#This Row],[Cantidad]])+A2758)</f>
        <v/>
      </c>
      <c r="B2759" s="21" t="str">
        <f>IF(Plantilla_SCAN_EQ3_COUNT_2[[#This Row],[ID MATERIAL]]="","",B2758)</f>
        <v/>
      </c>
      <c r="C2759" s="21"/>
      <c r="D2759" s="21"/>
      <c r="E2759" s="7" t="str">
        <f>IF(Plantilla_SCAN_EQ3_COUNT_2[[#This Row],[ID MATERIAL]]="","",VLOOKUP(Plantilla_SCAN_EQ3_COUNT_2[[#This Row],[ID MATERIAL]],INVENTARIO!$A:$D,2,FALSE))</f>
        <v/>
      </c>
      <c r="F2759" s="7" t="str">
        <f>IF(Plantilla_SCAN_EQ3_COUNT_2[[#This Row],[ID MATERIAL]]="","",IF(Plantilla_SCAN_EQ3_COUNT_2[[#This Row],[No. Empaques]]="",1,Plantilla_SCAN_EQ3_COUNT_2[[#This Row],[No. Empaques]]*1))</f>
        <v/>
      </c>
      <c r="G2759" s="7" t="str">
        <f>IF(Plantilla_SCAN_EQ3_COUNT_2[[#This Row],[ID MATERIAL]]="","","PZ")</f>
        <v/>
      </c>
      <c r="H2759" s="7" t="str">
        <f>IF(Plantilla_SCAN_EQ3_COUNT_2[[#This Row],[ID MATERIAL]]="","",$B$13)</f>
        <v/>
      </c>
      <c r="I2759" s="7" t="str">
        <f>IF(Plantilla_SCAN_EQ3_COUNT_2[[#This Row],[ID MATERIAL]]="","","Segundo Conteo")</f>
        <v/>
      </c>
    </row>
    <row r="2760" spans="1:9" s="7" customFormat="1" ht="15" x14ac:dyDescent="0.2">
      <c r="A2760" s="7" t="str">
        <f>IF(Plantilla_SCAN_EQ3_COUNT_2[[#This Row],[ID MATERIAL]]="","",SIGN(Plantilla_SCAN_EQ3_COUNT_2[[#This Row],[Cantidad]])+A2759)</f>
        <v/>
      </c>
      <c r="B2760" s="21" t="str">
        <f>IF(Plantilla_SCAN_EQ3_COUNT_2[[#This Row],[ID MATERIAL]]="","",B2759)</f>
        <v/>
      </c>
      <c r="C2760" s="21"/>
      <c r="D2760" s="21"/>
      <c r="E2760" s="7" t="str">
        <f>IF(Plantilla_SCAN_EQ3_COUNT_2[[#This Row],[ID MATERIAL]]="","",VLOOKUP(Plantilla_SCAN_EQ3_COUNT_2[[#This Row],[ID MATERIAL]],INVENTARIO!$A:$D,2,FALSE))</f>
        <v/>
      </c>
      <c r="F2760" s="7" t="str">
        <f>IF(Plantilla_SCAN_EQ3_COUNT_2[[#This Row],[ID MATERIAL]]="","",IF(Plantilla_SCAN_EQ3_COUNT_2[[#This Row],[No. Empaques]]="",1,Plantilla_SCAN_EQ3_COUNT_2[[#This Row],[No. Empaques]]*1))</f>
        <v/>
      </c>
      <c r="G2760" s="7" t="str">
        <f>IF(Plantilla_SCAN_EQ3_COUNT_2[[#This Row],[ID MATERIAL]]="","","PZ")</f>
        <v/>
      </c>
      <c r="H2760" s="7" t="str">
        <f>IF(Plantilla_SCAN_EQ3_COUNT_2[[#This Row],[ID MATERIAL]]="","",$B$13)</f>
        <v/>
      </c>
      <c r="I2760" s="7" t="str">
        <f>IF(Plantilla_SCAN_EQ3_COUNT_2[[#This Row],[ID MATERIAL]]="","","Segundo Conteo")</f>
        <v/>
      </c>
    </row>
    <row r="2761" spans="1:9" s="7" customFormat="1" ht="15" x14ac:dyDescent="0.2">
      <c r="A2761" s="7" t="str">
        <f>IF(Plantilla_SCAN_EQ3_COUNT_2[[#This Row],[ID MATERIAL]]="","",SIGN(Plantilla_SCAN_EQ3_COUNT_2[[#This Row],[Cantidad]])+A2760)</f>
        <v/>
      </c>
      <c r="B2761" s="21" t="str">
        <f>IF(Plantilla_SCAN_EQ3_COUNT_2[[#This Row],[ID MATERIAL]]="","",B2760)</f>
        <v/>
      </c>
      <c r="C2761" s="21"/>
      <c r="D2761" s="21"/>
      <c r="E2761" s="7" t="str">
        <f>IF(Plantilla_SCAN_EQ3_COUNT_2[[#This Row],[ID MATERIAL]]="","",VLOOKUP(Plantilla_SCAN_EQ3_COUNT_2[[#This Row],[ID MATERIAL]],INVENTARIO!$A:$D,2,FALSE))</f>
        <v/>
      </c>
      <c r="F2761" s="7" t="str">
        <f>IF(Plantilla_SCAN_EQ3_COUNT_2[[#This Row],[ID MATERIAL]]="","",IF(Plantilla_SCAN_EQ3_COUNT_2[[#This Row],[No. Empaques]]="",1,Plantilla_SCAN_EQ3_COUNT_2[[#This Row],[No. Empaques]]*1))</f>
        <v/>
      </c>
      <c r="G2761" s="7" t="str">
        <f>IF(Plantilla_SCAN_EQ3_COUNT_2[[#This Row],[ID MATERIAL]]="","","PZ")</f>
        <v/>
      </c>
      <c r="H2761" s="7" t="str">
        <f>IF(Plantilla_SCAN_EQ3_COUNT_2[[#This Row],[ID MATERIAL]]="","",$B$13)</f>
        <v/>
      </c>
      <c r="I2761" s="7" t="str">
        <f>IF(Plantilla_SCAN_EQ3_COUNT_2[[#This Row],[ID MATERIAL]]="","","Segundo Conteo")</f>
        <v/>
      </c>
    </row>
    <row r="2762" spans="1:9" s="7" customFormat="1" ht="15" x14ac:dyDescent="0.2">
      <c r="A2762" s="7" t="str">
        <f>IF(Plantilla_SCAN_EQ3_COUNT_2[[#This Row],[ID MATERIAL]]="","",SIGN(Plantilla_SCAN_EQ3_COUNT_2[[#This Row],[Cantidad]])+A2761)</f>
        <v/>
      </c>
      <c r="B2762" s="21" t="str">
        <f>IF(Plantilla_SCAN_EQ3_COUNT_2[[#This Row],[ID MATERIAL]]="","",B2761)</f>
        <v/>
      </c>
      <c r="C2762" s="21"/>
      <c r="D2762" s="21"/>
      <c r="E2762" s="7" t="str">
        <f>IF(Plantilla_SCAN_EQ3_COUNT_2[[#This Row],[ID MATERIAL]]="","",VLOOKUP(Plantilla_SCAN_EQ3_COUNT_2[[#This Row],[ID MATERIAL]],INVENTARIO!$A:$D,2,FALSE))</f>
        <v/>
      </c>
      <c r="F2762" s="7" t="str">
        <f>IF(Plantilla_SCAN_EQ3_COUNT_2[[#This Row],[ID MATERIAL]]="","",IF(Plantilla_SCAN_EQ3_COUNT_2[[#This Row],[No. Empaques]]="",1,Plantilla_SCAN_EQ3_COUNT_2[[#This Row],[No. Empaques]]*1))</f>
        <v/>
      </c>
      <c r="G2762" s="7" t="str">
        <f>IF(Plantilla_SCAN_EQ3_COUNT_2[[#This Row],[ID MATERIAL]]="","","PZ")</f>
        <v/>
      </c>
      <c r="H2762" s="7" t="str">
        <f>IF(Plantilla_SCAN_EQ3_COUNT_2[[#This Row],[ID MATERIAL]]="","",$B$13)</f>
        <v/>
      </c>
      <c r="I2762" s="7" t="str">
        <f>IF(Plantilla_SCAN_EQ3_COUNT_2[[#This Row],[ID MATERIAL]]="","","Segundo Conteo")</f>
        <v/>
      </c>
    </row>
    <row r="2763" spans="1:9" s="7" customFormat="1" ht="15" x14ac:dyDescent="0.2">
      <c r="A2763" s="7" t="str">
        <f>IF(Plantilla_SCAN_EQ3_COUNT_2[[#This Row],[ID MATERIAL]]="","",SIGN(Plantilla_SCAN_EQ3_COUNT_2[[#This Row],[Cantidad]])+A2762)</f>
        <v/>
      </c>
      <c r="B2763" s="21" t="str">
        <f>IF(Plantilla_SCAN_EQ3_COUNT_2[[#This Row],[ID MATERIAL]]="","",B2762)</f>
        <v/>
      </c>
      <c r="C2763" s="21"/>
      <c r="D2763" s="21"/>
      <c r="E2763" s="7" t="str">
        <f>IF(Plantilla_SCAN_EQ3_COUNT_2[[#This Row],[ID MATERIAL]]="","",VLOOKUP(Plantilla_SCAN_EQ3_COUNT_2[[#This Row],[ID MATERIAL]],INVENTARIO!$A:$D,2,FALSE))</f>
        <v/>
      </c>
      <c r="F2763" s="7" t="str">
        <f>IF(Plantilla_SCAN_EQ3_COUNT_2[[#This Row],[ID MATERIAL]]="","",IF(Plantilla_SCAN_EQ3_COUNT_2[[#This Row],[No. Empaques]]="",1,Plantilla_SCAN_EQ3_COUNT_2[[#This Row],[No. Empaques]]*1))</f>
        <v/>
      </c>
      <c r="G2763" s="7" t="str">
        <f>IF(Plantilla_SCAN_EQ3_COUNT_2[[#This Row],[ID MATERIAL]]="","","PZ")</f>
        <v/>
      </c>
      <c r="H2763" s="7" t="str">
        <f>IF(Plantilla_SCAN_EQ3_COUNT_2[[#This Row],[ID MATERIAL]]="","",$B$13)</f>
        <v/>
      </c>
      <c r="I2763" s="7" t="str">
        <f>IF(Plantilla_SCAN_EQ3_COUNT_2[[#This Row],[ID MATERIAL]]="","","Segundo Conteo")</f>
        <v/>
      </c>
    </row>
    <row r="2764" spans="1:9" s="7" customFormat="1" ht="15" x14ac:dyDescent="0.2">
      <c r="A2764" s="7" t="str">
        <f>IF(Plantilla_SCAN_EQ3_COUNT_2[[#This Row],[ID MATERIAL]]="","",SIGN(Plantilla_SCAN_EQ3_COUNT_2[[#This Row],[Cantidad]])+A2763)</f>
        <v/>
      </c>
      <c r="B2764" s="21" t="str">
        <f>IF(Plantilla_SCAN_EQ3_COUNT_2[[#This Row],[ID MATERIAL]]="","",B2763)</f>
        <v/>
      </c>
      <c r="C2764" s="21"/>
      <c r="D2764" s="21"/>
      <c r="E2764" s="7" t="str">
        <f>IF(Plantilla_SCAN_EQ3_COUNT_2[[#This Row],[ID MATERIAL]]="","",VLOOKUP(Plantilla_SCAN_EQ3_COUNT_2[[#This Row],[ID MATERIAL]],INVENTARIO!$A:$D,2,FALSE))</f>
        <v/>
      </c>
      <c r="F2764" s="7" t="str">
        <f>IF(Plantilla_SCAN_EQ3_COUNT_2[[#This Row],[ID MATERIAL]]="","",IF(Plantilla_SCAN_EQ3_COUNT_2[[#This Row],[No. Empaques]]="",1,Plantilla_SCAN_EQ3_COUNT_2[[#This Row],[No. Empaques]]*1))</f>
        <v/>
      </c>
      <c r="G2764" s="7" t="str">
        <f>IF(Plantilla_SCAN_EQ3_COUNT_2[[#This Row],[ID MATERIAL]]="","","PZ")</f>
        <v/>
      </c>
      <c r="H2764" s="7" t="str">
        <f>IF(Plantilla_SCAN_EQ3_COUNT_2[[#This Row],[ID MATERIAL]]="","",$B$13)</f>
        <v/>
      </c>
      <c r="I2764" s="7" t="str">
        <f>IF(Plantilla_SCAN_EQ3_COUNT_2[[#This Row],[ID MATERIAL]]="","","Segundo Conteo")</f>
        <v/>
      </c>
    </row>
    <row r="2765" spans="1:9" s="7" customFormat="1" ht="15" x14ac:dyDescent="0.2">
      <c r="A2765" s="7" t="str">
        <f>IF(Plantilla_SCAN_EQ3_COUNT_2[[#This Row],[ID MATERIAL]]="","",SIGN(Plantilla_SCAN_EQ3_COUNT_2[[#This Row],[Cantidad]])+A2764)</f>
        <v/>
      </c>
      <c r="B2765" s="21" t="str">
        <f>IF(Plantilla_SCAN_EQ3_COUNT_2[[#This Row],[ID MATERIAL]]="","",B2764)</f>
        <v/>
      </c>
      <c r="C2765" s="21"/>
      <c r="D2765" s="21"/>
      <c r="E2765" s="7" t="str">
        <f>IF(Plantilla_SCAN_EQ3_COUNT_2[[#This Row],[ID MATERIAL]]="","",VLOOKUP(Plantilla_SCAN_EQ3_COUNT_2[[#This Row],[ID MATERIAL]],INVENTARIO!$A:$D,2,FALSE))</f>
        <v/>
      </c>
      <c r="F2765" s="7" t="str">
        <f>IF(Plantilla_SCAN_EQ3_COUNT_2[[#This Row],[ID MATERIAL]]="","",IF(Plantilla_SCAN_EQ3_COUNT_2[[#This Row],[No. Empaques]]="",1,Plantilla_SCAN_EQ3_COUNT_2[[#This Row],[No. Empaques]]*1))</f>
        <v/>
      </c>
      <c r="G2765" s="7" t="str">
        <f>IF(Plantilla_SCAN_EQ3_COUNT_2[[#This Row],[ID MATERIAL]]="","","PZ")</f>
        <v/>
      </c>
      <c r="H2765" s="7" t="str">
        <f>IF(Plantilla_SCAN_EQ3_COUNT_2[[#This Row],[ID MATERIAL]]="","",$B$13)</f>
        <v/>
      </c>
      <c r="I2765" s="7" t="str">
        <f>IF(Plantilla_SCAN_EQ3_COUNT_2[[#This Row],[ID MATERIAL]]="","","Segundo Conteo")</f>
        <v/>
      </c>
    </row>
    <row r="2766" spans="1:9" s="7" customFormat="1" ht="15" x14ac:dyDescent="0.2">
      <c r="A2766" s="7" t="str">
        <f>IF(Plantilla_SCAN_EQ3_COUNT_2[[#This Row],[ID MATERIAL]]="","",SIGN(Plantilla_SCAN_EQ3_COUNT_2[[#This Row],[Cantidad]])+A2765)</f>
        <v/>
      </c>
      <c r="B2766" s="21" t="str">
        <f>IF(Plantilla_SCAN_EQ3_COUNT_2[[#This Row],[ID MATERIAL]]="","",B2765)</f>
        <v/>
      </c>
      <c r="C2766" s="21"/>
      <c r="D2766" s="21"/>
      <c r="E2766" s="7" t="str">
        <f>IF(Plantilla_SCAN_EQ3_COUNT_2[[#This Row],[ID MATERIAL]]="","",VLOOKUP(Plantilla_SCAN_EQ3_COUNT_2[[#This Row],[ID MATERIAL]],INVENTARIO!$A:$D,2,FALSE))</f>
        <v/>
      </c>
      <c r="F2766" s="7" t="str">
        <f>IF(Plantilla_SCAN_EQ3_COUNT_2[[#This Row],[ID MATERIAL]]="","",IF(Plantilla_SCAN_EQ3_COUNT_2[[#This Row],[No. Empaques]]="",1,Plantilla_SCAN_EQ3_COUNT_2[[#This Row],[No. Empaques]]*1))</f>
        <v/>
      </c>
      <c r="G2766" s="7" t="str">
        <f>IF(Plantilla_SCAN_EQ3_COUNT_2[[#This Row],[ID MATERIAL]]="","","PZ")</f>
        <v/>
      </c>
      <c r="H2766" s="7" t="str">
        <f>IF(Plantilla_SCAN_EQ3_COUNT_2[[#This Row],[ID MATERIAL]]="","",$B$13)</f>
        <v/>
      </c>
      <c r="I2766" s="7" t="str">
        <f>IF(Plantilla_SCAN_EQ3_COUNT_2[[#This Row],[ID MATERIAL]]="","","Segundo Conteo")</f>
        <v/>
      </c>
    </row>
    <row r="2767" spans="1:9" s="7" customFormat="1" ht="15" x14ac:dyDescent="0.2">
      <c r="A2767" s="7" t="str">
        <f>IF(Plantilla_SCAN_EQ3_COUNT_2[[#This Row],[ID MATERIAL]]="","",SIGN(Plantilla_SCAN_EQ3_COUNT_2[[#This Row],[Cantidad]])+A2766)</f>
        <v/>
      </c>
      <c r="B2767" s="21" t="str">
        <f>IF(Plantilla_SCAN_EQ3_COUNT_2[[#This Row],[ID MATERIAL]]="","",B2766)</f>
        <v/>
      </c>
      <c r="C2767" s="21"/>
      <c r="D2767" s="21"/>
      <c r="E2767" s="7" t="str">
        <f>IF(Plantilla_SCAN_EQ3_COUNT_2[[#This Row],[ID MATERIAL]]="","",VLOOKUP(Plantilla_SCAN_EQ3_COUNT_2[[#This Row],[ID MATERIAL]],INVENTARIO!$A:$D,2,FALSE))</f>
        <v/>
      </c>
      <c r="F2767" s="7" t="str">
        <f>IF(Plantilla_SCAN_EQ3_COUNT_2[[#This Row],[ID MATERIAL]]="","",IF(Plantilla_SCAN_EQ3_COUNT_2[[#This Row],[No. Empaques]]="",1,Plantilla_SCAN_EQ3_COUNT_2[[#This Row],[No. Empaques]]*1))</f>
        <v/>
      </c>
      <c r="G2767" s="7" t="str">
        <f>IF(Plantilla_SCAN_EQ3_COUNT_2[[#This Row],[ID MATERIAL]]="","","PZ")</f>
        <v/>
      </c>
      <c r="H2767" s="7" t="str">
        <f>IF(Plantilla_SCAN_EQ3_COUNT_2[[#This Row],[ID MATERIAL]]="","",$B$13)</f>
        <v/>
      </c>
      <c r="I2767" s="7" t="str">
        <f>IF(Plantilla_SCAN_EQ3_COUNT_2[[#This Row],[ID MATERIAL]]="","","Segundo Conteo")</f>
        <v/>
      </c>
    </row>
    <row r="2768" spans="1:9" s="7" customFormat="1" ht="15" x14ac:dyDescent="0.2">
      <c r="A2768" s="7" t="str">
        <f>IF(Plantilla_SCAN_EQ3_COUNT_2[[#This Row],[ID MATERIAL]]="","",SIGN(Plantilla_SCAN_EQ3_COUNT_2[[#This Row],[Cantidad]])+A2767)</f>
        <v/>
      </c>
      <c r="B2768" s="21" t="str">
        <f>IF(Plantilla_SCAN_EQ3_COUNT_2[[#This Row],[ID MATERIAL]]="","",B2767)</f>
        <v/>
      </c>
      <c r="C2768" s="21"/>
      <c r="D2768" s="21"/>
      <c r="E2768" s="7" t="str">
        <f>IF(Plantilla_SCAN_EQ3_COUNT_2[[#This Row],[ID MATERIAL]]="","",VLOOKUP(Plantilla_SCAN_EQ3_COUNT_2[[#This Row],[ID MATERIAL]],INVENTARIO!$A:$D,2,FALSE))</f>
        <v/>
      </c>
      <c r="F2768" s="7" t="str">
        <f>IF(Plantilla_SCAN_EQ3_COUNT_2[[#This Row],[ID MATERIAL]]="","",IF(Plantilla_SCAN_EQ3_COUNT_2[[#This Row],[No. Empaques]]="",1,Plantilla_SCAN_EQ3_COUNT_2[[#This Row],[No. Empaques]]*1))</f>
        <v/>
      </c>
      <c r="G2768" s="7" t="str">
        <f>IF(Plantilla_SCAN_EQ3_COUNT_2[[#This Row],[ID MATERIAL]]="","","PZ")</f>
        <v/>
      </c>
      <c r="H2768" s="7" t="str">
        <f>IF(Plantilla_SCAN_EQ3_COUNT_2[[#This Row],[ID MATERIAL]]="","",$B$13)</f>
        <v/>
      </c>
      <c r="I2768" s="7" t="str">
        <f>IF(Plantilla_SCAN_EQ3_COUNT_2[[#This Row],[ID MATERIAL]]="","","Segundo Conteo")</f>
        <v/>
      </c>
    </row>
    <row r="2769" spans="1:9" s="7" customFormat="1" ht="15" x14ac:dyDescent="0.2">
      <c r="A2769" s="7" t="str">
        <f>IF(Plantilla_SCAN_EQ3_COUNT_2[[#This Row],[ID MATERIAL]]="","",SIGN(Plantilla_SCAN_EQ3_COUNT_2[[#This Row],[Cantidad]])+A2768)</f>
        <v/>
      </c>
      <c r="B2769" s="21" t="str">
        <f>IF(Plantilla_SCAN_EQ3_COUNT_2[[#This Row],[ID MATERIAL]]="","",B2768)</f>
        <v/>
      </c>
      <c r="C2769" s="21"/>
      <c r="D2769" s="21"/>
      <c r="E2769" s="7" t="str">
        <f>IF(Plantilla_SCAN_EQ3_COUNT_2[[#This Row],[ID MATERIAL]]="","",VLOOKUP(Plantilla_SCAN_EQ3_COUNT_2[[#This Row],[ID MATERIAL]],INVENTARIO!$A:$D,2,FALSE))</f>
        <v/>
      </c>
      <c r="F2769" s="7" t="str">
        <f>IF(Plantilla_SCAN_EQ3_COUNT_2[[#This Row],[ID MATERIAL]]="","",IF(Plantilla_SCAN_EQ3_COUNT_2[[#This Row],[No. Empaques]]="",1,Plantilla_SCAN_EQ3_COUNT_2[[#This Row],[No. Empaques]]*1))</f>
        <v/>
      </c>
      <c r="G2769" s="7" t="str">
        <f>IF(Plantilla_SCAN_EQ3_COUNT_2[[#This Row],[ID MATERIAL]]="","","PZ")</f>
        <v/>
      </c>
      <c r="H2769" s="7" t="str">
        <f>IF(Plantilla_SCAN_EQ3_COUNT_2[[#This Row],[ID MATERIAL]]="","",$B$13)</f>
        <v/>
      </c>
      <c r="I2769" s="7" t="str">
        <f>IF(Plantilla_SCAN_EQ3_COUNT_2[[#This Row],[ID MATERIAL]]="","","Segundo Conteo")</f>
        <v/>
      </c>
    </row>
    <row r="2770" spans="1:9" s="7" customFormat="1" ht="15" x14ac:dyDescent="0.2">
      <c r="A2770" s="7" t="str">
        <f>IF(Plantilla_SCAN_EQ3_COUNT_2[[#This Row],[ID MATERIAL]]="","",SIGN(Plantilla_SCAN_EQ3_COUNT_2[[#This Row],[Cantidad]])+A2769)</f>
        <v/>
      </c>
      <c r="B2770" s="21" t="str">
        <f>IF(Plantilla_SCAN_EQ3_COUNT_2[[#This Row],[ID MATERIAL]]="","",B2769)</f>
        <v/>
      </c>
      <c r="C2770" s="21"/>
      <c r="D2770" s="21"/>
      <c r="E2770" s="7" t="str">
        <f>IF(Plantilla_SCAN_EQ3_COUNT_2[[#This Row],[ID MATERIAL]]="","",VLOOKUP(Plantilla_SCAN_EQ3_COUNT_2[[#This Row],[ID MATERIAL]],INVENTARIO!$A:$D,2,FALSE))</f>
        <v/>
      </c>
      <c r="F2770" s="7" t="str">
        <f>IF(Plantilla_SCAN_EQ3_COUNT_2[[#This Row],[ID MATERIAL]]="","",IF(Plantilla_SCAN_EQ3_COUNT_2[[#This Row],[No. Empaques]]="",1,Plantilla_SCAN_EQ3_COUNT_2[[#This Row],[No. Empaques]]*1))</f>
        <v/>
      </c>
      <c r="G2770" s="7" t="str">
        <f>IF(Plantilla_SCAN_EQ3_COUNT_2[[#This Row],[ID MATERIAL]]="","","PZ")</f>
        <v/>
      </c>
      <c r="H2770" s="7" t="str">
        <f>IF(Plantilla_SCAN_EQ3_COUNT_2[[#This Row],[ID MATERIAL]]="","",$B$13)</f>
        <v/>
      </c>
      <c r="I2770" s="7" t="str">
        <f>IF(Plantilla_SCAN_EQ3_COUNT_2[[#This Row],[ID MATERIAL]]="","","Segundo Conteo")</f>
        <v/>
      </c>
    </row>
    <row r="2771" spans="1:9" s="7" customFormat="1" ht="15" x14ac:dyDescent="0.2">
      <c r="A2771" s="7" t="str">
        <f>IF(Plantilla_SCAN_EQ3_COUNT_2[[#This Row],[ID MATERIAL]]="","",SIGN(Plantilla_SCAN_EQ3_COUNT_2[[#This Row],[Cantidad]])+A2770)</f>
        <v/>
      </c>
      <c r="B2771" s="21" t="str">
        <f>IF(Plantilla_SCAN_EQ3_COUNT_2[[#This Row],[ID MATERIAL]]="","",B2770)</f>
        <v/>
      </c>
      <c r="C2771" s="21"/>
      <c r="D2771" s="21"/>
      <c r="E2771" s="7" t="str">
        <f>IF(Plantilla_SCAN_EQ3_COUNT_2[[#This Row],[ID MATERIAL]]="","",VLOOKUP(Plantilla_SCAN_EQ3_COUNT_2[[#This Row],[ID MATERIAL]],INVENTARIO!$A:$D,2,FALSE))</f>
        <v/>
      </c>
      <c r="F2771" s="7" t="str">
        <f>IF(Plantilla_SCAN_EQ3_COUNT_2[[#This Row],[ID MATERIAL]]="","",IF(Plantilla_SCAN_EQ3_COUNT_2[[#This Row],[No. Empaques]]="",1,Plantilla_SCAN_EQ3_COUNT_2[[#This Row],[No. Empaques]]*1))</f>
        <v/>
      </c>
      <c r="G2771" s="7" t="str">
        <f>IF(Plantilla_SCAN_EQ3_COUNT_2[[#This Row],[ID MATERIAL]]="","","PZ")</f>
        <v/>
      </c>
      <c r="H2771" s="7" t="str">
        <f>IF(Plantilla_SCAN_EQ3_COUNT_2[[#This Row],[ID MATERIAL]]="","",$B$13)</f>
        <v/>
      </c>
      <c r="I2771" s="7" t="str">
        <f>IF(Plantilla_SCAN_EQ3_COUNT_2[[#This Row],[ID MATERIAL]]="","","Segundo Conteo")</f>
        <v/>
      </c>
    </row>
    <row r="2772" spans="1:9" s="7" customFormat="1" ht="15" x14ac:dyDescent="0.2">
      <c r="A2772" s="7" t="str">
        <f>IF(Plantilla_SCAN_EQ3_COUNT_2[[#This Row],[ID MATERIAL]]="","",SIGN(Plantilla_SCAN_EQ3_COUNT_2[[#This Row],[Cantidad]])+A2771)</f>
        <v/>
      </c>
      <c r="B2772" s="21" t="str">
        <f>IF(Plantilla_SCAN_EQ3_COUNT_2[[#This Row],[ID MATERIAL]]="","",B2771)</f>
        <v/>
      </c>
      <c r="C2772" s="21"/>
      <c r="D2772" s="21"/>
      <c r="E2772" s="7" t="str">
        <f>IF(Plantilla_SCAN_EQ3_COUNT_2[[#This Row],[ID MATERIAL]]="","",VLOOKUP(Plantilla_SCAN_EQ3_COUNT_2[[#This Row],[ID MATERIAL]],INVENTARIO!$A:$D,2,FALSE))</f>
        <v/>
      </c>
      <c r="F2772" s="7" t="str">
        <f>IF(Plantilla_SCAN_EQ3_COUNT_2[[#This Row],[ID MATERIAL]]="","",IF(Plantilla_SCAN_EQ3_COUNT_2[[#This Row],[No. Empaques]]="",1,Plantilla_SCAN_EQ3_COUNT_2[[#This Row],[No. Empaques]]*1))</f>
        <v/>
      </c>
      <c r="G2772" s="7" t="str">
        <f>IF(Plantilla_SCAN_EQ3_COUNT_2[[#This Row],[ID MATERIAL]]="","","PZ")</f>
        <v/>
      </c>
      <c r="H2772" s="7" t="str">
        <f>IF(Plantilla_SCAN_EQ3_COUNT_2[[#This Row],[ID MATERIAL]]="","",$B$13)</f>
        <v/>
      </c>
      <c r="I2772" s="7" t="str">
        <f>IF(Plantilla_SCAN_EQ3_COUNT_2[[#This Row],[ID MATERIAL]]="","","Segundo Conteo")</f>
        <v/>
      </c>
    </row>
    <row r="2773" spans="1:9" s="7" customFormat="1" ht="15" x14ac:dyDescent="0.2">
      <c r="A2773" s="7" t="str">
        <f>IF(Plantilla_SCAN_EQ3_COUNT_2[[#This Row],[ID MATERIAL]]="","",SIGN(Plantilla_SCAN_EQ3_COUNT_2[[#This Row],[Cantidad]])+A2772)</f>
        <v/>
      </c>
      <c r="B2773" s="21" t="str">
        <f>IF(Plantilla_SCAN_EQ3_COUNT_2[[#This Row],[ID MATERIAL]]="","",B2772)</f>
        <v/>
      </c>
      <c r="C2773" s="21"/>
      <c r="D2773" s="21"/>
      <c r="E2773" s="7" t="str">
        <f>IF(Plantilla_SCAN_EQ3_COUNT_2[[#This Row],[ID MATERIAL]]="","",VLOOKUP(Plantilla_SCAN_EQ3_COUNT_2[[#This Row],[ID MATERIAL]],INVENTARIO!$A:$D,2,FALSE))</f>
        <v/>
      </c>
      <c r="F2773" s="7" t="str">
        <f>IF(Plantilla_SCAN_EQ3_COUNT_2[[#This Row],[ID MATERIAL]]="","",IF(Plantilla_SCAN_EQ3_COUNT_2[[#This Row],[No. Empaques]]="",1,Plantilla_SCAN_EQ3_COUNT_2[[#This Row],[No. Empaques]]*1))</f>
        <v/>
      </c>
      <c r="G2773" s="7" t="str">
        <f>IF(Plantilla_SCAN_EQ3_COUNT_2[[#This Row],[ID MATERIAL]]="","","PZ")</f>
        <v/>
      </c>
      <c r="H2773" s="7" t="str">
        <f>IF(Plantilla_SCAN_EQ3_COUNT_2[[#This Row],[ID MATERIAL]]="","",$B$13)</f>
        <v/>
      </c>
      <c r="I2773" s="7" t="str">
        <f>IF(Plantilla_SCAN_EQ3_COUNT_2[[#This Row],[ID MATERIAL]]="","","Segundo Conteo")</f>
        <v/>
      </c>
    </row>
    <row r="2774" spans="1:9" s="7" customFormat="1" ht="15" x14ac:dyDescent="0.2">
      <c r="A2774" s="7" t="str">
        <f>IF(Plantilla_SCAN_EQ3_COUNT_2[[#This Row],[ID MATERIAL]]="","",SIGN(Plantilla_SCAN_EQ3_COUNT_2[[#This Row],[Cantidad]])+A2773)</f>
        <v/>
      </c>
      <c r="B2774" s="21" t="str">
        <f>IF(Plantilla_SCAN_EQ3_COUNT_2[[#This Row],[ID MATERIAL]]="","",B2773)</f>
        <v/>
      </c>
      <c r="C2774" s="21"/>
      <c r="D2774" s="21"/>
      <c r="E2774" s="7" t="str">
        <f>IF(Plantilla_SCAN_EQ3_COUNT_2[[#This Row],[ID MATERIAL]]="","",VLOOKUP(Plantilla_SCAN_EQ3_COUNT_2[[#This Row],[ID MATERIAL]],INVENTARIO!$A:$D,2,FALSE))</f>
        <v/>
      </c>
      <c r="F2774" s="7" t="str">
        <f>IF(Plantilla_SCAN_EQ3_COUNT_2[[#This Row],[ID MATERIAL]]="","",IF(Plantilla_SCAN_EQ3_COUNT_2[[#This Row],[No. Empaques]]="",1,Plantilla_SCAN_EQ3_COUNT_2[[#This Row],[No. Empaques]]*1))</f>
        <v/>
      </c>
      <c r="G2774" s="7" t="str">
        <f>IF(Plantilla_SCAN_EQ3_COUNT_2[[#This Row],[ID MATERIAL]]="","","PZ")</f>
        <v/>
      </c>
      <c r="H2774" s="7" t="str">
        <f>IF(Plantilla_SCAN_EQ3_COUNT_2[[#This Row],[ID MATERIAL]]="","",$B$13)</f>
        <v/>
      </c>
      <c r="I2774" s="7" t="str">
        <f>IF(Plantilla_SCAN_EQ3_COUNT_2[[#This Row],[ID MATERIAL]]="","","Segundo Conteo")</f>
        <v/>
      </c>
    </row>
    <row r="2775" spans="1:9" s="7" customFormat="1" ht="15" x14ac:dyDescent="0.2">
      <c r="A2775" s="7" t="str">
        <f>IF(Plantilla_SCAN_EQ3_COUNT_2[[#This Row],[ID MATERIAL]]="","",SIGN(Plantilla_SCAN_EQ3_COUNT_2[[#This Row],[Cantidad]])+A2774)</f>
        <v/>
      </c>
      <c r="B2775" s="21" t="str">
        <f>IF(Plantilla_SCAN_EQ3_COUNT_2[[#This Row],[ID MATERIAL]]="","",B2774)</f>
        <v/>
      </c>
      <c r="C2775" s="21"/>
      <c r="D2775" s="21"/>
      <c r="E2775" s="7" t="str">
        <f>IF(Plantilla_SCAN_EQ3_COUNT_2[[#This Row],[ID MATERIAL]]="","",VLOOKUP(Plantilla_SCAN_EQ3_COUNT_2[[#This Row],[ID MATERIAL]],INVENTARIO!$A:$D,2,FALSE))</f>
        <v/>
      </c>
      <c r="F2775" s="7" t="str">
        <f>IF(Plantilla_SCAN_EQ3_COUNT_2[[#This Row],[ID MATERIAL]]="","",IF(Plantilla_SCAN_EQ3_COUNT_2[[#This Row],[No. Empaques]]="",1,Plantilla_SCAN_EQ3_COUNT_2[[#This Row],[No. Empaques]]*1))</f>
        <v/>
      </c>
      <c r="G2775" s="7" t="str">
        <f>IF(Plantilla_SCAN_EQ3_COUNT_2[[#This Row],[ID MATERIAL]]="","","PZ")</f>
        <v/>
      </c>
      <c r="H2775" s="7" t="str">
        <f>IF(Plantilla_SCAN_EQ3_COUNT_2[[#This Row],[ID MATERIAL]]="","",$B$13)</f>
        <v/>
      </c>
      <c r="I2775" s="7" t="str">
        <f>IF(Plantilla_SCAN_EQ3_COUNT_2[[#This Row],[ID MATERIAL]]="","","Segundo Conteo")</f>
        <v/>
      </c>
    </row>
    <row r="2776" spans="1:9" s="7" customFormat="1" ht="15" x14ac:dyDescent="0.2">
      <c r="A2776" s="7" t="str">
        <f>IF(Plantilla_SCAN_EQ3_COUNT_2[[#This Row],[ID MATERIAL]]="","",SIGN(Plantilla_SCAN_EQ3_COUNT_2[[#This Row],[Cantidad]])+A2775)</f>
        <v/>
      </c>
      <c r="B2776" s="21" t="str">
        <f>IF(Plantilla_SCAN_EQ3_COUNT_2[[#This Row],[ID MATERIAL]]="","",B2775)</f>
        <v/>
      </c>
      <c r="C2776" s="21"/>
      <c r="D2776" s="21"/>
      <c r="E2776" s="7" t="str">
        <f>IF(Plantilla_SCAN_EQ3_COUNT_2[[#This Row],[ID MATERIAL]]="","",VLOOKUP(Plantilla_SCAN_EQ3_COUNT_2[[#This Row],[ID MATERIAL]],INVENTARIO!$A:$D,2,FALSE))</f>
        <v/>
      </c>
      <c r="F2776" s="7" t="str">
        <f>IF(Plantilla_SCAN_EQ3_COUNT_2[[#This Row],[ID MATERIAL]]="","",IF(Plantilla_SCAN_EQ3_COUNT_2[[#This Row],[No. Empaques]]="",1,Plantilla_SCAN_EQ3_COUNT_2[[#This Row],[No. Empaques]]*1))</f>
        <v/>
      </c>
      <c r="G2776" s="7" t="str">
        <f>IF(Plantilla_SCAN_EQ3_COUNT_2[[#This Row],[ID MATERIAL]]="","","PZ")</f>
        <v/>
      </c>
      <c r="H2776" s="7" t="str">
        <f>IF(Plantilla_SCAN_EQ3_COUNT_2[[#This Row],[ID MATERIAL]]="","",$B$13)</f>
        <v/>
      </c>
      <c r="I2776" s="7" t="str">
        <f>IF(Plantilla_SCAN_EQ3_COUNT_2[[#This Row],[ID MATERIAL]]="","","Segundo Conteo")</f>
        <v/>
      </c>
    </row>
    <row r="2777" spans="1:9" s="7" customFormat="1" ht="15" x14ac:dyDescent="0.2">
      <c r="A2777" s="7" t="str">
        <f>IF(Plantilla_SCAN_EQ3_COUNT_2[[#This Row],[ID MATERIAL]]="","",SIGN(Plantilla_SCAN_EQ3_COUNT_2[[#This Row],[Cantidad]])+A2776)</f>
        <v/>
      </c>
      <c r="B2777" s="21" t="str">
        <f>IF(Plantilla_SCAN_EQ3_COUNT_2[[#This Row],[ID MATERIAL]]="","",B2776)</f>
        <v/>
      </c>
      <c r="C2777" s="21"/>
      <c r="D2777" s="21"/>
      <c r="E2777" s="7" t="str">
        <f>IF(Plantilla_SCAN_EQ3_COUNT_2[[#This Row],[ID MATERIAL]]="","",VLOOKUP(Plantilla_SCAN_EQ3_COUNT_2[[#This Row],[ID MATERIAL]],INVENTARIO!$A:$D,2,FALSE))</f>
        <v/>
      </c>
      <c r="F2777" s="7" t="str">
        <f>IF(Plantilla_SCAN_EQ3_COUNT_2[[#This Row],[ID MATERIAL]]="","",IF(Plantilla_SCAN_EQ3_COUNT_2[[#This Row],[No. Empaques]]="",1,Plantilla_SCAN_EQ3_COUNT_2[[#This Row],[No. Empaques]]*1))</f>
        <v/>
      </c>
      <c r="G2777" s="7" t="str">
        <f>IF(Plantilla_SCAN_EQ3_COUNT_2[[#This Row],[ID MATERIAL]]="","","PZ")</f>
        <v/>
      </c>
      <c r="H2777" s="7" t="str">
        <f>IF(Plantilla_SCAN_EQ3_COUNT_2[[#This Row],[ID MATERIAL]]="","",$B$13)</f>
        <v/>
      </c>
      <c r="I2777" s="7" t="str">
        <f>IF(Plantilla_SCAN_EQ3_COUNT_2[[#This Row],[ID MATERIAL]]="","","Segundo Conteo")</f>
        <v/>
      </c>
    </row>
    <row r="2778" spans="1:9" s="7" customFormat="1" ht="15" x14ac:dyDescent="0.2">
      <c r="A2778" s="7" t="str">
        <f>IF(Plantilla_SCAN_EQ3_COUNT_2[[#This Row],[ID MATERIAL]]="","",SIGN(Plantilla_SCAN_EQ3_COUNT_2[[#This Row],[Cantidad]])+A2777)</f>
        <v/>
      </c>
      <c r="B2778" s="21" t="str">
        <f>IF(Plantilla_SCAN_EQ3_COUNT_2[[#This Row],[ID MATERIAL]]="","",B2777)</f>
        <v/>
      </c>
      <c r="C2778" s="21"/>
      <c r="D2778" s="21"/>
      <c r="E2778" s="7" t="str">
        <f>IF(Plantilla_SCAN_EQ3_COUNT_2[[#This Row],[ID MATERIAL]]="","",VLOOKUP(Plantilla_SCAN_EQ3_COUNT_2[[#This Row],[ID MATERIAL]],INVENTARIO!$A:$D,2,FALSE))</f>
        <v/>
      </c>
      <c r="F2778" s="7" t="str">
        <f>IF(Plantilla_SCAN_EQ3_COUNT_2[[#This Row],[ID MATERIAL]]="","",IF(Plantilla_SCAN_EQ3_COUNT_2[[#This Row],[No. Empaques]]="",1,Plantilla_SCAN_EQ3_COUNT_2[[#This Row],[No. Empaques]]*1))</f>
        <v/>
      </c>
      <c r="G2778" s="7" t="str">
        <f>IF(Plantilla_SCAN_EQ3_COUNT_2[[#This Row],[ID MATERIAL]]="","","PZ")</f>
        <v/>
      </c>
      <c r="H2778" s="7" t="str">
        <f>IF(Plantilla_SCAN_EQ3_COUNT_2[[#This Row],[ID MATERIAL]]="","",$B$13)</f>
        <v/>
      </c>
      <c r="I2778" s="7" t="str">
        <f>IF(Plantilla_SCAN_EQ3_COUNT_2[[#This Row],[ID MATERIAL]]="","","Segundo Conteo")</f>
        <v/>
      </c>
    </row>
    <row r="2779" spans="1:9" s="7" customFormat="1" ht="15" x14ac:dyDescent="0.2">
      <c r="A2779" s="7" t="str">
        <f>IF(Plantilla_SCAN_EQ3_COUNT_2[[#This Row],[ID MATERIAL]]="","",SIGN(Plantilla_SCAN_EQ3_COUNT_2[[#This Row],[Cantidad]])+A2778)</f>
        <v/>
      </c>
      <c r="B2779" s="21" t="str">
        <f>IF(Plantilla_SCAN_EQ3_COUNT_2[[#This Row],[ID MATERIAL]]="","",B2778)</f>
        <v/>
      </c>
      <c r="C2779" s="21"/>
      <c r="D2779" s="21"/>
      <c r="E2779" s="7" t="str">
        <f>IF(Plantilla_SCAN_EQ3_COUNT_2[[#This Row],[ID MATERIAL]]="","",VLOOKUP(Plantilla_SCAN_EQ3_COUNT_2[[#This Row],[ID MATERIAL]],INVENTARIO!$A:$D,2,FALSE))</f>
        <v/>
      </c>
      <c r="F2779" s="7" t="str">
        <f>IF(Plantilla_SCAN_EQ3_COUNT_2[[#This Row],[ID MATERIAL]]="","",IF(Plantilla_SCAN_EQ3_COUNT_2[[#This Row],[No. Empaques]]="",1,Plantilla_SCAN_EQ3_COUNT_2[[#This Row],[No. Empaques]]*1))</f>
        <v/>
      </c>
      <c r="G2779" s="7" t="str">
        <f>IF(Plantilla_SCAN_EQ3_COUNT_2[[#This Row],[ID MATERIAL]]="","","PZ")</f>
        <v/>
      </c>
      <c r="H2779" s="7" t="str">
        <f>IF(Plantilla_SCAN_EQ3_COUNT_2[[#This Row],[ID MATERIAL]]="","",$B$13)</f>
        <v/>
      </c>
      <c r="I2779" s="7" t="str">
        <f>IF(Plantilla_SCAN_EQ3_COUNT_2[[#This Row],[ID MATERIAL]]="","","Segundo Conteo")</f>
        <v/>
      </c>
    </row>
    <row r="2780" spans="1:9" s="7" customFormat="1" ht="15" x14ac:dyDescent="0.2">
      <c r="A2780" s="7" t="str">
        <f>IF(Plantilla_SCAN_EQ3_COUNT_2[[#This Row],[ID MATERIAL]]="","",SIGN(Plantilla_SCAN_EQ3_COUNT_2[[#This Row],[Cantidad]])+A2779)</f>
        <v/>
      </c>
      <c r="B2780" s="21" t="str">
        <f>IF(Plantilla_SCAN_EQ3_COUNT_2[[#This Row],[ID MATERIAL]]="","",B2779)</f>
        <v/>
      </c>
      <c r="C2780" s="21"/>
      <c r="D2780" s="21"/>
      <c r="E2780" s="7" t="str">
        <f>IF(Plantilla_SCAN_EQ3_COUNT_2[[#This Row],[ID MATERIAL]]="","",VLOOKUP(Plantilla_SCAN_EQ3_COUNT_2[[#This Row],[ID MATERIAL]],INVENTARIO!$A:$D,2,FALSE))</f>
        <v/>
      </c>
      <c r="F2780" s="7" t="str">
        <f>IF(Plantilla_SCAN_EQ3_COUNT_2[[#This Row],[ID MATERIAL]]="","",IF(Plantilla_SCAN_EQ3_COUNT_2[[#This Row],[No. Empaques]]="",1,Plantilla_SCAN_EQ3_COUNT_2[[#This Row],[No. Empaques]]*1))</f>
        <v/>
      </c>
      <c r="G2780" s="7" t="str">
        <f>IF(Plantilla_SCAN_EQ3_COUNT_2[[#This Row],[ID MATERIAL]]="","","PZ")</f>
        <v/>
      </c>
      <c r="H2780" s="7" t="str">
        <f>IF(Plantilla_SCAN_EQ3_COUNT_2[[#This Row],[ID MATERIAL]]="","",$B$13)</f>
        <v/>
      </c>
      <c r="I2780" s="7" t="str">
        <f>IF(Plantilla_SCAN_EQ3_COUNT_2[[#This Row],[ID MATERIAL]]="","","Segundo Conteo")</f>
        <v/>
      </c>
    </row>
    <row r="2781" spans="1:9" s="7" customFormat="1" ht="15" x14ac:dyDescent="0.2">
      <c r="A2781" s="7" t="str">
        <f>IF(Plantilla_SCAN_EQ3_COUNT_2[[#This Row],[ID MATERIAL]]="","",SIGN(Plantilla_SCAN_EQ3_COUNT_2[[#This Row],[Cantidad]])+A2780)</f>
        <v/>
      </c>
      <c r="B2781" s="21" t="str">
        <f>IF(Plantilla_SCAN_EQ3_COUNT_2[[#This Row],[ID MATERIAL]]="","",B2780)</f>
        <v/>
      </c>
      <c r="C2781" s="21"/>
      <c r="D2781" s="21"/>
      <c r="E2781" s="7" t="str">
        <f>IF(Plantilla_SCAN_EQ3_COUNT_2[[#This Row],[ID MATERIAL]]="","",VLOOKUP(Plantilla_SCAN_EQ3_COUNT_2[[#This Row],[ID MATERIAL]],INVENTARIO!$A:$D,2,FALSE))</f>
        <v/>
      </c>
      <c r="F2781" s="7" t="str">
        <f>IF(Plantilla_SCAN_EQ3_COUNT_2[[#This Row],[ID MATERIAL]]="","",IF(Plantilla_SCAN_EQ3_COUNT_2[[#This Row],[No. Empaques]]="",1,Plantilla_SCAN_EQ3_COUNT_2[[#This Row],[No. Empaques]]*1))</f>
        <v/>
      </c>
      <c r="G2781" s="7" t="str">
        <f>IF(Plantilla_SCAN_EQ3_COUNT_2[[#This Row],[ID MATERIAL]]="","","PZ")</f>
        <v/>
      </c>
      <c r="H2781" s="7" t="str">
        <f>IF(Plantilla_SCAN_EQ3_COUNT_2[[#This Row],[ID MATERIAL]]="","",$B$13)</f>
        <v/>
      </c>
      <c r="I2781" s="7" t="str">
        <f>IF(Plantilla_SCAN_EQ3_COUNT_2[[#This Row],[ID MATERIAL]]="","","Segundo Conteo")</f>
        <v/>
      </c>
    </row>
    <row r="2782" spans="1:9" s="7" customFormat="1" ht="15" x14ac:dyDescent="0.2">
      <c r="A2782" s="7" t="str">
        <f>IF(Plantilla_SCAN_EQ3_COUNT_2[[#This Row],[ID MATERIAL]]="","",SIGN(Plantilla_SCAN_EQ3_COUNT_2[[#This Row],[Cantidad]])+A2781)</f>
        <v/>
      </c>
      <c r="B2782" s="21" t="str">
        <f>IF(Plantilla_SCAN_EQ3_COUNT_2[[#This Row],[ID MATERIAL]]="","",B2781)</f>
        <v/>
      </c>
      <c r="C2782" s="21"/>
      <c r="D2782" s="21"/>
      <c r="E2782" s="7" t="str">
        <f>IF(Plantilla_SCAN_EQ3_COUNT_2[[#This Row],[ID MATERIAL]]="","",VLOOKUP(Plantilla_SCAN_EQ3_COUNT_2[[#This Row],[ID MATERIAL]],INVENTARIO!$A:$D,2,FALSE))</f>
        <v/>
      </c>
      <c r="F2782" s="7" t="str">
        <f>IF(Plantilla_SCAN_EQ3_COUNT_2[[#This Row],[ID MATERIAL]]="","",IF(Plantilla_SCAN_EQ3_COUNT_2[[#This Row],[No. Empaques]]="",1,Plantilla_SCAN_EQ3_COUNT_2[[#This Row],[No. Empaques]]*1))</f>
        <v/>
      </c>
      <c r="G2782" s="7" t="str">
        <f>IF(Plantilla_SCAN_EQ3_COUNT_2[[#This Row],[ID MATERIAL]]="","","PZ")</f>
        <v/>
      </c>
      <c r="H2782" s="7" t="str">
        <f>IF(Plantilla_SCAN_EQ3_COUNT_2[[#This Row],[ID MATERIAL]]="","",$B$13)</f>
        <v/>
      </c>
      <c r="I2782" s="7" t="str">
        <f>IF(Plantilla_SCAN_EQ3_COUNT_2[[#This Row],[ID MATERIAL]]="","","Segundo Conteo")</f>
        <v/>
      </c>
    </row>
    <row r="2783" spans="1:9" s="7" customFormat="1" ht="15" x14ac:dyDescent="0.2">
      <c r="A2783" s="7" t="str">
        <f>IF(Plantilla_SCAN_EQ3_COUNT_2[[#This Row],[ID MATERIAL]]="","",SIGN(Plantilla_SCAN_EQ3_COUNT_2[[#This Row],[Cantidad]])+A2782)</f>
        <v/>
      </c>
      <c r="B2783" s="21" t="str">
        <f>IF(Plantilla_SCAN_EQ3_COUNT_2[[#This Row],[ID MATERIAL]]="","",B2782)</f>
        <v/>
      </c>
      <c r="C2783" s="21"/>
      <c r="D2783" s="21"/>
      <c r="E2783" s="7" t="str">
        <f>IF(Plantilla_SCAN_EQ3_COUNT_2[[#This Row],[ID MATERIAL]]="","",VLOOKUP(Plantilla_SCAN_EQ3_COUNT_2[[#This Row],[ID MATERIAL]],INVENTARIO!$A:$D,2,FALSE))</f>
        <v/>
      </c>
      <c r="F2783" s="7" t="str">
        <f>IF(Plantilla_SCAN_EQ3_COUNT_2[[#This Row],[ID MATERIAL]]="","",IF(Plantilla_SCAN_EQ3_COUNT_2[[#This Row],[No. Empaques]]="",1,Plantilla_SCAN_EQ3_COUNT_2[[#This Row],[No. Empaques]]*1))</f>
        <v/>
      </c>
      <c r="G2783" s="7" t="str">
        <f>IF(Plantilla_SCAN_EQ3_COUNT_2[[#This Row],[ID MATERIAL]]="","","PZ")</f>
        <v/>
      </c>
      <c r="H2783" s="7" t="str">
        <f>IF(Plantilla_SCAN_EQ3_COUNT_2[[#This Row],[ID MATERIAL]]="","",$B$13)</f>
        <v/>
      </c>
      <c r="I2783" s="7" t="str">
        <f>IF(Plantilla_SCAN_EQ3_COUNT_2[[#This Row],[ID MATERIAL]]="","","Segundo Conteo")</f>
        <v/>
      </c>
    </row>
    <row r="2784" spans="1:9" s="7" customFormat="1" ht="15" x14ac:dyDescent="0.2">
      <c r="A2784" s="7" t="str">
        <f>IF(Plantilla_SCAN_EQ3_COUNT_2[[#This Row],[ID MATERIAL]]="","",SIGN(Plantilla_SCAN_EQ3_COUNT_2[[#This Row],[Cantidad]])+A2783)</f>
        <v/>
      </c>
      <c r="B2784" s="21" t="str">
        <f>IF(Plantilla_SCAN_EQ3_COUNT_2[[#This Row],[ID MATERIAL]]="","",B2783)</f>
        <v/>
      </c>
      <c r="C2784" s="21"/>
      <c r="D2784" s="21"/>
      <c r="E2784" s="7" t="str">
        <f>IF(Plantilla_SCAN_EQ3_COUNT_2[[#This Row],[ID MATERIAL]]="","",VLOOKUP(Plantilla_SCAN_EQ3_COUNT_2[[#This Row],[ID MATERIAL]],INVENTARIO!$A:$D,2,FALSE))</f>
        <v/>
      </c>
      <c r="F2784" s="7" t="str">
        <f>IF(Plantilla_SCAN_EQ3_COUNT_2[[#This Row],[ID MATERIAL]]="","",IF(Plantilla_SCAN_EQ3_COUNT_2[[#This Row],[No. Empaques]]="",1,Plantilla_SCAN_EQ3_COUNT_2[[#This Row],[No. Empaques]]*1))</f>
        <v/>
      </c>
      <c r="G2784" s="7" t="str">
        <f>IF(Plantilla_SCAN_EQ3_COUNT_2[[#This Row],[ID MATERIAL]]="","","PZ")</f>
        <v/>
      </c>
      <c r="H2784" s="7" t="str">
        <f>IF(Plantilla_SCAN_EQ3_COUNT_2[[#This Row],[ID MATERIAL]]="","",$B$13)</f>
        <v/>
      </c>
      <c r="I2784" s="7" t="str">
        <f>IF(Plantilla_SCAN_EQ3_COUNT_2[[#This Row],[ID MATERIAL]]="","","Segundo Conteo")</f>
        <v/>
      </c>
    </row>
    <row r="2785" spans="1:9" s="7" customFormat="1" ht="15" x14ac:dyDescent="0.2">
      <c r="A2785" s="7" t="str">
        <f>IF(Plantilla_SCAN_EQ3_COUNT_2[[#This Row],[ID MATERIAL]]="","",SIGN(Plantilla_SCAN_EQ3_COUNT_2[[#This Row],[Cantidad]])+A2784)</f>
        <v/>
      </c>
      <c r="B2785" s="21" t="str">
        <f>IF(Plantilla_SCAN_EQ3_COUNT_2[[#This Row],[ID MATERIAL]]="","",B2784)</f>
        <v/>
      </c>
      <c r="C2785" s="21"/>
      <c r="D2785" s="21"/>
      <c r="E2785" s="7" t="str">
        <f>IF(Plantilla_SCAN_EQ3_COUNT_2[[#This Row],[ID MATERIAL]]="","",VLOOKUP(Plantilla_SCAN_EQ3_COUNT_2[[#This Row],[ID MATERIAL]],INVENTARIO!$A:$D,2,FALSE))</f>
        <v/>
      </c>
      <c r="F2785" s="7" t="str">
        <f>IF(Plantilla_SCAN_EQ3_COUNT_2[[#This Row],[ID MATERIAL]]="","",IF(Plantilla_SCAN_EQ3_COUNT_2[[#This Row],[No. Empaques]]="",1,Plantilla_SCAN_EQ3_COUNT_2[[#This Row],[No. Empaques]]*1))</f>
        <v/>
      </c>
      <c r="G2785" s="7" t="str">
        <f>IF(Plantilla_SCAN_EQ3_COUNT_2[[#This Row],[ID MATERIAL]]="","","PZ")</f>
        <v/>
      </c>
      <c r="H2785" s="7" t="str">
        <f>IF(Plantilla_SCAN_EQ3_COUNT_2[[#This Row],[ID MATERIAL]]="","",$B$13)</f>
        <v/>
      </c>
      <c r="I2785" s="7" t="str">
        <f>IF(Plantilla_SCAN_EQ3_COUNT_2[[#This Row],[ID MATERIAL]]="","","Segundo Conteo")</f>
        <v/>
      </c>
    </row>
    <row r="2786" spans="1:9" s="7" customFormat="1" ht="15" x14ac:dyDescent="0.2">
      <c r="A2786" s="7" t="str">
        <f>IF(Plantilla_SCAN_EQ3_COUNT_2[[#This Row],[ID MATERIAL]]="","",SIGN(Plantilla_SCAN_EQ3_COUNT_2[[#This Row],[Cantidad]])+A2785)</f>
        <v/>
      </c>
      <c r="B2786" s="21" t="str">
        <f>IF(Plantilla_SCAN_EQ3_COUNT_2[[#This Row],[ID MATERIAL]]="","",B2785)</f>
        <v/>
      </c>
      <c r="C2786" s="21"/>
      <c r="D2786" s="21"/>
      <c r="E2786" s="7" t="str">
        <f>IF(Plantilla_SCAN_EQ3_COUNT_2[[#This Row],[ID MATERIAL]]="","",VLOOKUP(Plantilla_SCAN_EQ3_COUNT_2[[#This Row],[ID MATERIAL]],INVENTARIO!$A:$D,2,FALSE))</f>
        <v/>
      </c>
      <c r="F2786" s="7" t="str">
        <f>IF(Plantilla_SCAN_EQ3_COUNT_2[[#This Row],[ID MATERIAL]]="","",IF(Plantilla_SCAN_EQ3_COUNT_2[[#This Row],[No. Empaques]]="",1,Plantilla_SCAN_EQ3_COUNT_2[[#This Row],[No. Empaques]]*1))</f>
        <v/>
      </c>
      <c r="G2786" s="7" t="str">
        <f>IF(Plantilla_SCAN_EQ3_COUNT_2[[#This Row],[ID MATERIAL]]="","","PZ")</f>
        <v/>
      </c>
      <c r="H2786" s="7" t="str">
        <f>IF(Plantilla_SCAN_EQ3_COUNT_2[[#This Row],[ID MATERIAL]]="","",$B$13)</f>
        <v/>
      </c>
      <c r="I2786" s="7" t="str">
        <f>IF(Plantilla_SCAN_EQ3_COUNT_2[[#This Row],[ID MATERIAL]]="","","Segundo Conteo")</f>
        <v/>
      </c>
    </row>
    <row r="2787" spans="1:9" s="7" customFormat="1" ht="15" x14ac:dyDescent="0.2">
      <c r="A2787" s="7" t="str">
        <f>IF(Plantilla_SCAN_EQ3_COUNT_2[[#This Row],[ID MATERIAL]]="","",SIGN(Plantilla_SCAN_EQ3_COUNT_2[[#This Row],[Cantidad]])+A2786)</f>
        <v/>
      </c>
      <c r="B2787" s="21" t="str">
        <f>IF(Plantilla_SCAN_EQ3_COUNT_2[[#This Row],[ID MATERIAL]]="","",B2786)</f>
        <v/>
      </c>
      <c r="C2787" s="21"/>
      <c r="D2787" s="21"/>
      <c r="E2787" s="7" t="str">
        <f>IF(Plantilla_SCAN_EQ3_COUNT_2[[#This Row],[ID MATERIAL]]="","",VLOOKUP(Plantilla_SCAN_EQ3_COUNT_2[[#This Row],[ID MATERIAL]],INVENTARIO!$A:$D,2,FALSE))</f>
        <v/>
      </c>
      <c r="F2787" s="7" t="str">
        <f>IF(Plantilla_SCAN_EQ3_COUNT_2[[#This Row],[ID MATERIAL]]="","",IF(Plantilla_SCAN_EQ3_COUNT_2[[#This Row],[No. Empaques]]="",1,Plantilla_SCAN_EQ3_COUNT_2[[#This Row],[No. Empaques]]*1))</f>
        <v/>
      </c>
      <c r="G2787" s="7" t="str">
        <f>IF(Plantilla_SCAN_EQ3_COUNT_2[[#This Row],[ID MATERIAL]]="","","PZ")</f>
        <v/>
      </c>
      <c r="H2787" s="7" t="str">
        <f>IF(Plantilla_SCAN_EQ3_COUNT_2[[#This Row],[ID MATERIAL]]="","",$B$13)</f>
        <v/>
      </c>
      <c r="I2787" s="7" t="str">
        <f>IF(Plantilla_SCAN_EQ3_COUNT_2[[#This Row],[ID MATERIAL]]="","","Segundo Conteo")</f>
        <v/>
      </c>
    </row>
    <row r="2788" spans="1:9" s="7" customFormat="1" ht="15" x14ac:dyDescent="0.2">
      <c r="A2788" s="7" t="str">
        <f>IF(Plantilla_SCAN_EQ3_COUNT_2[[#This Row],[ID MATERIAL]]="","",SIGN(Plantilla_SCAN_EQ3_COUNT_2[[#This Row],[Cantidad]])+A2787)</f>
        <v/>
      </c>
      <c r="B2788" s="21" t="str">
        <f>IF(Plantilla_SCAN_EQ3_COUNT_2[[#This Row],[ID MATERIAL]]="","",B2787)</f>
        <v/>
      </c>
      <c r="C2788" s="21"/>
      <c r="D2788" s="21"/>
      <c r="E2788" s="7" t="str">
        <f>IF(Plantilla_SCAN_EQ3_COUNT_2[[#This Row],[ID MATERIAL]]="","",VLOOKUP(Plantilla_SCAN_EQ3_COUNT_2[[#This Row],[ID MATERIAL]],INVENTARIO!$A:$D,2,FALSE))</f>
        <v/>
      </c>
      <c r="F2788" s="7" t="str">
        <f>IF(Plantilla_SCAN_EQ3_COUNT_2[[#This Row],[ID MATERIAL]]="","",IF(Plantilla_SCAN_EQ3_COUNT_2[[#This Row],[No. Empaques]]="",1,Plantilla_SCAN_EQ3_COUNT_2[[#This Row],[No. Empaques]]*1))</f>
        <v/>
      </c>
      <c r="G2788" s="7" t="str">
        <f>IF(Plantilla_SCAN_EQ3_COUNT_2[[#This Row],[ID MATERIAL]]="","","PZ")</f>
        <v/>
      </c>
      <c r="H2788" s="7" t="str">
        <f>IF(Plantilla_SCAN_EQ3_COUNT_2[[#This Row],[ID MATERIAL]]="","",$B$13)</f>
        <v/>
      </c>
      <c r="I2788" s="7" t="str">
        <f>IF(Plantilla_SCAN_EQ3_COUNT_2[[#This Row],[ID MATERIAL]]="","","Segundo Conteo")</f>
        <v/>
      </c>
    </row>
    <row r="2789" spans="1:9" s="7" customFormat="1" ht="15" x14ac:dyDescent="0.2">
      <c r="A2789" s="7" t="str">
        <f>IF(Plantilla_SCAN_EQ3_COUNT_2[[#This Row],[ID MATERIAL]]="","",SIGN(Plantilla_SCAN_EQ3_COUNT_2[[#This Row],[Cantidad]])+A2788)</f>
        <v/>
      </c>
      <c r="B2789" s="21" t="str">
        <f>IF(Plantilla_SCAN_EQ3_COUNT_2[[#This Row],[ID MATERIAL]]="","",B2788)</f>
        <v/>
      </c>
      <c r="C2789" s="21"/>
      <c r="D2789" s="21"/>
      <c r="E2789" s="7" t="str">
        <f>IF(Plantilla_SCAN_EQ3_COUNT_2[[#This Row],[ID MATERIAL]]="","",VLOOKUP(Plantilla_SCAN_EQ3_COUNT_2[[#This Row],[ID MATERIAL]],INVENTARIO!$A:$D,2,FALSE))</f>
        <v/>
      </c>
      <c r="F2789" s="7" t="str">
        <f>IF(Plantilla_SCAN_EQ3_COUNT_2[[#This Row],[ID MATERIAL]]="","",IF(Plantilla_SCAN_EQ3_COUNT_2[[#This Row],[No. Empaques]]="",1,Plantilla_SCAN_EQ3_COUNT_2[[#This Row],[No. Empaques]]*1))</f>
        <v/>
      </c>
      <c r="G2789" s="7" t="str">
        <f>IF(Plantilla_SCAN_EQ3_COUNT_2[[#This Row],[ID MATERIAL]]="","","PZ")</f>
        <v/>
      </c>
      <c r="H2789" s="7" t="str">
        <f>IF(Plantilla_SCAN_EQ3_COUNT_2[[#This Row],[ID MATERIAL]]="","",$B$13)</f>
        <v/>
      </c>
      <c r="I2789" s="7" t="str">
        <f>IF(Plantilla_SCAN_EQ3_COUNT_2[[#This Row],[ID MATERIAL]]="","","Segundo Conteo")</f>
        <v/>
      </c>
    </row>
    <row r="2790" spans="1:9" s="7" customFormat="1" ht="15" x14ac:dyDescent="0.2">
      <c r="A2790" s="7" t="str">
        <f>IF(Plantilla_SCAN_EQ3_COUNT_2[[#This Row],[ID MATERIAL]]="","",SIGN(Plantilla_SCAN_EQ3_COUNT_2[[#This Row],[Cantidad]])+A2789)</f>
        <v/>
      </c>
      <c r="B2790" s="21" t="str">
        <f>IF(Plantilla_SCAN_EQ3_COUNT_2[[#This Row],[ID MATERIAL]]="","",B2789)</f>
        <v/>
      </c>
      <c r="C2790" s="21"/>
      <c r="D2790" s="21"/>
      <c r="E2790" s="7" t="str">
        <f>IF(Plantilla_SCAN_EQ3_COUNT_2[[#This Row],[ID MATERIAL]]="","",VLOOKUP(Plantilla_SCAN_EQ3_COUNT_2[[#This Row],[ID MATERIAL]],INVENTARIO!$A:$D,2,FALSE))</f>
        <v/>
      </c>
      <c r="F2790" s="7" t="str">
        <f>IF(Plantilla_SCAN_EQ3_COUNT_2[[#This Row],[ID MATERIAL]]="","",IF(Plantilla_SCAN_EQ3_COUNT_2[[#This Row],[No. Empaques]]="",1,Plantilla_SCAN_EQ3_COUNT_2[[#This Row],[No. Empaques]]*1))</f>
        <v/>
      </c>
      <c r="G2790" s="7" t="str">
        <f>IF(Plantilla_SCAN_EQ3_COUNT_2[[#This Row],[ID MATERIAL]]="","","PZ")</f>
        <v/>
      </c>
      <c r="H2790" s="7" t="str">
        <f>IF(Plantilla_SCAN_EQ3_COUNT_2[[#This Row],[ID MATERIAL]]="","",$B$13)</f>
        <v/>
      </c>
      <c r="I2790" s="7" t="str">
        <f>IF(Plantilla_SCAN_EQ3_COUNT_2[[#This Row],[ID MATERIAL]]="","","Segundo Conteo")</f>
        <v/>
      </c>
    </row>
    <row r="2791" spans="1:9" s="7" customFormat="1" ht="15" x14ac:dyDescent="0.2">
      <c r="A2791" s="7" t="str">
        <f>IF(Plantilla_SCAN_EQ3_COUNT_2[[#This Row],[ID MATERIAL]]="","",SIGN(Plantilla_SCAN_EQ3_COUNT_2[[#This Row],[Cantidad]])+A2790)</f>
        <v/>
      </c>
      <c r="B2791" s="21" t="str">
        <f>IF(Plantilla_SCAN_EQ3_COUNT_2[[#This Row],[ID MATERIAL]]="","",B2790)</f>
        <v/>
      </c>
      <c r="C2791" s="21"/>
      <c r="D2791" s="21"/>
      <c r="E2791" s="7" t="str">
        <f>IF(Plantilla_SCAN_EQ3_COUNT_2[[#This Row],[ID MATERIAL]]="","",VLOOKUP(Plantilla_SCAN_EQ3_COUNT_2[[#This Row],[ID MATERIAL]],INVENTARIO!$A:$D,2,FALSE))</f>
        <v/>
      </c>
      <c r="F2791" s="7" t="str">
        <f>IF(Plantilla_SCAN_EQ3_COUNT_2[[#This Row],[ID MATERIAL]]="","",IF(Plantilla_SCAN_EQ3_COUNT_2[[#This Row],[No. Empaques]]="",1,Plantilla_SCAN_EQ3_COUNT_2[[#This Row],[No. Empaques]]*1))</f>
        <v/>
      </c>
      <c r="G2791" s="7" t="str">
        <f>IF(Plantilla_SCAN_EQ3_COUNT_2[[#This Row],[ID MATERIAL]]="","","PZ")</f>
        <v/>
      </c>
      <c r="H2791" s="7" t="str">
        <f>IF(Plantilla_SCAN_EQ3_COUNT_2[[#This Row],[ID MATERIAL]]="","",$B$13)</f>
        <v/>
      </c>
      <c r="I2791" s="7" t="str">
        <f>IF(Plantilla_SCAN_EQ3_COUNT_2[[#This Row],[ID MATERIAL]]="","","Segundo Conteo")</f>
        <v/>
      </c>
    </row>
    <row r="2792" spans="1:9" s="7" customFormat="1" ht="15" x14ac:dyDescent="0.2">
      <c r="A2792" s="7" t="str">
        <f>IF(Plantilla_SCAN_EQ3_COUNT_2[[#This Row],[ID MATERIAL]]="","",SIGN(Plantilla_SCAN_EQ3_COUNT_2[[#This Row],[Cantidad]])+A2791)</f>
        <v/>
      </c>
      <c r="B2792" s="21" t="str">
        <f>IF(Plantilla_SCAN_EQ3_COUNT_2[[#This Row],[ID MATERIAL]]="","",B2791)</f>
        <v/>
      </c>
      <c r="C2792" s="21"/>
      <c r="D2792" s="21"/>
      <c r="E2792" s="7" t="str">
        <f>IF(Plantilla_SCAN_EQ3_COUNT_2[[#This Row],[ID MATERIAL]]="","",VLOOKUP(Plantilla_SCAN_EQ3_COUNT_2[[#This Row],[ID MATERIAL]],INVENTARIO!$A:$D,2,FALSE))</f>
        <v/>
      </c>
      <c r="F2792" s="7" t="str">
        <f>IF(Plantilla_SCAN_EQ3_COUNT_2[[#This Row],[ID MATERIAL]]="","",IF(Plantilla_SCAN_EQ3_COUNT_2[[#This Row],[No. Empaques]]="",1,Plantilla_SCAN_EQ3_COUNT_2[[#This Row],[No. Empaques]]*1))</f>
        <v/>
      </c>
      <c r="G2792" s="7" t="str">
        <f>IF(Plantilla_SCAN_EQ3_COUNT_2[[#This Row],[ID MATERIAL]]="","","PZ")</f>
        <v/>
      </c>
      <c r="H2792" s="7" t="str">
        <f>IF(Plantilla_SCAN_EQ3_COUNT_2[[#This Row],[ID MATERIAL]]="","",$B$13)</f>
        <v/>
      </c>
      <c r="I2792" s="7" t="str">
        <f>IF(Plantilla_SCAN_EQ3_COUNT_2[[#This Row],[ID MATERIAL]]="","","Segundo Conteo")</f>
        <v/>
      </c>
    </row>
    <row r="2793" spans="1:9" s="7" customFormat="1" ht="15" x14ac:dyDescent="0.2">
      <c r="A2793" s="7" t="str">
        <f>IF(Plantilla_SCAN_EQ3_COUNT_2[[#This Row],[ID MATERIAL]]="","",SIGN(Plantilla_SCAN_EQ3_COUNT_2[[#This Row],[Cantidad]])+A2792)</f>
        <v/>
      </c>
      <c r="B2793" s="21" t="str">
        <f>IF(Plantilla_SCAN_EQ3_COUNT_2[[#This Row],[ID MATERIAL]]="","",B2792)</f>
        <v/>
      </c>
      <c r="C2793" s="21"/>
      <c r="D2793" s="21"/>
      <c r="E2793" s="7" t="str">
        <f>IF(Plantilla_SCAN_EQ3_COUNT_2[[#This Row],[ID MATERIAL]]="","",VLOOKUP(Plantilla_SCAN_EQ3_COUNT_2[[#This Row],[ID MATERIAL]],INVENTARIO!$A:$D,2,FALSE))</f>
        <v/>
      </c>
      <c r="F2793" s="7" t="str">
        <f>IF(Plantilla_SCAN_EQ3_COUNT_2[[#This Row],[ID MATERIAL]]="","",IF(Plantilla_SCAN_EQ3_COUNT_2[[#This Row],[No. Empaques]]="",1,Plantilla_SCAN_EQ3_COUNT_2[[#This Row],[No. Empaques]]*1))</f>
        <v/>
      </c>
      <c r="G2793" s="7" t="str">
        <f>IF(Plantilla_SCAN_EQ3_COUNT_2[[#This Row],[ID MATERIAL]]="","","PZ")</f>
        <v/>
      </c>
      <c r="H2793" s="7" t="str">
        <f>IF(Plantilla_SCAN_EQ3_COUNT_2[[#This Row],[ID MATERIAL]]="","",$B$13)</f>
        <v/>
      </c>
      <c r="I2793" s="7" t="str">
        <f>IF(Plantilla_SCAN_EQ3_COUNT_2[[#This Row],[ID MATERIAL]]="","","Segundo Conteo")</f>
        <v/>
      </c>
    </row>
    <row r="2794" spans="1:9" s="7" customFormat="1" ht="15" x14ac:dyDescent="0.2">
      <c r="A2794" s="7" t="str">
        <f>IF(Plantilla_SCAN_EQ3_COUNT_2[[#This Row],[ID MATERIAL]]="","",SIGN(Plantilla_SCAN_EQ3_COUNT_2[[#This Row],[Cantidad]])+A2793)</f>
        <v/>
      </c>
      <c r="B2794" s="21" t="str">
        <f>IF(Plantilla_SCAN_EQ3_COUNT_2[[#This Row],[ID MATERIAL]]="","",B2793)</f>
        <v/>
      </c>
      <c r="C2794" s="21"/>
      <c r="D2794" s="21"/>
      <c r="E2794" s="7" t="str">
        <f>IF(Plantilla_SCAN_EQ3_COUNT_2[[#This Row],[ID MATERIAL]]="","",VLOOKUP(Plantilla_SCAN_EQ3_COUNT_2[[#This Row],[ID MATERIAL]],INVENTARIO!$A:$D,2,FALSE))</f>
        <v/>
      </c>
      <c r="F2794" s="7" t="str">
        <f>IF(Plantilla_SCAN_EQ3_COUNT_2[[#This Row],[ID MATERIAL]]="","",IF(Plantilla_SCAN_EQ3_COUNT_2[[#This Row],[No. Empaques]]="",1,Plantilla_SCAN_EQ3_COUNT_2[[#This Row],[No. Empaques]]*1))</f>
        <v/>
      </c>
      <c r="G2794" s="7" t="str">
        <f>IF(Plantilla_SCAN_EQ3_COUNT_2[[#This Row],[ID MATERIAL]]="","","PZ")</f>
        <v/>
      </c>
      <c r="H2794" s="7" t="str">
        <f>IF(Plantilla_SCAN_EQ3_COUNT_2[[#This Row],[ID MATERIAL]]="","",$B$13)</f>
        <v/>
      </c>
      <c r="I2794" s="7" t="str">
        <f>IF(Plantilla_SCAN_EQ3_COUNT_2[[#This Row],[ID MATERIAL]]="","","Segundo Conteo")</f>
        <v/>
      </c>
    </row>
    <row r="2795" spans="1:9" s="7" customFormat="1" ht="15" x14ac:dyDescent="0.2">
      <c r="A2795" s="7" t="str">
        <f>IF(Plantilla_SCAN_EQ3_COUNT_2[[#This Row],[ID MATERIAL]]="","",SIGN(Plantilla_SCAN_EQ3_COUNT_2[[#This Row],[Cantidad]])+A2794)</f>
        <v/>
      </c>
      <c r="B2795" s="21" t="str">
        <f>IF(Plantilla_SCAN_EQ3_COUNT_2[[#This Row],[ID MATERIAL]]="","",B2794)</f>
        <v/>
      </c>
      <c r="C2795" s="21"/>
      <c r="D2795" s="21"/>
      <c r="E2795" s="7" t="str">
        <f>IF(Plantilla_SCAN_EQ3_COUNT_2[[#This Row],[ID MATERIAL]]="","",VLOOKUP(Plantilla_SCAN_EQ3_COUNT_2[[#This Row],[ID MATERIAL]],INVENTARIO!$A:$D,2,FALSE))</f>
        <v/>
      </c>
      <c r="F2795" s="7" t="str">
        <f>IF(Plantilla_SCAN_EQ3_COUNT_2[[#This Row],[ID MATERIAL]]="","",IF(Plantilla_SCAN_EQ3_COUNT_2[[#This Row],[No. Empaques]]="",1,Plantilla_SCAN_EQ3_COUNT_2[[#This Row],[No. Empaques]]*1))</f>
        <v/>
      </c>
      <c r="G2795" s="7" t="str">
        <f>IF(Plantilla_SCAN_EQ3_COUNT_2[[#This Row],[ID MATERIAL]]="","","PZ")</f>
        <v/>
      </c>
      <c r="H2795" s="7" t="str">
        <f>IF(Plantilla_SCAN_EQ3_COUNT_2[[#This Row],[ID MATERIAL]]="","",$B$13)</f>
        <v/>
      </c>
      <c r="I2795" s="7" t="str">
        <f>IF(Plantilla_SCAN_EQ3_COUNT_2[[#This Row],[ID MATERIAL]]="","","Segundo Conteo")</f>
        <v/>
      </c>
    </row>
    <row r="2796" spans="1:9" s="7" customFormat="1" ht="15" x14ac:dyDescent="0.2">
      <c r="A2796" s="7" t="str">
        <f>IF(Plantilla_SCAN_EQ3_COUNT_2[[#This Row],[ID MATERIAL]]="","",SIGN(Plantilla_SCAN_EQ3_COUNT_2[[#This Row],[Cantidad]])+A2795)</f>
        <v/>
      </c>
      <c r="B2796" s="21" t="str">
        <f>IF(Plantilla_SCAN_EQ3_COUNT_2[[#This Row],[ID MATERIAL]]="","",B2795)</f>
        <v/>
      </c>
      <c r="C2796" s="21"/>
      <c r="D2796" s="21"/>
      <c r="E2796" s="7" t="str">
        <f>IF(Plantilla_SCAN_EQ3_COUNT_2[[#This Row],[ID MATERIAL]]="","",VLOOKUP(Plantilla_SCAN_EQ3_COUNT_2[[#This Row],[ID MATERIAL]],INVENTARIO!$A:$D,2,FALSE))</f>
        <v/>
      </c>
      <c r="F2796" s="7" t="str">
        <f>IF(Plantilla_SCAN_EQ3_COUNT_2[[#This Row],[ID MATERIAL]]="","",IF(Plantilla_SCAN_EQ3_COUNT_2[[#This Row],[No. Empaques]]="",1,Plantilla_SCAN_EQ3_COUNT_2[[#This Row],[No. Empaques]]*1))</f>
        <v/>
      </c>
      <c r="G2796" s="7" t="str">
        <f>IF(Plantilla_SCAN_EQ3_COUNT_2[[#This Row],[ID MATERIAL]]="","","PZ")</f>
        <v/>
      </c>
      <c r="H2796" s="7" t="str">
        <f>IF(Plantilla_SCAN_EQ3_COUNT_2[[#This Row],[ID MATERIAL]]="","",$B$13)</f>
        <v/>
      </c>
      <c r="I2796" s="7" t="str">
        <f>IF(Plantilla_SCAN_EQ3_COUNT_2[[#This Row],[ID MATERIAL]]="","","Segundo Conteo")</f>
        <v/>
      </c>
    </row>
    <row r="2797" spans="1:9" s="7" customFormat="1" ht="15" x14ac:dyDescent="0.2">
      <c r="A2797" s="7" t="str">
        <f>IF(Plantilla_SCAN_EQ3_COUNT_2[[#This Row],[ID MATERIAL]]="","",SIGN(Plantilla_SCAN_EQ3_COUNT_2[[#This Row],[Cantidad]])+A2796)</f>
        <v/>
      </c>
      <c r="B2797" s="21" t="str">
        <f>IF(Plantilla_SCAN_EQ3_COUNT_2[[#This Row],[ID MATERIAL]]="","",B2796)</f>
        <v/>
      </c>
      <c r="C2797" s="21"/>
      <c r="D2797" s="21"/>
      <c r="E2797" s="7" t="str">
        <f>IF(Plantilla_SCAN_EQ3_COUNT_2[[#This Row],[ID MATERIAL]]="","",VLOOKUP(Plantilla_SCAN_EQ3_COUNT_2[[#This Row],[ID MATERIAL]],INVENTARIO!$A:$D,2,FALSE))</f>
        <v/>
      </c>
      <c r="F2797" s="7" t="str">
        <f>IF(Plantilla_SCAN_EQ3_COUNT_2[[#This Row],[ID MATERIAL]]="","",IF(Plantilla_SCAN_EQ3_COUNT_2[[#This Row],[No. Empaques]]="",1,Plantilla_SCAN_EQ3_COUNT_2[[#This Row],[No. Empaques]]*1))</f>
        <v/>
      </c>
      <c r="G2797" s="7" t="str">
        <f>IF(Plantilla_SCAN_EQ3_COUNT_2[[#This Row],[ID MATERIAL]]="","","PZ")</f>
        <v/>
      </c>
      <c r="H2797" s="7" t="str">
        <f>IF(Plantilla_SCAN_EQ3_COUNT_2[[#This Row],[ID MATERIAL]]="","",$B$13)</f>
        <v/>
      </c>
      <c r="I2797" s="7" t="str">
        <f>IF(Plantilla_SCAN_EQ3_COUNT_2[[#This Row],[ID MATERIAL]]="","","Segundo Conteo")</f>
        <v/>
      </c>
    </row>
    <row r="2798" spans="1:9" s="7" customFormat="1" ht="15" x14ac:dyDescent="0.2">
      <c r="A2798" s="7" t="str">
        <f>IF(Plantilla_SCAN_EQ3_COUNT_2[[#This Row],[ID MATERIAL]]="","",SIGN(Plantilla_SCAN_EQ3_COUNT_2[[#This Row],[Cantidad]])+A2797)</f>
        <v/>
      </c>
      <c r="B2798" s="21" t="str">
        <f>IF(Plantilla_SCAN_EQ3_COUNT_2[[#This Row],[ID MATERIAL]]="","",B2797)</f>
        <v/>
      </c>
      <c r="C2798" s="21"/>
      <c r="D2798" s="21"/>
      <c r="E2798" s="7" t="str">
        <f>IF(Plantilla_SCAN_EQ3_COUNT_2[[#This Row],[ID MATERIAL]]="","",VLOOKUP(Plantilla_SCAN_EQ3_COUNT_2[[#This Row],[ID MATERIAL]],INVENTARIO!$A:$D,2,FALSE))</f>
        <v/>
      </c>
      <c r="F2798" s="7" t="str">
        <f>IF(Plantilla_SCAN_EQ3_COUNT_2[[#This Row],[ID MATERIAL]]="","",IF(Plantilla_SCAN_EQ3_COUNT_2[[#This Row],[No. Empaques]]="",1,Plantilla_SCAN_EQ3_COUNT_2[[#This Row],[No. Empaques]]*1))</f>
        <v/>
      </c>
      <c r="G2798" s="7" t="str">
        <f>IF(Plantilla_SCAN_EQ3_COUNT_2[[#This Row],[ID MATERIAL]]="","","PZ")</f>
        <v/>
      </c>
      <c r="H2798" s="7" t="str">
        <f>IF(Plantilla_SCAN_EQ3_COUNT_2[[#This Row],[ID MATERIAL]]="","",$B$13)</f>
        <v/>
      </c>
      <c r="I2798" s="7" t="str">
        <f>IF(Plantilla_SCAN_EQ3_COUNT_2[[#This Row],[ID MATERIAL]]="","","Segundo Conteo")</f>
        <v/>
      </c>
    </row>
    <row r="2799" spans="1:9" s="7" customFormat="1" ht="15" x14ac:dyDescent="0.2">
      <c r="A2799" s="7" t="str">
        <f>IF(Plantilla_SCAN_EQ3_COUNT_2[[#This Row],[ID MATERIAL]]="","",SIGN(Plantilla_SCAN_EQ3_COUNT_2[[#This Row],[Cantidad]])+A2798)</f>
        <v/>
      </c>
      <c r="B2799" s="21" t="str">
        <f>IF(Plantilla_SCAN_EQ3_COUNT_2[[#This Row],[ID MATERIAL]]="","",B2798)</f>
        <v/>
      </c>
      <c r="C2799" s="21"/>
      <c r="D2799" s="21"/>
      <c r="E2799" s="7" t="str">
        <f>IF(Plantilla_SCAN_EQ3_COUNT_2[[#This Row],[ID MATERIAL]]="","",VLOOKUP(Plantilla_SCAN_EQ3_COUNT_2[[#This Row],[ID MATERIAL]],INVENTARIO!$A:$D,2,FALSE))</f>
        <v/>
      </c>
      <c r="F2799" s="7" t="str">
        <f>IF(Plantilla_SCAN_EQ3_COUNT_2[[#This Row],[ID MATERIAL]]="","",IF(Plantilla_SCAN_EQ3_COUNT_2[[#This Row],[No. Empaques]]="",1,Plantilla_SCAN_EQ3_COUNT_2[[#This Row],[No. Empaques]]*1))</f>
        <v/>
      </c>
      <c r="G2799" s="7" t="str">
        <f>IF(Plantilla_SCAN_EQ3_COUNT_2[[#This Row],[ID MATERIAL]]="","","PZ")</f>
        <v/>
      </c>
      <c r="H2799" s="7" t="str">
        <f>IF(Plantilla_SCAN_EQ3_COUNT_2[[#This Row],[ID MATERIAL]]="","",$B$13)</f>
        <v/>
      </c>
      <c r="I2799" s="7" t="str">
        <f>IF(Plantilla_SCAN_EQ3_COUNT_2[[#This Row],[ID MATERIAL]]="","","Segundo Conteo")</f>
        <v/>
      </c>
    </row>
    <row r="2800" spans="1:9" s="7" customFormat="1" ht="15" x14ac:dyDescent="0.2">
      <c r="A2800" s="7" t="str">
        <f>IF(Plantilla_SCAN_EQ3_COUNT_2[[#This Row],[ID MATERIAL]]="","",SIGN(Plantilla_SCAN_EQ3_COUNT_2[[#This Row],[Cantidad]])+A2799)</f>
        <v/>
      </c>
      <c r="B2800" s="21" t="str">
        <f>IF(Plantilla_SCAN_EQ3_COUNT_2[[#This Row],[ID MATERIAL]]="","",B2799)</f>
        <v/>
      </c>
      <c r="C2800" s="21"/>
      <c r="D2800" s="21"/>
      <c r="E2800" s="7" t="str">
        <f>IF(Plantilla_SCAN_EQ3_COUNT_2[[#This Row],[ID MATERIAL]]="","",VLOOKUP(Plantilla_SCAN_EQ3_COUNT_2[[#This Row],[ID MATERIAL]],INVENTARIO!$A:$D,2,FALSE))</f>
        <v/>
      </c>
      <c r="F2800" s="7" t="str">
        <f>IF(Plantilla_SCAN_EQ3_COUNT_2[[#This Row],[ID MATERIAL]]="","",IF(Plantilla_SCAN_EQ3_COUNT_2[[#This Row],[No. Empaques]]="",1,Plantilla_SCAN_EQ3_COUNT_2[[#This Row],[No. Empaques]]*1))</f>
        <v/>
      </c>
      <c r="G2800" s="7" t="str">
        <f>IF(Plantilla_SCAN_EQ3_COUNT_2[[#This Row],[ID MATERIAL]]="","","PZ")</f>
        <v/>
      </c>
      <c r="H2800" s="7" t="str">
        <f>IF(Plantilla_SCAN_EQ3_COUNT_2[[#This Row],[ID MATERIAL]]="","",$B$13)</f>
        <v/>
      </c>
      <c r="I2800" s="7" t="str">
        <f>IF(Plantilla_SCAN_EQ3_COUNT_2[[#This Row],[ID MATERIAL]]="","","Segundo Conteo")</f>
        <v/>
      </c>
    </row>
    <row r="2801" spans="1:9" s="7" customFormat="1" ht="15" x14ac:dyDescent="0.2">
      <c r="A2801" s="7" t="str">
        <f>IF(Plantilla_SCAN_EQ3_COUNT_2[[#This Row],[ID MATERIAL]]="","",SIGN(Plantilla_SCAN_EQ3_COUNT_2[[#This Row],[Cantidad]])+A2800)</f>
        <v/>
      </c>
      <c r="B2801" s="21" t="str">
        <f>IF(Plantilla_SCAN_EQ3_COUNT_2[[#This Row],[ID MATERIAL]]="","",B2800)</f>
        <v/>
      </c>
      <c r="C2801" s="21"/>
      <c r="D2801" s="21"/>
      <c r="E2801" s="7" t="str">
        <f>IF(Plantilla_SCAN_EQ3_COUNT_2[[#This Row],[ID MATERIAL]]="","",VLOOKUP(Plantilla_SCAN_EQ3_COUNT_2[[#This Row],[ID MATERIAL]],INVENTARIO!$A:$D,2,FALSE))</f>
        <v/>
      </c>
      <c r="F2801" s="7" t="str">
        <f>IF(Plantilla_SCAN_EQ3_COUNT_2[[#This Row],[ID MATERIAL]]="","",IF(Plantilla_SCAN_EQ3_COUNT_2[[#This Row],[No. Empaques]]="",1,Plantilla_SCAN_EQ3_COUNT_2[[#This Row],[No. Empaques]]*1))</f>
        <v/>
      </c>
      <c r="G2801" s="7" t="str">
        <f>IF(Plantilla_SCAN_EQ3_COUNT_2[[#This Row],[ID MATERIAL]]="","","PZ")</f>
        <v/>
      </c>
      <c r="H2801" s="7" t="str">
        <f>IF(Plantilla_SCAN_EQ3_COUNT_2[[#This Row],[ID MATERIAL]]="","",$B$13)</f>
        <v/>
      </c>
      <c r="I2801" s="7" t="str">
        <f>IF(Plantilla_SCAN_EQ3_COUNT_2[[#This Row],[ID MATERIAL]]="","","Segundo Conteo")</f>
        <v/>
      </c>
    </row>
    <row r="2802" spans="1:9" s="7" customFormat="1" ht="15" x14ac:dyDescent="0.2">
      <c r="A2802" s="7" t="str">
        <f>IF(Plantilla_SCAN_EQ3_COUNT_2[[#This Row],[ID MATERIAL]]="","",SIGN(Plantilla_SCAN_EQ3_COUNT_2[[#This Row],[Cantidad]])+A2801)</f>
        <v/>
      </c>
      <c r="B2802" s="21" t="str">
        <f>IF(Plantilla_SCAN_EQ3_COUNT_2[[#This Row],[ID MATERIAL]]="","",B2801)</f>
        <v/>
      </c>
      <c r="C2802" s="21"/>
      <c r="D2802" s="21"/>
      <c r="E2802" s="7" t="str">
        <f>IF(Plantilla_SCAN_EQ3_COUNT_2[[#This Row],[ID MATERIAL]]="","",VLOOKUP(Plantilla_SCAN_EQ3_COUNT_2[[#This Row],[ID MATERIAL]],INVENTARIO!$A:$D,2,FALSE))</f>
        <v/>
      </c>
      <c r="F2802" s="7" t="str">
        <f>IF(Plantilla_SCAN_EQ3_COUNT_2[[#This Row],[ID MATERIAL]]="","",IF(Plantilla_SCAN_EQ3_COUNT_2[[#This Row],[No. Empaques]]="",1,Plantilla_SCAN_EQ3_COUNT_2[[#This Row],[No. Empaques]]*1))</f>
        <v/>
      </c>
      <c r="G2802" s="7" t="str">
        <f>IF(Plantilla_SCAN_EQ3_COUNT_2[[#This Row],[ID MATERIAL]]="","","PZ")</f>
        <v/>
      </c>
      <c r="H2802" s="7" t="str">
        <f>IF(Plantilla_SCAN_EQ3_COUNT_2[[#This Row],[ID MATERIAL]]="","",$B$13)</f>
        <v/>
      </c>
      <c r="I2802" s="7" t="str">
        <f>IF(Plantilla_SCAN_EQ3_COUNT_2[[#This Row],[ID MATERIAL]]="","","Segundo Conteo")</f>
        <v/>
      </c>
    </row>
    <row r="2803" spans="1:9" s="7" customFormat="1" ht="15" x14ac:dyDescent="0.2">
      <c r="A2803" s="7" t="str">
        <f>IF(Plantilla_SCAN_EQ3_COUNT_2[[#This Row],[ID MATERIAL]]="","",SIGN(Plantilla_SCAN_EQ3_COUNT_2[[#This Row],[Cantidad]])+A2802)</f>
        <v/>
      </c>
      <c r="B2803" s="21" t="str">
        <f>IF(Plantilla_SCAN_EQ3_COUNT_2[[#This Row],[ID MATERIAL]]="","",B2802)</f>
        <v/>
      </c>
      <c r="C2803" s="21"/>
      <c r="D2803" s="21"/>
      <c r="E2803" s="7" t="str">
        <f>IF(Plantilla_SCAN_EQ3_COUNT_2[[#This Row],[ID MATERIAL]]="","",VLOOKUP(Plantilla_SCAN_EQ3_COUNT_2[[#This Row],[ID MATERIAL]],INVENTARIO!$A:$D,2,FALSE))</f>
        <v/>
      </c>
      <c r="F2803" s="7" t="str">
        <f>IF(Plantilla_SCAN_EQ3_COUNT_2[[#This Row],[ID MATERIAL]]="","",IF(Plantilla_SCAN_EQ3_COUNT_2[[#This Row],[No. Empaques]]="",1,Plantilla_SCAN_EQ3_COUNT_2[[#This Row],[No. Empaques]]*1))</f>
        <v/>
      </c>
      <c r="G2803" s="7" t="str">
        <f>IF(Plantilla_SCAN_EQ3_COUNT_2[[#This Row],[ID MATERIAL]]="","","PZ")</f>
        <v/>
      </c>
      <c r="H2803" s="7" t="str">
        <f>IF(Plantilla_SCAN_EQ3_COUNT_2[[#This Row],[ID MATERIAL]]="","",$B$13)</f>
        <v/>
      </c>
      <c r="I2803" s="7" t="str">
        <f>IF(Plantilla_SCAN_EQ3_COUNT_2[[#This Row],[ID MATERIAL]]="","","Segundo Conteo")</f>
        <v/>
      </c>
    </row>
    <row r="2804" spans="1:9" s="7" customFormat="1" ht="15" x14ac:dyDescent="0.2">
      <c r="A2804" s="7" t="str">
        <f>IF(Plantilla_SCAN_EQ3_COUNT_2[[#This Row],[ID MATERIAL]]="","",SIGN(Plantilla_SCAN_EQ3_COUNT_2[[#This Row],[Cantidad]])+A2803)</f>
        <v/>
      </c>
      <c r="B2804" s="21" t="str">
        <f>IF(Plantilla_SCAN_EQ3_COUNT_2[[#This Row],[ID MATERIAL]]="","",B2803)</f>
        <v/>
      </c>
      <c r="C2804" s="21"/>
      <c r="D2804" s="21"/>
      <c r="E2804" s="7" t="str">
        <f>IF(Plantilla_SCAN_EQ3_COUNT_2[[#This Row],[ID MATERIAL]]="","",VLOOKUP(Plantilla_SCAN_EQ3_COUNT_2[[#This Row],[ID MATERIAL]],INVENTARIO!$A:$D,2,FALSE))</f>
        <v/>
      </c>
      <c r="F2804" s="7" t="str">
        <f>IF(Plantilla_SCAN_EQ3_COUNT_2[[#This Row],[ID MATERIAL]]="","",IF(Plantilla_SCAN_EQ3_COUNT_2[[#This Row],[No. Empaques]]="",1,Plantilla_SCAN_EQ3_COUNT_2[[#This Row],[No. Empaques]]*1))</f>
        <v/>
      </c>
      <c r="G2804" s="7" t="str">
        <f>IF(Plantilla_SCAN_EQ3_COUNT_2[[#This Row],[ID MATERIAL]]="","","PZ")</f>
        <v/>
      </c>
      <c r="H2804" s="7" t="str">
        <f>IF(Plantilla_SCAN_EQ3_COUNT_2[[#This Row],[ID MATERIAL]]="","",$B$13)</f>
        <v/>
      </c>
      <c r="I2804" s="7" t="str">
        <f>IF(Plantilla_SCAN_EQ3_COUNT_2[[#This Row],[ID MATERIAL]]="","","Segundo Conteo")</f>
        <v/>
      </c>
    </row>
    <row r="2805" spans="1:9" s="7" customFormat="1" ht="15" x14ac:dyDescent="0.2">
      <c r="A2805" s="7" t="str">
        <f>IF(Plantilla_SCAN_EQ3_COUNT_2[[#This Row],[ID MATERIAL]]="","",SIGN(Plantilla_SCAN_EQ3_COUNT_2[[#This Row],[Cantidad]])+A2804)</f>
        <v/>
      </c>
      <c r="B2805" s="21" t="str">
        <f>IF(Plantilla_SCAN_EQ3_COUNT_2[[#This Row],[ID MATERIAL]]="","",B2804)</f>
        <v/>
      </c>
      <c r="C2805" s="21"/>
      <c r="D2805" s="21"/>
      <c r="E2805" s="7" t="str">
        <f>IF(Plantilla_SCAN_EQ3_COUNT_2[[#This Row],[ID MATERIAL]]="","",VLOOKUP(Plantilla_SCAN_EQ3_COUNT_2[[#This Row],[ID MATERIAL]],INVENTARIO!$A:$D,2,FALSE))</f>
        <v/>
      </c>
      <c r="F2805" s="7" t="str">
        <f>IF(Plantilla_SCAN_EQ3_COUNT_2[[#This Row],[ID MATERIAL]]="","",IF(Plantilla_SCAN_EQ3_COUNT_2[[#This Row],[No. Empaques]]="",1,Plantilla_SCAN_EQ3_COUNT_2[[#This Row],[No. Empaques]]*1))</f>
        <v/>
      </c>
      <c r="G2805" s="7" t="str">
        <f>IF(Plantilla_SCAN_EQ3_COUNT_2[[#This Row],[ID MATERIAL]]="","","PZ")</f>
        <v/>
      </c>
      <c r="H2805" s="7" t="str">
        <f>IF(Plantilla_SCAN_EQ3_COUNT_2[[#This Row],[ID MATERIAL]]="","",$B$13)</f>
        <v/>
      </c>
      <c r="I2805" s="7" t="str">
        <f>IF(Plantilla_SCAN_EQ3_COUNT_2[[#This Row],[ID MATERIAL]]="","","Segundo Conteo")</f>
        <v/>
      </c>
    </row>
    <row r="2806" spans="1:9" s="7" customFormat="1" ht="15" x14ac:dyDescent="0.2">
      <c r="A2806" s="7" t="str">
        <f>IF(Plantilla_SCAN_EQ3_COUNT_2[[#This Row],[ID MATERIAL]]="","",SIGN(Plantilla_SCAN_EQ3_COUNT_2[[#This Row],[Cantidad]])+A2805)</f>
        <v/>
      </c>
      <c r="B2806" s="21" t="str">
        <f>IF(Plantilla_SCAN_EQ3_COUNT_2[[#This Row],[ID MATERIAL]]="","",B2805)</f>
        <v/>
      </c>
      <c r="C2806" s="21"/>
      <c r="D2806" s="21"/>
      <c r="E2806" s="7" t="str">
        <f>IF(Plantilla_SCAN_EQ3_COUNT_2[[#This Row],[ID MATERIAL]]="","",VLOOKUP(Plantilla_SCAN_EQ3_COUNT_2[[#This Row],[ID MATERIAL]],INVENTARIO!$A:$D,2,FALSE))</f>
        <v/>
      </c>
      <c r="F2806" s="7" t="str">
        <f>IF(Plantilla_SCAN_EQ3_COUNT_2[[#This Row],[ID MATERIAL]]="","",IF(Plantilla_SCAN_EQ3_COUNT_2[[#This Row],[No. Empaques]]="",1,Plantilla_SCAN_EQ3_COUNT_2[[#This Row],[No. Empaques]]*1))</f>
        <v/>
      </c>
      <c r="G2806" s="7" t="str">
        <f>IF(Plantilla_SCAN_EQ3_COUNT_2[[#This Row],[ID MATERIAL]]="","","PZ")</f>
        <v/>
      </c>
      <c r="H2806" s="7" t="str">
        <f>IF(Plantilla_SCAN_EQ3_COUNT_2[[#This Row],[ID MATERIAL]]="","",$B$13)</f>
        <v/>
      </c>
      <c r="I2806" s="7" t="str">
        <f>IF(Plantilla_SCAN_EQ3_COUNT_2[[#This Row],[ID MATERIAL]]="","","Segundo Conteo")</f>
        <v/>
      </c>
    </row>
    <row r="2807" spans="1:9" s="7" customFormat="1" ht="15" x14ac:dyDescent="0.2">
      <c r="A2807" s="7" t="str">
        <f>IF(Plantilla_SCAN_EQ3_COUNT_2[[#This Row],[ID MATERIAL]]="","",SIGN(Plantilla_SCAN_EQ3_COUNT_2[[#This Row],[Cantidad]])+A2806)</f>
        <v/>
      </c>
      <c r="B2807" s="21" t="str">
        <f>IF(Plantilla_SCAN_EQ3_COUNT_2[[#This Row],[ID MATERIAL]]="","",B2806)</f>
        <v/>
      </c>
      <c r="C2807" s="21"/>
      <c r="D2807" s="21"/>
      <c r="E2807" s="7" t="str">
        <f>IF(Plantilla_SCAN_EQ3_COUNT_2[[#This Row],[ID MATERIAL]]="","",VLOOKUP(Plantilla_SCAN_EQ3_COUNT_2[[#This Row],[ID MATERIAL]],INVENTARIO!$A:$D,2,FALSE))</f>
        <v/>
      </c>
      <c r="F2807" s="7" t="str">
        <f>IF(Plantilla_SCAN_EQ3_COUNT_2[[#This Row],[ID MATERIAL]]="","",IF(Plantilla_SCAN_EQ3_COUNT_2[[#This Row],[No. Empaques]]="",1,Plantilla_SCAN_EQ3_COUNT_2[[#This Row],[No. Empaques]]*1))</f>
        <v/>
      </c>
      <c r="G2807" s="7" t="str">
        <f>IF(Plantilla_SCAN_EQ3_COUNT_2[[#This Row],[ID MATERIAL]]="","","PZ")</f>
        <v/>
      </c>
      <c r="H2807" s="7" t="str">
        <f>IF(Plantilla_SCAN_EQ3_COUNT_2[[#This Row],[ID MATERIAL]]="","",$B$13)</f>
        <v/>
      </c>
      <c r="I2807" s="7" t="str">
        <f>IF(Plantilla_SCAN_EQ3_COUNT_2[[#This Row],[ID MATERIAL]]="","","Segundo Conteo")</f>
        <v/>
      </c>
    </row>
    <row r="2808" spans="1:9" s="7" customFormat="1" ht="15" x14ac:dyDescent="0.2">
      <c r="A2808" s="7" t="str">
        <f>IF(Plantilla_SCAN_EQ3_COUNT_2[[#This Row],[ID MATERIAL]]="","",SIGN(Plantilla_SCAN_EQ3_COUNT_2[[#This Row],[Cantidad]])+A2807)</f>
        <v/>
      </c>
      <c r="B2808" s="21" t="str">
        <f>IF(Plantilla_SCAN_EQ3_COUNT_2[[#This Row],[ID MATERIAL]]="","",B2807)</f>
        <v/>
      </c>
      <c r="C2808" s="21"/>
      <c r="D2808" s="21"/>
      <c r="E2808" s="7" t="str">
        <f>IF(Plantilla_SCAN_EQ3_COUNT_2[[#This Row],[ID MATERIAL]]="","",VLOOKUP(Plantilla_SCAN_EQ3_COUNT_2[[#This Row],[ID MATERIAL]],INVENTARIO!$A:$D,2,FALSE))</f>
        <v/>
      </c>
      <c r="F2808" s="7" t="str">
        <f>IF(Plantilla_SCAN_EQ3_COUNT_2[[#This Row],[ID MATERIAL]]="","",IF(Plantilla_SCAN_EQ3_COUNT_2[[#This Row],[No. Empaques]]="",1,Plantilla_SCAN_EQ3_COUNT_2[[#This Row],[No. Empaques]]*1))</f>
        <v/>
      </c>
      <c r="G2808" s="7" t="str">
        <f>IF(Plantilla_SCAN_EQ3_COUNT_2[[#This Row],[ID MATERIAL]]="","","PZ")</f>
        <v/>
      </c>
      <c r="H2808" s="7" t="str">
        <f>IF(Plantilla_SCAN_EQ3_COUNT_2[[#This Row],[ID MATERIAL]]="","",$B$13)</f>
        <v/>
      </c>
      <c r="I2808" s="7" t="str">
        <f>IF(Plantilla_SCAN_EQ3_COUNT_2[[#This Row],[ID MATERIAL]]="","","Segundo Conteo")</f>
        <v/>
      </c>
    </row>
    <row r="2809" spans="1:9" s="7" customFormat="1" ht="15" x14ac:dyDescent="0.2">
      <c r="A2809" s="7" t="str">
        <f>IF(Plantilla_SCAN_EQ3_COUNT_2[[#This Row],[ID MATERIAL]]="","",SIGN(Plantilla_SCAN_EQ3_COUNT_2[[#This Row],[Cantidad]])+A2808)</f>
        <v/>
      </c>
      <c r="B2809" s="21" t="str">
        <f>IF(Plantilla_SCAN_EQ3_COUNT_2[[#This Row],[ID MATERIAL]]="","",B2808)</f>
        <v/>
      </c>
      <c r="C2809" s="21"/>
      <c r="D2809" s="21"/>
      <c r="E2809" s="7" t="str">
        <f>IF(Plantilla_SCAN_EQ3_COUNT_2[[#This Row],[ID MATERIAL]]="","",VLOOKUP(Plantilla_SCAN_EQ3_COUNT_2[[#This Row],[ID MATERIAL]],INVENTARIO!$A:$D,2,FALSE))</f>
        <v/>
      </c>
      <c r="F2809" s="7" t="str">
        <f>IF(Plantilla_SCAN_EQ3_COUNT_2[[#This Row],[ID MATERIAL]]="","",IF(Plantilla_SCAN_EQ3_COUNT_2[[#This Row],[No. Empaques]]="",1,Plantilla_SCAN_EQ3_COUNT_2[[#This Row],[No. Empaques]]*1))</f>
        <v/>
      </c>
      <c r="G2809" s="7" t="str">
        <f>IF(Plantilla_SCAN_EQ3_COUNT_2[[#This Row],[ID MATERIAL]]="","","PZ")</f>
        <v/>
      </c>
      <c r="H2809" s="7" t="str">
        <f>IF(Plantilla_SCAN_EQ3_COUNT_2[[#This Row],[ID MATERIAL]]="","",$B$13)</f>
        <v/>
      </c>
      <c r="I2809" s="7" t="str">
        <f>IF(Plantilla_SCAN_EQ3_COUNT_2[[#This Row],[ID MATERIAL]]="","","Segundo Conteo")</f>
        <v/>
      </c>
    </row>
    <row r="2810" spans="1:9" s="7" customFormat="1" ht="15" x14ac:dyDescent="0.2">
      <c r="A2810" s="7" t="str">
        <f>IF(Plantilla_SCAN_EQ3_COUNT_2[[#This Row],[ID MATERIAL]]="","",SIGN(Plantilla_SCAN_EQ3_COUNT_2[[#This Row],[Cantidad]])+A2809)</f>
        <v/>
      </c>
      <c r="B2810" s="21" t="str">
        <f>IF(Plantilla_SCAN_EQ3_COUNT_2[[#This Row],[ID MATERIAL]]="","",B2809)</f>
        <v/>
      </c>
      <c r="C2810" s="21"/>
      <c r="D2810" s="21"/>
      <c r="E2810" s="7" t="str">
        <f>IF(Plantilla_SCAN_EQ3_COUNT_2[[#This Row],[ID MATERIAL]]="","",VLOOKUP(Plantilla_SCAN_EQ3_COUNT_2[[#This Row],[ID MATERIAL]],INVENTARIO!$A:$D,2,FALSE))</f>
        <v/>
      </c>
      <c r="F2810" s="7" t="str">
        <f>IF(Plantilla_SCAN_EQ3_COUNT_2[[#This Row],[ID MATERIAL]]="","",IF(Plantilla_SCAN_EQ3_COUNT_2[[#This Row],[No. Empaques]]="",1,Plantilla_SCAN_EQ3_COUNT_2[[#This Row],[No. Empaques]]*1))</f>
        <v/>
      </c>
      <c r="G2810" s="7" t="str">
        <f>IF(Plantilla_SCAN_EQ3_COUNT_2[[#This Row],[ID MATERIAL]]="","","PZ")</f>
        <v/>
      </c>
      <c r="H2810" s="7" t="str">
        <f>IF(Plantilla_SCAN_EQ3_COUNT_2[[#This Row],[ID MATERIAL]]="","",$B$13)</f>
        <v/>
      </c>
      <c r="I2810" s="7" t="str">
        <f>IF(Plantilla_SCAN_EQ3_COUNT_2[[#This Row],[ID MATERIAL]]="","","Segundo Conteo")</f>
        <v/>
      </c>
    </row>
    <row r="2811" spans="1:9" s="7" customFormat="1" ht="15" x14ac:dyDescent="0.2">
      <c r="A2811" s="7" t="str">
        <f>IF(Plantilla_SCAN_EQ3_COUNT_2[[#This Row],[ID MATERIAL]]="","",SIGN(Plantilla_SCAN_EQ3_COUNT_2[[#This Row],[Cantidad]])+A2810)</f>
        <v/>
      </c>
      <c r="B2811" s="21" t="str">
        <f>IF(Plantilla_SCAN_EQ3_COUNT_2[[#This Row],[ID MATERIAL]]="","",B2810)</f>
        <v/>
      </c>
      <c r="C2811" s="21"/>
      <c r="D2811" s="21"/>
      <c r="E2811" s="7" t="str">
        <f>IF(Plantilla_SCAN_EQ3_COUNT_2[[#This Row],[ID MATERIAL]]="","",VLOOKUP(Plantilla_SCAN_EQ3_COUNT_2[[#This Row],[ID MATERIAL]],INVENTARIO!$A:$D,2,FALSE))</f>
        <v/>
      </c>
      <c r="F2811" s="7" t="str">
        <f>IF(Plantilla_SCAN_EQ3_COUNT_2[[#This Row],[ID MATERIAL]]="","",IF(Plantilla_SCAN_EQ3_COUNT_2[[#This Row],[No. Empaques]]="",1,Plantilla_SCAN_EQ3_COUNT_2[[#This Row],[No. Empaques]]*1))</f>
        <v/>
      </c>
      <c r="G2811" s="7" t="str">
        <f>IF(Plantilla_SCAN_EQ3_COUNT_2[[#This Row],[ID MATERIAL]]="","","PZ")</f>
        <v/>
      </c>
      <c r="H2811" s="7" t="str">
        <f>IF(Plantilla_SCAN_EQ3_COUNT_2[[#This Row],[ID MATERIAL]]="","",$B$13)</f>
        <v/>
      </c>
      <c r="I2811" s="7" t="str">
        <f>IF(Plantilla_SCAN_EQ3_COUNT_2[[#This Row],[ID MATERIAL]]="","","Segundo Conteo")</f>
        <v/>
      </c>
    </row>
    <row r="2812" spans="1:9" s="7" customFormat="1" ht="15" x14ac:dyDescent="0.2">
      <c r="A2812" s="7" t="str">
        <f>IF(Plantilla_SCAN_EQ3_COUNT_2[[#This Row],[ID MATERIAL]]="","",SIGN(Plantilla_SCAN_EQ3_COUNT_2[[#This Row],[Cantidad]])+A2811)</f>
        <v/>
      </c>
      <c r="B2812" s="21" t="str">
        <f>IF(Plantilla_SCAN_EQ3_COUNT_2[[#This Row],[ID MATERIAL]]="","",B2811)</f>
        <v/>
      </c>
      <c r="C2812" s="21"/>
      <c r="D2812" s="21"/>
      <c r="E2812" s="7" t="str">
        <f>IF(Plantilla_SCAN_EQ3_COUNT_2[[#This Row],[ID MATERIAL]]="","",VLOOKUP(Plantilla_SCAN_EQ3_COUNT_2[[#This Row],[ID MATERIAL]],INVENTARIO!$A:$D,2,FALSE))</f>
        <v/>
      </c>
      <c r="F2812" s="7" t="str">
        <f>IF(Plantilla_SCAN_EQ3_COUNT_2[[#This Row],[ID MATERIAL]]="","",IF(Plantilla_SCAN_EQ3_COUNT_2[[#This Row],[No. Empaques]]="",1,Plantilla_SCAN_EQ3_COUNT_2[[#This Row],[No. Empaques]]*1))</f>
        <v/>
      </c>
      <c r="G2812" s="7" t="str">
        <f>IF(Plantilla_SCAN_EQ3_COUNT_2[[#This Row],[ID MATERIAL]]="","","PZ")</f>
        <v/>
      </c>
      <c r="H2812" s="7" t="str">
        <f>IF(Plantilla_SCAN_EQ3_COUNT_2[[#This Row],[ID MATERIAL]]="","",$B$13)</f>
        <v/>
      </c>
      <c r="I2812" s="7" t="str">
        <f>IF(Plantilla_SCAN_EQ3_COUNT_2[[#This Row],[ID MATERIAL]]="","","Segundo Conteo")</f>
        <v/>
      </c>
    </row>
    <row r="2813" spans="1:9" s="7" customFormat="1" ht="15" x14ac:dyDescent="0.2">
      <c r="A2813" s="7" t="str">
        <f>IF(Plantilla_SCAN_EQ3_COUNT_2[[#This Row],[ID MATERIAL]]="","",SIGN(Plantilla_SCAN_EQ3_COUNT_2[[#This Row],[Cantidad]])+A2812)</f>
        <v/>
      </c>
      <c r="B2813" s="21" t="str">
        <f>IF(Plantilla_SCAN_EQ3_COUNT_2[[#This Row],[ID MATERIAL]]="","",B2812)</f>
        <v/>
      </c>
      <c r="C2813" s="21"/>
      <c r="D2813" s="21"/>
      <c r="E2813" s="7" t="str">
        <f>IF(Plantilla_SCAN_EQ3_COUNT_2[[#This Row],[ID MATERIAL]]="","",VLOOKUP(Plantilla_SCAN_EQ3_COUNT_2[[#This Row],[ID MATERIAL]],INVENTARIO!$A:$D,2,FALSE))</f>
        <v/>
      </c>
      <c r="F2813" s="7" t="str">
        <f>IF(Plantilla_SCAN_EQ3_COUNT_2[[#This Row],[ID MATERIAL]]="","",IF(Plantilla_SCAN_EQ3_COUNT_2[[#This Row],[No. Empaques]]="",1,Plantilla_SCAN_EQ3_COUNT_2[[#This Row],[No. Empaques]]*1))</f>
        <v/>
      </c>
      <c r="G2813" s="7" t="str">
        <f>IF(Plantilla_SCAN_EQ3_COUNT_2[[#This Row],[ID MATERIAL]]="","","PZ")</f>
        <v/>
      </c>
      <c r="H2813" s="7" t="str">
        <f>IF(Plantilla_SCAN_EQ3_COUNT_2[[#This Row],[ID MATERIAL]]="","",$B$13)</f>
        <v/>
      </c>
      <c r="I2813" s="7" t="str">
        <f>IF(Plantilla_SCAN_EQ3_COUNT_2[[#This Row],[ID MATERIAL]]="","","Segundo Conteo")</f>
        <v/>
      </c>
    </row>
    <row r="2814" spans="1:9" s="7" customFormat="1" ht="15" x14ac:dyDescent="0.2">
      <c r="A2814" s="7" t="str">
        <f>IF(Plantilla_SCAN_EQ3_COUNT_2[[#This Row],[ID MATERIAL]]="","",SIGN(Plantilla_SCAN_EQ3_COUNT_2[[#This Row],[Cantidad]])+A2813)</f>
        <v/>
      </c>
      <c r="B2814" s="21" t="str">
        <f>IF(Plantilla_SCAN_EQ3_COUNT_2[[#This Row],[ID MATERIAL]]="","",B2813)</f>
        <v/>
      </c>
      <c r="C2814" s="21"/>
      <c r="D2814" s="21"/>
      <c r="E2814" s="7" t="str">
        <f>IF(Plantilla_SCAN_EQ3_COUNT_2[[#This Row],[ID MATERIAL]]="","",VLOOKUP(Plantilla_SCAN_EQ3_COUNT_2[[#This Row],[ID MATERIAL]],INVENTARIO!$A:$D,2,FALSE))</f>
        <v/>
      </c>
      <c r="F2814" s="7" t="str">
        <f>IF(Plantilla_SCAN_EQ3_COUNT_2[[#This Row],[ID MATERIAL]]="","",IF(Plantilla_SCAN_EQ3_COUNT_2[[#This Row],[No. Empaques]]="",1,Plantilla_SCAN_EQ3_COUNT_2[[#This Row],[No. Empaques]]*1))</f>
        <v/>
      </c>
      <c r="G2814" s="7" t="str">
        <f>IF(Plantilla_SCAN_EQ3_COUNT_2[[#This Row],[ID MATERIAL]]="","","PZ")</f>
        <v/>
      </c>
      <c r="H2814" s="7" t="str">
        <f>IF(Plantilla_SCAN_EQ3_COUNT_2[[#This Row],[ID MATERIAL]]="","",$B$13)</f>
        <v/>
      </c>
      <c r="I2814" s="7" t="str">
        <f>IF(Plantilla_SCAN_EQ3_COUNT_2[[#This Row],[ID MATERIAL]]="","","Segundo Conteo")</f>
        <v/>
      </c>
    </row>
    <row r="2815" spans="1:9" s="7" customFormat="1" ht="15" x14ac:dyDescent="0.2">
      <c r="A2815" s="7" t="str">
        <f>IF(Plantilla_SCAN_EQ3_COUNT_2[[#This Row],[ID MATERIAL]]="","",SIGN(Plantilla_SCAN_EQ3_COUNT_2[[#This Row],[Cantidad]])+A2814)</f>
        <v/>
      </c>
      <c r="B2815" s="21" t="str">
        <f>IF(Plantilla_SCAN_EQ3_COUNT_2[[#This Row],[ID MATERIAL]]="","",B2814)</f>
        <v/>
      </c>
      <c r="C2815" s="21"/>
      <c r="D2815" s="21"/>
      <c r="E2815" s="7" t="str">
        <f>IF(Plantilla_SCAN_EQ3_COUNT_2[[#This Row],[ID MATERIAL]]="","",VLOOKUP(Plantilla_SCAN_EQ3_COUNT_2[[#This Row],[ID MATERIAL]],INVENTARIO!$A:$D,2,FALSE))</f>
        <v/>
      </c>
      <c r="F2815" s="7" t="str">
        <f>IF(Plantilla_SCAN_EQ3_COUNT_2[[#This Row],[ID MATERIAL]]="","",IF(Plantilla_SCAN_EQ3_COUNT_2[[#This Row],[No. Empaques]]="",1,Plantilla_SCAN_EQ3_COUNT_2[[#This Row],[No. Empaques]]*1))</f>
        <v/>
      </c>
      <c r="G2815" s="7" t="str">
        <f>IF(Plantilla_SCAN_EQ3_COUNT_2[[#This Row],[ID MATERIAL]]="","","PZ")</f>
        <v/>
      </c>
      <c r="H2815" s="7" t="str">
        <f>IF(Plantilla_SCAN_EQ3_COUNT_2[[#This Row],[ID MATERIAL]]="","",$B$13)</f>
        <v/>
      </c>
      <c r="I2815" s="7" t="str">
        <f>IF(Plantilla_SCAN_EQ3_COUNT_2[[#This Row],[ID MATERIAL]]="","","Segundo Conteo")</f>
        <v/>
      </c>
    </row>
    <row r="2816" spans="1:9" s="7" customFormat="1" ht="15" x14ac:dyDescent="0.2">
      <c r="A2816" s="7" t="str">
        <f>IF(Plantilla_SCAN_EQ3_COUNT_2[[#This Row],[ID MATERIAL]]="","",SIGN(Plantilla_SCAN_EQ3_COUNT_2[[#This Row],[Cantidad]])+A2815)</f>
        <v/>
      </c>
      <c r="B2816" s="21" t="str">
        <f>IF(Plantilla_SCAN_EQ3_COUNT_2[[#This Row],[ID MATERIAL]]="","",B2815)</f>
        <v/>
      </c>
      <c r="C2816" s="21"/>
      <c r="D2816" s="21"/>
      <c r="E2816" s="7" t="str">
        <f>IF(Plantilla_SCAN_EQ3_COUNT_2[[#This Row],[ID MATERIAL]]="","",VLOOKUP(Plantilla_SCAN_EQ3_COUNT_2[[#This Row],[ID MATERIAL]],INVENTARIO!$A:$D,2,FALSE))</f>
        <v/>
      </c>
      <c r="F2816" s="7" t="str">
        <f>IF(Plantilla_SCAN_EQ3_COUNT_2[[#This Row],[ID MATERIAL]]="","",IF(Plantilla_SCAN_EQ3_COUNT_2[[#This Row],[No. Empaques]]="",1,Plantilla_SCAN_EQ3_COUNT_2[[#This Row],[No. Empaques]]*1))</f>
        <v/>
      </c>
      <c r="G2816" s="7" t="str">
        <f>IF(Plantilla_SCAN_EQ3_COUNT_2[[#This Row],[ID MATERIAL]]="","","PZ")</f>
        <v/>
      </c>
      <c r="H2816" s="7" t="str">
        <f>IF(Plantilla_SCAN_EQ3_COUNT_2[[#This Row],[ID MATERIAL]]="","",$B$13)</f>
        <v/>
      </c>
      <c r="I2816" s="7" t="str">
        <f>IF(Plantilla_SCAN_EQ3_COUNT_2[[#This Row],[ID MATERIAL]]="","","Segundo Conteo")</f>
        <v/>
      </c>
    </row>
    <row r="2817" spans="1:9" s="7" customFormat="1" ht="15" x14ac:dyDescent="0.2">
      <c r="A2817" s="7" t="str">
        <f>IF(Plantilla_SCAN_EQ3_COUNT_2[[#This Row],[ID MATERIAL]]="","",SIGN(Plantilla_SCAN_EQ3_COUNT_2[[#This Row],[Cantidad]])+A2816)</f>
        <v/>
      </c>
      <c r="B2817" s="21" t="str">
        <f>IF(Plantilla_SCAN_EQ3_COUNT_2[[#This Row],[ID MATERIAL]]="","",B2816)</f>
        <v/>
      </c>
      <c r="C2817" s="21"/>
      <c r="D2817" s="21"/>
      <c r="E2817" s="7" t="str">
        <f>IF(Plantilla_SCAN_EQ3_COUNT_2[[#This Row],[ID MATERIAL]]="","",VLOOKUP(Plantilla_SCAN_EQ3_COUNT_2[[#This Row],[ID MATERIAL]],INVENTARIO!$A:$D,2,FALSE))</f>
        <v/>
      </c>
      <c r="F2817" s="7" t="str">
        <f>IF(Plantilla_SCAN_EQ3_COUNT_2[[#This Row],[ID MATERIAL]]="","",IF(Plantilla_SCAN_EQ3_COUNT_2[[#This Row],[No. Empaques]]="",1,Plantilla_SCAN_EQ3_COUNT_2[[#This Row],[No. Empaques]]*1))</f>
        <v/>
      </c>
      <c r="G2817" s="7" t="str">
        <f>IF(Plantilla_SCAN_EQ3_COUNT_2[[#This Row],[ID MATERIAL]]="","","PZ")</f>
        <v/>
      </c>
      <c r="H2817" s="7" t="str">
        <f>IF(Plantilla_SCAN_EQ3_COUNT_2[[#This Row],[ID MATERIAL]]="","",$B$13)</f>
        <v/>
      </c>
      <c r="I2817" s="7" t="str">
        <f>IF(Plantilla_SCAN_EQ3_COUNT_2[[#This Row],[ID MATERIAL]]="","","Segundo Conteo")</f>
        <v/>
      </c>
    </row>
    <row r="2818" spans="1:9" s="7" customFormat="1" ht="15" x14ac:dyDescent="0.2">
      <c r="A2818" s="7" t="str">
        <f>IF(Plantilla_SCAN_EQ3_COUNT_2[[#This Row],[ID MATERIAL]]="","",SIGN(Plantilla_SCAN_EQ3_COUNT_2[[#This Row],[Cantidad]])+A2817)</f>
        <v/>
      </c>
      <c r="B2818" s="21" t="str">
        <f>IF(Plantilla_SCAN_EQ3_COUNT_2[[#This Row],[ID MATERIAL]]="","",B2817)</f>
        <v/>
      </c>
      <c r="C2818" s="21"/>
      <c r="D2818" s="21"/>
      <c r="E2818" s="7" t="str">
        <f>IF(Plantilla_SCAN_EQ3_COUNT_2[[#This Row],[ID MATERIAL]]="","",VLOOKUP(Plantilla_SCAN_EQ3_COUNT_2[[#This Row],[ID MATERIAL]],INVENTARIO!$A:$D,2,FALSE))</f>
        <v/>
      </c>
      <c r="F2818" s="7" t="str">
        <f>IF(Plantilla_SCAN_EQ3_COUNT_2[[#This Row],[ID MATERIAL]]="","",IF(Plantilla_SCAN_EQ3_COUNT_2[[#This Row],[No. Empaques]]="",1,Plantilla_SCAN_EQ3_COUNT_2[[#This Row],[No. Empaques]]*1))</f>
        <v/>
      </c>
      <c r="G2818" s="7" t="str">
        <f>IF(Plantilla_SCAN_EQ3_COUNT_2[[#This Row],[ID MATERIAL]]="","","PZ")</f>
        <v/>
      </c>
      <c r="H2818" s="7" t="str">
        <f>IF(Plantilla_SCAN_EQ3_COUNT_2[[#This Row],[ID MATERIAL]]="","",$B$13)</f>
        <v/>
      </c>
      <c r="I2818" s="7" t="str">
        <f>IF(Plantilla_SCAN_EQ3_COUNT_2[[#This Row],[ID MATERIAL]]="","","Segundo Conteo")</f>
        <v/>
      </c>
    </row>
    <row r="2819" spans="1:9" s="7" customFormat="1" ht="15" x14ac:dyDescent="0.2">
      <c r="A2819" s="7" t="str">
        <f>IF(Plantilla_SCAN_EQ3_COUNT_2[[#This Row],[ID MATERIAL]]="","",SIGN(Plantilla_SCAN_EQ3_COUNT_2[[#This Row],[Cantidad]])+A2818)</f>
        <v/>
      </c>
      <c r="B2819" s="21" t="str">
        <f>IF(Plantilla_SCAN_EQ3_COUNT_2[[#This Row],[ID MATERIAL]]="","",B2818)</f>
        <v/>
      </c>
      <c r="C2819" s="21"/>
      <c r="D2819" s="21"/>
      <c r="E2819" s="7" t="str">
        <f>IF(Plantilla_SCAN_EQ3_COUNT_2[[#This Row],[ID MATERIAL]]="","",VLOOKUP(Plantilla_SCAN_EQ3_COUNT_2[[#This Row],[ID MATERIAL]],INVENTARIO!$A:$D,2,FALSE))</f>
        <v/>
      </c>
      <c r="F2819" s="7" t="str">
        <f>IF(Plantilla_SCAN_EQ3_COUNT_2[[#This Row],[ID MATERIAL]]="","",IF(Plantilla_SCAN_EQ3_COUNT_2[[#This Row],[No. Empaques]]="",1,Plantilla_SCAN_EQ3_COUNT_2[[#This Row],[No. Empaques]]*1))</f>
        <v/>
      </c>
      <c r="G2819" s="7" t="str">
        <f>IF(Plantilla_SCAN_EQ3_COUNT_2[[#This Row],[ID MATERIAL]]="","","PZ")</f>
        <v/>
      </c>
      <c r="H2819" s="7" t="str">
        <f>IF(Plantilla_SCAN_EQ3_COUNT_2[[#This Row],[ID MATERIAL]]="","",$B$13)</f>
        <v/>
      </c>
      <c r="I2819" s="7" t="str">
        <f>IF(Plantilla_SCAN_EQ3_COUNT_2[[#This Row],[ID MATERIAL]]="","","Segundo Conteo")</f>
        <v/>
      </c>
    </row>
    <row r="2820" spans="1:9" s="7" customFormat="1" ht="15" x14ac:dyDescent="0.2">
      <c r="A2820" s="7" t="str">
        <f>IF(Plantilla_SCAN_EQ3_COUNT_2[[#This Row],[ID MATERIAL]]="","",SIGN(Plantilla_SCAN_EQ3_COUNT_2[[#This Row],[Cantidad]])+A2819)</f>
        <v/>
      </c>
      <c r="B2820" s="21" t="str">
        <f>IF(Plantilla_SCAN_EQ3_COUNT_2[[#This Row],[ID MATERIAL]]="","",B2819)</f>
        <v/>
      </c>
      <c r="C2820" s="21"/>
      <c r="D2820" s="21"/>
      <c r="E2820" s="7" t="str">
        <f>IF(Plantilla_SCAN_EQ3_COUNT_2[[#This Row],[ID MATERIAL]]="","",VLOOKUP(Plantilla_SCAN_EQ3_COUNT_2[[#This Row],[ID MATERIAL]],INVENTARIO!$A:$D,2,FALSE))</f>
        <v/>
      </c>
      <c r="F2820" s="7" t="str">
        <f>IF(Plantilla_SCAN_EQ3_COUNT_2[[#This Row],[ID MATERIAL]]="","",IF(Plantilla_SCAN_EQ3_COUNT_2[[#This Row],[No. Empaques]]="",1,Plantilla_SCAN_EQ3_COUNT_2[[#This Row],[No. Empaques]]*1))</f>
        <v/>
      </c>
      <c r="G2820" s="7" t="str">
        <f>IF(Plantilla_SCAN_EQ3_COUNT_2[[#This Row],[ID MATERIAL]]="","","PZ")</f>
        <v/>
      </c>
      <c r="H2820" s="7" t="str">
        <f>IF(Plantilla_SCAN_EQ3_COUNT_2[[#This Row],[ID MATERIAL]]="","",$B$13)</f>
        <v/>
      </c>
      <c r="I2820" s="7" t="str">
        <f>IF(Plantilla_SCAN_EQ3_COUNT_2[[#This Row],[ID MATERIAL]]="","","Segundo Conteo")</f>
        <v/>
      </c>
    </row>
    <row r="2821" spans="1:9" s="7" customFormat="1" ht="15" x14ac:dyDescent="0.2">
      <c r="A2821" s="7" t="str">
        <f>IF(Plantilla_SCAN_EQ3_COUNT_2[[#This Row],[ID MATERIAL]]="","",SIGN(Plantilla_SCAN_EQ3_COUNT_2[[#This Row],[Cantidad]])+A2820)</f>
        <v/>
      </c>
      <c r="B2821" s="21" t="str">
        <f>IF(Plantilla_SCAN_EQ3_COUNT_2[[#This Row],[ID MATERIAL]]="","",B2820)</f>
        <v/>
      </c>
      <c r="C2821" s="21"/>
      <c r="D2821" s="21"/>
      <c r="E2821" s="7" t="str">
        <f>IF(Plantilla_SCAN_EQ3_COUNT_2[[#This Row],[ID MATERIAL]]="","",VLOOKUP(Plantilla_SCAN_EQ3_COUNT_2[[#This Row],[ID MATERIAL]],INVENTARIO!$A:$D,2,FALSE))</f>
        <v/>
      </c>
      <c r="F2821" s="7" t="str">
        <f>IF(Plantilla_SCAN_EQ3_COUNT_2[[#This Row],[ID MATERIAL]]="","",IF(Plantilla_SCAN_EQ3_COUNT_2[[#This Row],[No. Empaques]]="",1,Plantilla_SCAN_EQ3_COUNT_2[[#This Row],[No. Empaques]]*1))</f>
        <v/>
      </c>
      <c r="G2821" s="7" t="str">
        <f>IF(Plantilla_SCAN_EQ3_COUNT_2[[#This Row],[ID MATERIAL]]="","","PZ")</f>
        <v/>
      </c>
      <c r="H2821" s="7" t="str">
        <f>IF(Plantilla_SCAN_EQ3_COUNT_2[[#This Row],[ID MATERIAL]]="","",$B$13)</f>
        <v/>
      </c>
      <c r="I2821" s="7" t="str">
        <f>IF(Plantilla_SCAN_EQ3_COUNT_2[[#This Row],[ID MATERIAL]]="","","Segundo Conteo")</f>
        <v/>
      </c>
    </row>
    <row r="2822" spans="1:9" s="7" customFormat="1" ht="15" x14ac:dyDescent="0.2">
      <c r="A2822" s="7" t="str">
        <f>IF(Plantilla_SCAN_EQ3_COUNT_2[[#This Row],[ID MATERIAL]]="","",SIGN(Plantilla_SCAN_EQ3_COUNT_2[[#This Row],[Cantidad]])+A2821)</f>
        <v/>
      </c>
      <c r="B2822" s="21" t="str">
        <f>IF(Plantilla_SCAN_EQ3_COUNT_2[[#This Row],[ID MATERIAL]]="","",B2821)</f>
        <v/>
      </c>
      <c r="C2822" s="21"/>
      <c r="D2822" s="21"/>
      <c r="E2822" s="7" t="str">
        <f>IF(Plantilla_SCAN_EQ3_COUNT_2[[#This Row],[ID MATERIAL]]="","",VLOOKUP(Plantilla_SCAN_EQ3_COUNT_2[[#This Row],[ID MATERIAL]],INVENTARIO!$A:$D,2,FALSE))</f>
        <v/>
      </c>
      <c r="F2822" s="7" t="str">
        <f>IF(Plantilla_SCAN_EQ3_COUNT_2[[#This Row],[ID MATERIAL]]="","",IF(Plantilla_SCAN_EQ3_COUNT_2[[#This Row],[No. Empaques]]="",1,Plantilla_SCAN_EQ3_COUNT_2[[#This Row],[No. Empaques]]*1))</f>
        <v/>
      </c>
      <c r="G2822" s="7" t="str">
        <f>IF(Plantilla_SCAN_EQ3_COUNT_2[[#This Row],[ID MATERIAL]]="","","PZ")</f>
        <v/>
      </c>
      <c r="H2822" s="7" t="str">
        <f>IF(Plantilla_SCAN_EQ3_COUNT_2[[#This Row],[ID MATERIAL]]="","",$B$13)</f>
        <v/>
      </c>
      <c r="I2822" s="7" t="str">
        <f>IF(Plantilla_SCAN_EQ3_COUNT_2[[#This Row],[ID MATERIAL]]="","","Segundo Conteo")</f>
        <v/>
      </c>
    </row>
    <row r="2823" spans="1:9" s="7" customFormat="1" ht="15" x14ac:dyDescent="0.2">
      <c r="A2823" s="7" t="str">
        <f>IF(Plantilla_SCAN_EQ3_COUNT_2[[#This Row],[ID MATERIAL]]="","",SIGN(Plantilla_SCAN_EQ3_COUNT_2[[#This Row],[Cantidad]])+A2822)</f>
        <v/>
      </c>
      <c r="B2823" s="21" t="str">
        <f>IF(Plantilla_SCAN_EQ3_COUNT_2[[#This Row],[ID MATERIAL]]="","",B2822)</f>
        <v/>
      </c>
      <c r="C2823" s="21"/>
      <c r="D2823" s="21"/>
      <c r="E2823" s="7" t="str">
        <f>IF(Plantilla_SCAN_EQ3_COUNT_2[[#This Row],[ID MATERIAL]]="","",VLOOKUP(Plantilla_SCAN_EQ3_COUNT_2[[#This Row],[ID MATERIAL]],INVENTARIO!$A:$D,2,FALSE))</f>
        <v/>
      </c>
      <c r="F2823" s="7" t="str">
        <f>IF(Plantilla_SCAN_EQ3_COUNT_2[[#This Row],[ID MATERIAL]]="","",IF(Plantilla_SCAN_EQ3_COUNT_2[[#This Row],[No. Empaques]]="",1,Plantilla_SCAN_EQ3_COUNT_2[[#This Row],[No. Empaques]]*1))</f>
        <v/>
      </c>
      <c r="G2823" s="7" t="str">
        <f>IF(Plantilla_SCAN_EQ3_COUNT_2[[#This Row],[ID MATERIAL]]="","","PZ")</f>
        <v/>
      </c>
      <c r="H2823" s="7" t="str">
        <f>IF(Plantilla_SCAN_EQ3_COUNT_2[[#This Row],[ID MATERIAL]]="","",$B$13)</f>
        <v/>
      </c>
      <c r="I2823" s="7" t="str">
        <f>IF(Plantilla_SCAN_EQ3_COUNT_2[[#This Row],[ID MATERIAL]]="","","Segundo Conteo")</f>
        <v/>
      </c>
    </row>
    <row r="2824" spans="1:9" s="7" customFormat="1" ht="15" x14ac:dyDescent="0.2">
      <c r="A2824" s="7" t="str">
        <f>IF(Plantilla_SCAN_EQ3_COUNT_2[[#This Row],[ID MATERIAL]]="","",SIGN(Plantilla_SCAN_EQ3_COUNT_2[[#This Row],[Cantidad]])+A2823)</f>
        <v/>
      </c>
      <c r="B2824" s="21" t="str">
        <f>IF(Plantilla_SCAN_EQ3_COUNT_2[[#This Row],[ID MATERIAL]]="","",B2823)</f>
        <v/>
      </c>
      <c r="C2824" s="21"/>
      <c r="D2824" s="21"/>
      <c r="E2824" s="7" t="str">
        <f>IF(Plantilla_SCAN_EQ3_COUNT_2[[#This Row],[ID MATERIAL]]="","",VLOOKUP(Plantilla_SCAN_EQ3_COUNT_2[[#This Row],[ID MATERIAL]],INVENTARIO!$A:$D,2,FALSE))</f>
        <v/>
      </c>
      <c r="F2824" s="7" t="str">
        <f>IF(Plantilla_SCAN_EQ3_COUNT_2[[#This Row],[ID MATERIAL]]="","",IF(Plantilla_SCAN_EQ3_COUNT_2[[#This Row],[No. Empaques]]="",1,Plantilla_SCAN_EQ3_COUNT_2[[#This Row],[No. Empaques]]*1))</f>
        <v/>
      </c>
      <c r="G2824" s="7" t="str">
        <f>IF(Plantilla_SCAN_EQ3_COUNT_2[[#This Row],[ID MATERIAL]]="","","PZ")</f>
        <v/>
      </c>
      <c r="H2824" s="7" t="str">
        <f>IF(Plantilla_SCAN_EQ3_COUNT_2[[#This Row],[ID MATERIAL]]="","",$B$13)</f>
        <v/>
      </c>
      <c r="I2824" s="7" t="str">
        <f>IF(Plantilla_SCAN_EQ3_COUNT_2[[#This Row],[ID MATERIAL]]="","","Segundo Conteo")</f>
        <v/>
      </c>
    </row>
    <row r="2825" spans="1:9" s="7" customFormat="1" ht="15" x14ac:dyDescent="0.2">
      <c r="A2825" s="7" t="str">
        <f>IF(Plantilla_SCAN_EQ3_COUNT_2[[#This Row],[ID MATERIAL]]="","",SIGN(Plantilla_SCAN_EQ3_COUNT_2[[#This Row],[Cantidad]])+A2824)</f>
        <v/>
      </c>
      <c r="B2825" s="21" t="str">
        <f>IF(Plantilla_SCAN_EQ3_COUNT_2[[#This Row],[ID MATERIAL]]="","",B2824)</f>
        <v/>
      </c>
      <c r="C2825" s="21"/>
      <c r="D2825" s="21"/>
      <c r="E2825" s="7" t="str">
        <f>IF(Plantilla_SCAN_EQ3_COUNT_2[[#This Row],[ID MATERIAL]]="","",VLOOKUP(Plantilla_SCAN_EQ3_COUNT_2[[#This Row],[ID MATERIAL]],INVENTARIO!$A:$D,2,FALSE))</f>
        <v/>
      </c>
      <c r="F2825" s="7" t="str">
        <f>IF(Plantilla_SCAN_EQ3_COUNT_2[[#This Row],[ID MATERIAL]]="","",IF(Plantilla_SCAN_EQ3_COUNT_2[[#This Row],[No. Empaques]]="",1,Plantilla_SCAN_EQ3_COUNT_2[[#This Row],[No. Empaques]]*1))</f>
        <v/>
      </c>
      <c r="G2825" s="7" t="str">
        <f>IF(Plantilla_SCAN_EQ3_COUNT_2[[#This Row],[ID MATERIAL]]="","","PZ")</f>
        <v/>
      </c>
      <c r="H2825" s="7" t="str">
        <f>IF(Plantilla_SCAN_EQ3_COUNT_2[[#This Row],[ID MATERIAL]]="","",$B$13)</f>
        <v/>
      </c>
      <c r="I2825" s="7" t="str">
        <f>IF(Plantilla_SCAN_EQ3_COUNT_2[[#This Row],[ID MATERIAL]]="","","Segundo Conteo")</f>
        <v/>
      </c>
    </row>
    <row r="2826" spans="1:9" s="7" customFormat="1" ht="15" x14ac:dyDescent="0.2">
      <c r="A2826" s="7" t="str">
        <f>IF(Plantilla_SCAN_EQ3_COUNT_2[[#This Row],[ID MATERIAL]]="","",SIGN(Plantilla_SCAN_EQ3_COUNT_2[[#This Row],[Cantidad]])+A2825)</f>
        <v/>
      </c>
      <c r="B2826" s="21" t="str">
        <f>IF(Plantilla_SCAN_EQ3_COUNT_2[[#This Row],[ID MATERIAL]]="","",B2825)</f>
        <v/>
      </c>
      <c r="C2826" s="21"/>
      <c r="D2826" s="21"/>
      <c r="E2826" s="7" t="str">
        <f>IF(Plantilla_SCAN_EQ3_COUNT_2[[#This Row],[ID MATERIAL]]="","",VLOOKUP(Plantilla_SCAN_EQ3_COUNT_2[[#This Row],[ID MATERIAL]],INVENTARIO!$A:$D,2,FALSE))</f>
        <v/>
      </c>
      <c r="F2826" s="7" t="str">
        <f>IF(Plantilla_SCAN_EQ3_COUNT_2[[#This Row],[ID MATERIAL]]="","",IF(Plantilla_SCAN_EQ3_COUNT_2[[#This Row],[No. Empaques]]="",1,Plantilla_SCAN_EQ3_COUNT_2[[#This Row],[No. Empaques]]*1))</f>
        <v/>
      </c>
      <c r="G2826" s="7" t="str">
        <f>IF(Plantilla_SCAN_EQ3_COUNT_2[[#This Row],[ID MATERIAL]]="","","PZ")</f>
        <v/>
      </c>
      <c r="H2826" s="7" t="str">
        <f>IF(Plantilla_SCAN_EQ3_COUNT_2[[#This Row],[ID MATERIAL]]="","",$B$13)</f>
        <v/>
      </c>
      <c r="I2826" s="7" t="str">
        <f>IF(Plantilla_SCAN_EQ3_COUNT_2[[#This Row],[ID MATERIAL]]="","","Segundo Conteo")</f>
        <v/>
      </c>
    </row>
    <row r="2827" spans="1:9" s="7" customFormat="1" ht="15" x14ac:dyDescent="0.2">
      <c r="A2827" s="7" t="str">
        <f>IF(Plantilla_SCAN_EQ3_COUNT_2[[#This Row],[ID MATERIAL]]="","",SIGN(Plantilla_SCAN_EQ3_COUNT_2[[#This Row],[Cantidad]])+A2826)</f>
        <v/>
      </c>
      <c r="B2827" s="21" t="str">
        <f>IF(Plantilla_SCAN_EQ3_COUNT_2[[#This Row],[ID MATERIAL]]="","",B2826)</f>
        <v/>
      </c>
      <c r="C2827" s="21"/>
      <c r="D2827" s="21"/>
      <c r="E2827" s="7" t="str">
        <f>IF(Plantilla_SCAN_EQ3_COUNT_2[[#This Row],[ID MATERIAL]]="","",VLOOKUP(Plantilla_SCAN_EQ3_COUNT_2[[#This Row],[ID MATERIAL]],INVENTARIO!$A:$D,2,FALSE))</f>
        <v/>
      </c>
      <c r="F2827" s="7" t="str">
        <f>IF(Plantilla_SCAN_EQ3_COUNT_2[[#This Row],[ID MATERIAL]]="","",IF(Plantilla_SCAN_EQ3_COUNT_2[[#This Row],[No. Empaques]]="",1,Plantilla_SCAN_EQ3_COUNT_2[[#This Row],[No. Empaques]]*1))</f>
        <v/>
      </c>
      <c r="G2827" s="7" t="str">
        <f>IF(Plantilla_SCAN_EQ3_COUNT_2[[#This Row],[ID MATERIAL]]="","","PZ")</f>
        <v/>
      </c>
      <c r="H2827" s="7" t="str">
        <f>IF(Plantilla_SCAN_EQ3_COUNT_2[[#This Row],[ID MATERIAL]]="","",$B$13)</f>
        <v/>
      </c>
      <c r="I2827" s="7" t="str">
        <f>IF(Plantilla_SCAN_EQ3_COUNT_2[[#This Row],[ID MATERIAL]]="","","Segundo Conteo")</f>
        <v/>
      </c>
    </row>
    <row r="2828" spans="1:9" s="7" customFormat="1" ht="15" x14ac:dyDescent="0.2">
      <c r="A2828" s="7" t="str">
        <f>IF(Plantilla_SCAN_EQ3_COUNT_2[[#This Row],[ID MATERIAL]]="","",SIGN(Plantilla_SCAN_EQ3_COUNT_2[[#This Row],[Cantidad]])+A2827)</f>
        <v/>
      </c>
      <c r="B2828" s="21" t="str">
        <f>IF(Plantilla_SCAN_EQ3_COUNT_2[[#This Row],[ID MATERIAL]]="","",B2827)</f>
        <v/>
      </c>
      <c r="C2828" s="21"/>
      <c r="D2828" s="21"/>
      <c r="E2828" s="7" t="str">
        <f>IF(Plantilla_SCAN_EQ3_COUNT_2[[#This Row],[ID MATERIAL]]="","",VLOOKUP(Plantilla_SCAN_EQ3_COUNT_2[[#This Row],[ID MATERIAL]],INVENTARIO!$A:$D,2,FALSE))</f>
        <v/>
      </c>
      <c r="F2828" s="7" t="str">
        <f>IF(Plantilla_SCAN_EQ3_COUNT_2[[#This Row],[ID MATERIAL]]="","",IF(Plantilla_SCAN_EQ3_COUNT_2[[#This Row],[No. Empaques]]="",1,Plantilla_SCAN_EQ3_COUNT_2[[#This Row],[No. Empaques]]*1))</f>
        <v/>
      </c>
      <c r="G2828" s="7" t="str">
        <f>IF(Plantilla_SCAN_EQ3_COUNT_2[[#This Row],[ID MATERIAL]]="","","PZ")</f>
        <v/>
      </c>
      <c r="H2828" s="7" t="str">
        <f>IF(Plantilla_SCAN_EQ3_COUNT_2[[#This Row],[ID MATERIAL]]="","",$B$13)</f>
        <v/>
      </c>
      <c r="I2828" s="7" t="str">
        <f>IF(Plantilla_SCAN_EQ3_COUNT_2[[#This Row],[ID MATERIAL]]="","","Segundo Conteo")</f>
        <v/>
      </c>
    </row>
    <row r="2829" spans="1:9" s="7" customFormat="1" ht="15" x14ac:dyDescent="0.2">
      <c r="A2829" s="7" t="str">
        <f>IF(Plantilla_SCAN_EQ3_COUNT_2[[#This Row],[ID MATERIAL]]="","",SIGN(Plantilla_SCAN_EQ3_COUNT_2[[#This Row],[Cantidad]])+A2828)</f>
        <v/>
      </c>
      <c r="B2829" s="21" t="str">
        <f>IF(Plantilla_SCAN_EQ3_COUNT_2[[#This Row],[ID MATERIAL]]="","",B2828)</f>
        <v/>
      </c>
      <c r="C2829" s="21"/>
      <c r="D2829" s="21"/>
      <c r="E2829" s="7" t="str">
        <f>IF(Plantilla_SCAN_EQ3_COUNT_2[[#This Row],[ID MATERIAL]]="","",VLOOKUP(Plantilla_SCAN_EQ3_COUNT_2[[#This Row],[ID MATERIAL]],INVENTARIO!$A:$D,2,FALSE))</f>
        <v/>
      </c>
      <c r="F2829" s="7" t="str">
        <f>IF(Plantilla_SCAN_EQ3_COUNT_2[[#This Row],[ID MATERIAL]]="","",IF(Plantilla_SCAN_EQ3_COUNT_2[[#This Row],[No. Empaques]]="",1,Plantilla_SCAN_EQ3_COUNT_2[[#This Row],[No. Empaques]]*1))</f>
        <v/>
      </c>
      <c r="G2829" s="7" t="str">
        <f>IF(Plantilla_SCAN_EQ3_COUNT_2[[#This Row],[ID MATERIAL]]="","","PZ")</f>
        <v/>
      </c>
      <c r="H2829" s="7" t="str">
        <f>IF(Plantilla_SCAN_EQ3_COUNT_2[[#This Row],[ID MATERIAL]]="","",$B$13)</f>
        <v/>
      </c>
      <c r="I2829" s="7" t="str">
        <f>IF(Plantilla_SCAN_EQ3_COUNT_2[[#This Row],[ID MATERIAL]]="","","Segundo Conteo")</f>
        <v/>
      </c>
    </row>
    <row r="2830" spans="1:9" s="7" customFormat="1" ht="15" x14ac:dyDescent="0.2">
      <c r="A2830" s="7" t="str">
        <f>IF(Plantilla_SCAN_EQ3_COUNT_2[[#This Row],[ID MATERIAL]]="","",SIGN(Plantilla_SCAN_EQ3_COUNT_2[[#This Row],[Cantidad]])+A2829)</f>
        <v/>
      </c>
      <c r="B2830" s="21" t="str">
        <f>IF(Plantilla_SCAN_EQ3_COUNT_2[[#This Row],[ID MATERIAL]]="","",B2829)</f>
        <v/>
      </c>
      <c r="C2830" s="21"/>
      <c r="D2830" s="21"/>
      <c r="E2830" s="7" t="str">
        <f>IF(Plantilla_SCAN_EQ3_COUNT_2[[#This Row],[ID MATERIAL]]="","",VLOOKUP(Plantilla_SCAN_EQ3_COUNT_2[[#This Row],[ID MATERIAL]],INVENTARIO!$A:$D,2,FALSE))</f>
        <v/>
      </c>
      <c r="F2830" s="7" t="str">
        <f>IF(Plantilla_SCAN_EQ3_COUNT_2[[#This Row],[ID MATERIAL]]="","",IF(Plantilla_SCAN_EQ3_COUNT_2[[#This Row],[No. Empaques]]="",1,Plantilla_SCAN_EQ3_COUNT_2[[#This Row],[No. Empaques]]*1))</f>
        <v/>
      </c>
      <c r="G2830" s="7" t="str">
        <f>IF(Plantilla_SCAN_EQ3_COUNT_2[[#This Row],[ID MATERIAL]]="","","PZ")</f>
        <v/>
      </c>
      <c r="H2830" s="7" t="str">
        <f>IF(Plantilla_SCAN_EQ3_COUNT_2[[#This Row],[ID MATERIAL]]="","",$B$13)</f>
        <v/>
      </c>
      <c r="I2830" s="7" t="str">
        <f>IF(Plantilla_SCAN_EQ3_COUNT_2[[#This Row],[ID MATERIAL]]="","","Segundo Conteo")</f>
        <v/>
      </c>
    </row>
    <row r="2831" spans="1:9" s="7" customFormat="1" ht="15" x14ac:dyDescent="0.2">
      <c r="A2831" s="7" t="str">
        <f>IF(Plantilla_SCAN_EQ3_COUNT_2[[#This Row],[ID MATERIAL]]="","",SIGN(Plantilla_SCAN_EQ3_COUNT_2[[#This Row],[Cantidad]])+A2830)</f>
        <v/>
      </c>
      <c r="B2831" s="21" t="str">
        <f>IF(Plantilla_SCAN_EQ3_COUNT_2[[#This Row],[ID MATERIAL]]="","",B2830)</f>
        <v/>
      </c>
      <c r="C2831" s="21"/>
      <c r="D2831" s="21"/>
      <c r="E2831" s="7" t="str">
        <f>IF(Plantilla_SCAN_EQ3_COUNT_2[[#This Row],[ID MATERIAL]]="","",VLOOKUP(Plantilla_SCAN_EQ3_COUNT_2[[#This Row],[ID MATERIAL]],INVENTARIO!$A:$D,2,FALSE))</f>
        <v/>
      </c>
      <c r="F2831" s="7" t="str">
        <f>IF(Plantilla_SCAN_EQ3_COUNT_2[[#This Row],[ID MATERIAL]]="","",IF(Plantilla_SCAN_EQ3_COUNT_2[[#This Row],[No. Empaques]]="",1,Plantilla_SCAN_EQ3_COUNT_2[[#This Row],[No. Empaques]]*1))</f>
        <v/>
      </c>
      <c r="G2831" s="7" t="str">
        <f>IF(Plantilla_SCAN_EQ3_COUNT_2[[#This Row],[ID MATERIAL]]="","","PZ")</f>
        <v/>
      </c>
      <c r="H2831" s="7" t="str">
        <f>IF(Plantilla_SCAN_EQ3_COUNT_2[[#This Row],[ID MATERIAL]]="","",$B$13)</f>
        <v/>
      </c>
      <c r="I2831" s="7" t="str">
        <f>IF(Plantilla_SCAN_EQ3_COUNT_2[[#This Row],[ID MATERIAL]]="","","Segundo Conteo")</f>
        <v/>
      </c>
    </row>
    <row r="2832" spans="1:9" s="7" customFormat="1" ht="15" x14ac:dyDescent="0.2">
      <c r="A2832" s="7" t="str">
        <f>IF(Plantilla_SCAN_EQ3_COUNT_2[[#This Row],[ID MATERIAL]]="","",SIGN(Plantilla_SCAN_EQ3_COUNT_2[[#This Row],[Cantidad]])+A2831)</f>
        <v/>
      </c>
      <c r="B2832" s="21" t="str">
        <f>IF(Plantilla_SCAN_EQ3_COUNT_2[[#This Row],[ID MATERIAL]]="","",B2831)</f>
        <v/>
      </c>
      <c r="C2832" s="21"/>
      <c r="D2832" s="21"/>
      <c r="E2832" s="7" t="str">
        <f>IF(Plantilla_SCAN_EQ3_COUNT_2[[#This Row],[ID MATERIAL]]="","",VLOOKUP(Plantilla_SCAN_EQ3_COUNT_2[[#This Row],[ID MATERIAL]],INVENTARIO!$A:$D,2,FALSE))</f>
        <v/>
      </c>
      <c r="F2832" s="7" t="str">
        <f>IF(Plantilla_SCAN_EQ3_COUNT_2[[#This Row],[ID MATERIAL]]="","",IF(Plantilla_SCAN_EQ3_COUNT_2[[#This Row],[No. Empaques]]="",1,Plantilla_SCAN_EQ3_COUNT_2[[#This Row],[No. Empaques]]*1))</f>
        <v/>
      </c>
      <c r="G2832" s="7" t="str">
        <f>IF(Plantilla_SCAN_EQ3_COUNT_2[[#This Row],[ID MATERIAL]]="","","PZ")</f>
        <v/>
      </c>
      <c r="H2832" s="7" t="str">
        <f>IF(Plantilla_SCAN_EQ3_COUNT_2[[#This Row],[ID MATERIAL]]="","",$B$13)</f>
        <v/>
      </c>
      <c r="I2832" s="7" t="str">
        <f>IF(Plantilla_SCAN_EQ3_COUNT_2[[#This Row],[ID MATERIAL]]="","","Segundo Conteo")</f>
        <v/>
      </c>
    </row>
    <row r="2833" spans="1:9" s="7" customFormat="1" ht="15" x14ac:dyDescent="0.2">
      <c r="A2833" s="7" t="str">
        <f>IF(Plantilla_SCAN_EQ3_COUNT_2[[#This Row],[ID MATERIAL]]="","",SIGN(Plantilla_SCAN_EQ3_COUNT_2[[#This Row],[Cantidad]])+A2832)</f>
        <v/>
      </c>
      <c r="B2833" s="21" t="str">
        <f>IF(Plantilla_SCAN_EQ3_COUNT_2[[#This Row],[ID MATERIAL]]="","",B2832)</f>
        <v/>
      </c>
      <c r="C2833" s="21"/>
      <c r="D2833" s="21"/>
      <c r="E2833" s="7" t="str">
        <f>IF(Plantilla_SCAN_EQ3_COUNT_2[[#This Row],[ID MATERIAL]]="","",VLOOKUP(Plantilla_SCAN_EQ3_COUNT_2[[#This Row],[ID MATERIAL]],INVENTARIO!$A:$D,2,FALSE))</f>
        <v/>
      </c>
      <c r="F2833" s="7" t="str">
        <f>IF(Plantilla_SCAN_EQ3_COUNT_2[[#This Row],[ID MATERIAL]]="","",IF(Plantilla_SCAN_EQ3_COUNT_2[[#This Row],[No. Empaques]]="",1,Plantilla_SCAN_EQ3_COUNT_2[[#This Row],[No. Empaques]]*1))</f>
        <v/>
      </c>
      <c r="G2833" s="7" t="str">
        <f>IF(Plantilla_SCAN_EQ3_COUNT_2[[#This Row],[ID MATERIAL]]="","","PZ")</f>
        <v/>
      </c>
      <c r="H2833" s="7" t="str">
        <f>IF(Plantilla_SCAN_EQ3_COUNT_2[[#This Row],[ID MATERIAL]]="","",$B$13)</f>
        <v/>
      </c>
      <c r="I2833" s="7" t="str">
        <f>IF(Plantilla_SCAN_EQ3_COUNT_2[[#This Row],[ID MATERIAL]]="","","Segundo Conteo")</f>
        <v/>
      </c>
    </row>
    <row r="2834" spans="1:9" s="7" customFormat="1" ht="15" x14ac:dyDescent="0.2">
      <c r="A2834" s="7" t="str">
        <f>IF(Plantilla_SCAN_EQ3_COUNT_2[[#This Row],[ID MATERIAL]]="","",SIGN(Plantilla_SCAN_EQ3_COUNT_2[[#This Row],[Cantidad]])+A2833)</f>
        <v/>
      </c>
      <c r="B2834" s="21" t="str">
        <f>IF(Plantilla_SCAN_EQ3_COUNT_2[[#This Row],[ID MATERIAL]]="","",B2833)</f>
        <v/>
      </c>
      <c r="C2834" s="21"/>
      <c r="D2834" s="21"/>
      <c r="E2834" s="7" t="str">
        <f>IF(Plantilla_SCAN_EQ3_COUNT_2[[#This Row],[ID MATERIAL]]="","",VLOOKUP(Plantilla_SCAN_EQ3_COUNT_2[[#This Row],[ID MATERIAL]],INVENTARIO!$A:$D,2,FALSE))</f>
        <v/>
      </c>
      <c r="F2834" s="7" t="str">
        <f>IF(Plantilla_SCAN_EQ3_COUNT_2[[#This Row],[ID MATERIAL]]="","",IF(Plantilla_SCAN_EQ3_COUNT_2[[#This Row],[No. Empaques]]="",1,Plantilla_SCAN_EQ3_COUNT_2[[#This Row],[No. Empaques]]*1))</f>
        <v/>
      </c>
      <c r="G2834" s="7" t="str">
        <f>IF(Plantilla_SCAN_EQ3_COUNT_2[[#This Row],[ID MATERIAL]]="","","PZ")</f>
        <v/>
      </c>
      <c r="H2834" s="7" t="str">
        <f>IF(Plantilla_SCAN_EQ3_COUNT_2[[#This Row],[ID MATERIAL]]="","",$B$13)</f>
        <v/>
      </c>
      <c r="I2834" s="7" t="str">
        <f>IF(Plantilla_SCAN_EQ3_COUNT_2[[#This Row],[ID MATERIAL]]="","","Segundo Conteo")</f>
        <v/>
      </c>
    </row>
    <row r="2835" spans="1:9" s="7" customFormat="1" ht="15" x14ac:dyDescent="0.2">
      <c r="A2835" s="7" t="str">
        <f>IF(Plantilla_SCAN_EQ3_COUNT_2[[#This Row],[ID MATERIAL]]="","",SIGN(Plantilla_SCAN_EQ3_COUNT_2[[#This Row],[Cantidad]])+A2834)</f>
        <v/>
      </c>
      <c r="B2835" s="21" t="str">
        <f>IF(Plantilla_SCAN_EQ3_COUNT_2[[#This Row],[ID MATERIAL]]="","",B2834)</f>
        <v/>
      </c>
      <c r="C2835" s="21"/>
      <c r="D2835" s="21"/>
      <c r="E2835" s="7" t="str">
        <f>IF(Plantilla_SCAN_EQ3_COUNT_2[[#This Row],[ID MATERIAL]]="","",VLOOKUP(Plantilla_SCAN_EQ3_COUNT_2[[#This Row],[ID MATERIAL]],INVENTARIO!$A:$D,2,FALSE))</f>
        <v/>
      </c>
      <c r="F2835" s="7" t="str">
        <f>IF(Plantilla_SCAN_EQ3_COUNT_2[[#This Row],[ID MATERIAL]]="","",IF(Plantilla_SCAN_EQ3_COUNT_2[[#This Row],[No. Empaques]]="",1,Plantilla_SCAN_EQ3_COUNT_2[[#This Row],[No. Empaques]]*1))</f>
        <v/>
      </c>
      <c r="G2835" s="7" t="str">
        <f>IF(Plantilla_SCAN_EQ3_COUNT_2[[#This Row],[ID MATERIAL]]="","","PZ")</f>
        <v/>
      </c>
      <c r="H2835" s="7" t="str">
        <f>IF(Plantilla_SCAN_EQ3_COUNT_2[[#This Row],[ID MATERIAL]]="","",$B$13)</f>
        <v/>
      </c>
      <c r="I2835" s="7" t="str">
        <f>IF(Plantilla_SCAN_EQ3_COUNT_2[[#This Row],[ID MATERIAL]]="","","Segundo Conteo")</f>
        <v/>
      </c>
    </row>
    <row r="2836" spans="1:9" s="7" customFormat="1" ht="15" x14ac:dyDescent="0.2">
      <c r="A2836" s="7" t="str">
        <f>IF(Plantilla_SCAN_EQ3_COUNT_2[[#This Row],[ID MATERIAL]]="","",SIGN(Plantilla_SCAN_EQ3_COUNT_2[[#This Row],[Cantidad]])+A2835)</f>
        <v/>
      </c>
      <c r="B2836" s="21" t="str">
        <f>IF(Plantilla_SCAN_EQ3_COUNT_2[[#This Row],[ID MATERIAL]]="","",B2835)</f>
        <v/>
      </c>
      <c r="C2836" s="21"/>
      <c r="D2836" s="21"/>
      <c r="E2836" s="7" t="str">
        <f>IF(Plantilla_SCAN_EQ3_COUNT_2[[#This Row],[ID MATERIAL]]="","",VLOOKUP(Plantilla_SCAN_EQ3_COUNT_2[[#This Row],[ID MATERIAL]],INVENTARIO!$A:$D,2,FALSE))</f>
        <v/>
      </c>
      <c r="F2836" s="7" t="str">
        <f>IF(Plantilla_SCAN_EQ3_COUNT_2[[#This Row],[ID MATERIAL]]="","",IF(Plantilla_SCAN_EQ3_COUNT_2[[#This Row],[No. Empaques]]="",1,Plantilla_SCAN_EQ3_COUNT_2[[#This Row],[No. Empaques]]*1))</f>
        <v/>
      </c>
      <c r="G2836" s="7" t="str">
        <f>IF(Plantilla_SCAN_EQ3_COUNT_2[[#This Row],[ID MATERIAL]]="","","PZ")</f>
        <v/>
      </c>
      <c r="H2836" s="7" t="str">
        <f>IF(Plantilla_SCAN_EQ3_COUNT_2[[#This Row],[ID MATERIAL]]="","",$B$13)</f>
        <v/>
      </c>
      <c r="I2836" s="7" t="str">
        <f>IF(Plantilla_SCAN_EQ3_COUNT_2[[#This Row],[ID MATERIAL]]="","","Segundo Conteo")</f>
        <v/>
      </c>
    </row>
    <row r="2837" spans="1:9" s="7" customFormat="1" ht="15" x14ac:dyDescent="0.2">
      <c r="A2837" s="7" t="str">
        <f>IF(Plantilla_SCAN_EQ3_COUNT_2[[#This Row],[ID MATERIAL]]="","",SIGN(Plantilla_SCAN_EQ3_COUNT_2[[#This Row],[Cantidad]])+A2836)</f>
        <v/>
      </c>
      <c r="B2837" s="21" t="str">
        <f>IF(Plantilla_SCAN_EQ3_COUNT_2[[#This Row],[ID MATERIAL]]="","",B2836)</f>
        <v/>
      </c>
      <c r="C2837" s="21"/>
      <c r="D2837" s="21"/>
      <c r="E2837" s="7" t="str">
        <f>IF(Plantilla_SCAN_EQ3_COUNT_2[[#This Row],[ID MATERIAL]]="","",VLOOKUP(Plantilla_SCAN_EQ3_COUNT_2[[#This Row],[ID MATERIAL]],INVENTARIO!$A:$D,2,FALSE))</f>
        <v/>
      </c>
      <c r="F2837" s="7" t="str">
        <f>IF(Plantilla_SCAN_EQ3_COUNT_2[[#This Row],[ID MATERIAL]]="","",IF(Plantilla_SCAN_EQ3_COUNT_2[[#This Row],[No. Empaques]]="",1,Plantilla_SCAN_EQ3_COUNT_2[[#This Row],[No. Empaques]]*1))</f>
        <v/>
      </c>
      <c r="G2837" s="7" t="str">
        <f>IF(Plantilla_SCAN_EQ3_COUNT_2[[#This Row],[ID MATERIAL]]="","","PZ")</f>
        <v/>
      </c>
      <c r="H2837" s="7" t="str">
        <f>IF(Plantilla_SCAN_EQ3_COUNT_2[[#This Row],[ID MATERIAL]]="","",$B$13)</f>
        <v/>
      </c>
      <c r="I2837" s="7" t="str">
        <f>IF(Plantilla_SCAN_EQ3_COUNT_2[[#This Row],[ID MATERIAL]]="","","Segundo Conteo")</f>
        <v/>
      </c>
    </row>
    <row r="2838" spans="1:9" s="7" customFormat="1" ht="15" x14ac:dyDescent="0.2">
      <c r="A2838" s="7" t="str">
        <f>IF(Plantilla_SCAN_EQ3_COUNT_2[[#This Row],[ID MATERIAL]]="","",SIGN(Plantilla_SCAN_EQ3_COUNT_2[[#This Row],[Cantidad]])+A2837)</f>
        <v/>
      </c>
      <c r="B2838" s="21" t="str">
        <f>IF(Plantilla_SCAN_EQ3_COUNT_2[[#This Row],[ID MATERIAL]]="","",B2837)</f>
        <v/>
      </c>
      <c r="C2838" s="21"/>
      <c r="D2838" s="21"/>
      <c r="E2838" s="7" t="str">
        <f>IF(Plantilla_SCAN_EQ3_COUNT_2[[#This Row],[ID MATERIAL]]="","",VLOOKUP(Plantilla_SCAN_EQ3_COUNT_2[[#This Row],[ID MATERIAL]],INVENTARIO!$A:$D,2,FALSE))</f>
        <v/>
      </c>
      <c r="F2838" s="7" t="str">
        <f>IF(Plantilla_SCAN_EQ3_COUNT_2[[#This Row],[ID MATERIAL]]="","",IF(Plantilla_SCAN_EQ3_COUNT_2[[#This Row],[No. Empaques]]="",1,Plantilla_SCAN_EQ3_COUNT_2[[#This Row],[No. Empaques]]*1))</f>
        <v/>
      </c>
      <c r="G2838" s="7" t="str">
        <f>IF(Plantilla_SCAN_EQ3_COUNT_2[[#This Row],[ID MATERIAL]]="","","PZ")</f>
        <v/>
      </c>
      <c r="H2838" s="7" t="str">
        <f>IF(Plantilla_SCAN_EQ3_COUNT_2[[#This Row],[ID MATERIAL]]="","",$B$13)</f>
        <v/>
      </c>
      <c r="I2838" s="7" t="str">
        <f>IF(Plantilla_SCAN_EQ3_COUNT_2[[#This Row],[ID MATERIAL]]="","","Segundo Conteo")</f>
        <v/>
      </c>
    </row>
    <row r="2839" spans="1:9" s="7" customFormat="1" ht="15" x14ac:dyDescent="0.2">
      <c r="A2839" s="7" t="str">
        <f>IF(Plantilla_SCAN_EQ3_COUNT_2[[#This Row],[ID MATERIAL]]="","",SIGN(Plantilla_SCAN_EQ3_COUNT_2[[#This Row],[Cantidad]])+A2838)</f>
        <v/>
      </c>
      <c r="B2839" s="21" t="str">
        <f>IF(Plantilla_SCAN_EQ3_COUNT_2[[#This Row],[ID MATERIAL]]="","",B2838)</f>
        <v/>
      </c>
      <c r="C2839" s="21"/>
      <c r="D2839" s="21"/>
      <c r="E2839" s="7" t="str">
        <f>IF(Plantilla_SCAN_EQ3_COUNT_2[[#This Row],[ID MATERIAL]]="","",VLOOKUP(Plantilla_SCAN_EQ3_COUNT_2[[#This Row],[ID MATERIAL]],INVENTARIO!$A:$D,2,FALSE))</f>
        <v/>
      </c>
      <c r="F2839" s="7" t="str">
        <f>IF(Plantilla_SCAN_EQ3_COUNT_2[[#This Row],[ID MATERIAL]]="","",IF(Plantilla_SCAN_EQ3_COUNT_2[[#This Row],[No. Empaques]]="",1,Plantilla_SCAN_EQ3_COUNT_2[[#This Row],[No. Empaques]]*1))</f>
        <v/>
      </c>
      <c r="G2839" s="7" t="str">
        <f>IF(Plantilla_SCAN_EQ3_COUNT_2[[#This Row],[ID MATERIAL]]="","","PZ")</f>
        <v/>
      </c>
      <c r="H2839" s="7" t="str">
        <f>IF(Plantilla_SCAN_EQ3_COUNT_2[[#This Row],[ID MATERIAL]]="","",$B$13)</f>
        <v/>
      </c>
      <c r="I2839" s="7" t="str">
        <f>IF(Plantilla_SCAN_EQ3_COUNT_2[[#This Row],[ID MATERIAL]]="","","Segundo Conteo")</f>
        <v/>
      </c>
    </row>
    <row r="2840" spans="1:9" s="7" customFormat="1" ht="15" x14ac:dyDescent="0.2">
      <c r="A2840" s="7" t="str">
        <f>IF(Plantilla_SCAN_EQ3_COUNT_2[[#This Row],[ID MATERIAL]]="","",SIGN(Plantilla_SCAN_EQ3_COUNT_2[[#This Row],[Cantidad]])+A2839)</f>
        <v/>
      </c>
      <c r="B2840" s="21" t="str">
        <f>IF(Plantilla_SCAN_EQ3_COUNT_2[[#This Row],[ID MATERIAL]]="","",B2839)</f>
        <v/>
      </c>
      <c r="C2840" s="21"/>
      <c r="D2840" s="21"/>
      <c r="E2840" s="7" t="str">
        <f>IF(Plantilla_SCAN_EQ3_COUNT_2[[#This Row],[ID MATERIAL]]="","",VLOOKUP(Plantilla_SCAN_EQ3_COUNT_2[[#This Row],[ID MATERIAL]],INVENTARIO!$A:$D,2,FALSE))</f>
        <v/>
      </c>
      <c r="F2840" s="7" t="str">
        <f>IF(Plantilla_SCAN_EQ3_COUNT_2[[#This Row],[ID MATERIAL]]="","",IF(Plantilla_SCAN_EQ3_COUNT_2[[#This Row],[No. Empaques]]="",1,Plantilla_SCAN_EQ3_COUNT_2[[#This Row],[No. Empaques]]*1))</f>
        <v/>
      </c>
      <c r="G2840" s="7" t="str">
        <f>IF(Plantilla_SCAN_EQ3_COUNT_2[[#This Row],[ID MATERIAL]]="","","PZ")</f>
        <v/>
      </c>
      <c r="H2840" s="7" t="str">
        <f>IF(Plantilla_SCAN_EQ3_COUNT_2[[#This Row],[ID MATERIAL]]="","",$B$13)</f>
        <v/>
      </c>
      <c r="I2840" s="7" t="str">
        <f>IF(Plantilla_SCAN_EQ3_COUNT_2[[#This Row],[ID MATERIAL]]="","","Segundo Conteo")</f>
        <v/>
      </c>
    </row>
    <row r="2841" spans="1:9" s="7" customFormat="1" ht="15" x14ac:dyDescent="0.2">
      <c r="A2841" s="7" t="str">
        <f>IF(Plantilla_SCAN_EQ3_COUNT_2[[#This Row],[ID MATERIAL]]="","",SIGN(Plantilla_SCAN_EQ3_COUNT_2[[#This Row],[Cantidad]])+A2840)</f>
        <v/>
      </c>
      <c r="B2841" s="21" t="str">
        <f>IF(Plantilla_SCAN_EQ3_COUNT_2[[#This Row],[ID MATERIAL]]="","",B2840)</f>
        <v/>
      </c>
      <c r="C2841" s="21"/>
      <c r="D2841" s="21"/>
      <c r="E2841" s="7" t="str">
        <f>IF(Plantilla_SCAN_EQ3_COUNT_2[[#This Row],[ID MATERIAL]]="","",VLOOKUP(Plantilla_SCAN_EQ3_COUNT_2[[#This Row],[ID MATERIAL]],INVENTARIO!$A:$D,2,FALSE))</f>
        <v/>
      </c>
      <c r="F2841" s="7" t="str">
        <f>IF(Plantilla_SCAN_EQ3_COUNT_2[[#This Row],[ID MATERIAL]]="","",IF(Plantilla_SCAN_EQ3_COUNT_2[[#This Row],[No. Empaques]]="",1,Plantilla_SCAN_EQ3_COUNT_2[[#This Row],[No. Empaques]]*1))</f>
        <v/>
      </c>
      <c r="G2841" s="7" t="str">
        <f>IF(Plantilla_SCAN_EQ3_COUNT_2[[#This Row],[ID MATERIAL]]="","","PZ")</f>
        <v/>
      </c>
      <c r="H2841" s="7" t="str">
        <f>IF(Plantilla_SCAN_EQ3_COUNT_2[[#This Row],[ID MATERIAL]]="","",$B$13)</f>
        <v/>
      </c>
      <c r="I2841" s="7" t="str">
        <f>IF(Plantilla_SCAN_EQ3_COUNT_2[[#This Row],[ID MATERIAL]]="","","Segundo Conteo")</f>
        <v/>
      </c>
    </row>
    <row r="2842" spans="1:9" s="7" customFormat="1" ht="15" x14ac:dyDescent="0.2">
      <c r="A2842" s="7" t="str">
        <f>IF(Plantilla_SCAN_EQ3_COUNT_2[[#This Row],[ID MATERIAL]]="","",SIGN(Plantilla_SCAN_EQ3_COUNT_2[[#This Row],[Cantidad]])+A2841)</f>
        <v/>
      </c>
      <c r="B2842" s="21" t="str">
        <f>IF(Plantilla_SCAN_EQ3_COUNT_2[[#This Row],[ID MATERIAL]]="","",B2841)</f>
        <v/>
      </c>
      <c r="C2842" s="21"/>
      <c r="D2842" s="21"/>
      <c r="E2842" s="7" t="str">
        <f>IF(Plantilla_SCAN_EQ3_COUNT_2[[#This Row],[ID MATERIAL]]="","",VLOOKUP(Plantilla_SCAN_EQ3_COUNT_2[[#This Row],[ID MATERIAL]],INVENTARIO!$A:$D,2,FALSE))</f>
        <v/>
      </c>
      <c r="F2842" s="7" t="str">
        <f>IF(Plantilla_SCAN_EQ3_COUNT_2[[#This Row],[ID MATERIAL]]="","",IF(Plantilla_SCAN_EQ3_COUNT_2[[#This Row],[No. Empaques]]="",1,Plantilla_SCAN_EQ3_COUNT_2[[#This Row],[No. Empaques]]*1))</f>
        <v/>
      </c>
      <c r="G2842" s="7" t="str">
        <f>IF(Plantilla_SCAN_EQ3_COUNT_2[[#This Row],[ID MATERIAL]]="","","PZ")</f>
        <v/>
      </c>
      <c r="H2842" s="7" t="str">
        <f>IF(Plantilla_SCAN_EQ3_COUNT_2[[#This Row],[ID MATERIAL]]="","",$B$13)</f>
        <v/>
      </c>
      <c r="I2842" s="7" t="str">
        <f>IF(Plantilla_SCAN_EQ3_COUNT_2[[#This Row],[ID MATERIAL]]="","","Segundo Conteo")</f>
        <v/>
      </c>
    </row>
    <row r="2843" spans="1:9" s="7" customFormat="1" ht="15" x14ac:dyDescent="0.2">
      <c r="A2843" s="7" t="str">
        <f>IF(Plantilla_SCAN_EQ3_COUNT_2[[#This Row],[ID MATERIAL]]="","",SIGN(Plantilla_SCAN_EQ3_COUNT_2[[#This Row],[Cantidad]])+A2842)</f>
        <v/>
      </c>
      <c r="B2843" s="21" t="str">
        <f>IF(Plantilla_SCAN_EQ3_COUNT_2[[#This Row],[ID MATERIAL]]="","",B2842)</f>
        <v/>
      </c>
      <c r="C2843" s="21"/>
      <c r="D2843" s="21"/>
      <c r="E2843" s="7" t="str">
        <f>IF(Plantilla_SCAN_EQ3_COUNT_2[[#This Row],[ID MATERIAL]]="","",VLOOKUP(Plantilla_SCAN_EQ3_COUNT_2[[#This Row],[ID MATERIAL]],INVENTARIO!$A:$D,2,FALSE))</f>
        <v/>
      </c>
      <c r="F2843" s="7" t="str">
        <f>IF(Plantilla_SCAN_EQ3_COUNT_2[[#This Row],[ID MATERIAL]]="","",IF(Plantilla_SCAN_EQ3_COUNT_2[[#This Row],[No. Empaques]]="",1,Plantilla_SCAN_EQ3_COUNT_2[[#This Row],[No. Empaques]]*1))</f>
        <v/>
      </c>
      <c r="G2843" s="7" t="str">
        <f>IF(Plantilla_SCAN_EQ3_COUNT_2[[#This Row],[ID MATERIAL]]="","","PZ")</f>
        <v/>
      </c>
      <c r="H2843" s="7" t="str">
        <f>IF(Plantilla_SCAN_EQ3_COUNT_2[[#This Row],[ID MATERIAL]]="","",$B$13)</f>
        <v/>
      </c>
      <c r="I2843" s="7" t="str">
        <f>IF(Plantilla_SCAN_EQ3_COUNT_2[[#This Row],[ID MATERIAL]]="","","Segundo Conteo")</f>
        <v/>
      </c>
    </row>
    <row r="2844" spans="1:9" s="7" customFormat="1" ht="15" x14ac:dyDescent="0.2">
      <c r="A2844" s="7" t="str">
        <f>IF(Plantilla_SCAN_EQ3_COUNT_2[[#This Row],[ID MATERIAL]]="","",SIGN(Plantilla_SCAN_EQ3_COUNT_2[[#This Row],[Cantidad]])+A2843)</f>
        <v/>
      </c>
      <c r="B2844" s="21" t="str">
        <f>IF(Plantilla_SCAN_EQ3_COUNT_2[[#This Row],[ID MATERIAL]]="","",B2843)</f>
        <v/>
      </c>
      <c r="C2844" s="21"/>
      <c r="D2844" s="21"/>
      <c r="E2844" s="7" t="str">
        <f>IF(Plantilla_SCAN_EQ3_COUNT_2[[#This Row],[ID MATERIAL]]="","",VLOOKUP(Plantilla_SCAN_EQ3_COUNT_2[[#This Row],[ID MATERIAL]],INVENTARIO!$A:$D,2,FALSE))</f>
        <v/>
      </c>
      <c r="F2844" s="7" t="str">
        <f>IF(Plantilla_SCAN_EQ3_COUNT_2[[#This Row],[ID MATERIAL]]="","",IF(Plantilla_SCAN_EQ3_COUNT_2[[#This Row],[No. Empaques]]="",1,Plantilla_SCAN_EQ3_COUNT_2[[#This Row],[No. Empaques]]*1))</f>
        <v/>
      </c>
      <c r="G2844" s="7" t="str">
        <f>IF(Plantilla_SCAN_EQ3_COUNT_2[[#This Row],[ID MATERIAL]]="","","PZ")</f>
        <v/>
      </c>
      <c r="H2844" s="7" t="str">
        <f>IF(Plantilla_SCAN_EQ3_COUNT_2[[#This Row],[ID MATERIAL]]="","",$B$13)</f>
        <v/>
      </c>
      <c r="I2844" s="7" t="str">
        <f>IF(Plantilla_SCAN_EQ3_COUNT_2[[#This Row],[ID MATERIAL]]="","","Segundo Conteo")</f>
        <v/>
      </c>
    </row>
    <row r="2845" spans="1:9" s="7" customFormat="1" ht="15" x14ac:dyDescent="0.2">
      <c r="A2845" s="7" t="str">
        <f>IF(Plantilla_SCAN_EQ3_COUNT_2[[#This Row],[ID MATERIAL]]="","",SIGN(Plantilla_SCAN_EQ3_COUNT_2[[#This Row],[Cantidad]])+A2844)</f>
        <v/>
      </c>
      <c r="B2845" s="21" t="str">
        <f>IF(Plantilla_SCAN_EQ3_COUNT_2[[#This Row],[ID MATERIAL]]="","",B2844)</f>
        <v/>
      </c>
      <c r="C2845" s="21"/>
      <c r="D2845" s="21"/>
      <c r="E2845" s="7" t="str">
        <f>IF(Plantilla_SCAN_EQ3_COUNT_2[[#This Row],[ID MATERIAL]]="","",VLOOKUP(Plantilla_SCAN_EQ3_COUNT_2[[#This Row],[ID MATERIAL]],INVENTARIO!$A:$D,2,FALSE))</f>
        <v/>
      </c>
      <c r="F2845" s="7" t="str">
        <f>IF(Plantilla_SCAN_EQ3_COUNT_2[[#This Row],[ID MATERIAL]]="","",IF(Plantilla_SCAN_EQ3_COUNT_2[[#This Row],[No. Empaques]]="",1,Plantilla_SCAN_EQ3_COUNT_2[[#This Row],[No. Empaques]]*1))</f>
        <v/>
      </c>
      <c r="G2845" s="7" t="str">
        <f>IF(Plantilla_SCAN_EQ3_COUNT_2[[#This Row],[ID MATERIAL]]="","","PZ")</f>
        <v/>
      </c>
      <c r="H2845" s="7" t="str">
        <f>IF(Plantilla_SCAN_EQ3_COUNT_2[[#This Row],[ID MATERIAL]]="","",$B$13)</f>
        <v/>
      </c>
      <c r="I2845" s="7" t="str">
        <f>IF(Plantilla_SCAN_EQ3_COUNT_2[[#This Row],[ID MATERIAL]]="","","Segundo Conteo")</f>
        <v/>
      </c>
    </row>
    <row r="2846" spans="1:9" s="7" customFormat="1" ht="15" x14ac:dyDescent="0.2">
      <c r="A2846" s="7" t="str">
        <f>IF(Plantilla_SCAN_EQ3_COUNT_2[[#This Row],[ID MATERIAL]]="","",SIGN(Plantilla_SCAN_EQ3_COUNT_2[[#This Row],[Cantidad]])+A2845)</f>
        <v/>
      </c>
      <c r="B2846" s="21" t="str">
        <f>IF(Plantilla_SCAN_EQ3_COUNT_2[[#This Row],[ID MATERIAL]]="","",B2845)</f>
        <v/>
      </c>
      <c r="C2846" s="21"/>
      <c r="D2846" s="21"/>
      <c r="E2846" s="7" t="str">
        <f>IF(Plantilla_SCAN_EQ3_COUNT_2[[#This Row],[ID MATERIAL]]="","",VLOOKUP(Plantilla_SCAN_EQ3_COUNT_2[[#This Row],[ID MATERIAL]],INVENTARIO!$A:$D,2,FALSE))</f>
        <v/>
      </c>
      <c r="F2846" s="7" t="str">
        <f>IF(Plantilla_SCAN_EQ3_COUNT_2[[#This Row],[ID MATERIAL]]="","",IF(Plantilla_SCAN_EQ3_COUNT_2[[#This Row],[No. Empaques]]="",1,Plantilla_SCAN_EQ3_COUNT_2[[#This Row],[No. Empaques]]*1))</f>
        <v/>
      </c>
      <c r="G2846" s="7" t="str">
        <f>IF(Plantilla_SCAN_EQ3_COUNT_2[[#This Row],[ID MATERIAL]]="","","PZ")</f>
        <v/>
      </c>
      <c r="H2846" s="7" t="str">
        <f>IF(Plantilla_SCAN_EQ3_COUNT_2[[#This Row],[ID MATERIAL]]="","",$B$13)</f>
        <v/>
      </c>
      <c r="I2846" s="7" t="str">
        <f>IF(Plantilla_SCAN_EQ3_COUNT_2[[#This Row],[ID MATERIAL]]="","","Segundo Conteo")</f>
        <v/>
      </c>
    </row>
    <row r="2847" spans="1:9" s="7" customFormat="1" ht="15" x14ac:dyDescent="0.2">
      <c r="A2847" s="7" t="str">
        <f>IF(Plantilla_SCAN_EQ3_COUNT_2[[#This Row],[ID MATERIAL]]="","",SIGN(Plantilla_SCAN_EQ3_COUNT_2[[#This Row],[Cantidad]])+A2846)</f>
        <v/>
      </c>
      <c r="B2847" s="21" t="str">
        <f>IF(Plantilla_SCAN_EQ3_COUNT_2[[#This Row],[ID MATERIAL]]="","",B2846)</f>
        <v/>
      </c>
      <c r="C2847" s="21"/>
      <c r="D2847" s="21"/>
      <c r="E2847" s="7" t="str">
        <f>IF(Plantilla_SCAN_EQ3_COUNT_2[[#This Row],[ID MATERIAL]]="","",VLOOKUP(Plantilla_SCAN_EQ3_COUNT_2[[#This Row],[ID MATERIAL]],INVENTARIO!$A:$D,2,FALSE))</f>
        <v/>
      </c>
      <c r="F2847" s="7" t="str">
        <f>IF(Plantilla_SCAN_EQ3_COUNT_2[[#This Row],[ID MATERIAL]]="","",IF(Plantilla_SCAN_EQ3_COUNT_2[[#This Row],[No. Empaques]]="",1,Plantilla_SCAN_EQ3_COUNT_2[[#This Row],[No. Empaques]]*1))</f>
        <v/>
      </c>
      <c r="G2847" s="7" t="str">
        <f>IF(Plantilla_SCAN_EQ3_COUNT_2[[#This Row],[ID MATERIAL]]="","","PZ")</f>
        <v/>
      </c>
      <c r="H2847" s="7" t="str">
        <f>IF(Plantilla_SCAN_EQ3_COUNT_2[[#This Row],[ID MATERIAL]]="","",$B$13)</f>
        <v/>
      </c>
      <c r="I2847" s="7" t="str">
        <f>IF(Plantilla_SCAN_EQ3_COUNT_2[[#This Row],[ID MATERIAL]]="","","Segundo Conteo")</f>
        <v/>
      </c>
    </row>
    <row r="2848" spans="1:9" s="7" customFormat="1" ht="15" x14ac:dyDescent="0.2">
      <c r="A2848" s="7" t="str">
        <f>IF(Plantilla_SCAN_EQ3_COUNT_2[[#This Row],[ID MATERIAL]]="","",SIGN(Plantilla_SCAN_EQ3_COUNT_2[[#This Row],[Cantidad]])+A2847)</f>
        <v/>
      </c>
      <c r="B2848" s="21" t="str">
        <f>IF(Plantilla_SCAN_EQ3_COUNT_2[[#This Row],[ID MATERIAL]]="","",B2847)</f>
        <v/>
      </c>
      <c r="C2848" s="21"/>
      <c r="D2848" s="21"/>
      <c r="E2848" s="7" t="str">
        <f>IF(Plantilla_SCAN_EQ3_COUNT_2[[#This Row],[ID MATERIAL]]="","",VLOOKUP(Plantilla_SCAN_EQ3_COUNT_2[[#This Row],[ID MATERIAL]],INVENTARIO!$A:$D,2,FALSE))</f>
        <v/>
      </c>
      <c r="F2848" s="7" t="str">
        <f>IF(Plantilla_SCAN_EQ3_COUNT_2[[#This Row],[ID MATERIAL]]="","",IF(Plantilla_SCAN_EQ3_COUNT_2[[#This Row],[No. Empaques]]="",1,Plantilla_SCAN_EQ3_COUNT_2[[#This Row],[No. Empaques]]*1))</f>
        <v/>
      </c>
      <c r="G2848" s="7" t="str">
        <f>IF(Plantilla_SCAN_EQ3_COUNT_2[[#This Row],[ID MATERIAL]]="","","PZ")</f>
        <v/>
      </c>
      <c r="H2848" s="7" t="str">
        <f>IF(Plantilla_SCAN_EQ3_COUNT_2[[#This Row],[ID MATERIAL]]="","",$B$13)</f>
        <v/>
      </c>
      <c r="I2848" s="7" t="str">
        <f>IF(Plantilla_SCAN_EQ3_COUNT_2[[#This Row],[ID MATERIAL]]="","","Segundo Conteo")</f>
        <v/>
      </c>
    </row>
    <row r="2849" spans="1:9" s="7" customFormat="1" ht="15" x14ac:dyDescent="0.2">
      <c r="A2849" s="7" t="str">
        <f>IF(Plantilla_SCAN_EQ3_COUNT_2[[#This Row],[ID MATERIAL]]="","",SIGN(Plantilla_SCAN_EQ3_COUNT_2[[#This Row],[Cantidad]])+A2848)</f>
        <v/>
      </c>
      <c r="B2849" s="21" t="str">
        <f>IF(Plantilla_SCAN_EQ3_COUNT_2[[#This Row],[ID MATERIAL]]="","",B2848)</f>
        <v/>
      </c>
      <c r="C2849" s="21"/>
      <c r="D2849" s="21"/>
      <c r="E2849" s="7" t="str">
        <f>IF(Plantilla_SCAN_EQ3_COUNT_2[[#This Row],[ID MATERIAL]]="","",VLOOKUP(Plantilla_SCAN_EQ3_COUNT_2[[#This Row],[ID MATERIAL]],INVENTARIO!$A:$D,2,FALSE))</f>
        <v/>
      </c>
      <c r="F2849" s="7" t="str">
        <f>IF(Plantilla_SCAN_EQ3_COUNT_2[[#This Row],[ID MATERIAL]]="","",IF(Plantilla_SCAN_EQ3_COUNT_2[[#This Row],[No. Empaques]]="",1,Plantilla_SCAN_EQ3_COUNT_2[[#This Row],[No. Empaques]]*1))</f>
        <v/>
      </c>
      <c r="G2849" s="7" t="str">
        <f>IF(Plantilla_SCAN_EQ3_COUNT_2[[#This Row],[ID MATERIAL]]="","","PZ")</f>
        <v/>
      </c>
      <c r="H2849" s="7" t="str">
        <f>IF(Plantilla_SCAN_EQ3_COUNT_2[[#This Row],[ID MATERIAL]]="","",$B$13)</f>
        <v/>
      </c>
      <c r="I2849" s="7" t="str">
        <f>IF(Plantilla_SCAN_EQ3_COUNT_2[[#This Row],[ID MATERIAL]]="","","Segundo Conteo")</f>
        <v/>
      </c>
    </row>
    <row r="2850" spans="1:9" s="7" customFormat="1" ht="15" x14ac:dyDescent="0.2">
      <c r="A2850" s="7" t="str">
        <f>IF(Plantilla_SCAN_EQ3_COUNT_2[[#This Row],[ID MATERIAL]]="","",SIGN(Plantilla_SCAN_EQ3_COUNT_2[[#This Row],[Cantidad]])+A2849)</f>
        <v/>
      </c>
      <c r="B2850" s="21" t="str">
        <f>IF(Plantilla_SCAN_EQ3_COUNT_2[[#This Row],[ID MATERIAL]]="","",B2849)</f>
        <v/>
      </c>
      <c r="C2850" s="21"/>
      <c r="D2850" s="21"/>
      <c r="E2850" s="7" t="str">
        <f>IF(Plantilla_SCAN_EQ3_COUNT_2[[#This Row],[ID MATERIAL]]="","",VLOOKUP(Plantilla_SCAN_EQ3_COUNT_2[[#This Row],[ID MATERIAL]],INVENTARIO!$A:$D,2,FALSE))</f>
        <v/>
      </c>
      <c r="F2850" s="7" t="str">
        <f>IF(Plantilla_SCAN_EQ3_COUNT_2[[#This Row],[ID MATERIAL]]="","",IF(Plantilla_SCAN_EQ3_COUNT_2[[#This Row],[No. Empaques]]="",1,Plantilla_SCAN_EQ3_COUNT_2[[#This Row],[No. Empaques]]*1))</f>
        <v/>
      </c>
      <c r="G2850" s="7" t="str">
        <f>IF(Plantilla_SCAN_EQ3_COUNT_2[[#This Row],[ID MATERIAL]]="","","PZ")</f>
        <v/>
      </c>
      <c r="H2850" s="7" t="str">
        <f>IF(Plantilla_SCAN_EQ3_COUNT_2[[#This Row],[ID MATERIAL]]="","",$B$13)</f>
        <v/>
      </c>
      <c r="I2850" s="7" t="str">
        <f>IF(Plantilla_SCAN_EQ3_COUNT_2[[#This Row],[ID MATERIAL]]="","","Segundo Conteo")</f>
        <v/>
      </c>
    </row>
    <row r="2851" spans="1:9" s="7" customFormat="1" ht="15" x14ac:dyDescent="0.2">
      <c r="A2851" s="7" t="str">
        <f>IF(Plantilla_SCAN_EQ3_COUNT_2[[#This Row],[ID MATERIAL]]="","",SIGN(Plantilla_SCAN_EQ3_COUNT_2[[#This Row],[Cantidad]])+A2850)</f>
        <v/>
      </c>
      <c r="B2851" s="21" t="str">
        <f>IF(Plantilla_SCAN_EQ3_COUNT_2[[#This Row],[ID MATERIAL]]="","",B2850)</f>
        <v/>
      </c>
      <c r="C2851" s="21"/>
      <c r="D2851" s="21"/>
      <c r="E2851" s="7" t="str">
        <f>IF(Plantilla_SCAN_EQ3_COUNT_2[[#This Row],[ID MATERIAL]]="","",VLOOKUP(Plantilla_SCAN_EQ3_COUNT_2[[#This Row],[ID MATERIAL]],INVENTARIO!$A:$D,2,FALSE))</f>
        <v/>
      </c>
      <c r="F2851" s="7" t="str">
        <f>IF(Plantilla_SCAN_EQ3_COUNT_2[[#This Row],[ID MATERIAL]]="","",IF(Plantilla_SCAN_EQ3_COUNT_2[[#This Row],[No. Empaques]]="",1,Plantilla_SCAN_EQ3_COUNT_2[[#This Row],[No. Empaques]]*1))</f>
        <v/>
      </c>
      <c r="G2851" s="7" t="str">
        <f>IF(Plantilla_SCAN_EQ3_COUNT_2[[#This Row],[ID MATERIAL]]="","","PZ")</f>
        <v/>
      </c>
      <c r="H2851" s="7" t="str">
        <f>IF(Plantilla_SCAN_EQ3_COUNT_2[[#This Row],[ID MATERIAL]]="","",$B$13)</f>
        <v/>
      </c>
      <c r="I2851" s="7" t="str">
        <f>IF(Plantilla_SCAN_EQ3_COUNT_2[[#This Row],[ID MATERIAL]]="","","Segundo Conteo")</f>
        <v/>
      </c>
    </row>
    <row r="2852" spans="1:9" s="7" customFormat="1" ht="15" x14ac:dyDescent="0.2">
      <c r="A2852" s="7" t="str">
        <f>IF(Plantilla_SCAN_EQ3_COUNT_2[[#This Row],[ID MATERIAL]]="","",SIGN(Plantilla_SCAN_EQ3_COUNT_2[[#This Row],[Cantidad]])+A2851)</f>
        <v/>
      </c>
      <c r="B2852" s="21" t="str">
        <f>IF(Plantilla_SCAN_EQ3_COUNT_2[[#This Row],[ID MATERIAL]]="","",B2851)</f>
        <v/>
      </c>
      <c r="C2852" s="21"/>
      <c r="D2852" s="21"/>
      <c r="E2852" s="7" t="str">
        <f>IF(Plantilla_SCAN_EQ3_COUNT_2[[#This Row],[ID MATERIAL]]="","",VLOOKUP(Plantilla_SCAN_EQ3_COUNT_2[[#This Row],[ID MATERIAL]],INVENTARIO!$A:$D,2,FALSE))</f>
        <v/>
      </c>
      <c r="F2852" s="7" t="str">
        <f>IF(Plantilla_SCAN_EQ3_COUNT_2[[#This Row],[ID MATERIAL]]="","",IF(Plantilla_SCAN_EQ3_COUNT_2[[#This Row],[No. Empaques]]="",1,Plantilla_SCAN_EQ3_COUNT_2[[#This Row],[No. Empaques]]*1))</f>
        <v/>
      </c>
      <c r="G2852" s="7" t="str">
        <f>IF(Plantilla_SCAN_EQ3_COUNT_2[[#This Row],[ID MATERIAL]]="","","PZ")</f>
        <v/>
      </c>
      <c r="H2852" s="7" t="str">
        <f>IF(Plantilla_SCAN_EQ3_COUNT_2[[#This Row],[ID MATERIAL]]="","",$B$13)</f>
        <v/>
      </c>
      <c r="I2852" s="7" t="str">
        <f>IF(Plantilla_SCAN_EQ3_COUNT_2[[#This Row],[ID MATERIAL]]="","","Segundo Conteo")</f>
        <v/>
      </c>
    </row>
    <row r="2853" spans="1:9" s="7" customFormat="1" ht="15" x14ac:dyDescent="0.2">
      <c r="A2853" s="7" t="str">
        <f>IF(Plantilla_SCAN_EQ3_COUNT_2[[#This Row],[ID MATERIAL]]="","",SIGN(Plantilla_SCAN_EQ3_COUNT_2[[#This Row],[Cantidad]])+A2852)</f>
        <v/>
      </c>
      <c r="B2853" s="21" t="str">
        <f>IF(Plantilla_SCAN_EQ3_COUNT_2[[#This Row],[ID MATERIAL]]="","",B2852)</f>
        <v/>
      </c>
      <c r="C2853" s="21"/>
      <c r="D2853" s="21"/>
      <c r="E2853" s="7" t="str">
        <f>IF(Plantilla_SCAN_EQ3_COUNT_2[[#This Row],[ID MATERIAL]]="","",VLOOKUP(Plantilla_SCAN_EQ3_COUNT_2[[#This Row],[ID MATERIAL]],INVENTARIO!$A:$D,2,FALSE))</f>
        <v/>
      </c>
      <c r="F2853" s="7" t="str">
        <f>IF(Plantilla_SCAN_EQ3_COUNT_2[[#This Row],[ID MATERIAL]]="","",IF(Plantilla_SCAN_EQ3_COUNT_2[[#This Row],[No. Empaques]]="",1,Plantilla_SCAN_EQ3_COUNT_2[[#This Row],[No. Empaques]]*1))</f>
        <v/>
      </c>
      <c r="G2853" s="7" t="str">
        <f>IF(Plantilla_SCAN_EQ3_COUNT_2[[#This Row],[ID MATERIAL]]="","","PZ")</f>
        <v/>
      </c>
      <c r="H2853" s="7" t="str">
        <f>IF(Plantilla_SCAN_EQ3_COUNT_2[[#This Row],[ID MATERIAL]]="","",$B$13)</f>
        <v/>
      </c>
      <c r="I2853" s="7" t="str">
        <f>IF(Plantilla_SCAN_EQ3_COUNT_2[[#This Row],[ID MATERIAL]]="","","Segundo Conteo")</f>
        <v/>
      </c>
    </row>
    <row r="2854" spans="1:9" s="7" customFormat="1" ht="15" x14ac:dyDescent="0.2">
      <c r="A2854" s="7" t="str">
        <f>IF(Plantilla_SCAN_EQ3_COUNT_2[[#This Row],[ID MATERIAL]]="","",SIGN(Plantilla_SCAN_EQ3_COUNT_2[[#This Row],[Cantidad]])+A2853)</f>
        <v/>
      </c>
      <c r="B2854" s="21" t="str">
        <f>IF(Plantilla_SCAN_EQ3_COUNT_2[[#This Row],[ID MATERIAL]]="","",B2853)</f>
        <v/>
      </c>
      <c r="C2854" s="21"/>
      <c r="D2854" s="21"/>
      <c r="E2854" s="7" t="str">
        <f>IF(Plantilla_SCAN_EQ3_COUNT_2[[#This Row],[ID MATERIAL]]="","",VLOOKUP(Plantilla_SCAN_EQ3_COUNT_2[[#This Row],[ID MATERIAL]],INVENTARIO!$A:$D,2,FALSE))</f>
        <v/>
      </c>
      <c r="F2854" s="7" t="str">
        <f>IF(Plantilla_SCAN_EQ3_COUNT_2[[#This Row],[ID MATERIAL]]="","",IF(Plantilla_SCAN_EQ3_COUNT_2[[#This Row],[No. Empaques]]="",1,Plantilla_SCAN_EQ3_COUNT_2[[#This Row],[No. Empaques]]*1))</f>
        <v/>
      </c>
      <c r="G2854" s="7" t="str">
        <f>IF(Plantilla_SCAN_EQ3_COUNT_2[[#This Row],[ID MATERIAL]]="","","PZ")</f>
        <v/>
      </c>
      <c r="H2854" s="7" t="str">
        <f>IF(Plantilla_SCAN_EQ3_COUNT_2[[#This Row],[ID MATERIAL]]="","",$B$13)</f>
        <v/>
      </c>
      <c r="I2854" s="7" t="str">
        <f>IF(Plantilla_SCAN_EQ3_COUNT_2[[#This Row],[ID MATERIAL]]="","","Segundo Conteo")</f>
        <v/>
      </c>
    </row>
    <row r="2855" spans="1:9" s="7" customFormat="1" ht="15" x14ac:dyDescent="0.2">
      <c r="A2855" s="7" t="str">
        <f>IF(Plantilla_SCAN_EQ3_COUNT_2[[#This Row],[ID MATERIAL]]="","",SIGN(Plantilla_SCAN_EQ3_COUNT_2[[#This Row],[Cantidad]])+A2854)</f>
        <v/>
      </c>
      <c r="B2855" s="21" t="str">
        <f>IF(Plantilla_SCAN_EQ3_COUNT_2[[#This Row],[ID MATERIAL]]="","",B2854)</f>
        <v/>
      </c>
      <c r="C2855" s="21"/>
      <c r="D2855" s="21"/>
      <c r="E2855" s="7" t="str">
        <f>IF(Plantilla_SCAN_EQ3_COUNT_2[[#This Row],[ID MATERIAL]]="","",VLOOKUP(Plantilla_SCAN_EQ3_COUNT_2[[#This Row],[ID MATERIAL]],INVENTARIO!$A:$D,2,FALSE))</f>
        <v/>
      </c>
      <c r="F2855" s="7" t="str">
        <f>IF(Plantilla_SCAN_EQ3_COUNT_2[[#This Row],[ID MATERIAL]]="","",IF(Plantilla_SCAN_EQ3_COUNT_2[[#This Row],[No. Empaques]]="",1,Plantilla_SCAN_EQ3_COUNT_2[[#This Row],[No. Empaques]]*1))</f>
        <v/>
      </c>
      <c r="G2855" s="7" t="str">
        <f>IF(Plantilla_SCAN_EQ3_COUNT_2[[#This Row],[ID MATERIAL]]="","","PZ")</f>
        <v/>
      </c>
      <c r="H2855" s="7" t="str">
        <f>IF(Plantilla_SCAN_EQ3_COUNT_2[[#This Row],[ID MATERIAL]]="","",$B$13)</f>
        <v/>
      </c>
      <c r="I2855" s="7" t="str">
        <f>IF(Plantilla_SCAN_EQ3_COUNT_2[[#This Row],[ID MATERIAL]]="","","Segundo Conteo")</f>
        <v/>
      </c>
    </row>
    <row r="2856" spans="1:9" s="7" customFormat="1" ht="15" x14ac:dyDescent="0.2">
      <c r="A2856" s="7" t="str">
        <f>IF(Plantilla_SCAN_EQ3_COUNT_2[[#This Row],[ID MATERIAL]]="","",SIGN(Plantilla_SCAN_EQ3_COUNT_2[[#This Row],[Cantidad]])+A2855)</f>
        <v/>
      </c>
      <c r="B2856" s="21" t="str">
        <f>IF(Plantilla_SCAN_EQ3_COUNT_2[[#This Row],[ID MATERIAL]]="","",B2855)</f>
        <v/>
      </c>
      <c r="C2856" s="21"/>
      <c r="D2856" s="21"/>
      <c r="E2856" s="7" t="str">
        <f>IF(Plantilla_SCAN_EQ3_COUNT_2[[#This Row],[ID MATERIAL]]="","",VLOOKUP(Plantilla_SCAN_EQ3_COUNT_2[[#This Row],[ID MATERIAL]],INVENTARIO!$A:$D,2,FALSE))</f>
        <v/>
      </c>
      <c r="F2856" s="7" t="str">
        <f>IF(Plantilla_SCAN_EQ3_COUNT_2[[#This Row],[ID MATERIAL]]="","",IF(Plantilla_SCAN_EQ3_COUNT_2[[#This Row],[No. Empaques]]="",1,Plantilla_SCAN_EQ3_COUNT_2[[#This Row],[No. Empaques]]*1))</f>
        <v/>
      </c>
      <c r="G2856" s="7" t="str">
        <f>IF(Plantilla_SCAN_EQ3_COUNT_2[[#This Row],[ID MATERIAL]]="","","PZ")</f>
        <v/>
      </c>
      <c r="H2856" s="7" t="str">
        <f>IF(Plantilla_SCAN_EQ3_COUNT_2[[#This Row],[ID MATERIAL]]="","",$B$13)</f>
        <v/>
      </c>
      <c r="I2856" s="7" t="str">
        <f>IF(Plantilla_SCAN_EQ3_COUNT_2[[#This Row],[ID MATERIAL]]="","","Segundo Conteo")</f>
        <v/>
      </c>
    </row>
    <row r="2857" spans="1:9" s="7" customFormat="1" ht="15" x14ac:dyDescent="0.2">
      <c r="A2857" s="7" t="str">
        <f>IF(Plantilla_SCAN_EQ3_COUNT_2[[#This Row],[ID MATERIAL]]="","",SIGN(Plantilla_SCAN_EQ3_COUNT_2[[#This Row],[Cantidad]])+A2856)</f>
        <v/>
      </c>
      <c r="B2857" s="21" t="str">
        <f>IF(Plantilla_SCAN_EQ3_COUNT_2[[#This Row],[ID MATERIAL]]="","",B2856)</f>
        <v/>
      </c>
      <c r="C2857" s="21"/>
      <c r="D2857" s="21"/>
      <c r="E2857" s="7" t="str">
        <f>IF(Plantilla_SCAN_EQ3_COUNT_2[[#This Row],[ID MATERIAL]]="","",VLOOKUP(Plantilla_SCAN_EQ3_COUNT_2[[#This Row],[ID MATERIAL]],INVENTARIO!$A:$D,2,FALSE))</f>
        <v/>
      </c>
      <c r="F2857" s="7" t="str">
        <f>IF(Plantilla_SCAN_EQ3_COUNT_2[[#This Row],[ID MATERIAL]]="","",IF(Plantilla_SCAN_EQ3_COUNT_2[[#This Row],[No. Empaques]]="",1,Plantilla_SCAN_EQ3_COUNT_2[[#This Row],[No. Empaques]]*1))</f>
        <v/>
      </c>
      <c r="G2857" s="7" t="str">
        <f>IF(Plantilla_SCAN_EQ3_COUNT_2[[#This Row],[ID MATERIAL]]="","","PZ")</f>
        <v/>
      </c>
      <c r="H2857" s="7" t="str">
        <f>IF(Plantilla_SCAN_EQ3_COUNT_2[[#This Row],[ID MATERIAL]]="","",$B$13)</f>
        <v/>
      </c>
      <c r="I2857" s="7" t="str">
        <f>IF(Plantilla_SCAN_EQ3_COUNT_2[[#This Row],[ID MATERIAL]]="","","Segundo Conteo")</f>
        <v/>
      </c>
    </row>
    <row r="2858" spans="1:9" s="7" customFormat="1" ht="15" x14ac:dyDescent="0.2">
      <c r="A2858" s="7" t="str">
        <f>IF(Plantilla_SCAN_EQ3_COUNT_2[[#This Row],[ID MATERIAL]]="","",SIGN(Plantilla_SCAN_EQ3_COUNT_2[[#This Row],[Cantidad]])+A2857)</f>
        <v/>
      </c>
      <c r="B2858" s="21" t="str">
        <f>IF(Plantilla_SCAN_EQ3_COUNT_2[[#This Row],[ID MATERIAL]]="","",B2857)</f>
        <v/>
      </c>
      <c r="C2858" s="21"/>
      <c r="D2858" s="21"/>
      <c r="E2858" s="7" t="str">
        <f>IF(Plantilla_SCAN_EQ3_COUNT_2[[#This Row],[ID MATERIAL]]="","",VLOOKUP(Plantilla_SCAN_EQ3_COUNT_2[[#This Row],[ID MATERIAL]],INVENTARIO!$A:$D,2,FALSE))</f>
        <v/>
      </c>
      <c r="F2858" s="7" t="str">
        <f>IF(Plantilla_SCAN_EQ3_COUNT_2[[#This Row],[ID MATERIAL]]="","",IF(Plantilla_SCAN_EQ3_COUNT_2[[#This Row],[No. Empaques]]="",1,Plantilla_SCAN_EQ3_COUNT_2[[#This Row],[No. Empaques]]*1))</f>
        <v/>
      </c>
      <c r="G2858" s="7" t="str">
        <f>IF(Plantilla_SCAN_EQ3_COUNT_2[[#This Row],[ID MATERIAL]]="","","PZ")</f>
        <v/>
      </c>
      <c r="H2858" s="7" t="str">
        <f>IF(Plantilla_SCAN_EQ3_COUNT_2[[#This Row],[ID MATERIAL]]="","",$B$13)</f>
        <v/>
      </c>
      <c r="I2858" s="7" t="str">
        <f>IF(Plantilla_SCAN_EQ3_COUNT_2[[#This Row],[ID MATERIAL]]="","","Segundo Conteo")</f>
        <v/>
      </c>
    </row>
    <row r="2859" spans="1:9" s="7" customFormat="1" ht="15" x14ac:dyDescent="0.2">
      <c r="A2859" s="7" t="str">
        <f>IF(Plantilla_SCAN_EQ3_COUNT_2[[#This Row],[ID MATERIAL]]="","",SIGN(Plantilla_SCAN_EQ3_COUNT_2[[#This Row],[Cantidad]])+A2858)</f>
        <v/>
      </c>
      <c r="B2859" s="21" t="str">
        <f>IF(Plantilla_SCAN_EQ3_COUNT_2[[#This Row],[ID MATERIAL]]="","",B2858)</f>
        <v/>
      </c>
      <c r="C2859" s="21"/>
      <c r="D2859" s="21"/>
      <c r="E2859" s="7" t="str">
        <f>IF(Plantilla_SCAN_EQ3_COUNT_2[[#This Row],[ID MATERIAL]]="","",VLOOKUP(Plantilla_SCAN_EQ3_COUNT_2[[#This Row],[ID MATERIAL]],INVENTARIO!$A:$D,2,FALSE))</f>
        <v/>
      </c>
      <c r="F2859" s="7" t="str">
        <f>IF(Plantilla_SCAN_EQ3_COUNT_2[[#This Row],[ID MATERIAL]]="","",IF(Plantilla_SCAN_EQ3_COUNT_2[[#This Row],[No. Empaques]]="",1,Plantilla_SCAN_EQ3_COUNT_2[[#This Row],[No. Empaques]]*1))</f>
        <v/>
      </c>
      <c r="G2859" s="7" t="str">
        <f>IF(Plantilla_SCAN_EQ3_COUNT_2[[#This Row],[ID MATERIAL]]="","","PZ")</f>
        <v/>
      </c>
      <c r="H2859" s="7" t="str">
        <f>IF(Plantilla_SCAN_EQ3_COUNT_2[[#This Row],[ID MATERIAL]]="","",$B$13)</f>
        <v/>
      </c>
      <c r="I2859" s="7" t="str">
        <f>IF(Plantilla_SCAN_EQ3_COUNT_2[[#This Row],[ID MATERIAL]]="","","Segundo Conteo")</f>
        <v/>
      </c>
    </row>
    <row r="2860" spans="1:9" s="7" customFormat="1" ht="15" x14ac:dyDescent="0.2">
      <c r="A2860" s="7" t="str">
        <f>IF(Plantilla_SCAN_EQ3_COUNT_2[[#This Row],[ID MATERIAL]]="","",SIGN(Plantilla_SCAN_EQ3_COUNT_2[[#This Row],[Cantidad]])+A2859)</f>
        <v/>
      </c>
      <c r="B2860" s="21" t="str">
        <f>IF(Plantilla_SCAN_EQ3_COUNT_2[[#This Row],[ID MATERIAL]]="","",B2859)</f>
        <v/>
      </c>
      <c r="C2860" s="21"/>
      <c r="D2860" s="21"/>
      <c r="E2860" s="7" t="str">
        <f>IF(Plantilla_SCAN_EQ3_COUNT_2[[#This Row],[ID MATERIAL]]="","",VLOOKUP(Plantilla_SCAN_EQ3_COUNT_2[[#This Row],[ID MATERIAL]],INVENTARIO!$A:$D,2,FALSE))</f>
        <v/>
      </c>
      <c r="F2860" s="7" t="str">
        <f>IF(Plantilla_SCAN_EQ3_COUNT_2[[#This Row],[ID MATERIAL]]="","",IF(Plantilla_SCAN_EQ3_COUNT_2[[#This Row],[No. Empaques]]="",1,Plantilla_SCAN_EQ3_COUNT_2[[#This Row],[No. Empaques]]*1))</f>
        <v/>
      </c>
      <c r="G2860" s="7" t="str">
        <f>IF(Plantilla_SCAN_EQ3_COUNT_2[[#This Row],[ID MATERIAL]]="","","PZ")</f>
        <v/>
      </c>
      <c r="H2860" s="7" t="str">
        <f>IF(Plantilla_SCAN_EQ3_COUNT_2[[#This Row],[ID MATERIAL]]="","",$B$13)</f>
        <v/>
      </c>
      <c r="I2860" s="7" t="str">
        <f>IF(Plantilla_SCAN_EQ3_COUNT_2[[#This Row],[ID MATERIAL]]="","","Segundo Conteo")</f>
        <v/>
      </c>
    </row>
    <row r="2861" spans="1:9" s="7" customFormat="1" ht="15" x14ac:dyDescent="0.2">
      <c r="A2861" s="7" t="str">
        <f>IF(Plantilla_SCAN_EQ3_COUNT_2[[#This Row],[ID MATERIAL]]="","",SIGN(Plantilla_SCAN_EQ3_COUNT_2[[#This Row],[Cantidad]])+A2860)</f>
        <v/>
      </c>
      <c r="B2861" s="21" t="str">
        <f>IF(Plantilla_SCAN_EQ3_COUNT_2[[#This Row],[ID MATERIAL]]="","",B2860)</f>
        <v/>
      </c>
      <c r="C2861" s="21"/>
      <c r="D2861" s="21"/>
      <c r="E2861" s="7" t="str">
        <f>IF(Plantilla_SCAN_EQ3_COUNT_2[[#This Row],[ID MATERIAL]]="","",VLOOKUP(Plantilla_SCAN_EQ3_COUNT_2[[#This Row],[ID MATERIAL]],INVENTARIO!$A:$D,2,FALSE))</f>
        <v/>
      </c>
      <c r="F2861" s="7" t="str">
        <f>IF(Plantilla_SCAN_EQ3_COUNT_2[[#This Row],[ID MATERIAL]]="","",IF(Plantilla_SCAN_EQ3_COUNT_2[[#This Row],[No. Empaques]]="",1,Plantilla_SCAN_EQ3_COUNT_2[[#This Row],[No. Empaques]]*1))</f>
        <v/>
      </c>
      <c r="G2861" s="7" t="str">
        <f>IF(Plantilla_SCAN_EQ3_COUNT_2[[#This Row],[ID MATERIAL]]="","","PZ")</f>
        <v/>
      </c>
      <c r="H2861" s="7" t="str">
        <f>IF(Plantilla_SCAN_EQ3_COUNT_2[[#This Row],[ID MATERIAL]]="","",$B$13)</f>
        <v/>
      </c>
      <c r="I2861" s="7" t="str">
        <f>IF(Plantilla_SCAN_EQ3_COUNT_2[[#This Row],[ID MATERIAL]]="","","Segundo Conteo")</f>
        <v/>
      </c>
    </row>
    <row r="2862" spans="1:9" s="7" customFormat="1" ht="15" x14ac:dyDescent="0.2">
      <c r="A2862" s="7" t="str">
        <f>IF(Plantilla_SCAN_EQ3_COUNT_2[[#This Row],[ID MATERIAL]]="","",SIGN(Plantilla_SCAN_EQ3_COUNT_2[[#This Row],[Cantidad]])+A2861)</f>
        <v/>
      </c>
      <c r="B2862" s="21" t="str">
        <f>IF(Plantilla_SCAN_EQ3_COUNT_2[[#This Row],[ID MATERIAL]]="","",B2861)</f>
        <v/>
      </c>
      <c r="C2862" s="21"/>
      <c r="D2862" s="21"/>
      <c r="E2862" s="7" t="str">
        <f>IF(Plantilla_SCAN_EQ3_COUNT_2[[#This Row],[ID MATERIAL]]="","",VLOOKUP(Plantilla_SCAN_EQ3_COUNT_2[[#This Row],[ID MATERIAL]],INVENTARIO!$A:$D,2,FALSE))</f>
        <v/>
      </c>
      <c r="F2862" s="7" t="str">
        <f>IF(Plantilla_SCAN_EQ3_COUNT_2[[#This Row],[ID MATERIAL]]="","",IF(Plantilla_SCAN_EQ3_COUNT_2[[#This Row],[No. Empaques]]="",1,Plantilla_SCAN_EQ3_COUNT_2[[#This Row],[No. Empaques]]*1))</f>
        <v/>
      </c>
      <c r="G2862" s="7" t="str">
        <f>IF(Plantilla_SCAN_EQ3_COUNT_2[[#This Row],[ID MATERIAL]]="","","PZ")</f>
        <v/>
      </c>
      <c r="H2862" s="7" t="str">
        <f>IF(Plantilla_SCAN_EQ3_COUNT_2[[#This Row],[ID MATERIAL]]="","",$B$13)</f>
        <v/>
      </c>
      <c r="I2862" s="7" t="str">
        <f>IF(Plantilla_SCAN_EQ3_COUNT_2[[#This Row],[ID MATERIAL]]="","","Segundo Conteo")</f>
        <v/>
      </c>
    </row>
    <row r="2863" spans="1:9" s="7" customFormat="1" ht="15" x14ac:dyDescent="0.2">
      <c r="A2863" s="7" t="str">
        <f>IF(Plantilla_SCAN_EQ3_COUNT_2[[#This Row],[ID MATERIAL]]="","",SIGN(Plantilla_SCAN_EQ3_COUNT_2[[#This Row],[Cantidad]])+A2862)</f>
        <v/>
      </c>
      <c r="B2863" s="21" t="str">
        <f>IF(Plantilla_SCAN_EQ3_COUNT_2[[#This Row],[ID MATERIAL]]="","",B2862)</f>
        <v/>
      </c>
      <c r="C2863" s="21"/>
      <c r="D2863" s="21"/>
      <c r="E2863" s="7" t="str">
        <f>IF(Plantilla_SCAN_EQ3_COUNT_2[[#This Row],[ID MATERIAL]]="","",VLOOKUP(Plantilla_SCAN_EQ3_COUNT_2[[#This Row],[ID MATERIAL]],INVENTARIO!$A:$D,2,FALSE))</f>
        <v/>
      </c>
      <c r="F2863" s="7" t="str">
        <f>IF(Plantilla_SCAN_EQ3_COUNT_2[[#This Row],[ID MATERIAL]]="","",IF(Plantilla_SCAN_EQ3_COUNT_2[[#This Row],[No. Empaques]]="",1,Plantilla_SCAN_EQ3_COUNT_2[[#This Row],[No. Empaques]]*1))</f>
        <v/>
      </c>
      <c r="G2863" s="7" t="str">
        <f>IF(Plantilla_SCAN_EQ3_COUNT_2[[#This Row],[ID MATERIAL]]="","","PZ")</f>
        <v/>
      </c>
      <c r="H2863" s="7" t="str">
        <f>IF(Plantilla_SCAN_EQ3_COUNT_2[[#This Row],[ID MATERIAL]]="","",$B$13)</f>
        <v/>
      </c>
      <c r="I2863" s="7" t="str">
        <f>IF(Plantilla_SCAN_EQ3_COUNT_2[[#This Row],[ID MATERIAL]]="","","Segundo Conteo")</f>
        <v/>
      </c>
    </row>
    <row r="2864" spans="1:9" s="7" customFormat="1" ht="15" x14ac:dyDescent="0.2">
      <c r="A2864" s="7" t="str">
        <f>IF(Plantilla_SCAN_EQ3_COUNT_2[[#This Row],[ID MATERIAL]]="","",SIGN(Plantilla_SCAN_EQ3_COUNT_2[[#This Row],[Cantidad]])+A2863)</f>
        <v/>
      </c>
      <c r="B2864" s="21" t="str">
        <f>IF(Plantilla_SCAN_EQ3_COUNT_2[[#This Row],[ID MATERIAL]]="","",B2863)</f>
        <v/>
      </c>
      <c r="C2864" s="21"/>
      <c r="D2864" s="21"/>
      <c r="E2864" s="7" t="str">
        <f>IF(Plantilla_SCAN_EQ3_COUNT_2[[#This Row],[ID MATERIAL]]="","",VLOOKUP(Plantilla_SCAN_EQ3_COUNT_2[[#This Row],[ID MATERIAL]],INVENTARIO!$A:$D,2,FALSE))</f>
        <v/>
      </c>
      <c r="F2864" s="7" t="str">
        <f>IF(Plantilla_SCAN_EQ3_COUNT_2[[#This Row],[ID MATERIAL]]="","",IF(Plantilla_SCAN_EQ3_COUNT_2[[#This Row],[No. Empaques]]="",1,Plantilla_SCAN_EQ3_COUNT_2[[#This Row],[No. Empaques]]*1))</f>
        <v/>
      </c>
      <c r="G2864" s="7" t="str">
        <f>IF(Plantilla_SCAN_EQ3_COUNT_2[[#This Row],[ID MATERIAL]]="","","PZ")</f>
        <v/>
      </c>
      <c r="H2864" s="7" t="str">
        <f>IF(Plantilla_SCAN_EQ3_COUNT_2[[#This Row],[ID MATERIAL]]="","",$B$13)</f>
        <v/>
      </c>
      <c r="I2864" s="7" t="str">
        <f>IF(Plantilla_SCAN_EQ3_COUNT_2[[#This Row],[ID MATERIAL]]="","","Segundo Conteo")</f>
        <v/>
      </c>
    </row>
    <row r="2865" spans="1:9" s="7" customFormat="1" ht="15" x14ac:dyDescent="0.2">
      <c r="A2865" s="7" t="str">
        <f>IF(Plantilla_SCAN_EQ3_COUNT_2[[#This Row],[ID MATERIAL]]="","",SIGN(Plantilla_SCAN_EQ3_COUNT_2[[#This Row],[Cantidad]])+A2864)</f>
        <v/>
      </c>
      <c r="B2865" s="21" t="str">
        <f>IF(Plantilla_SCAN_EQ3_COUNT_2[[#This Row],[ID MATERIAL]]="","",B2864)</f>
        <v/>
      </c>
      <c r="C2865" s="21"/>
      <c r="D2865" s="21"/>
      <c r="E2865" s="7" t="str">
        <f>IF(Plantilla_SCAN_EQ3_COUNT_2[[#This Row],[ID MATERIAL]]="","",VLOOKUP(Plantilla_SCAN_EQ3_COUNT_2[[#This Row],[ID MATERIAL]],INVENTARIO!$A:$D,2,FALSE))</f>
        <v/>
      </c>
      <c r="F2865" s="7" t="str">
        <f>IF(Plantilla_SCAN_EQ3_COUNT_2[[#This Row],[ID MATERIAL]]="","",IF(Plantilla_SCAN_EQ3_COUNT_2[[#This Row],[No. Empaques]]="",1,Plantilla_SCAN_EQ3_COUNT_2[[#This Row],[No. Empaques]]*1))</f>
        <v/>
      </c>
      <c r="G2865" s="7" t="str">
        <f>IF(Plantilla_SCAN_EQ3_COUNT_2[[#This Row],[ID MATERIAL]]="","","PZ")</f>
        <v/>
      </c>
      <c r="H2865" s="7" t="str">
        <f>IF(Plantilla_SCAN_EQ3_COUNT_2[[#This Row],[ID MATERIAL]]="","",$B$13)</f>
        <v/>
      </c>
      <c r="I2865" s="7" t="str">
        <f>IF(Plantilla_SCAN_EQ3_COUNT_2[[#This Row],[ID MATERIAL]]="","","Segundo Conteo")</f>
        <v/>
      </c>
    </row>
    <row r="2866" spans="1:9" s="7" customFormat="1" ht="15" x14ac:dyDescent="0.2">
      <c r="A2866" s="7" t="str">
        <f>IF(Plantilla_SCAN_EQ3_COUNT_2[[#This Row],[ID MATERIAL]]="","",SIGN(Plantilla_SCAN_EQ3_COUNT_2[[#This Row],[Cantidad]])+A2865)</f>
        <v/>
      </c>
      <c r="B2866" s="21" t="str">
        <f>IF(Plantilla_SCAN_EQ3_COUNT_2[[#This Row],[ID MATERIAL]]="","",B2865)</f>
        <v/>
      </c>
      <c r="C2866" s="21"/>
      <c r="D2866" s="21"/>
      <c r="E2866" s="7" t="str">
        <f>IF(Plantilla_SCAN_EQ3_COUNT_2[[#This Row],[ID MATERIAL]]="","",VLOOKUP(Plantilla_SCAN_EQ3_COUNT_2[[#This Row],[ID MATERIAL]],INVENTARIO!$A:$D,2,FALSE))</f>
        <v/>
      </c>
      <c r="F2866" s="7" t="str">
        <f>IF(Plantilla_SCAN_EQ3_COUNT_2[[#This Row],[ID MATERIAL]]="","",IF(Plantilla_SCAN_EQ3_COUNT_2[[#This Row],[No. Empaques]]="",1,Plantilla_SCAN_EQ3_COUNT_2[[#This Row],[No. Empaques]]*1))</f>
        <v/>
      </c>
      <c r="G2866" s="7" t="str">
        <f>IF(Plantilla_SCAN_EQ3_COUNT_2[[#This Row],[ID MATERIAL]]="","","PZ")</f>
        <v/>
      </c>
      <c r="H2866" s="7" t="str">
        <f>IF(Plantilla_SCAN_EQ3_COUNT_2[[#This Row],[ID MATERIAL]]="","",$B$13)</f>
        <v/>
      </c>
      <c r="I2866" s="7" t="str">
        <f>IF(Plantilla_SCAN_EQ3_COUNT_2[[#This Row],[ID MATERIAL]]="","","Segundo Conteo")</f>
        <v/>
      </c>
    </row>
    <row r="2867" spans="1:9" s="7" customFormat="1" ht="15" x14ac:dyDescent="0.2">
      <c r="A2867" s="7" t="str">
        <f>IF(Plantilla_SCAN_EQ3_COUNT_2[[#This Row],[ID MATERIAL]]="","",SIGN(Plantilla_SCAN_EQ3_COUNT_2[[#This Row],[Cantidad]])+A2866)</f>
        <v/>
      </c>
      <c r="B2867" s="21" t="str">
        <f>IF(Plantilla_SCAN_EQ3_COUNT_2[[#This Row],[ID MATERIAL]]="","",B2866)</f>
        <v/>
      </c>
      <c r="C2867" s="21"/>
      <c r="D2867" s="21"/>
      <c r="E2867" s="7" t="str">
        <f>IF(Plantilla_SCAN_EQ3_COUNT_2[[#This Row],[ID MATERIAL]]="","",VLOOKUP(Plantilla_SCAN_EQ3_COUNT_2[[#This Row],[ID MATERIAL]],INVENTARIO!$A:$D,2,FALSE))</f>
        <v/>
      </c>
      <c r="F2867" s="7" t="str">
        <f>IF(Plantilla_SCAN_EQ3_COUNT_2[[#This Row],[ID MATERIAL]]="","",IF(Plantilla_SCAN_EQ3_COUNT_2[[#This Row],[No. Empaques]]="",1,Plantilla_SCAN_EQ3_COUNT_2[[#This Row],[No. Empaques]]*1))</f>
        <v/>
      </c>
      <c r="G2867" s="7" t="str">
        <f>IF(Plantilla_SCAN_EQ3_COUNT_2[[#This Row],[ID MATERIAL]]="","","PZ")</f>
        <v/>
      </c>
      <c r="H2867" s="7" t="str">
        <f>IF(Plantilla_SCAN_EQ3_COUNT_2[[#This Row],[ID MATERIAL]]="","",$B$13)</f>
        <v/>
      </c>
      <c r="I2867" s="7" t="str">
        <f>IF(Plantilla_SCAN_EQ3_COUNT_2[[#This Row],[ID MATERIAL]]="","","Segundo Conteo")</f>
        <v/>
      </c>
    </row>
    <row r="2868" spans="1:9" s="7" customFormat="1" ht="15" x14ac:dyDescent="0.2">
      <c r="A2868" s="7" t="str">
        <f>IF(Plantilla_SCAN_EQ3_COUNT_2[[#This Row],[ID MATERIAL]]="","",SIGN(Plantilla_SCAN_EQ3_COUNT_2[[#This Row],[Cantidad]])+A2867)</f>
        <v/>
      </c>
      <c r="B2868" s="21" t="str">
        <f>IF(Plantilla_SCAN_EQ3_COUNT_2[[#This Row],[ID MATERIAL]]="","",B2867)</f>
        <v/>
      </c>
      <c r="C2868" s="21"/>
      <c r="D2868" s="21"/>
      <c r="E2868" s="7" t="str">
        <f>IF(Plantilla_SCAN_EQ3_COUNT_2[[#This Row],[ID MATERIAL]]="","",VLOOKUP(Plantilla_SCAN_EQ3_COUNT_2[[#This Row],[ID MATERIAL]],INVENTARIO!$A:$D,2,FALSE))</f>
        <v/>
      </c>
      <c r="F2868" s="7" t="str">
        <f>IF(Plantilla_SCAN_EQ3_COUNT_2[[#This Row],[ID MATERIAL]]="","",IF(Plantilla_SCAN_EQ3_COUNT_2[[#This Row],[No. Empaques]]="",1,Plantilla_SCAN_EQ3_COUNT_2[[#This Row],[No. Empaques]]*1))</f>
        <v/>
      </c>
      <c r="G2868" s="7" t="str">
        <f>IF(Plantilla_SCAN_EQ3_COUNT_2[[#This Row],[ID MATERIAL]]="","","PZ")</f>
        <v/>
      </c>
      <c r="H2868" s="7" t="str">
        <f>IF(Plantilla_SCAN_EQ3_COUNT_2[[#This Row],[ID MATERIAL]]="","",$B$13)</f>
        <v/>
      </c>
      <c r="I2868" s="7" t="str">
        <f>IF(Plantilla_SCAN_EQ3_COUNT_2[[#This Row],[ID MATERIAL]]="","","Segundo Conteo")</f>
        <v/>
      </c>
    </row>
    <row r="2869" spans="1:9" s="7" customFormat="1" ht="15" x14ac:dyDescent="0.2">
      <c r="A2869" s="7" t="str">
        <f>IF(Plantilla_SCAN_EQ3_COUNT_2[[#This Row],[ID MATERIAL]]="","",SIGN(Plantilla_SCAN_EQ3_COUNT_2[[#This Row],[Cantidad]])+A2868)</f>
        <v/>
      </c>
      <c r="B2869" s="21" t="str">
        <f>IF(Plantilla_SCAN_EQ3_COUNT_2[[#This Row],[ID MATERIAL]]="","",B2868)</f>
        <v/>
      </c>
      <c r="C2869" s="21"/>
      <c r="D2869" s="21"/>
      <c r="E2869" s="7" t="str">
        <f>IF(Plantilla_SCAN_EQ3_COUNT_2[[#This Row],[ID MATERIAL]]="","",VLOOKUP(Plantilla_SCAN_EQ3_COUNT_2[[#This Row],[ID MATERIAL]],INVENTARIO!$A:$D,2,FALSE))</f>
        <v/>
      </c>
      <c r="F2869" s="7" t="str">
        <f>IF(Plantilla_SCAN_EQ3_COUNT_2[[#This Row],[ID MATERIAL]]="","",IF(Plantilla_SCAN_EQ3_COUNT_2[[#This Row],[No. Empaques]]="",1,Plantilla_SCAN_EQ3_COUNT_2[[#This Row],[No. Empaques]]*1))</f>
        <v/>
      </c>
      <c r="G2869" s="7" t="str">
        <f>IF(Plantilla_SCAN_EQ3_COUNT_2[[#This Row],[ID MATERIAL]]="","","PZ")</f>
        <v/>
      </c>
      <c r="H2869" s="7" t="str">
        <f>IF(Plantilla_SCAN_EQ3_COUNT_2[[#This Row],[ID MATERIAL]]="","",$B$13)</f>
        <v/>
      </c>
      <c r="I2869" s="7" t="str">
        <f>IF(Plantilla_SCAN_EQ3_COUNT_2[[#This Row],[ID MATERIAL]]="","","Segundo Conteo")</f>
        <v/>
      </c>
    </row>
    <row r="2870" spans="1:9" s="7" customFormat="1" ht="15" x14ac:dyDescent="0.2">
      <c r="A2870" s="7" t="str">
        <f>IF(Plantilla_SCAN_EQ3_COUNT_2[[#This Row],[ID MATERIAL]]="","",SIGN(Plantilla_SCAN_EQ3_COUNT_2[[#This Row],[Cantidad]])+A2869)</f>
        <v/>
      </c>
      <c r="B2870" s="21" t="str">
        <f>IF(Plantilla_SCAN_EQ3_COUNT_2[[#This Row],[ID MATERIAL]]="","",B2869)</f>
        <v/>
      </c>
      <c r="C2870" s="21"/>
      <c r="D2870" s="21"/>
      <c r="E2870" s="7" t="str">
        <f>IF(Plantilla_SCAN_EQ3_COUNT_2[[#This Row],[ID MATERIAL]]="","",VLOOKUP(Plantilla_SCAN_EQ3_COUNT_2[[#This Row],[ID MATERIAL]],INVENTARIO!$A:$D,2,FALSE))</f>
        <v/>
      </c>
      <c r="F2870" s="7" t="str">
        <f>IF(Plantilla_SCAN_EQ3_COUNT_2[[#This Row],[ID MATERIAL]]="","",IF(Plantilla_SCAN_EQ3_COUNT_2[[#This Row],[No. Empaques]]="",1,Plantilla_SCAN_EQ3_COUNT_2[[#This Row],[No. Empaques]]*1))</f>
        <v/>
      </c>
      <c r="G2870" s="7" t="str">
        <f>IF(Plantilla_SCAN_EQ3_COUNT_2[[#This Row],[ID MATERIAL]]="","","PZ")</f>
        <v/>
      </c>
      <c r="H2870" s="7" t="str">
        <f>IF(Plantilla_SCAN_EQ3_COUNT_2[[#This Row],[ID MATERIAL]]="","",$B$13)</f>
        <v/>
      </c>
      <c r="I2870" s="7" t="str">
        <f>IF(Plantilla_SCAN_EQ3_COUNT_2[[#This Row],[ID MATERIAL]]="","","Segundo Conteo")</f>
        <v/>
      </c>
    </row>
    <row r="2871" spans="1:9" s="7" customFormat="1" ht="15" x14ac:dyDescent="0.2">
      <c r="A2871" s="7" t="str">
        <f>IF(Plantilla_SCAN_EQ3_COUNT_2[[#This Row],[ID MATERIAL]]="","",SIGN(Plantilla_SCAN_EQ3_COUNT_2[[#This Row],[Cantidad]])+A2870)</f>
        <v/>
      </c>
      <c r="B2871" s="21" t="str">
        <f>IF(Plantilla_SCAN_EQ3_COUNT_2[[#This Row],[ID MATERIAL]]="","",B2870)</f>
        <v/>
      </c>
      <c r="C2871" s="21"/>
      <c r="D2871" s="21"/>
      <c r="E2871" s="7" t="str">
        <f>IF(Plantilla_SCAN_EQ3_COUNT_2[[#This Row],[ID MATERIAL]]="","",VLOOKUP(Plantilla_SCAN_EQ3_COUNT_2[[#This Row],[ID MATERIAL]],INVENTARIO!$A:$D,2,FALSE))</f>
        <v/>
      </c>
      <c r="F2871" s="7" t="str">
        <f>IF(Plantilla_SCAN_EQ3_COUNT_2[[#This Row],[ID MATERIAL]]="","",IF(Plantilla_SCAN_EQ3_COUNT_2[[#This Row],[No. Empaques]]="",1,Plantilla_SCAN_EQ3_COUNT_2[[#This Row],[No. Empaques]]*1))</f>
        <v/>
      </c>
      <c r="G2871" s="7" t="str">
        <f>IF(Plantilla_SCAN_EQ3_COUNT_2[[#This Row],[ID MATERIAL]]="","","PZ")</f>
        <v/>
      </c>
      <c r="H2871" s="7" t="str">
        <f>IF(Plantilla_SCAN_EQ3_COUNT_2[[#This Row],[ID MATERIAL]]="","",$B$13)</f>
        <v/>
      </c>
      <c r="I2871" s="7" t="str">
        <f>IF(Plantilla_SCAN_EQ3_COUNT_2[[#This Row],[ID MATERIAL]]="","","Segundo Conteo")</f>
        <v/>
      </c>
    </row>
    <row r="2872" spans="1:9" s="7" customFormat="1" ht="15" x14ac:dyDescent="0.2">
      <c r="A2872" s="7" t="str">
        <f>IF(Plantilla_SCAN_EQ3_COUNT_2[[#This Row],[ID MATERIAL]]="","",SIGN(Plantilla_SCAN_EQ3_COUNT_2[[#This Row],[Cantidad]])+A2871)</f>
        <v/>
      </c>
      <c r="B2872" s="21" t="str">
        <f>IF(Plantilla_SCAN_EQ3_COUNT_2[[#This Row],[ID MATERIAL]]="","",B2871)</f>
        <v/>
      </c>
      <c r="C2872" s="21"/>
      <c r="D2872" s="21"/>
      <c r="E2872" s="7" t="str">
        <f>IF(Plantilla_SCAN_EQ3_COUNT_2[[#This Row],[ID MATERIAL]]="","",VLOOKUP(Plantilla_SCAN_EQ3_COUNT_2[[#This Row],[ID MATERIAL]],INVENTARIO!$A:$D,2,FALSE))</f>
        <v/>
      </c>
      <c r="F2872" s="7" t="str">
        <f>IF(Plantilla_SCAN_EQ3_COUNT_2[[#This Row],[ID MATERIAL]]="","",IF(Plantilla_SCAN_EQ3_COUNT_2[[#This Row],[No. Empaques]]="",1,Plantilla_SCAN_EQ3_COUNT_2[[#This Row],[No. Empaques]]*1))</f>
        <v/>
      </c>
      <c r="G2872" s="7" t="str">
        <f>IF(Plantilla_SCAN_EQ3_COUNT_2[[#This Row],[ID MATERIAL]]="","","PZ")</f>
        <v/>
      </c>
      <c r="H2872" s="7" t="str">
        <f>IF(Plantilla_SCAN_EQ3_COUNT_2[[#This Row],[ID MATERIAL]]="","",$B$13)</f>
        <v/>
      </c>
      <c r="I2872" s="7" t="str">
        <f>IF(Plantilla_SCAN_EQ3_COUNT_2[[#This Row],[ID MATERIAL]]="","","Segundo Conteo")</f>
        <v/>
      </c>
    </row>
    <row r="2873" spans="1:9" s="7" customFormat="1" ht="15" x14ac:dyDescent="0.2">
      <c r="A2873" s="7" t="str">
        <f>IF(Plantilla_SCAN_EQ3_COUNT_2[[#This Row],[ID MATERIAL]]="","",SIGN(Plantilla_SCAN_EQ3_COUNT_2[[#This Row],[Cantidad]])+A2872)</f>
        <v/>
      </c>
      <c r="B2873" s="21" t="str">
        <f>IF(Plantilla_SCAN_EQ3_COUNT_2[[#This Row],[ID MATERIAL]]="","",B2872)</f>
        <v/>
      </c>
      <c r="C2873" s="21"/>
      <c r="D2873" s="21"/>
      <c r="E2873" s="7" t="str">
        <f>IF(Plantilla_SCAN_EQ3_COUNT_2[[#This Row],[ID MATERIAL]]="","",VLOOKUP(Plantilla_SCAN_EQ3_COUNT_2[[#This Row],[ID MATERIAL]],INVENTARIO!$A:$D,2,FALSE))</f>
        <v/>
      </c>
      <c r="F2873" s="7" t="str">
        <f>IF(Plantilla_SCAN_EQ3_COUNT_2[[#This Row],[ID MATERIAL]]="","",IF(Plantilla_SCAN_EQ3_COUNT_2[[#This Row],[No. Empaques]]="",1,Plantilla_SCAN_EQ3_COUNT_2[[#This Row],[No. Empaques]]*1))</f>
        <v/>
      </c>
      <c r="G2873" s="7" t="str">
        <f>IF(Plantilla_SCAN_EQ3_COUNT_2[[#This Row],[ID MATERIAL]]="","","PZ")</f>
        <v/>
      </c>
      <c r="H2873" s="7" t="str">
        <f>IF(Plantilla_SCAN_EQ3_COUNT_2[[#This Row],[ID MATERIAL]]="","",$B$13)</f>
        <v/>
      </c>
      <c r="I2873" s="7" t="str">
        <f>IF(Plantilla_SCAN_EQ3_COUNT_2[[#This Row],[ID MATERIAL]]="","","Segundo Conteo")</f>
        <v/>
      </c>
    </row>
    <row r="2874" spans="1:9" s="7" customFormat="1" ht="15" x14ac:dyDescent="0.2">
      <c r="A2874" s="7" t="str">
        <f>IF(Plantilla_SCAN_EQ3_COUNT_2[[#This Row],[ID MATERIAL]]="","",SIGN(Plantilla_SCAN_EQ3_COUNT_2[[#This Row],[Cantidad]])+A2873)</f>
        <v/>
      </c>
      <c r="B2874" s="21" t="str">
        <f>IF(Plantilla_SCAN_EQ3_COUNT_2[[#This Row],[ID MATERIAL]]="","",B2873)</f>
        <v/>
      </c>
      <c r="C2874" s="21"/>
      <c r="D2874" s="21"/>
      <c r="E2874" s="7" t="str">
        <f>IF(Plantilla_SCAN_EQ3_COUNT_2[[#This Row],[ID MATERIAL]]="","",VLOOKUP(Plantilla_SCAN_EQ3_COUNT_2[[#This Row],[ID MATERIAL]],INVENTARIO!$A:$D,2,FALSE))</f>
        <v/>
      </c>
      <c r="F2874" s="7" t="str">
        <f>IF(Plantilla_SCAN_EQ3_COUNT_2[[#This Row],[ID MATERIAL]]="","",IF(Plantilla_SCAN_EQ3_COUNT_2[[#This Row],[No. Empaques]]="",1,Plantilla_SCAN_EQ3_COUNT_2[[#This Row],[No. Empaques]]*1))</f>
        <v/>
      </c>
      <c r="G2874" s="7" t="str">
        <f>IF(Plantilla_SCAN_EQ3_COUNT_2[[#This Row],[ID MATERIAL]]="","","PZ")</f>
        <v/>
      </c>
      <c r="H2874" s="7" t="str">
        <f>IF(Plantilla_SCAN_EQ3_COUNT_2[[#This Row],[ID MATERIAL]]="","",$B$13)</f>
        <v/>
      </c>
      <c r="I2874" s="7" t="str">
        <f>IF(Plantilla_SCAN_EQ3_COUNT_2[[#This Row],[ID MATERIAL]]="","","Segundo Conteo")</f>
        <v/>
      </c>
    </row>
    <row r="2875" spans="1:9" s="7" customFormat="1" ht="15" x14ac:dyDescent="0.2">
      <c r="A2875" s="7" t="str">
        <f>IF(Plantilla_SCAN_EQ3_COUNT_2[[#This Row],[ID MATERIAL]]="","",SIGN(Plantilla_SCAN_EQ3_COUNT_2[[#This Row],[Cantidad]])+A2874)</f>
        <v/>
      </c>
      <c r="B2875" s="21" t="str">
        <f>IF(Plantilla_SCAN_EQ3_COUNT_2[[#This Row],[ID MATERIAL]]="","",B2874)</f>
        <v/>
      </c>
      <c r="C2875" s="21"/>
      <c r="D2875" s="21"/>
      <c r="E2875" s="7" t="str">
        <f>IF(Plantilla_SCAN_EQ3_COUNT_2[[#This Row],[ID MATERIAL]]="","",VLOOKUP(Plantilla_SCAN_EQ3_COUNT_2[[#This Row],[ID MATERIAL]],INVENTARIO!$A:$D,2,FALSE))</f>
        <v/>
      </c>
      <c r="F2875" s="7" t="str">
        <f>IF(Plantilla_SCAN_EQ3_COUNT_2[[#This Row],[ID MATERIAL]]="","",IF(Plantilla_SCAN_EQ3_COUNT_2[[#This Row],[No. Empaques]]="",1,Plantilla_SCAN_EQ3_COUNT_2[[#This Row],[No. Empaques]]*1))</f>
        <v/>
      </c>
      <c r="G2875" s="7" t="str">
        <f>IF(Plantilla_SCAN_EQ3_COUNT_2[[#This Row],[ID MATERIAL]]="","","PZ")</f>
        <v/>
      </c>
      <c r="H2875" s="7" t="str">
        <f>IF(Plantilla_SCAN_EQ3_COUNT_2[[#This Row],[ID MATERIAL]]="","",$B$13)</f>
        <v/>
      </c>
      <c r="I2875" s="7" t="str">
        <f>IF(Plantilla_SCAN_EQ3_COUNT_2[[#This Row],[ID MATERIAL]]="","","Segundo Conteo")</f>
        <v/>
      </c>
    </row>
    <row r="2876" spans="1:9" s="7" customFormat="1" ht="15" x14ac:dyDescent="0.2">
      <c r="A2876" s="7" t="str">
        <f>IF(Plantilla_SCAN_EQ3_COUNT_2[[#This Row],[ID MATERIAL]]="","",SIGN(Plantilla_SCAN_EQ3_COUNT_2[[#This Row],[Cantidad]])+A2875)</f>
        <v/>
      </c>
      <c r="B2876" s="21" t="str">
        <f>IF(Plantilla_SCAN_EQ3_COUNT_2[[#This Row],[ID MATERIAL]]="","",B2875)</f>
        <v/>
      </c>
      <c r="C2876" s="21"/>
      <c r="D2876" s="21"/>
      <c r="E2876" s="7" t="str">
        <f>IF(Plantilla_SCAN_EQ3_COUNT_2[[#This Row],[ID MATERIAL]]="","",VLOOKUP(Plantilla_SCAN_EQ3_COUNT_2[[#This Row],[ID MATERIAL]],INVENTARIO!$A:$D,2,FALSE))</f>
        <v/>
      </c>
      <c r="F2876" s="7" t="str">
        <f>IF(Plantilla_SCAN_EQ3_COUNT_2[[#This Row],[ID MATERIAL]]="","",IF(Plantilla_SCAN_EQ3_COUNT_2[[#This Row],[No. Empaques]]="",1,Plantilla_SCAN_EQ3_COUNT_2[[#This Row],[No. Empaques]]*1))</f>
        <v/>
      </c>
      <c r="G2876" s="7" t="str">
        <f>IF(Plantilla_SCAN_EQ3_COUNT_2[[#This Row],[ID MATERIAL]]="","","PZ")</f>
        <v/>
      </c>
      <c r="H2876" s="7" t="str">
        <f>IF(Plantilla_SCAN_EQ3_COUNT_2[[#This Row],[ID MATERIAL]]="","",$B$13)</f>
        <v/>
      </c>
      <c r="I2876" s="7" t="str">
        <f>IF(Plantilla_SCAN_EQ3_COUNT_2[[#This Row],[ID MATERIAL]]="","","Segundo Conteo")</f>
        <v/>
      </c>
    </row>
    <row r="2877" spans="1:9" s="7" customFormat="1" ht="15" x14ac:dyDescent="0.2">
      <c r="A2877" s="7" t="str">
        <f>IF(Plantilla_SCAN_EQ3_COUNT_2[[#This Row],[ID MATERIAL]]="","",SIGN(Plantilla_SCAN_EQ3_COUNT_2[[#This Row],[Cantidad]])+A2876)</f>
        <v/>
      </c>
      <c r="B2877" s="21" t="str">
        <f>IF(Plantilla_SCAN_EQ3_COUNT_2[[#This Row],[ID MATERIAL]]="","",B2876)</f>
        <v/>
      </c>
      <c r="C2877" s="21"/>
      <c r="D2877" s="21"/>
      <c r="E2877" s="7" t="str">
        <f>IF(Plantilla_SCAN_EQ3_COUNT_2[[#This Row],[ID MATERIAL]]="","",VLOOKUP(Plantilla_SCAN_EQ3_COUNT_2[[#This Row],[ID MATERIAL]],INVENTARIO!$A:$D,2,FALSE))</f>
        <v/>
      </c>
      <c r="F2877" s="7" t="str">
        <f>IF(Plantilla_SCAN_EQ3_COUNT_2[[#This Row],[ID MATERIAL]]="","",IF(Plantilla_SCAN_EQ3_COUNT_2[[#This Row],[No. Empaques]]="",1,Plantilla_SCAN_EQ3_COUNT_2[[#This Row],[No. Empaques]]*1))</f>
        <v/>
      </c>
      <c r="G2877" s="7" t="str">
        <f>IF(Plantilla_SCAN_EQ3_COUNT_2[[#This Row],[ID MATERIAL]]="","","PZ")</f>
        <v/>
      </c>
      <c r="H2877" s="7" t="str">
        <f>IF(Plantilla_SCAN_EQ3_COUNT_2[[#This Row],[ID MATERIAL]]="","",$B$13)</f>
        <v/>
      </c>
      <c r="I2877" s="7" t="str">
        <f>IF(Plantilla_SCAN_EQ3_COUNT_2[[#This Row],[ID MATERIAL]]="","","Segundo Conteo")</f>
        <v/>
      </c>
    </row>
    <row r="2878" spans="1:9" s="7" customFormat="1" ht="15" x14ac:dyDescent="0.2">
      <c r="A2878" s="7" t="str">
        <f>IF(Plantilla_SCAN_EQ3_COUNT_2[[#This Row],[ID MATERIAL]]="","",SIGN(Plantilla_SCAN_EQ3_COUNT_2[[#This Row],[Cantidad]])+A2877)</f>
        <v/>
      </c>
      <c r="B2878" s="21" t="str">
        <f>IF(Plantilla_SCAN_EQ3_COUNT_2[[#This Row],[ID MATERIAL]]="","",B2877)</f>
        <v/>
      </c>
      <c r="C2878" s="21"/>
      <c r="D2878" s="21"/>
      <c r="E2878" s="7" t="str">
        <f>IF(Plantilla_SCAN_EQ3_COUNT_2[[#This Row],[ID MATERIAL]]="","",VLOOKUP(Plantilla_SCAN_EQ3_COUNT_2[[#This Row],[ID MATERIAL]],INVENTARIO!$A:$D,2,FALSE))</f>
        <v/>
      </c>
      <c r="F2878" s="7" t="str">
        <f>IF(Plantilla_SCAN_EQ3_COUNT_2[[#This Row],[ID MATERIAL]]="","",IF(Plantilla_SCAN_EQ3_COUNT_2[[#This Row],[No. Empaques]]="",1,Plantilla_SCAN_EQ3_COUNT_2[[#This Row],[No. Empaques]]*1))</f>
        <v/>
      </c>
      <c r="G2878" s="7" t="str">
        <f>IF(Plantilla_SCAN_EQ3_COUNT_2[[#This Row],[ID MATERIAL]]="","","PZ")</f>
        <v/>
      </c>
      <c r="H2878" s="7" t="str">
        <f>IF(Plantilla_SCAN_EQ3_COUNT_2[[#This Row],[ID MATERIAL]]="","",$B$13)</f>
        <v/>
      </c>
      <c r="I2878" s="7" t="str">
        <f>IF(Plantilla_SCAN_EQ3_COUNT_2[[#This Row],[ID MATERIAL]]="","","Segundo Conteo")</f>
        <v/>
      </c>
    </row>
    <row r="2879" spans="1:9" s="7" customFormat="1" ht="15" x14ac:dyDescent="0.2">
      <c r="A2879" s="7" t="str">
        <f>IF(Plantilla_SCAN_EQ3_COUNT_2[[#This Row],[ID MATERIAL]]="","",SIGN(Plantilla_SCAN_EQ3_COUNT_2[[#This Row],[Cantidad]])+A2878)</f>
        <v/>
      </c>
      <c r="B2879" s="21" t="str">
        <f>IF(Plantilla_SCAN_EQ3_COUNT_2[[#This Row],[ID MATERIAL]]="","",B2878)</f>
        <v/>
      </c>
      <c r="C2879" s="21"/>
      <c r="D2879" s="21"/>
      <c r="E2879" s="7" t="str">
        <f>IF(Plantilla_SCAN_EQ3_COUNT_2[[#This Row],[ID MATERIAL]]="","",VLOOKUP(Plantilla_SCAN_EQ3_COUNT_2[[#This Row],[ID MATERIAL]],INVENTARIO!$A:$D,2,FALSE))</f>
        <v/>
      </c>
      <c r="F2879" s="7" t="str">
        <f>IF(Plantilla_SCAN_EQ3_COUNT_2[[#This Row],[ID MATERIAL]]="","",IF(Plantilla_SCAN_EQ3_COUNT_2[[#This Row],[No. Empaques]]="",1,Plantilla_SCAN_EQ3_COUNT_2[[#This Row],[No. Empaques]]*1))</f>
        <v/>
      </c>
      <c r="G2879" s="7" t="str">
        <f>IF(Plantilla_SCAN_EQ3_COUNT_2[[#This Row],[ID MATERIAL]]="","","PZ")</f>
        <v/>
      </c>
      <c r="H2879" s="7" t="str">
        <f>IF(Plantilla_SCAN_EQ3_COUNT_2[[#This Row],[ID MATERIAL]]="","",$B$13)</f>
        <v/>
      </c>
      <c r="I2879" s="7" t="str">
        <f>IF(Plantilla_SCAN_EQ3_COUNT_2[[#This Row],[ID MATERIAL]]="","","Segundo Conteo")</f>
        <v/>
      </c>
    </row>
    <row r="2880" spans="1:9" s="7" customFormat="1" ht="15" x14ac:dyDescent="0.2">
      <c r="A2880" s="7" t="str">
        <f>IF(Plantilla_SCAN_EQ3_COUNT_2[[#This Row],[ID MATERIAL]]="","",SIGN(Plantilla_SCAN_EQ3_COUNT_2[[#This Row],[Cantidad]])+A2879)</f>
        <v/>
      </c>
      <c r="B2880" s="21" t="str">
        <f>IF(Plantilla_SCAN_EQ3_COUNT_2[[#This Row],[ID MATERIAL]]="","",B2879)</f>
        <v/>
      </c>
      <c r="C2880" s="21"/>
      <c r="D2880" s="21"/>
      <c r="E2880" s="7" t="str">
        <f>IF(Plantilla_SCAN_EQ3_COUNT_2[[#This Row],[ID MATERIAL]]="","",VLOOKUP(Plantilla_SCAN_EQ3_COUNT_2[[#This Row],[ID MATERIAL]],INVENTARIO!$A:$D,2,FALSE))</f>
        <v/>
      </c>
      <c r="F2880" s="7" t="str">
        <f>IF(Plantilla_SCAN_EQ3_COUNT_2[[#This Row],[ID MATERIAL]]="","",IF(Plantilla_SCAN_EQ3_COUNT_2[[#This Row],[No. Empaques]]="",1,Plantilla_SCAN_EQ3_COUNT_2[[#This Row],[No. Empaques]]*1))</f>
        <v/>
      </c>
      <c r="G2880" s="7" t="str">
        <f>IF(Plantilla_SCAN_EQ3_COUNT_2[[#This Row],[ID MATERIAL]]="","","PZ")</f>
        <v/>
      </c>
      <c r="H2880" s="7" t="str">
        <f>IF(Plantilla_SCAN_EQ3_COUNT_2[[#This Row],[ID MATERIAL]]="","",$B$13)</f>
        <v/>
      </c>
      <c r="I2880" s="7" t="str">
        <f>IF(Plantilla_SCAN_EQ3_COUNT_2[[#This Row],[ID MATERIAL]]="","","Segundo Conteo")</f>
        <v/>
      </c>
    </row>
    <row r="2881" spans="1:9" s="7" customFormat="1" ht="15" x14ac:dyDescent="0.2">
      <c r="A2881" s="7" t="str">
        <f>IF(Plantilla_SCAN_EQ3_COUNT_2[[#This Row],[ID MATERIAL]]="","",SIGN(Plantilla_SCAN_EQ3_COUNT_2[[#This Row],[Cantidad]])+A2880)</f>
        <v/>
      </c>
      <c r="B2881" s="21" t="str">
        <f>IF(Plantilla_SCAN_EQ3_COUNT_2[[#This Row],[ID MATERIAL]]="","",B2880)</f>
        <v/>
      </c>
      <c r="C2881" s="21"/>
      <c r="D2881" s="21"/>
      <c r="E2881" s="7" t="str">
        <f>IF(Plantilla_SCAN_EQ3_COUNT_2[[#This Row],[ID MATERIAL]]="","",VLOOKUP(Plantilla_SCAN_EQ3_COUNT_2[[#This Row],[ID MATERIAL]],INVENTARIO!$A:$D,2,FALSE))</f>
        <v/>
      </c>
      <c r="F2881" s="7" t="str">
        <f>IF(Plantilla_SCAN_EQ3_COUNT_2[[#This Row],[ID MATERIAL]]="","",IF(Plantilla_SCAN_EQ3_COUNT_2[[#This Row],[No. Empaques]]="",1,Plantilla_SCAN_EQ3_COUNT_2[[#This Row],[No. Empaques]]*1))</f>
        <v/>
      </c>
      <c r="G2881" s="7" t="str">
        <f>IF(Plantilla_SCAN_EQ3_COUNT_2[[#This Row],[ID MATERIAL]]="","","PZ")</f>
        <v/>
      </c>
      <c r="H2881" s="7" t="str">
        <f>IF(Plantilla_SCAN_EQ3_COUNT_2[[#This Row],[ID MATERIAL]]="","",$B$13)</f>
        <v/>
      </c>
      <c r="I2881" s="7" t="str">
        <f>IF(Plantilla_SCAN_EQ3_COUNT_2[[#This Row],[ID MATERIAL]]="","","Segundo Conteo")</f>
        <v/>
      </c>
    </row>
    <row r="2882" spans="1:9" s="7" customFormat="1" ht="15" x14ac:dyDescent="0.2">
      <c r="A2882" s="7" t="str">
        <f>IF(Plantilla_SCAN_EQ3_COUNT_2[[#This Row],[ID MATERIAL]]="","",SIGN(Plantilla_SCAN_EQ3_COUNT_2[[#This Row],[Cantidad]])+A2881)</f>
        <v/>
      </c>
      <c r="B2882" s="21" t="str">
        <f>IF(Plantilla_SCAN_EQ3_COUNT_2[[#This Row],[ID MATERIAL]]="","",B2881)</f>
        <v/>
      </c>
      <c r="C2882" s="21"/>
      <c r="D2882" s="21"/>
      <c r="E2882" s="7" t="str">
        <f>IF(Plantilla_SCAN_EQ3_COUNT_2[[#This Row],[ID MATERIAL]]="","",VLOOKUP(Plantilla_SCAN_EQ3_COUNT_2[[#This Row],[ID MATERIAL]],INVENTARIO!$A:$D,2,FALSE))</f>
        <v/>
      </c>
      <c r="F2882" s="7" t="str">
        <f>IF(Plantilla_SCAN_EQ3_COUNT_2[[#This Row],[ID MATERIAL]]="","",IF(Plantilla_SCAN_EQ3_COUNT_2[[#This Row],[No. Empaques]]="",1,Plantilla_SCAN_EQ3_COUNT_2[[#This Row],[No. Empaques]]*1))</f>
        <v/>
      </c>
      <c r="G2882" s="7" t="str">
        <f>IF(Plantilla_SCAN_EQ3_COUNT_2[[#This Row],[ID MATERIAL]]="","","PZ")</f>
        <v/>
      </c>
      <c r="H2882" s="7" t="str">
        <f>IF(Plantilla_SCAN_EQ3_COUNT_2[[#This Row],[ID MATERIAL]]="","",$B$13)</f>
        <v/>
      </c>
      <c r="I2882" s="7" t="str">
        <f>IF(Plantilla_SCAN_EQ3_COUNT_2[[#This Row],[ID MATERIAL]]="","","Segundo Conteo")</f>
        <v/>
      </c>
    </row>
    <row r="2883" spans="1:9" s="7" customFormat="1" ht="15" x14ac:dyDescent="0.2">
      <c r="A2883" s="7" t="str">
        <f>IF(Plantilla_SCAN_EQ3_COUNT_2[[#This Row],[ID MATERIAL]]="","",SIGN(Plantilla_SCAN_EQ3_COUNT_2[[#This Row],[Cantidad]])+A2882)</f>
        <v/>
      </c>
      <c r="B2883" s="21" t="str">
        <f>IF(Plantilla_SCAN_EQ3_COUNT_2[[#This Row],[ID MATERIAL]]="","",B2882)</f>
        <v/>
      </c>
      <c r="C2883" s="21"/>
      <c r="D2883" s="21"/>
      <c r="E2883" s="7" t="str">
        <f>IF(Plantilla_SCAN_EQ3_COUNT_2[[#This Row],[ID MATERIAL]]="","",VLOOKUP(Plantilla_SCAN_EQ3_COUNT_2[[#This Row],[ID MATERIAL]],INVENTARIO!$A:$D,2,FALSE))</f>
        <v/>
      </c>
      <c r="F2883" s="7" t="str">
        <f>IF(Plantilla_SCAN_EQ3_COUNT_2[[#This Row],[ID MATERIAL]]="","",IF(Plantilla_SCAN_EQ3_COUNT_2[[#This Row],[No. Empaques]]="",1,Plantilla_SCAN_EQ3_COUNT_2[[#This Row],[No. Empaques]]*1))</f>
        <v/>
      </c>
      <c r="G2883" s="7" t="str">
        <f>IF(Plantilla_SCAN_EQ3_COUNT_2[[#This Row],[ID MATERIAL]]="","","PZ")</f>
        <v/>
      </c>
      <c r="H2883" s="7" t="str">
        <f>IF(Plantilla_SCAN_EQ3_COUNT_2[[#This Row],[ID MATERIAL]]="","",$B$13)</f>
        <v/>
      </c>
      <c r="I2883" s="7" t="str">
        <f>IF(Plantilla_SCAN_EQ3_COUNT_2[[#This Row],[ID MATERIAL]]="","","Segundo Conteo")</f>
        <v/>
      </c>
    </row>
    <row r="2884" spans="1:9" s="7" customFormat="1" ht="15" x14ac:dyDescent="0.2">
      <c r="A2884" s="7" t="str">
        <f>IF(Plantilla_SCAN_EQ3_COUNT_2[[#This Row],[ID MATERIAL]]="","",SIGN(Plantilla_SCAN_EQ3_COUNT_2[[#This Row],[Cantidad]])+A2883)</f>
        <v/>
      </c>
      <c r="B2884" s="21" t="str">
        <f>IF(Plantilla_SCAN_EQ3_COUNT_2[[#This Row],[ID MATERIAL]]="","",B2883)</f>
        <v/>
      </c>
      <c r="C2884" s="21"/>
      <c r="D2884" s="21"/>
      <c r="E2884" s="7" t="str">
        <f>IF(Plantilla_SCAN_EQ3_COUNT_2[[#This Row],[ID MATERIAL]]="","",VLOOKUP(Plantilla_SCAN_EQ3_COUNT_2[[#This Row],[ID MATERIAL]],INVENTARIO!$A:$D,2,FALSE))</f>
        <v/>
      </c>
      <c r="F2884" s="7" t="str">
        <f>IF(Plantilla_SCAN_EQ3_COUNT_2[[#This Row],[ID MATERIAL]]="","",IF(Plantilla_SCAN_EQ3_COUNT_2[[#This Row],[No. Empaques]]="",1,Plantilla_SCAN_EQ3_COUNT_2[[#This Row],[No. Empaques]]*1))</f>
        <v/>
      </c>
      <c r="G2884" s="7" t="str">
        <f>IF(Plantilla_SCAN_EQ3_COUNT_2[[#This Row],[ID MATERIAL]]="","","PZ")</f>
        <v/>
      </c>
      <c r="H2884" s="7" t="str">
        <f>IF(Plantilla_SCAN_EQ3_COUNT_2[[#This Row],[ID MATERIAL]]="","",$B$13)</f>
        <v/>
      </c>
      <c r="I2884" s="7" t="str">
        <f>IF(Plantilla_SCAN_EQ3_COUNT_2[[#This Row],[ID MATERIAL]]="","","Segundo Conteo")</f>
        <v/>
      </c>
    </row>
    <row r="2885" spans="1:9" s="7" customFormat="1" ht="15" x14ac:dyDescent="0.2">
      <c r="A2885" s="7" t="str">
        <f>IF(Plantilla_SCAN_EQ3_COUNT_2[[#This Row],[ID MATERIAL]]="","",SIGN(Plantilla_SCAN_EQ3_COUNT_2[[#This Row],[Cantidad]])+A2884)</f>
        <v/>
      </c>
      <c r="B2885" s="21" t="str">
        <f>IF(Plantilla_SCAN_EQ3_COUNT_2[[#This Row],[ID MATERIAL]]="","",B2884)</f>
        <v/>
      </c>
      <c r="C2885" s="21"/>
      <c r="D2885" s="21"/>
      <c r="E2885" s="7" t="str">
        <f>IF(Plantilla_SCAN_EQ3_COUNT_2[[#This Row],[ID MATERIAL]]="","",VLOOKUP(Plantilla_SCAN_EQ3_COUNT_2[[#This Row],[ID MATERIAL]],INVENTARIO!$A:$D,2,FALSE))</f>
        <v/>
      </c>
      <c r="F2885" s="7" t="str">
        <f>IF(Plantilla_SCAN_EQ3_COUNT_2[[#This Row],[ID MATERIAL]]="","",IF(Plantilla_SCAN_EQ3_COUNT_2[[#This Row],[No. Empaques]]="",1,Plantilla_SCAN_EQ3_COUNT_2[[#This Row],[No. Empaques]]*1))</f>
        <v/>
      </c>
      <c r="G2885" s="7" t="str">
        <f>IF(Plantilla_SCAN_EQ3_COUNT_2[[#This Row],[ID MATERIAL]]="","","PZ")</f>
        <v/>
      </c>
      <c r="H2885" s="7" t="str">
        <f>IF(Plantilla_SCAN_EQ3_COUNT_2[[#This Row],[ID MATERIAL]]="","",$B$13)</f>
        <v/>
      </c>
      <c r="I2885" s="7" t="str">
        <f>IF(Plantilla_SCAN_EQ3_COUNT_2[[#This Row],[ID MATERIAL]]="","","Segundo Conteo")</f>
        <v/>
      </c>
    </row>
    <row r="2886" spans="1:9" s="7" customFormat="1" ht="15" x14ac:dyDescent="0.2">
      <c r="A2886" s="7" t="str">
        <f>IF(Plantilla_SCAN_EQ3_COUNT_2[[#This Row],[ID MATERIAL]]="","",SIGN(Plantilla_SCAN_EQ3_COUNT_2[[#This Row],[Cantidad]])+A2885)</f>
        <v/>
      </c>
      <c r="B2886" s="21" t="str">
        <f>IF(Plantilla_SCAN_EQ3_COUNT_2[[#This Row],[ID MATERIAL]]="","",B2885)</f>
        <v/>
      </c>
      <c r="C2886" s="21"/>
      <c r="D2886" s="21"/>
      <c r="E2886" s="7" t="str">
        <f>IF(Plantilla_SCAN_EQ3_COUNT_2[[#This Row],[ID MATERIAL]]="","",VLOOKUP(Plantilla_SCAN_EQ3_COUNT_2[[#This Row],[ID MATERIAL]],INVENTARIO!$A:$D,2,FALSE))</f>
        <v/>
      </c>
      <c r="F2886" s="7" t="str">
        <f>IF(Plantilla_SCAN_EQ3_COUNT_2[[#This Row],[ID MATERIAL]]="","",IF(Plantilla_SCAN_EQ3_COUNT_2[[#This Row],[No. Empaques]]="",1,Plantilla_SCAN_EQ3_COUNT_2[[#This Row],[No. Empaques]]*1))</f>
        <v/>
      </c>
      <c r="G2886" s="7" t="str">
        <f>IF(Plantilla_SCAN_EQ3_COUNT_2[[#This Row],[ID MATERIAL]]="","","PZ")</f>
        <v/>
      </c>
      <c r="H2886" s="7" t="str">
        <f>IF(Plantilla_SCAN_EQ3_COUNT_2[[#This Row],[ID MATERIAL]]="","",$B$13)</f>
        <v/>
      </c>
      <c r="I2886" s="7" t="str">
        <f>IF(Plantilla_SCAN_EQ3_COUNT_2[[#This Row],[ID MATERIAL]]="","","Segundo Conteo")</f>
        <v/>
      </c>
    </row>
    <row r="2887" spans="1:9" s="7" customFormat="1" ht="15" x14ac:dyDescent="0.2">
      <c r="A2887" s="7" t="str">
        <f>IF(Plantilla_SCAN_EQ3_COUNT_2[[#This Row],[ID MATERIAL]]="","",SIGN(Plantilla_SCAN_EQ3_COUNT_2[[#This Row],[Cantidad]])+A2886)</f>
        <v/>
      </c>
      <c r="B2887" s="21" t="str">
        <f>IF(Plantilla_SCAN_EQ3_COUNT_2[[#This Row],[ID MATERIAL]]="","",B2886)</f>
        <v/>
      </c>
      <c r="C2887" s="21"/>
      <c r="D2887" s="21"/>
      <c r="E2887" s="7" t="str">
        <f>IF(Plantilla_SCAN_EQ3_COUNT_2[[#This Row],[ID MATERIAL]]="","",VLOOKUP(Plantilla_SCAN_EQ3_COUNT_2[[#This Row],[ID MATERIAL]],INVENTARIO!$A:$D,2,FALSE))</f>
        <v/>
      </c>
      <c r="F2887" s="7" t="str">
        <f>IF(Plantilla_SCAN_EQ3_COUNT_2[[#This Row],[ID MATERIAL]]="","",IF(Plantilla_SCAN_EQ3_COUNT_2[[#This Row],[No. Empaques]]="",1,Plantilla_SCAN_EQ3_COUNT_2[[#This Row],[No. Empaques]]*1))</f>
        <v/>
      </c>
      <c r="G2887" s="7" t="str">
        <f>IF(Plantilla_SCAN_EQ3_COUNT_2[[#This Row],[ID MATERIAL]]="","","PZ")</f>
        <v/>
      </c>
      <c r="H2887" s="7" t="str">
        <f>IF(Plantilla_SCAN_EQ3_COUNT_2[[#This Row],[ID MATERIAL]]="","",$B$13)</f>
        <v/>
      </c>
      <c r="I2887" s="7" t="str">
        <f>IF(Plantilla_SCAN_EQ3_COUNT_2[[#This Row],[ID MATERIAL]]="","","Segundo Conteo")</f>
        <v/>
      </c>
    </row>
    <row r="2888" spans="1:9" s="7" customFormat="1" ht="15" x14ac:dyDescent="0.2">
      <c r="A2888" s="7" t="str">
        <f>IF(Plantilla_SCAN_EQ3_COUNT_2[[#This Row],[ID MATERIAL]]="","",SIGN(Plantilla_SCAN_EQ3_COUNT_2[[#This Row],[Cantidad]])+A2887)</f>
        <v/>
      </c>
      <c r="B2888" s="21" t="str">
        <f>IF(Plantilla_SCAN_EQ3_COUNT_2[[#This Row],[ID MATERIAL]]="","",B2887)</f>
        <v/>
      </c>
      <c r="C2888" s="21"/>
      <c r="D2888" s="21"/>
      <c r="E2888" s="7" t="str">
        <f>IF(Plantilla_SCAN_EQ3_COUNT_2[[#This Row],[ID MATERIAL]]="","",VLOOKUP(Plantilla_SCAN_EQ3_COUNT_2[[#This Row],[ID MATERIAL]],INVENTARIO!$A:$D,2,FALSE))</f>
        <v/>
      </c>
      <c r="F2888" s="7" t="str">
        <f>IF(Plantilla_SCAN_EQ3_COUNT_2[[#This Row],[ID MATERIAL]]="","",IF(Plantilla_SCAN_EQ3_COUNT_2[[#This Row],[No. Empaques]]="",1,Plantilla_SCAN_EQ3_COUNT_2[[#This Row],[No. Empaques]]*1))</f>
        <v/>
      </c>
      <c r="G2888" s="7" t="str">
        <f>IF(Plantilla_SCAN_EQ3_COUNT_2[[#This Row],[ID MATERIAL]]="","","PZ")</f>
        <v/>
      </c>
      <c r="H2888" s="7" t="str">
        <f>IF(Plantilla_SCAN_EQ3_COUNT_2[[#This Row],[ID MATERIAL]]="","",$B$13)</f>
        <v/>
      </c>
      <c r="I2888" s="7" t="str">
        <f>IF(Plantilla_SCAN_EQ3_COUNT_2[[#This Row],[ID MATERIAL]]="","","Segundo Conteo")</f>
        <v/>
      </c>
    </row>
    <row r="2889" spans="1:9" s="7" customFormat="1" ht="15" x14ac:dyDescent="0.2">
      <c r="A2889" s="7" t="str">
        <f>IF(Plantilla_SCAN_EQ3_COUNT_2[[#This Row],[ID MATERIAL]]="","",SIGN(Plantilla_SCAN_EQ3_COUNT_2[[#This Row],[Cantidad]])+A2888)</f>
        <v/>
      </c>
      <c r="B2889" s="21" t="str">
        <f>IF(Plantilla_SCAN_EQ3_COUNT_2[[#This Row],[ID MATERIAL]]="","",B2888)</f>
        <v/>
      </c>
      <c r="C2889" s="21"/>
      <c r="D2889" s="21"/>
      <c r="E2889" s="7" t="str">
        <f>IF(Plantilla_SCAN_EQ3_COUNT_2[[#This Row],[ID MATERIAL]]="","",VLOOKUP(Plantilla_SCAN_EQ3_COUNT_2[[#This Row],[ID MATERIAL]],INVENTARIO!$A:$D,2,FALSE))</f>
        <v/>
      </c>
      <c r="F2889" s="7" t="str">
        <f>IF(Plantilla_SCAN_EQ3_COUNT_2[[#This Row],[ID MATERIAL]]="","",IF(Plantilla_SCAN_EQ3_COUNT_2[[#This Row],[No. Empaques]]="",1,Plantilla_SCAN_EQ3_COUNT_2[[#This Row],[No. Empaques]]*1))</f>
        <v/>
      </c>
      <c r="G2889" s="7" t="str">
        <f>IF(Plantilla_SCAN_EQ3_COUNT_2[[#This Row],[ID MATERIAL]]="","","PZ")</f>
        <v/>
      </c>
      <c r="H2889" s="7" t="str">
        <f>IF(Plantilla_SCAN_EQ3_COUNT_2[[#This Row],[ID MATERIAL]]="","",$B$13)</f>
        <v/>
      </c>
      <c r="I2889" s="7" t="str">
        <f>IF(Plantilla_SCAN_EQ3_COUNT_2[[#This Row],[ID MATERIAL]]="","","Segundo Conteo")</f>
        <v/>
      </c>
    </row>
    <row r="2890" spans="1:9" s="7" customFormat="1" ht="15" x14ac:dyDescent="0.2">
      <c r="A2890" s="7" t="str">
        <f>IF(Plantilla_SCAN_EQ3_COUNT_2[[#This Row],[ID MATERIAL]]="","",SIGN(Plantilla_SCAN_EQ3_COUNT_2[[#This Row],[Cantidad]])+A2889)</f>
        <v/>
      </c>
      <c r="B2890" s="21" t="str">
        <f>IF(Plantilla_SCAN_EQ3_COUNT_2[[#This Row],[ID MATERIAL]]="","",B2889)</f>
        <v/>
      </c>
      <c r="C2890" s="21"/>
      <c r="D2890" s="21"/>
      <c r="E2890" s="7" t="str">
        <f>IF(Plantilla_SCAN_EQ3_COUNT_2[[#This Row],[ID MATERIAL]]="","",VLOOKUP(Plantilla_SCAN_EQ3_COUNT_2[[#This Row],[ID MATERIAL]],INVENTARIO!$A:$D,2,FALSE))</f>
        <v/>
      </c>
      <c r="F2890" s="7" t="str">
        <f>IF(Plantilla_SCAN_EQ3_COUNT_2[[#This Row],[ID MATERIAL]]="","",IF(Plantilla_SCAN_EQ3_COUNT_2[[#This Row],[No. Empaques]]="",1,Plantilla_SCAN_EQ3_COUNT_2[[#This Row],[No. Empaques]]*1))</f>
        <v/>
      </c>
      <c r="G2890" s="7" t="str">
        <f>IF(Plantilla_SCAN_EQ3_COUNT_2[[#This Row],[ID MATERIAL]]="","","PZ")</f>
        <v/>
      </c>
      <c r="H2890" s="7" t="str">
        <f>IF(Plantilla_SCAN_EQ3_COUNT_2[[#This Row],[ID MATERIAL]]="","",$B$13)</f>
        <v/>
      </c>
      <c r="I2890" s="7" t="str">
        <f>IF(Plantilla_SCAN_EQ3_COUNT_2[[#This Row],[ID MATERIAL]]="","","Segundo Conteo")</f>
        <v/>
      </c>
    </row>
    <row r="2891" spans="1:9" s="7" customFormat="1" ht="15" x14ac:dyDescent="0.2">
      <c r="A2891" s="7" t="str">
        <f>IF(Plantilla_SCAN_EQ3_COUNT_2[[#This Row],[ID MATERIAL]]="","",SIGN(Plantilla_SCAN_EQ3_COUNT_2[[#This Row],[Cantidad]])+A2890)</f>
        <v/>
      </c>
      <c r="B2891" s="21" t="str">
        <f>IF(Plantilla_SCAN_EQ3_COUNT_2[[#This Row],[ID MATERIAL]]="","",B2890)</f>
        <v/>
      </c>
      <c r="C2891" s="21"/>
      <c r="D2891" s="21"/>
      <c r="E2891" s="7" t="str">
        <f>IF(Plantilla_SCAN_EQ3_COUNT_2[[#This Row],[ID MATERIAL]]="","",VLOOKUP(Plantilla_SCAN_EQ3_COUNT_2[[#This Row],[ID MATERIAL]],INVENTARIO!$A:$D,2,FALSE))</f>
        <v/>
      </c>
      <c r="F2891" s="7" t="str">
        <f>IF(Plantilla_SCAN_EQ3_COUNT_2[[#This Row],[ID MATERIAL]]="","",IF(Plantilla_SCAN_EQ3_COUNT_2[[#This Row],[No. Empaques]]="",1,Plantilla_SCAN_EQ3_COUNT_2[[#This Row],[No. Empaques]]*1))</f>
        <v/>
      </c>
      <c r="G2891" s="7" t="str">
        <f>IF(Plantilla_SCAN_EQ3_COUNT_2[[#This Row],[ID MATERIAL]]="","","PZ")</f>
        <v/>
      </c>
      <c r="H2891" s="7" t="str">
        <f>IF(Plantilla_SCAN_EQ3_COUNT_2[[#This Row],[ID MATERIAL]]="","",$B$13)</f>
        <v/>
      </c>
      <c r="I2891" s="7" t="str">
        <f>IF(Plantilla_SCAN_EQ3_COUNT_2[[#This Row],[ID MATERIAL]]="","","Segundo Conteo")</f>
        <v/>
      </c>
    </row>
    <row r="2892" spans="1:9" s="7" customFormat="1" ht="15" x14ac:dyDescent="0.2">
      <c r="A2892" s="7" t="str">
        <f>IF(Plantilla_SCAN_EQ3_COUNT_2[[#This Row],[ID MATERIAL]]="","",SIGN(Plantilla_SCAN_EQ3_COUNT_2[[#This Row],[Cantidad]])+A2891)</f>
        <v/>
      </c>
      <c r="B2892" s="21" t="str">
        <f>IF(Plantilla_SCAN_EQ3_COUNT_2[[#This Row],[ID MATERIAL]]="","",B2891)</f>
        <v/>
      </c>
      <c r="C2892" s="21"/>
      <c r="D2892" s="21"/>
      <c r="E2892" s="7" t="str">
        <f>IF(Plantilla_SCAN_EQ3_COUNT_2[[#This Row],[ID MATERIAL]]="","",VLOOKUP(Plantilla_SCAN_EQ3_COUNT_2[[#This Row],[ID MATERIAL]],INVENTARIO!$A:$D,2,FALSE))</f>
        <v/>
      </c>
      <c r="F2892" s="7" t="str">
        <f>IF(Plantilla_SCAN_EQ3_COUNT_2[[#This Row],[ID MATERIAL]]="","",IF(Plantilla_SCAN_EQ3_COUNT_2[[#This Row],[No. Empaques]]="",1,Plantilla_SCAN_EQ3_COUNT_2[[#This Row],[No. Empaques]]*1))</f>
        <v/>
      </c>
      <c r="G2892" s="7" t="str">
        <f>IF(Plantilla_SCAN_EQ3_COUNT_2[[#This Row],[ID MATERIAL]]="","","PZ")</f>
        <v/>
      </c>
      <c r="H2892" s="7" t="str">
        <f>IF(Plantilla_SCAN_EQ3_COUNT_2[[#This Row],[ID MATERIAL]]="","",$B$13)</f>
        <v/>
      </c>
      <c r="I2892" s="7" t="str">
        <f>IF(Plantilla_SCAN_EQ3_COUNT_2[[#This Row],[ID MATERIAL]]="","","Segundo Conteo")</f>
        <v/>
      </c>
    </row>
    <row r="2893" spans="1:9" s="7" customFormat="1" ht="15" x14ac:dyDescent="0.2">
      <c r="A2893" s="7" t="str">
        <f>IF(Plantilla_SCAN_EQ3_COUNT_2[[#This Row],[ID MATERIAL]]="","",SIGN(Plantilla_SCAN_EQ3_COUNT_2[[#This Row],[Cantidad]])+A2892)</f>
        <v/>
      </c>
      <c r="B2893" s="21" t="str">
        <f>IF(Plantilla_SCAN_EQ3_COUNT_2[[#This Row],[ID MATERIAL]]="","",B2892)</f>
        <v/>
      </c>
      <c r="C2893" s="21"/>
      <c r="D2893" s="21"/>
      <c r="E2893" s="7" t="str">
        <f>IF(Plantilla_SCAN_EQ3_COUNT_2[[#This Row],[ID MATERIAL]]="","",VLOOKUP(Plantilla_SCAN_EQ3_COUNT_2[[#This Row],[ID MATERIAL]],INVENTARIO!$A:$D,2,FALSE))</f>
        <v/>
      </c>
      <c r="F2893" s="7" t="str">
        <f>IF(Plantilla_SCAN_EQ3_COUNT_2[[#This Row],[ID MATERIAL]]="","",IF(Plantilla_SCAN_EQ3_COUNT_2[[#This Row],[No. Empaques]]="",1,Plantilla_SCAN_EQ3_COUNT_2[[#This Row],[No. Empaques]]*1))</f>
        <v/>
      </c>
      <c r="G2893" s="7" t="str">
        <f>IF(Plantilla_SCAN_EQ3_COUNT_2[[#This Row],[ID MATERIAL]]="","","PZ")</f>
        <v/>
      </c>
      <c r="H2893" s="7" t="str">
        <f>IF(Plantilla_SCAN_EQ3_COUNT_2[[#This Row],[ID MATERIAL]]="","",$B$13)</f>
        <v/>
      </c>
      <c r="I2893" s="7" t="str">
        <f>IF(Plantilla_SCAN_EQ3_COUNT_2[[#This Row],[ID MATERIAL]]="","","Segundo Conteo")</f>
        <v/>
      </c>
    </row>
    <row r="2894" spans="1:9" s="7" customFormat="1" ht="15" x14ac:dyDescent="0.2">
      <c r="A2894" s="7" t="str">
        <f>IF(Plantilla_SCAN_EQ3_COUNT_2[[#This Row],[ID MATERIAL]]="","",SIGN(Plantilla_SCAN_EQ3_COUNT_2[[#This Row],[Cantidad]])+A2893)</f>
        <v/>
      </c>
      <c r="B2894" s="21" t="str">
        <f>IF(Plantilla_SCAN_EQ3_COUNT_2[[#This Row],[ID MATERIAL]]="","",B2893)</f>
        <v/>
      </c>
      <c r="C2894" s="21"/>
      <c r="D2894" s="21"/>
      <c r="E2894" s="7" t="str">
        <f>IF(Plantilla_SCAN_EQ3_COUNT_2[[#This Row],[ID MATERIAL]]="","",VLOOKUP(Plantilla_SCAN_EQ3_COUNT_2[[#This Row],[ID MATERIAL]],INVENTARIO!$A:$D,2,FALSE))</f>
        <v/>
      </c>
      <c r="F2894" s="7" t="str">
        <f>IF(Plantilla_SCAN_EQ3_COUNT_2[[#This Row],[ID MATERIAL]]="","",IF(Plantilla_SCAN_EQ3_COUNT_2[[#This Row],[No. Empaques]]="",1,Plantilla_SCAN_EQ3_COUNT_2[[#This Row],[No. Empaques]]*1))</f>
        <v/>
      </c>
      <c r="G2894" s="7" t="str">
        <f>IF(Plantilla_SCAN_EQ3_COUNT_2[[#This Row],[ID MATERIAL]]="","","PZ")</f>
        <v/>
      </c>
      <c r="H2894" s="7" t="str">
        <f>IF(Plantilla_SCAN_EQ3_COUNT_2[[#This Row],[ID MATERIAL]]="","",$B$13)</f>
        <v/>
      </c>
      <c r="I2894" s="7" t="str">
        <f>IF(Plantilla_SCAN_EQ3_COUNT_2[[#This Row],[ID MATERIAL]]="","","Segundo Conteo")</f>
        <v/>
      </c>
    </row>
    <row r="2895" spans="1:9" s="7" customFormat="1" ht="15" x14ac:dyDescent="0.2">
      <c r="A2895" s="7" t="str">
        <f>IF(Plantilla_SCAN_EQ3_COUNT_2[[#This Row],[ID MATERIAL]]="","",SIGN(Plantilla_SCAN_EQ3_COUNT_2[[#This Row],[Cantidad]])+A2894)</f>
        <v/>
      </c>
      <c r="B2895" s="21" t="str">
        <f>IF(Plantilla_SCAN_EQ3_COUNT_2[[#This Row],[ID MATERIAL]]="","",B2894)</f>
        <v/>
      </c>
      <c r="C2895" s="21"/>
      <c r="D2895" s="21"/>
      <c r="E2895" s="7" t="str">
        <f>IF(Plantilla_SCAN_EQ3_COUNT_2[[#This Row],[ID MATERIAL]]="","",VLOOKUP(Plantilla_SCAN_EQ3_COUNT_2[[#This Row],[ID MATERIAL]],INVENTARIO!$A:$D,2,FALSE))</f>
        <v/>
      </c>
      <c r="F2895" s="7" t="str">
        <f>IF(Plantilla_SCAN_EQ3_COUNT_2[[#This Row],[ID MATERIAL]]="","",IF(Plantilla_SCAN_EQ3_COUNT_2[[#This Row],[No. Empaques]]="",1,Plantilla_SCAN_EQ3_COUNT_2[[#This Row],[No. Empaques]]*1))</f>
        <v/>
      </c>
      <c r="G2895" s="7" t="str">
        <f>IF(Plantilla_SCAN_EQ3_COUNT_2[[#This Row],[ID MATERIAL]]="","","PZ")</f>
        <v/>
      </c>
      <c r="H2895" s="7" t="str">
        <f>IF(Plantilla_SCAN_EQ3_COUNT_2[[#This Row],[ID MATERIAL]]="","",$B$13)</f>
        <v/>
      </c>
      <c r="I2895" s="7" t="str">
        <f>IF(Plantilla_SCAN_EQ3_COUNT_2[[#This Row],[ID MATERIAL]]="","","Segundo Conteo")</f>
        <v/>
      </c>
    </row>
    <row r="2896" spans="1:9" s="7" customFormat="1" ht="15" x14ac:dyDescent="0.2">
      <c r="A2896" s="7" t="str">
        <f>IF(Plantilla_SCAN_EQ3_COUNT_2[[#This Row],[ID MATERIAL]]="","",SIGN(Plantilla_SCAN_EQ3_COUNT_2[[#This Row],[Cantidad]])+A2895)</f>
        <v/>
      </c>
      <c r="B2896" s="21" t="str">
        <f>IF(Plantilla_SCAN_EQ3_COUNT_2[[#This Row],[ID MATERIAL]]="","",B2895)</f>
        <v/>
      </c>
      <c r="C2896" s="21"/>
      <c r="D2896" s="21"/>
      <c r="E2896" s="7" t="str">
        <f>IF(Plantilla_SCAN_EQ3_COUNT_2[[#This Row],[ID MATERIAL]]="","",VLOOKUP(Plantilla_SCAN_EQ3_COUNT_2[[#This Row],[ID MATERIAL]],INVENTARIO!$A:$D,2,FALSE))</f>
        <v/>
      </c>
      <c r="F2896" s="7" t="str">
        <f>IF(Plantilla_SCAN_EQ3_COUNT_2[[#This Row],[ID MATERIAL]]="","",IF(Plantilla_SCAN_EQ3_COUNT_2[[#This Row],[No. Empaques]]="",1,Plantilla_SCAN_EQ3_COUNT_2[[#This Row],[No. Empaques]]*1))</f>
        <v/>
      </c>
      <c r="G2896" s="7" t="str">
        <f>IF(Plantilla_SCAN_EQ3_COUNT_2[[#This Row],[ID MATERIAL]]="","","PZ")</f>
        <v/>
      </c>
      <c r="H2896" s="7" t="str">
        <f>IF(Plantilla_SCAN_EQ3_COUNT_2[[#This Row],[ID MATERIAL]]="","",$B$13)</f>
        <v/>
      </c>
      <c r="I2896" s="7" t="str">
        <f>IF(Plantilla_SCAN_EQ3_COUNT_2[[#This Row],[ID MATERIAL]]="","","Segundo Conteo")</f>
        <v/>
      </c>
    </row>
    <row r="2897" spans="1:9" s="7" customFormat="1" ht="15" x14ac:dyDescent="0.2">
      <c r="A2897" s="7" t="str">
        <f>IF(Plantilla_SCAN_EQ3_COUNT_2[[#This Row],[ID MATERIAL]]="","",SIGN(Plantilla_SCAN_EQ3_COUNT_2[[#This Row],[Cantidad]])+A2896)</f>
        <v/>
      </c>
      <c r="B2897" s="21" t="str">
        <f>IF(Plantilla_SCAN_EQ3_COUNT_2[[#This Row],[ID MATERIAL]]="","",B2896)</f>
        <v/>
      </c>
      <c r="C2897" s="21"/>
      <c r="D2897" s="21"/>
      <c r="E2897" s="7" t="str">
        <f>IF(Plantilla_SCAN_EQ3_COUNT_2[[#This Row],[ID MATERIAL]]="","",VLOOKUP(Plantilla_SCAN_EQ3_COUNT_2[[#This Row],[ID MATERIAL]],INVENTARIO!$A:$D,2,FALSE))</f>
        <v/>
      </c>
      <c r="F2897" s="7" t="str">
        <f>IF(Plantilla_SCAN_EQ3_COUNT_2[[#This Row],[ID MATERIAL]]="","",IF(Plantilla_SCAN_EQ3_COUNT_2[[#This Row],[No. Empaques]]="",1,Plantilla_SCAN_EQ3_COUNT_2[[#This Row],[No. Empaques]]*1))</f>
        <v/>
      </c>
      <c r="G2897" s="7" t="str">
        <f>IF(Plantilla_SCAN_EQ3_COUNT_2[[#This Row],[ID MATERIAL]]="","","PZ")</f>
        <v/>
      </c>
      <c r="H2897" s="7" t="str">
        <f>IF(Plantilla_SCAN_EQ3_COUNT_2[[#This Row],[ID MATERIAL]]="","",$B$13)</f>
        <v/>
      </c>
      <c r="I2897" s="7" t="str">
        <f>IF(Plantilla_SCAN_EQ3_COUNT_2[[#This Row],[ID MATERIAL]]="","","Segundo Conteo")</f>
        <v/>
      </c>
    </row>
    <row r="2898" spans="1:9" s="7" customFormat="1" ht="15" x14ac:dyDescent="0.2">
      <c r="A2898" s="7" t="str">
        <f>IF(Plantilla_SCAN_EQ3_COUNT_2[[#This Row],[ID MATERIAL]]="","",SIGN(Plantilla_SCAN_EQ3_COUNT_2[[#This Row],[Cantidad]])+A2897)</f>
        <v/>
      </c>
      <c r="B2898" s="21" t="str">
        <f>IF(Plantilla_SCAN_EQ3_COUNT_2[[#This Row],[ID MATERIAL]]="","",B2897)</f>
        <v/>
      </c>
      <c r="C2898" s="21"/>
      <c r="D2898" s="21"/>
      <c r="E2898" s="7" t="str">
        <f>IF(Plantilla_SCAN_EQ3_COUNT_2[[#This Row],[ID MATERIAL]]="","",VLOOKUP(Plantilla_SCAN_EQ3_COUNT_2[[#This Row],[ID MATERIAL]],INVENTARIO!$A:$D,2,FALSE))</f>
        <v/>
      </c>
      <c r="F2898" s="7" t="str">
        <f>IF(Plantilla_SCAN_EQ3_COUNT_2[[#This Row],[ID MATERIAL]]="","",IF(Plantilla_SCAN_EQ3_COUNT_2[[#This Row],[No. Empaques]]="",1,Plantilla_SCAN_EQ3_COUNT_2[[#This Row],[No. Empaques]]*1))</f>
        <v/>
      </c>
      <c r="G2898" s="7" t="str">
        <f>IF(Plantilla_SCAN_EQ3_COUNT_2[[#This Row],[ID MATERIAL]]="","","PZ")</f>
        <v/>
      </c>
      <c r="H2898" s="7" t="str">
        <f>IF(Plantilla_SCAN_EQ3_COUNT_2[[#This Row],[ID MATERIAL]]="","",$B$13)</f>
        <v/>
      </c>
      <c r="I2898" s="7" t="str">
        <f>IF(Plantilla_SCAN_EQ3_COUNT_2[[#This Row],[ID MATERIAL]]="","","Segundo Conteo")</f>
        <v/>
      </c>
    </row>
    <row r="2899" spans="1:9" s="7" customFormat="1" ht="15" x14ac:dyDescent="0.2">
      <c r="A2899" s="7" t="str">
        <f>IF(Plantilla_SCAN_EQ3_COUNT_2[[#This Row],[ID MATERIAL]]="","",SIGN(Plantilla_SCAN_EQ3_COUNT_2[[#This Row],[Cantidad]])+A2898)</f>
        <v/>
      </c>
      <c r="B2899" s="21" t="str">
        <f>IF(Plantilla_SCAN_EQ3_COUNT_2[[#This Row],[ID MATERIAL]]="","",B2898)</f>
        <v/>
      </c>
      <c r="C2899" s="21"/>
      <c r="D2899" s="21"/>
      <c r="E2899" s="7" t="str">
        <f>IF(Plantilla_SCAN_EQ3_COUNT_2[[#This Row],[ID MATERIAL]]="","",VLOOKUP(Plantilla_SCAN_EQ3_COUNT_2[[#This Row],[ID MATERIAL]],INVENTARIO!$A:$D,2,FALSE))</f>
        <v/>
      </c>
      <c r="F2899" s="7" t="str">
        <f>IF(Plantilla_SCAN_EQ3_COUNT_2[[#This Row],[ID MATERIAL]]="","",IF(Plantilla_SCAN_EQ3_COUNT_2[[#This Row],[No. Empaques]]="",1,Plantilla_SCAN_EQ3_COUNT_2[[#This Row],[No. Empaques]]*1))</f>
        <v/>
      </c>
      <c r="G2899" s="7" t="str">
        <f>IF(Plantilla_SCAN_EQ3_COUNT_2[[#This Row],[ID MATERIAL]]="","","PZ")</f>
        <v/>
      </c>
      <c r="H2899" s="7" t="str">
        <f>IF(Plantilla_SCAN_EQ3_COUNT_2[[#This Row],[ID MATERIAL]]="","",$B$13)</f>
        <v/>
      </c>
      <c r="I2899" s="7" t="str">
        <f>IF(Plantilla_SCAN_EQ3_COUNT_2[[#This Row],[ID MATERIAL]]="","","Segundo Conteo")</f>
        <v/>
      </c>
    </row>
    <row r="2900" spans="1:9" s="7" customFormat="1" ht="15" x14ac:dyDescent="0.2">
      <c r="A2900" s="7" t="str">
        <f>IF(Plantilla_SCAN_EQ3_COUNT_2[[#This Row],[ID MATERIAL]]="","",SIGN(Plantilla_SCAN_EQ3_COUNT_2[[#This Row],[Cantidad]])+A2899)</f>
        <v/>
      </c>
      <c r="B2900" s="21" t="str">
        <f>IF(Plantilla_SCAN_EQ3_COUNT_2[[#This Row],[ID MATERIAL]]="","",B2899)</f>
        <v/>
      </c>
      <c r="C2900" s="21"/>
      <c r="D2900" s="21"/>
      <c r="E2900" s="7" t="str">
        <f>IF(Plantilla_SCAN_EQ3_COUNT_2[[#This Row],[ID MATERIAL]]="","",VLOOKUP(Plantilla_SCAN_EQ3_COUNT_2[[#This Row],[ID MATERIAL]],INVENTARIO!$A:$D,2,FALSE))</f>
        <v/>
      </c>
      <c r="F2900" s="7" t="str">
        <f>IF(Plantilla_SCAN_EQ3_COUNT_2[[#This Row],[ID MATERIAL]]="","",IF(Plantilla_SCAN_EQ3_COUNT_2[[#This Row],[No. Empaques]]="",1,Plantilla_SCAN_EQ3_COUNT_2[[#This Row],[No. Empaques]]*1))</f>
        <v/>
      </c>
      <c r="G2900" s="7" t="str">
        <f>IF(Plantilla_SCAN_EQ3_COUNT_2[[#This Row],[ID MATERIAL]]="","","PZ")</f>
        <v/>
      </c>
      <c r="H2900" s="7" t="str">
        <f>IF(Plantilla_SCAN_EQ3_COUNT_2[[#This Row],[ID MATERIAL]]="","",$B$13)</f>
        <v/>
      </c>
      <c r="I2900" s="7" t="str">
        <f>IF(Plantilla_SCAN_EQ3_COUNT_2[[#This Row],[ID MATERIAL]]="","","Segundo Conteo")</f>
        <v/>
      </c>
    </row>
    <row r="2901" spans="1:9" s="7" customFormat="1" ht="15" x14ac:dyDescent="0.2">
      <c r="A2901" s="7" t="str">
        <f>IF(Plantilla_SCAN_EQ3_COUNT_2[[#This Row],[ID MATERIAL]]="","",SIGN(Plantilla_SCAN_EQ3_COUNT_2[[#This Row],[Cantidad]])+A2900)</f>
        <v/>
      </c>
      <c r="B2901" s="21" t="str">
        <f>IF(Plantilla_SCAN_EQ3_COUNT_2[[#This Row],[ID MATERIAL]]="","",B2900)</f>
        <v/>
      </c>
      <c r="C2901" s="21"/>
      <c r="D2901" s="21"/>
      <c r="E2901" s="7" t="str">
        <f>IF(Plantilla_SCAN_EQ3_COUNT_2[[#This Row],[ID MATERIAL]]="","",VLOOKUP(Plantilla_SCAN_EQ3_COUNT_2[[#This Row],[ID MATERIAL]],INVENTARIO!$A:$D,2,FALSE))</f>
        <v/>
      </c>
      <c r="F2901" s="7" t="str">
        <f>IF(Plantilla_SCAN_EQ3_COUNT_2[[#This Row],[ID MATERIAL]]="","",IF(Plantilla_SCAN_EQ3_COUNT_2[[#This Row],[No. Empaques]]="",1,Plantilla_SCAN_EQ3_COUNT_2[[#This Row],[No. Empaques]]*1))</f>
        <v/>
      </c>
      <c r="G2901" s="7" t="str">
        <f>IF(Plantilla_SCAN_EQ3_COUNT_2[[#This Row],[ID MATERIAL]]="","","PZ")</f>
        <v/>
      </c>
      <c r="H2901" s="7" t="str">
        <f>IF(Plantilla_SCAN_EQ3_COUNT_2[[#This Row],[ID MATERIAL]]="","",$B$13)</f>
        <v/>
      </c>
      <c r="I2901" s="7" t="str">
        <f>IF(Plantilla_SCAN_EQ3_COUNT_2[[#This Row],[ID MATERIAL]]="","","Segundo Conteo")</f>
        <v/>
      </c>
    </row>
    <row r="2902" spans="1:9" s="7" customFormat="1" ht="15" x14ac:dyDescent="0.2">
      <c r="A2902" s="7" t="str">
        <f>IF(Plantilla_SCAN_EQ3_COUNT_2[[#This Row],[ID MATERIAL]]="","",SIGN(Plantilla_SCAN_EQ3_COUNT_2[[#This Row],[Cantidad]])+A2901)</f>
        <v/>
      </c>
      <c r="B2902" s="21" t="str">
        <f>IF(Plantilla_SCAN_EQ3_COUNT_2[[#This Row],[ID MATERIAL]]="","",B2901)</f>
        <v/>
      </c>
      <c r="C2902" s="21"/>
      <c r="D2902" s="21"/>
      <c r="E2902" s="7" t="str">
        <f>IF(Plantilla_SCAN_EQ3_COUNT_2[[#This Row],[ID MATERIAL]]="","",VLOOKUP(Plantilla_SCAN_EQ3_COUNT_2[[#This Row],[ID MATERIAL]],INVENTARIO!$A:$D,2,FALSE))</f>
        <v/>
      </c>
      <c r="F2902" s="7" t="str">
        <f>IF(Plantilla_SCAN_EQ3_COUNT_2[[#This Row],[ID MATERIAL]]="","",IF(Plantilla_SCAN_EQ3_COUNT_2[[#This Row],[No. Empaques]]="",1,Plantilla_SCAN_EQ3_COUNT_2[[#This Row],[No. Empaques]]*1))</f>
        <v/>
      </c>
      <c r="G2902" s="7" t="str">
        <f>IF(Plantilla_SCAN_EQ3_COUNT_2[[#This Row],[ID MATERIAL]]="","","PZ")</f>
        <v/>
      </c>
      <c r="H2902" s="7" t="str">
        <f>IF(Plantilla_SCAN_EQ3_COUNT_2[[#This Row],[ID MATERIAL]]="","",$B$13)</f>
        <v/>
      </c>
      <c r="I2902" s="7" t="str">
        <f>IF(Plantilla_SCAN_EQ3_COUNT_2[[#This Row],[ID MATERIAL]]="","","Segundo Conteo")</f>
        <v/>
      </c>
    </row>
    <row r="2903" spans="1:9" s="7" customFormat="1" ht="15" x14ac:dyDescent="0.2">
      <c r="A2903" s="7" t="str">
        <f>IF(Plantilla_SCAN_EQ3_COUNT_2[[#This Row],[ID MATERIAL]]="","",SIGN(Plantilla_SCAN_EQ3_COUNT_2[[#This Row],[Cantidad]])+A2902)</f>
        <v/>
      </c>
      <c r="B2903" s="21" t="str">
        <f>IF(Plantilla_SCAN_EQ3_COUNT_2[[#This Row],[ID MATERIAL]]="","",B2902)</f>
        <v/>
      </c>
      <c r="C2903" s="21"/>
      <c r="D2903" s="21"/>
      <c r="E2903" s="7" t="str">
        <f>IF(Plantilla_SCAN_EQ3_COUNT_2[[#This Row],[ID MATERIAL]]="","",VLOOKUP(Plantilla_SCAN_EQ3_COUNT_2[[#This Row],[ID MATERIAL]],INVENTARIO!$A:$D,2,FALSE))</f>
        <v/>
      </c>
      <c r="F2903" s="7" t="str">
        <f>IF(Plantilla_SCAN_EQ3_COUNT_2[[#This Row],[ID MATERIAL]]="","",IF(Plantilla_SCAN_EQ3_COUNT_2[[#This Row],[No. Empaques]]="",1,Plantilla_SCAN_EQ3_COUNT_2[[#This Row],[No. Empaques]]*1))</f>
        <v/>
      </c>
      <c r="G2903" s="7" t="str">
        <f>IF(Plantilla_SCAN_EQ3_COUNT_2[[#This Row],[ID MATERIAL]]="","","PZ")</f>
        <v/>
      </c>
      <c r="H2903" s="7" t="str">
        <f>IF(Plantilla_SCAN_EQ3_COUNT_2[[#This Row],[ID MATERIAL]]="","",$B$13)</f>
        <v/>
      </c>
      <c r="I2903" s="7" t="str">
        <f>IF(Plantilla_SCAN_EQ3_COUNT_2[[#This Row],[ID MATERIAL]]="","","Segundo Conteo")</f>
        <v/>
      </c>
    </row>
    <row r="2904" spans="1:9" s="7" customFormat="1" ht="15" x14ac:dyDescent="0.2">
      <c r="A2904" s="7" t="str">
        <f>IF(Plantilla_SCAN_EQ3_COUNT_2[[#This Row],[ID MATERIAL]]="","",SIGN(Plantilla_SCAN_EQ3_COUNT_2[[#This Row],[Cantidad]])+A2903)</f>
        <v/>
      </c>
      <c r="B2904" s="21" t="str">
        <f>IF(Plantilla_SCAN_EQ3_COUNT_2[[#This Row],[ID MATERIAL]]="","",B2903)</f>
        <v/>
      </c>
      <c r="C2904" s="21"/>
      <c r="D2904" s="21"/>
      <c r="E2904" s="7" t="str">
        <f>IF(Plantilla_SCAN_EQ3_COUNT_2[[#This Row],[ID MATERIAL]]="","",VLOOKUP(Plantilla_SCAN_EQ3_COUNT_2[[#This Row],[ID MATERIAL]],INVENTARIO!$A:$D,2,FALSE))</f>
        <v/>
      </c>
      <c r="F2904" s="7" t="str">
        <f>IF(Plantilla_SCAN_EQ3_COUNT_2[[#This Row],[ID MATERIAL]]="","",IF(Plantilla_SCAN_EQ3_COUNT_2[[#This Row],[No. Empaques]]="",1,Plantilla_SCAN_EQ3_COUNT_2[[#This Row],[No. Empaques]]*1))</f>
        <v/>
      </c>
      <c r="G2904" s="7" t="str">
        <f>IF(Plantilla_SCAN_EQ3_COUNT_2[[#This Row],[ID MATERIAL]]="","","PZ")</f>
        <v/>
      </c>
      <c r="H2904" s="7" t="str">
        <f>IF(Plantilla_SCAN_EQ3_COUNT_2[[#This Row],[ID MATERIAL]]="","",$B$13)</f>
        <v/>
      </c>
      <c r="I2904" s="7" t="str">
        <f>IF(Plantilla_SCAN_EQ3_COUNT_2[[#This Row],[ID MATERIAL]]="","","Segundo Conteo")</f>
        <v/>
      </c>
    </row>
    <row r="2905" spans="1:9" s="7" customFormat="1" ht="15" x14ac:dyDescent="0.2">
      <c r="A2905" s="7" t="str">
        <f>IF(Plantilla_SCAN_EQ3_COUNT_2[[#This Row],[ID MATERIAL]]="","",SIGN(Plantilla_SCAN_EQ3_COUNT_2[[#This Row],[Cantidad]])+A2904)</f>
        <v/>
      </c>
      <c r="B2905" s="21" t="str">
        <f>IF(Plantilla_SCAN_EQ3_COUNT_2[[#This Row],[ID MATERIAL]]="","",B2904)</f>
        <v/>
      </c>
      <c r="C2905" s="21"/>
      <c r="D2905" s="21"/>
      <c r="E2905" s="7" t="str">
        <f>IF(Plantilla_SCAN_EQ3_COUNT_2[[#This Row],[ID MATERIAL]]="","",VLOOKUP(Plantilla_SCAN_EQ3_COUNT_2[[#This Row],[ID MATERIAL]],INVENTARIO!$A:$D,2,FALSE))</f>
        <v/>
      </c>
      <c r="F2905" s="7" t="str">
        <f>IF(Plantilla_SCAN_EQ3_COUNT_2[[#This Row],[ID MATERIAL]]="","",IF(Plantilla_SCAN_EQ3_COUNT_2[[#This Row],[No. Empaques]]="",1,Plantilla_SCAN_EQ3_COUNT_2[[#This Row],[No. Empaques]]*1))</f>
        <v/>
      </c>
      <c r="G2905" s="7" t="str">
        <f>IF(Plantilla_SCAN_EQ3_COUNT_2[[#This Row],[ID MATERIAL]]="","","PZ")</f>
        <v/>
      </c>
      <c r="H2905" s="7" t="str">
        <f>IF(Plantilla_SCAN_EQ3_COUNT_2[[#This Row],[ID MATERIAL]]="","",$B$13)</f>
        <v/>
      </c>
      <c r="I2905" s="7" t="str">
        <f>IF(Plantilla_SCAN_EQ3_COUNT_2[[#This Row],[ID MATERIAL]]="","","Segundo Conteo")</f>
        <v/>
      </c>
    </row>
    <row r="2906" spans="1:9" s="7" customFormat="1" ht="15" x14ac:dyDescent="0.2">
      <c r="A2906" s="7" t="str">
        <f>IF(Plantilla_SCAN_EQ3_COUNT_2[[#This Row],[ID MATERIAL]]="","",SIGN(Plantilla_SCAN_EQ3_COUNT_2[[#This Row],[Cantidad]])+A2905)</f>
        <v/>
      </c>
      <c r="B2906" s="21" t="str">
        <f>IF(Plantilla_SCAN_EQ3_COUNT_2[[#This Row],[ID MATERIAL]]="","",B2905)</f>
        <v/>
      </c>
      <c r="C2906" s="21"/>
      <c r="D2906" s="21"/>
      <c r="E2906" s="7" t="str">
        <f>IF(Plantilla_SCAN_EQ3_COUNT_2[[#This Row],[ID MATERIAL]]="","",VLOOKUP(Plantilla_SCAN_EQ3_COUNT_2[[#This Row],[ID MATERIAL]],INVENTARIO!$A:$D,2,FALSE))</f>
        <v/>
      </c>
      <c r="F2906" s="7" t="str">
        <f>IF(Plantilla_SCAN_EQ3_COUNT_2[[#This Row],[ID MATERIAL]]="","",IF(Plantilla_SCAN_EQ3_COUNT_2[[#This Row],[No. Empaques]]="",1,Plantilla_SCAN_EQ3_COUNT_2[[#This Row],[No. Empaques]]*1))</f>
        <v/>
      </c>
      <c r="G2906" s="7" t="str">
        <f>IF(Plantilla_SCAN_EQ3_COUNT_2[[#This Row],[ID MATERIAL]]="","","PZ")</f>
        <v/>
      </c>
      <c r="H2906" s="7" t="str">
        <f>IF(Plantilla_SCAN_EQ3_COUNT_2[[#This Row],[ID MATERIAL]]="","",$B$13)</f>
        <v/>
      </c>
      <c r="I2906" s="7" t="str">
        <f>IF(Plantilla_SCAN_EQ3_COUNT_2[[#This Row],[ID MATERIAL]]="","","Segundo Conteo")</f>
        <v/>
      </c>
    </row>
    <row r="2907" spans="1:9" s="7" customFormat="1" ht="15" x14ac:dyDescent="0.2">
      <c r="A2907" s="7" t="str">
        <f>IF(Plantilla_SCAN_EQ3_COUNT_2[[#This Row],[ID MATERIAL]]="","",SIGN(Plantilla_SCAN_EQ3_COUNT_2[[#This Row],[Cantidad]])+A2906)</f>
        <v/>
      </c>
      <c r="B2907" s="21" t="str">
        <f>IF(Plantilla_SCAN_EQ3_COUNT_2[[#This Row],[ID MATERIAL]]="","",B2906)</f>
        <v/>
      </c>
      <c r="C2907" s="21"/>
      <c r="D2907" s="21"/>
      <c r="E2907" s="7" t="str">
        <f>IF(Plantilla_SCAN_EQ3_COUNT_2[[#This Row],[ID MATERIAL]]="","",VLOOKUP(Plantilla_SCAN_EQ3_COUNT_2[[#This Row],[ID MATERIAL]],INVENTARIO!$A:$D,2,FALSE))</f>
        <v/>
      </c>
      <c r="F2907" s="7" t="str">
        <f>IF(Plantilla_SCAN_EQ3_COUNT_2[[#This Row],[ID MATERIAL]]="","",IF(Plantilla_SCAN_EQ3_COUNT_2[[#This Row],[No. Empaques]]="",1,Plantilla_SCAN_EQ3_COUNT_2[[#This Row],[No. Empaques]]*1))</f>
        <v/>
      </c>
      <c r="G2907" s="7" t="str">
        <f>IF(Plantilla_SCAN_EQ3_COUNT_2[[#This Row],[ID MATERIAL]]="","","PZ")</f>
        <v/>
      </c>
      <c r="H2907" s="7" t="str">
        <f>IF(Plantilla_SCAN_EQ3_COUNT_2[[#This Row],[ID MATERIAL]]="","",$B$13)</f>
        <v/>
      </c>
      <c r="I2907" s="7" t="str">
        <f>IF(Plantilla_SCAN_EQ3_COUNT_2[[#This Row],[ID MATERIAL]]="","","Segundo Conteo")</f>
        <v/>
      </c>
    </row>
    <row r="2908" spans="1:9" s="7" customFormat="1" ht="15" x14ac:dyDescent="0.2">
      <c r="A2908" s="7" t="str">
        <f>IF(Plantilla_SCAN_EQ3_COUNT_2[[#This Row],[ID MATERIAL]]="","",SIGN(Plantilla_SCAN_EQ3_COUNT_2[[#This Row],[Cantidad]])+A2907)</f>
        <v/>
      </c>
      <c r="B2908" s="21" t="str">
        <f>IF(Plantilla_SCAN_EQ3_COUNT_2[[#This Row],[ID MATERIAL]]="","",B2907)</f>
        <v/>
      </c>
      <c r="C2908" s="21"/>
      <c r="D2908" s="21"/>
      <c r="E2908" s="7" t="str">
        <f>IF(Plantilla_SCAN_EQ3_COUNT_2[[#This Row],[ID MATERIAL]]="","",VLOOKUP(Plantilla_SCAN_EQ3_COUNT_2[[#This Row],[ID MATERIAL]],INVENTARIO!$A:$D,2,FALSE))</f>
        <v/>
      </c>
      <c r="F2908" s="7" t="str">
        <f>IF(Plantilla_SCAN_EQ3_COUNT_2[[#This Row],[ID MATERIAL]]="","",IF(Plantilla_SCAN_EQ3_COUNT_2[[#This Row],[No. Empaques]]="",1,Plantilla_SCAN_EQ3_COUNT_2[[#This Row],[No. Empaques]]*1))</f>
        <v/>
      </c>
      <c r="G2908" s="7" t="str">
        <f>IF(Plantilla_SCAN_EQ3_COUNT_2[[#This Row],[ID MATERIAL]]="","","PZ")</f>
        <v/>
      </c>
      <c r="H2908" s="7" t="str">
        <f>IF(Plantilla_SCAN_EQ3_COUNT_2[[#This Row],[ID MATERIAL]]="","",$B$13)</f>
        <v/>
      </c>
      <c r="I2908" s="7" t="str">
        <f>IF(Plantilla_SCAN_EQ3_COUNT_2[[#This Row],[ID MATERIAL]]="","","Segundo Conteo")</f>
        <v/>
      </c>
    </row>
    <row r="2909" spans="1:9" s="7" customFormat="1" ht="15" x14ac:dyDescent="0.2">
      <c r="A2909" s="7" t="str">
        <f>IF(Plantilla_SCAN_EQ3_COUNT_2[[#This Row],[ID MATERIAL]]="","",SIGN(Plantilla_SCAN_EQ3_COUNT_2[[#This Row],[Cantidad]])+A2908)</f>
        <v/>
      </c>
      <c r="B2909" s="21" t="str">
        <f>IF(Plantilla_SCAN_EQ3_COUNT_2[[#This Row],[ID MATERIAL]]="","",B2908)</f>
        <v/>
      </c>
      <c r="C2909" s="21"/>
      <c r="D2909" s="21"/>
      <c r="E2909" s="7" t="str">
        <f>IF(Plantilla_SCAN_EQ3_COUNT_2[[#This Row],[ID MATERIAL]]="","",VLOOKUP(Plantilla_SCAN_EQ3_COUNT_2[[#This Row],[ID MATERIAL]],INVENTARIO!$A:$D,2,FALSE))</f>
        <v/>
      </c>
      <c r="F2909" s="7" t="str">
        <f>IF(Plantilla_SCAN_EQ3_COUNT_2[[#This Row],[ID MATERIAL]]="","",IF(Plantilla_SCAN_EQ3_COUNT_2[[#This Row],[No. Empaques]]="",1,Plantilla_SCAN_EQ3_COUNT_2[[#This Row],[No. Empaques]]*1))</f>
        <v/>
      </c>
      <c r="G2909" s="7" t="str">
        <f>IF(Plantilla_SCAN_EQ3_COUNT_2[[#This Row],[ID MATERIAL]]="","","PZ")</f>
        <v/>
      </c>
      <c r="H2909" s="7" t="str">
        <f>IF(Plantilla_SCAN_EQ3_COUNT_2[[#This Row],[ID MATERIAL]]="","",$B$13)</f>
        <v/>
      </c>
      <c r="I2909" s="7" t="str">
        <f>IF(Plantilla_SCAN_EQ3_COUNT_2[[#This Row],[ID MATERIAL]]="","","Segundo Conteo")</f>
        <v/>
      </c>
    </row>
    <row r="2910" spans="1:9" s="7" customFormat="1" ht="15" x14ac:dyDescent="0.2">
      <c r="A2910" s="7" t="str">
        <f>IF(Plantilla_SCAN_EQ3_COUNT_2[[#This Row],[ID MATERIAL]]="","",SIGN(Plantilla_SCAN_EQ3_COUNT_2[[#This Row],[Cantidad]])+A2909)</f>
        <v/>
      </c>
      <c r="B2910" s="21" t="str">
        <f>IF(Plantilla_SCAN_EQ3_COUNT_2[[#This Row],[ID MATERIAL]]="","",B2909)</f>
        <v/>
      </c>
      <c r="C2910" s="21"/>
      <c r="D2910" s="21"/>
      <c r="E2910" s="7" t="str">
        <f>IF(Plantilla_SCAN_EQ3_COUNT_2[[#This Row],[ID MATERIAL]]="","",VLOOKUP(Plantilla_SCAN_EQ3_COUNT_2[[#This Row],[ID MATERIAL]],INVENTARIO!$A:$D,2,FALSE))</f>
        <v/>
      </c>
      <c r="F2910" s="7" t="str">
        <f>IF(Plantilla_SCAN_EQ3_COUNT_2[[#This Row],[ID MATERIAL]]="","",IF(Plantilla_SCAN_EQ3_COUNT_2[[#This Row],[No. Empaques]]="",1,Plantilla_SCAN_EQ3_COUNT_2[[#This Row],[No. Empaques]]*1))</f>
        <v/>
      </c>
      <c r="G2910" s="7" t="str">
        <f>IF(Plantilla_SCAN_EQ3_COUNT_2[[#This Row],[ID MATERIAL]]="","","PZ")</f>
        <v/>
      </c>
      <c r="H2910" s="7" t="str">
        <f>IF(Plantilla_SCAN_EQ3_COUNT_2[[#This Row],[ID MATERIAL]]="","",$B$13)</f>
        <v/>
      </c>
      <c r="I2910" s="7" t="str">
        <f>IF(Plantilla_SCAN_EQ3_COUNT_2[[#This Row],[ID MATERIAL]]="","","Segundo Conteo")</f>
        <v/>
      </c>
    </row>
    <row r="2911" spans="1:9" s="7" customFormat="1" ht="15" x14ac:dyDescent="0.2">
      <c r="A2911" s="7" t="str">
        <f>IF(Plantilla_SCAN_EQ3_COUNT_2[[#This Row],[ID MATERIAL]]="","",SIGN(Plantilla_SCAN_EQ3_COUNT_2[[#This Row],[Cantidad]])+A2910)</f>
        <v/>
      </c>
      <c r="B2911" s="21" t="str">
        <f>IF(Plantilla_SCAN_EQ3_COUNT_2[[#This Row],[ID MATERIAL]]="","",B2910)</f>
        <v/>
      </c>
      <c r="C2911" s="21"/>
      <c r="D2911" s="21"/>
      <c r="E2911" s="7" t="str">
        <f>IF(Plantilla_SCAN_EQ3_COUNT_2[[#This Row],[ID MATERIAL]]="","",VLOOKUP(Plantilla_SCAN_EQ3_COUNT_2[[#This Row],[ID MATERIAL]],INVENTARIO!$A:$D,2,FALSE))</f>
        <v/>
      </c>
      <c r="F2911" s="7" t="str">
        <f>IF(Plantilla_SCAN_EQ3_COUNT_2[[#This Row],[ID MATERIAL]]="","",IF(Plantilla_SCAN_EQ3_COUNT_2[[#This Row],[No. Empaques]]="",1,Plantilla_SCAN_EQ3_COUNT_2[[#This Row],[No. Empaques]]*1))</f>
        <v/>
      </c>
      <c r="G2911" s="7" t="str">
        <f>IF(Plantilla_SCAN_EQ3_COUNT_2[[#This Row],[ID MATERIAL]]="","","PZ")</f>
        <v/>
      </c>
      <c r="H2911" s="7" t="str">
        <f>IF(Plantilla_SCAN_EQ3_COUNT_2[[#This Row],[ID MATERIAL]]="","",$B$13)</f>
        <v/>
      </c>
      <c r="I2911" s="7" t="str">
        <f>IF(Plantilla_SCAN_EQ3_COUNT_2[[#This Row],[ID MATERIAL]]="","","Segundo Conteo")</f>
        <v/>
      </c>
    </row>
    <row r="2912" spans="1:9" s="7" customFormat="1" ht="15" x14ac:dyDescent="0.2">
      <c r="A2912" s="7" t="str">
        <f>IF(Plantilla_SCAN_EQ3_COUNT_2[[#This Row],[ID MATERIAL]]="","",SIGN(Plantilla_SCAN_EQ3_COUNT_2[[#This Row],[Cantidad]])+A2911)</f>
        <v/>
      </c>
      <c r="B2912" s="21" t="str">
        <f>IF(Plantilla_SCAN_EQ3_COUNT_2[[#This Row],[ID MATERIAL]]="","",B2911)</f>
        <v/>
      </c>
      <c r="C2912" s="21"/>
      <c r="D2912" s="21"/>
      <c r="E2912" s="7" t="str">
        <f>IF(Plantilla_SCAN_EQ3_COUNT_2[[#This Row],[ID MATERIAL]]="","",VLOOKUP(Plantilla_SCAN_EQ3_COUNT_2[[#This Row],[ID MATERIAL]],INVENTARIO!$A:$D,2,FALSE))</f>
        <v/>
      </c>
      <c r="F2912" s="7" t="str">
        <f>IF(Plantilla_SCAN_EQ3_COUNT_2[[#This Row],[ID MATERIAL]]="","",IF(Plantilla_SCAN_EQ3_COUNT_2[[#This Row],[No. Empaques]]="",1,Plantilla_SCAN_EQ3_COUNT_2[[#This Row],[No. Empaques]]*1))</f>
        <v/>
      </c>
      <c r="G2912" s="7" t="str">
        <f>IF(Plantilla_SCAN_EQ3_COUNT_2[[#This Row],[ID MATERIAL]]="","","PZ")</f>
        <v/>
      </c>
      <c r="H2912" s="7" t="str">
        <f>IF(Plantilla_SCAN_EQ3_COUNT_2[[#This Row],[ID MATERIAL]]="","",$B$13)</f>
        <v/>
      </c>
      <c r="I2912" s="7" t="str">
        <f>IF(Plantilla_SCAN_EQ3_COUNT_2[[#This Row],[ID MATERIAL]]="","","Segundo Conteo")</f>
        <v/>
      </c>
    </row>
    <row r="2913" spans="1:9" s="7" customFormat="1" ht="15" x14ac:dyDescent="0.2">
      <c r="A2913" s="7" t="str">
        <f>IF(Plantilla_SCAN_EQ3_COUNT_2[[#This Row],[ID MATERIAL]]="","",SIGN(Plantilla_SCAN_EQ3_COUNT_2[[#This Row],[Cantidad]])+A2912)</f>
        <v/>
      </c>
      <c r="B2913" s="21" t="str">
        <f>IF(Plantilla_SCAN_EQ3_COUNT_2[[#This Row],[ID MATERIAL]]="","",B2912)</f>
        <v/>
      </c>
      <c r="C2913" s="21"/>
      <c r="D2913" s="21"/>
      <c r="E2913" s="7" t="str">
        <f>IF(Plantilla_SCAN_EQ3_COUNT_2[[#This Row],[ID MATERIAL]]="","",VLOOKUP(Plantilla_SCAN_EQ3_COUNT_2[[#This Row],[ID MATERIAL]],INVENTARIO!$A:$D,2,FALSE))</f>
        <v/>
      </c>
      <c r="F2913" s="7" t="str">
        <f>IF(Plantilla_SCAN_EQ3_COUNT_2[[#This Row],[ID MATERIAL]]="","",IF(Plantilla_SCAN_EQ3_COUNT_2[[#This Row],[No. Empaques]]="",1,Plantilla_SCAN_EQ3_COUNT_2[[#This Row],[No. Empaques]]*1))</f>
        <v/>
      </c>
      <c r="G2913" s="7" t="str">
        <f>IF(Plantilla_SCAN_EQ3_COUNT_2[[#This Row],[ID MATERIAL]]="","","PZ")</f>
        <v/>
      </c>
      <c r="H2913" s="7" t="str">
        <f>IF(Plantilla_SCAN_EQ3_COUNT_2[[#This Row],[ID MATERIAL]]="","",$B$13)</f>
        <v/>
      </c>
      <c r="I2913" s="7" t="str">
        <f>IF(Plantilla_SCAN_EQ3_COUNT_2[[#This Row],[ID MATERIAL]]="","","Segundo Conteo")</f>
        <v/>
      </c>
    </row>
    <row r="2914" spans="1:9" s="7" customFormat="1" ht="15" x14ac:dyDescent="0.2">
      <c r="A2914" s="7" t="str">
        <f>IF(Plantilla_SCAN_EQ3_COUNT_2[[#This Row],[ID MATERIAL]]="","",SIGN(Plantilla_SCAN_EQ3_COUNT_2[[#This Row],[Cantidad]])+A2913)</f>
        <v/>
      </c>
      <c r="B2914" s="21" t="str">
        <f>IF(Plantilla_SCAN_EQ3_COUNT_2[[#This Row],[ID MATERIAL]]="","",B2913)</f>
        <v/>
      </c>
      <c r="C2914" s="21"/>
      <c r="D2914" s="21"/>
      <c r="E2914" s="7" t="str">
        <f>IF(Plantilla_SCAN_EQ3_COUNT_2[[#This Row],[ID MATERIAL]]="","",VLOOKUP(Plantilla_SCAN_EQ3_COUNT_2[[#This Row],[ID MATERIAL]],INVENTARIO!$A:$D,2,FALSE))</f>
        <v/>
      </c>
      <c r="F2914" s="7" t="str">
        <f>IF(Plantilla_SCAN_EQ3_COUNT_2[[#This Row],[ID MATERIAL]]="","",IF(Plantilla_SCAN_EQ3_COUNT_2[[#This Row],[No. Empaques]]="",1,Plantilla_SCAN_EQ3_COUNT_2[[#This Row],[No. Empaques]]*1))</f>
        <v/>
      </c>
      <c r="G2914" s="7" t="str">
        <f>IF(Plantilla_SCAN_EQ3_COUNT_2[[#This Row],[ID MATERIAL]]="","","PZ")</f>
        <v/>
      </c>
      <c r="H2914" s="7" t="str">
        <f>IF(Plantilla_SCAN_EQ3_COUNT_2[[#This Row],[ID MATERIAL]]="","",$B$13)</f>
        <v/>
      </c>
      <c r="I2914" s="7" t="str">
        <f>IF(Plantilla_SCAN_EQ3_COUNT_2[[#This Row],[ID MATERIAL]]="","","Segundo Conteo")</f>
        <v/>
      </c>
    </row>
    <row r="2915" spans="1:9" s="7" customFormat="1" ht="15" x14ac:dyDescent="0.2">
      <c r="A2915" s="7" t="str">
        <f>IF(Plantilla_SCAN_EQ3_COUNT_2[[#This Row],[ID MATERIAL]]="","",SIGN(Plantilla_SCAN_EQ3_COUNT_2[[#This Row],[Cantidad]])+A2914)</f>
        <v/>
      </c>
      <c r="B2915" s="21" t="str">
        <f>IF(Plantilla_SCAN_EQ3_COUNT_2[[#This Row],[ID MATERIAL]]="","",B2914)</f>
        <v/>
      </c>
      <c r="C2915" s="21"/>
      <c r="D2915" s="21"/>
      <c r="E2915" s="7" t="str">
        <f>IF(Plantilla_SCAN_EQ3_COUNT_2[[#This Row],[ID MATERIAL]]="","",VLOOKUP(Plantilla_SCAN_EQ3_COUNT_2[[#This Row],[ID MATERIAL]],INVENTARIO!$A:$D,2,FALSE))</f>
        <v/>
      </c>
      <c r="F2915" s="7" t="str">
        <f>IF(Plantilla_SCAN_EQ3_COUNT_2[[#This Row],[ID MATERIAL]]="","",IF(Plantilla_SCAN_EQ3_COUNT_2[[#This Row],[No. Empaques]]="",1,Plantilla_SCAN_EQ3_COUNT_2[[#This Row],[No. Empaques]]*1))</f>
        <v/>
      </c>
      <c r="G2915" s="7" t="str">
        <f>IF(Plantilla_SCAN_EQ3_COUNT_2[[#This Row],[ID MATERIAL]]="","","PZ")</f>
        <v/>
      </c>
      <c r="H2915" s="7" t="str">
        <f>IF(Plantilla_SCAN_EQ3_COUNT_2[[#This Row],[ID MATERIAL]]="","",$B$13)</f>
        <v/>
      </c>
      <c r="I2915" s="7" t="str">
        <f>IF(Plantilla_SCAN_EQ3_COUNT_2[[#This Row],[ID MATERIAL]]="","","Segundo Conteo")</f>
        <v/>
      </c>
    </row>
    <row r="2916" spans="1:9" s="7" customFormat="1" ht="15" x14ac:dyDescent="0.2">
      <c r="A2916" s="7" t="str">
        <f>IF(Plantilla_SCAN_EQ3_COUNT_2[[#This Row],[ID MATERIAL]]="","",SIGN(Plantilla_SCAN_EQ3_COUNT_2[[#This Row],[Cantidad]])+A2915)</f>
        <v/>
      </c>
      <c r="B2916" s="21" t="str">
        <f>IF(Plantilla_SCAN_EQ3_COUNT_2[[#This Row],[ID MATERIAL]]="","",B2915)</f>
        <v/>
      </c>
      <c r="C2916" s="21"/>
      <c r="D2916" s="21"/>
      <c r="E2916" s="7" t="str">
        <f>IF(Plantilla_SCAN_EQ3_COUNT_2[[#This Row],[ID MATERIAL]]="","",VLOOKUP(Plantilla_SCAN_EQ3_COUNT_2[[#This Row],[ID MATERIAL]],INVENTARIO!$A:$D,2,FALSE))</f>
        <v/>
      </c>
      <c r="F2916" s="7" t="str">
        <f>IF(Plantilla_SCAN_EQ3_COUNT_2[[#This Row],[ID MATERIAL]]="","",IF(Plantilla_SCAN_EQ3_COUNT_2[[#This Row],[No. Empaques]]="",1,Plantilla_SCAN_EQ3_COUNT_2[[#This Row],[No. Empaques]]*1))</f>
        <v/>
      </c>
      <c r="G2916" s="7" t="str">
        <f>IF(Plantilla_SCAN_EQ3_COUNT_2[[#This Row],[ID MATERIAL]]="","","PZ")</f>
        <v/>
      </c>
      <c r="H2916" s="7" t="str">
        <f>IF(Plantilla_SCAN_EQ3_COUNT_2[[#This Row],[ID MATERIAL]]="","",$B$13)</f>
        <v/>
      </c>
      <c r="I2916" s="7" t="str">
        <f>IF(Plantilla_SCAN_EQ3_COUNT_2[[#This Row],[ID MATERIAL]]="","","Segundo Conteo")</f>
        <v/>
      </c>
    </row>
    <row r="2917" spans="1:9" s="7" customFormat="1" ht="15" x14ac:dyDescent="0.2">
      <c r="A2917" s="7" t="str">
        <f>IF(Plantilla_SCAN_EQ3_COUNT_2[[#This Row],[ID MATERIAL]]="","",SIGN(Plantilla_SCAN_EQ3_COUNT_2[[#This Row],[Cantidad]])+A2916)</f>
        <v/>
      </c>
      <c r="B2917" s="21" t="str">
        <f>IF(Plantilla_SCAN_EQ3_COUNT_2[[#This Row],[ID MATERIAL]]="","",B2916)</f>
        <v/>
      </c>
      <c r="C2917" s="21"/>
      <c r="D2917" s="21"/>
      <c r="E2917" s="7" t="str">
        <f>IF(Plantilla_SCAN_EQ3_COUNT_2[[#This Row],[ID MATERIAL]]="","",VLOOKUP(Plantilla_SCAN_EQ3_COUNT_2[[#This Row],[ID MATERIAL]],INVENTARIO!$A:$D,2,FALSE))</f>
        <v/>
      </c>
      <c r="F2917" s="7" t="str">
        <f>IF(Plantilla_SCAN_EQ3_COUNT_2[[#This Row],[ID MATERIAL]]="","",IF(Plantilla_SCAN_EQ3_COUNT_2[[#This Row],[No. Empaques]]="",1,Plantilla_SCAN_EQ3_COUNT_2[[#This Row],[No. Empaques]]*1))</f>
        <v/>
      </c>
      <c r="G2917" s="7" t="str">
        <f>IF(Plantilla_SCAN_EQ3_COUNT_2[[#This Row],[ID MATERIAL]]="","","PZ")</f>
        <v/>
      </c>
      <c r="H2917" s="7" t="str">
        <f>IF(Plantilla_SCAN_EQ3_COUNT_2[[#This Row],[ID MATERIAL]]="","",$B$13)</f>
        <v/>
      </c>
      <c r="I2917" s="7" t="str">
        <f>IF(Plantilla_SCAN_EQ3_COUNT_2[[#This Row],[ID MATERIAL]]="","","Segundo Conteo")</f>
        <v/>
      </c>
    </row>
    <row r="2918" spans="1:9" s="7" customFormat="1" ht="15" x14ac:dyDescent="0.2">
      <c r="A2918" s="7" t="str">
        <f>IF(Plantilla_SCAN_EQ3_COUNT_2[[#This Row],[ID MATERIAL]]="","",SIGN(Plantilla_SCAN_EQ3_COUNT_2[[#This Row],[Cantidad]])+A2917)</f>
        <v/>
      </c>
      <c r="B2918" s="21" t="str">
        <f>IF(Plantilla_SCAN_EQ3_COUNT_2[[#This Row],[ID MATERIAL]]="","",B2917)</f>
        <v/>
      </c>
      <c r="C2918" s="21"/>
      <c r="D2918" s="21"/>
      <c r="E2918" s="7" t="str">
        <f>IF(Plantilla_SCAN_EQ3_COUNT_2[[#This Row],[ID MATERIAL]]="","",VLOOKUP(Plantilla_SCAN_EQ3_COUNT_2[[#This Row],[ID MATERIAL]],INVENTARIO!$A:$D,2,FALSE))</f>
        <v/>
      </c>
      <c r="F2918" s="7" t="str">
        <f>IF(Plantilla_SCAN_EQ3_COUNT_2[[#This Row],[ID MATERIAL]]="","",IF(Plantilla_SCAN_EQ3_COUNT_2[[#This Row],[No. Empaques]]="",1,Plantilla_SCAN_EQ3_COUNT_2[[#This Row],[No. Empaques]]*1))</f>
        <v/>
      </c>
      <c r="G2918" s="7" t="str">
        <f>IF(Plantilla_SCAN_EQ3_COUNT_2[[#This Row],[ID MATERIAL]]="","","PZ")</f>
        <v/>
      </c>
      <c r="H2918" s="7" t="str">
        <f>IF(Plantilla_SCAN_EQ3_COUNT_2[[#This Row],[ID MATERIAL]]="","",$B$13)</f>
        <v/>
      </c>
      <c r="I2918" s="7" t="str">
        <f>IF(Plantilla_SCAN_EQ3_COUNT_2[[#This Row],[ID MATERIAL]]="","","Segundo Conteo")</f>
        <v/>
      </c>
    </row>
    <row r="2919" spans="1:9" s="7" customFormat="1" ht="15" x14ac:dyDescent="0.2">
      <c r="A2919" s="7" t="str">
        <f>IF(Plantilla_SCAN_EQ3_COUNT_2[[#This Row],[ID MATERIAL]]="","",SIGN(Plantilla_SCAN_EQ3_COUNT_2[[#This Row],[Cantidad]])+A2918)</f>
        <v/>
      </c>
      <c r="B2919" s="21" t="str">
        <f>IF(Plantilla_SCAN_EQ3_COUNT_2[[#This Row],[ID MATERIAL]]="","",B2918)</f>
        <v/>
      </c>
      <c r="C2919" s="21"/>
      <c r="D2919" s="21"/>
      <c r="E2919" s="7" t="str">
        <f>IF(Plantilla_SCAN_EQ3_COUNT_2[[#This Row],[ID MATERIAL]]="","",VLOOKUP(Plantilla_SCAN_EQ3_COUNT_2[[#This Row],[ID MATERIAL]],INVENTARIO!$A:$D,2,FALSE))</f>
        <v/>
      </c>
      <c r="F2919" s="7" t="str">
        <f>IF(Plantilla_SCAN_EQ3_COUNT_2[[#This Row],[ID MATERIAL]]="","",IF(Plantilla_SCAN_EQ3_COUNT_2[[#This Row],[No. Empaques]]="",1,Plantilla_SCAN_EQ3_COUNT_2[[#This Row],[No. Empaques]]*1))</f>
        <v/>
      </c>
      <c r="G2919" s="7" t="str">
        <f>IF(Plantilla_SCAN_EQ3_COUNT_2[[#This Row],[ID MATERIAL]]="","","PZ")</f>
        <v/>
      </c>
      <c r="H2919" s="7" t="str">
        <f>IF(Plantilla_SCAN_EQ3_COUNT_2[[#This Row],[ID MATERIAL]]="","",$B$13)</f>
        <v/>
      </c>
      <c r="I2919" s="7" t="str">
        <f>IF(Plantilla_SCAN_EQ3_COUNT_2[[#This Row],[ID MATERIAL]]="","","Segundo Conteo")</f>
        <v/>
      </c>
    </row>
    <row r="2920" spans="1:9" s="7" customFormat="1" ht="15" x14ac:dyDescent="0.2">
      <c r="A2920" s="7" t="str">
        <f>IF(Plantilla_SCAN_EQ3_COUNT_2[[#This Row],[ID MATERIAL]]="","",SIGN(Plantilla_SCAN_EQ3_COUNT_2[[#This Row],[Cantidad]])+A2919)</f>
        <v/>
      </c>
      <c r="B2920" s="21" t="str">
        <f>IF(Plantilla_SCAN_EQ3_COUNT_2[[#This Row],[ID MATERIAL]]="","",B2919)</f>
        <v/>
      </c>
      <c r="C2920" s="21"/>
      <c r="D2920" s="21"/>
      <c r="E2920" s="7" t="str">
        <f>IF(Plantilla_SCAN_EQ3_COUNT_2[[#This Row],[ID MATERIAL]]="","",VLOOKUP(Plantilla_SCAN_EQ3_COUNT_2[[#This Row],[ID MATERIAL]],INVENTARIO!$A:$D,2,FALSE))</f>
        <v/>
      </c>
      <c r="F2920" s="7" t="str">
        <f>IF(Plantilla_SCAN_EQ3_COUNT_2[[#This Row],[ID MATERIAL]]="","",IF(Plantilla_SCAN_EQ3_COUNT_2[[#This Row],[No. Empaques]]="",1,Plantilla_SCAN_EQ3_COUNT_2[[#This Row],[No. Empaques]]*1))</f>
        <v/>
      </c>
      <c r="G2920" s="7" t="str">
        <f>IF(Plantilla_SCAN_EQ3_COUNT_2[[#This Row],[ID MATERIAL]]="","","PZ")</f>
        <v/>
      </c>
      <c r="H2920" s="7" t="str">
        <f>IF(Plantilla_SCAN_EQ3_COUNT_2[[#This Row],[ID MATERIAL]]="","",$B$13)</f>
        <v/>
      </c>
      <c r="I2920" s="7" t="str">
        <f>IF(Plantilla_SCAN_EQ3_COUNT_2[[#This Row],[ID MATERIAL]]="","","Segundo Conteo")</f>
        <v/>
      </c>
    </row>
    <row r="2921" spans="1:9" s="7" customFormat="1" ht="15" x14ac:dyDescent="0.2">
      <c r="A2921" s="7" t="str">
        <f>IF(Plantilla_SCAN_EQ3_COUNT_2[[#This Row],[ID MATERIAL]]="","",SIGN(Plantilla_SCAN_EQ3_COUNT_2[[#This Row],[Cantidad]])+A2920)</f>
        <v/>
      </c>
      <c r="B2921" s="21" t="str">
        <f>IF(Plantilla_SCAN_EQ3_COUNT_2[[#This Row],[ID MATERIAL]]="","",B2920)</f>
        <v/>
      </c>
      <c r="C2921" s="21"/>
      <c r="D2921" s="21"/>
      <c r="E2921" s="7" t="str">
        <f>IF(Plantilla_SCAN_EQ3_COUNT_2[[#This Row],[ID MATERIAL]]="","",VLOOKUP(Plantilla_SCAN_EQ3_COUNT_2[[#This Row],[ID MATERIAL]],INVENTARIO!$A:$D,2,FALSE))</f>
        <v/>
      </c>
      <c r="F2921" s="7" t="str">
        <f>IF(Plantilla_SCAN_EQ3_COUNT_2[[#This Row],[ID MATERIAL]]="","",IF(Plantilla_SCAN_EQ3_COUNT_2[[#This Row],[No. Empaques]]="",1,Plantilla_SCAN_EQ3_COUNT_2[[#This Row],[No. Empaques]]*1))</f>
        <v/>
      </c>
      <c r="G2921" s="7" t="str">
        <f>IF(Plantilla_SCAN_EQ3_COUNT_2[[#This Row],[ID MATERIAL]]="","","PZ")</f>
        <v/>
      </c>
      <c r="H2921" s="7" t="str">
        <f>IF(Plantilla_SCAN_EQ3_COUNT_2[[#This Row],[ID MATERIAL]]="","",$B$13)</f>
        <v/>
      </c>
      <c r="I2921" s="7" t="str">
        <f>IF(Plantilla_SCAN_EQ3_COUNT_2[[#This Row],[ID MATERIAL]]="","","Segundo Conteo")</f>
        <v/>
      </c>
    </row>
    <row r="2922" spans="1:9" s="7" customFormat="1" ht="15" x14ac:dyDescent="0.2">
      <c r="A2922" s="7" t="str">
        <f>IF(Plantilla_SCAN_EQ3_COUNT_2[[#This Row],[ID MATERIAL]]="","",SIGN(Plantilla_SCAN_EQ3_COUNT_2[[#This Row],[Cantidad]])+A2921)</f>
        <v/>
      </c>
      <c r="B2922" s="21" t="str">
        <f>IF(Plantilla_SCAN_EQ3_COUNT_2[[#This Row],[ID MATERIAL]]="","",B2921)</f>
        <v/>
      </c>
      <c r="C2922" s="21"/>
      <c r="D2922" s="21"/>
      <c r="E2922" s="7" t="str">
        <f>IF(Plantilla_SCAN_EQ3_COUNT_2[[#This Row],[ID MATERIAL]]="","",VLOOKUP(Plantilla_SCAN_EQ3_COUNT_2[[#This Row],[ID MATERIAL]],INVENTARIO!$A:$D,2,FALSE))</f>
        <v/>
      </c>
      <c r="F2922" s="7" t="str">
        <f>IF(Plantilla_SCAN_EQ3_COUNT_2[[#This Row],[ID MATERIAL]]="","",IF(Plantilla_SCAN_EQ3_COUNT_2[[#This Row],[No. Empaques]]="",1,Plantilla_SCAN_EQ3_COUNT_2[[#This Row],[No. Empaques]]*1))</f>
        <v/>
      </c>
      <c r="G2922" s="7" t="str">
        <f>IF(Plantilla_SCAN_EQ3_COUNT_2[[#This Row],[ID MATERIAL]]="","","PZ")</f>
        <v/>
      </c>
      <c r="H2922" s="7" t="str">
        <f>IF(Plantilla_SCAN_EQ3_COUNT_2[[#This Row],[ID MATERIAL]]="","",$B$13)</f>
        <v/>
      </c>
      <c r="I2922" s="7" t="str">
        <f>IF(Plantilla_SCAN_EQ3_COUNT_2[[#This Row],[ID MATERIAL]]="","","Segundo Conteo")</f>
        <v/>
      </c>
    </row>
    <row r="2923" spans="1:9" s="7" customFormat="1" ht="15" x14ac:dyDescent="0.2">
      <c r="A2923" s="7" t="str">
        <f>IF(Plantilla_SCAN_EQ3_COUNT_2[[#This Row],[ID MATERIAL]]="","",SIGN(Plantilla_SCAN_EQ3_COUNT_2[[#This Row],[Cantidad]])+A2922)</f>
        <v/>
      </c>
      <c r="B2923" s="21" t="str">
        <f>IF(Plantilla_SCAN_EQ3_COUNT_2[[#This Row],[ID MATERIAL]]="","",B2922)</f>
        <v/>
      </c>
      <c r="C2923" s="21"/>
      <c r="D2923" s="21"/>
      <c r="E2923" s="7" t="str">
        <f>IF(Plantilla_SCAN_EQ3_COUNT_2[[#This Row],[ID MATERIAL]]="","",VLOOKUP(Plantilla_SCAN_EQ3_COUNT_2[[#This Row],[ID MATERIAL]],INVENTARIO!$A:$D,2,FALSE))</f>
        <v/>
      </c>
      <c r="F2923" s="7" t="str">
        <f>IF(Plantilla_SCAN_EQ3_COUNT_2[[#This Row],[ID MATERIAL]]="","",IF(Plantilla_SCAN_EQ3_COUNT_2[[#This Row],[No. Empaques]]="",1,Plantilla_SCAN_EQ3_COUNT_2[[#This Row],[No. Empaques]]*1))</f>
        <v/>
      </c>
      <c r="G2923" s="7" t="str">
        <f>IF(Plantilla_SCAN_EQ3_COUNT_2[[#This Row],[ID MATERIAL]]="","","PZ")</f>
        <v/>
      </c>
      <c r="H2923" s="7" t="str">
        <f>IF(Plantilla_SCAN_EQ3_COUNT_2[[#This Row],[ID MATERIAL]]="","",$B$13)</f>
        <v/>
      </c>
      <c r="I2923" s="7" t="str">
        <f>IF(Plantilla_SCAN_EQ3_COUNT_2[[#This Row],[ID MATERIAL]]="","","Segundo Conteo")</f>
        <v/>
      </c>
    </row>
    <row r="2924" spans="1:9" s="7" customFormat="1" ht="15" x14ac:dyDescent="0.2">
      <c r="A2924" s="7" t="str">
        <f>IF(Plantilla_SCAN_EQ3_COUNT_2[[#This Row],[ID MATERIAL]]="","",SIGN(Plantilla_SCAN_EQ3_COUNT_2[[#This Row],[Cantidad]])+A2923)</f>
        <v/>
      </c>
      <c r="B2924" s="21" t="str">
        <f>IF(Plantilla_SCAN_EQ3_COUNT_2[[#This Row],[ID MATERIAL]]="","",B2923)</f>
        <v/>
      </c>
      <c r="C2924" s="21"/>
      <c r="D2924" s="21"/>
      <c r="E2924" s="7" t="str">
        <f>IF(Plantilla_SCAN_EQ3_COUNT_2[[#This Row],[ID MATERIAL]]="","",VLOOKUP(Plantilla_SCAN_EQ3_COUNT_2[[#This Row],[ID MATERIAL]],INVENTARIO!$A:$D,2,FALSE))</f>
        <v/>
      </c>
      <c r="F2924" s="7" t="str">
        <f>IF(Plantilla_SCAN_EQ3_COUNT_2[[#This Row],[ID MATERIAL]]="","",IF(Plantilla_SCAN_EQ3_COUNT_2[[#This Row],[No. Empaques]]="",1,Plantilla_SCAN_EQ3_COUNT_2[[#This Row],[No. Empaques]]*1))</f>
        <v/>
      </c>
      <c r="G2924" s="7" t="str">
        <f>IF(Plantilla_SCAN_EQ3_COUNT_2[[#This Row],[ID MATERIAL]]="","","PZ")</f>
        <v/>
      </c>
      <c r="H2924" s="7" t="str">
        <f>IF(Plantilla_SCAN_EQ3_COUNT_2[[#This Row],[ID MATERIAL]]="","",$B$13)</f>
        <v/>
      </c>
      <c r="I2924" s="7" t="str">
        <f>IF(Plantilla_SCAN_EQ3_COUNT_2[[#This Row],[ID MATERIAL]]="","","Segundo Conteo")</f>
        <v/>
      </c>
    </row>
    <row r="2925" spans="1:9" s="7" customFormat="1" ht="15" x14ac:dyDescent="0.2">
      <c r="A2925" s="7" t="str">
        <f>IF(Plantilla_SCAN_EQ3_COUNT_2[[#This Row],[ID MATERIAL]]="","",SIGN(Plantilla_SCAN_EQ3_COUNT_2[[#This Row],[Cantidad]])+A2924)</f>
        <v/>
      </c>
      <c r="B2925" s="21" t="str">
        <f>IF(Plantilla_SCAN_EQ3_COUNT_2[[#This Row],[ID MATERIAL]]="","",B2924)</f>
        <v/>
      </c>
      <c r="C2925" s="21"/>
      <c r="D2925" s="21"/>
      <c r="E2925" s="7" t="str">
        <f>IF(Plantilla_SCAN_EQ3_COUNT_2[[#This Row],[ID MATERIAL]]="","",VLOOKUP(Plantilla_SCAN_EQ3_COUNT_2[[#This Row],[ID MATERIAL]],INVENTARIO!$A:$D,2,FALSE))</f>
        <v/>
      </c>
      <c r="F2925" s="7" t="str">
        <f>IF(Plantilla_SCAN_EQ3_COUNT_2[[#This Row],[ID MATERIAL]]="","",IF(Plantilla_SCAN_EQ3_COUNT_2[[#This Row],[No. Empaques]]="",1,Plantilla_SCAN_EQ3_COUNT_2[[#This Row],[No. Empaques]]*1))</f>
        <v/>
      </c>
      <c r="G2925" s="7" t="str">
        <f>IF(Plantilla_SCAN_EQ3_COUNT_2[[#This Row],[ID MATERIAL]]="","","PZ")</f>
        <v/>
      </c>
      <c r="H2925" s="7" t="str">
        <f>IF(Plantilla_SCAN_EQ3_COUNT_2[[#This Row],[ID MATERIAL]]="","",$B$13)</f>
        <v/>
      </c>
      <c r="I2925" s="7" t="str">
        <f>IF(Plantilla_SCAN_EQ3_COUNT_2[[#This Row],[ID MATERIAL]]="","","Segundo Conteo")</f>
        <v/>
      </c>
    </row>
    <row r="2926" spans="1:9" s="7" customFormat="1" ht="15" x14ac:dyDescent="0.2">
      <c r="A2926" s="7" t="str">
        <f>IF(Plantilla_SCAN_EQ3_COUNT_2[[#This Row],[ID MATERIAL]]="","",SIGN(Plantilla_SCAN_EQ3_COUNT_2[[#This Row],[Cantidad]])+A2925)</f>
        <v/>
      </c>
      <c r="B2926" s="21" t="str">
        <f>IF(Plantilla_SCAN_EQ3_COUNT_2[[#This Row],[ID MATERIAL]]="","",B2925)</f>
        <v/>
      </c>
      <c r="C2926" s="21"/>
      <c r="D2926" s="21"/>
      <c r="E2926" s="7" t="str">
        <f>IF(Plantilla_SCAN_EQ3_COUNT_2[[#This Row],[ID MATERIAL]]="","",VLOOKUP(Plantilla_SCAN_EQ3_COUNT_2[[#This Row],[ID MATERIAL]],INVENTARIO!$A:$D,2,FALSE))</f>
        <v/>
      </c>
      <c r="F2926" s="7" t="str">
        <f>IF(Plantilla_SCAN_EQ3_COUNT_2[[#This Row],[ID MATERIAL]]="","",IF(Plantilla_SCAN_EQ3_COUNT_2[[#This Row],[No. Empaques]]="",1,Plantilla_SCAN_EQ3_COUNT_2[[#This Row],[No. Empaques]]*1))</f>
        <v/>
      </c>
      <c r="G2926" s="7" t="str">
        <f>IF(Plantilla_SCAN_EQ3_COUNT_2[[#This Row],[ID MATERIAL]]="","","PZ")</f>
        <v/>
      </c>
      <c r="H2926" s="7" t="str">
        <f>IF(Plantilla_SCAN_EQ3_COUNT_2[[#This Row],[ID MATERIAL]]="","",$B$13)</f>
        <v/>
      </c>
      <c r="I2926" s="7" t="str">
        <f>IF(Plantilla_SCAN_EQ3_COUNT_2[[#This Row],[ID MATERIAL]]="","","Segundo Conteo")</f>
        <v/>
      </c>
    </row>
    <row r="2927" spans="1:9" s="7" customFormat="1" ht="15" x14ac:dyDescent="0.2">
      <c r="A2927" s="7" t="str">
        <f>IF(Plantilla_SCAN_EQ3_COUNT_2[[#This Row],[ID MATERIAL]]="","",SIGN(Plantilla_SCAN_EQ3_COUNT_2[[#This Row],[Cantidad]])+A2926)</f>
        <v/>
      </c>
      <c r="B2927" s="21" t="str">
        <f>IF(Plantilla_SCAN_EQ3_COUNT_2[[#This Row],[ID MATERIAL]]="","",B2926)</f>
        <v/>
      </c>
      <c r="C2927" s="21"/>
      <c r="D2927" s="21"/>
      <c r="E2927" s="7" t="str">
        <f>IF(Plantilla_SCAN_EQ3_COUNT_2[[#This Row],[ID MATERIAL]]="","",VLOOKUP(Plantilla_SCAN_EQ3_COUNT_2[[#This Row],[ID MATERIAL]],INVENTARIO!$A:$D,2,FALSE))</f>
        <v/>
      </c>
      <c r="F2927" s="7" t="str">
        <f>IF(Plantilla_SCAN_EQ3_COUNT_2[[#This Row],[ID MATERIAL]]="","",IF(Plantilla_SCAN_EQ3_COUNT_2[[#This Row],[No. Empaques]]="",1,Plantilla_SCAN_EQ3_COUNT_2[[#This Row],[No. Empaques]]*1))</f>
        <v/>
      </c>
      <c r="G2927" s="7" t="str">
        <f>IF(Plantilla_SCAN_EQ3_COUNT_2[[#This Row],[ID MATERIAL]]="","","PZ")</f>
        <v/>
      </c>
      <c r="H2927" s="7" t="str">
        <f>IF(Plantilla_SCAN_EQ3_COUNT_2[[#This Row],[ID MATERIAL]]="","",$B$13)</f>
        <v/>
      </c>
      <c r="I2927" s="7" t="str">
        <f>IF(Plantilla_SCAN_EQ3_COUNT_2[[#This Row],[ID MATERIAL]]="","","Segundo Conteo")</f>
        <v/>
      </c>
    </row>
    <row r="2928" spans="1:9" s="7" customFormat="1" ht="15" x14ac:dyDescent="0.2">
      <c r="A2928" s="7" t="str">
        <f>IF(Plantilla_SCAN_EQ3_COUNT_2[[#This Row],[ID MATERIAL]]="","",SIGN(Plantilla_SCAN_EQ3_COUNT_2[[#This Row],[Cantidad]])+A2927)</f>
        <v/>
      </c>
      <c r="B2928" s="21" t="str">
        <f>IF(Plantilla_SCAN_EQ3_COUNT_2[[#This Row],[ID MATERIAL]]="","",B2927)</f>
        <v/>
      </c>
      <c r="C2928" s="21"/>
      <c r="D2928" s="21"/>
      <c r="E2928" s="7" t="str">
        <f>IF(Plantilla_SCAN_EQ3_COUNT_2[[#This Row],[ID MATERIAL]]="","",VLOOKUP(Plantilla_SCAN_EQ3_COUNT_2[[#This Row],[ID MATERIAL]],INVENTARIO!$A:$D,2,FALSE))</f>
        <v/>
      </c>
      <c r="F2928" s="7" t="str">
        <f>IF(Plantilla_SCAN_EQ3_COUNT_2[[#This Row],[ID MATERIAL]]="","",IF(Plantilla_SCAN_EQ3_COUNT_2[[#This Row],[No. Empaques]]="",1,Plantilla_SCAN_EQ3_COUNT_2[[#This Row],[No. Empaques]]*1))</f>
        <v/>
      </c>
      <c r="G2928" s="7" t="str">
        <f>IF(Plantilla_SCAN_EQ3_COUNT_2[[#This Row],[ID MATERIAL]]="","","PZ")</f>
        <v/>
      </c>
      <c r="H2928" s="7" t="str">
        <f>IF(Plantilla_SCAN_EQ3_COUNT_2[[#This Row],[ID MATERIAL]]="","",$B$13)</f>
        <v/>
      </c>
      <c r="I2928" s="7" t="str">
        <f>IF(Plantilla_SCAN_EQ3_COUNT_2[[#This Row],[ID MATERIAL]]="","","Segundo Conteo")</f>
        <v/>
      </c>
    </row>
    <row r="2929" spans="1:10" s="7" customFormat="1" ht="15" x14ac:dyDescent="0.2">
      <c r="A2929" s="7" t="str">
        <f>IF(Plantilla_SCAN_EQ3_COUNT_2[[#This Row],[ID MATERIAL]]="","",SIGN(Plantilla_SCAN_EQ3_COUNT_2[[#This Row],[Cantidad]])+A2928)</f>
        <v/>
      </c>
      <c r="B2929" s="21" t="str">
        <f>IF(Plantilla_SCAN_EQ3_COUNT_2[[#This Row],[ID MATERIAL]]="","",B2928)</f>
        <v/>
      </c>
      <c r="C2929" s="21"/>
      <c r="D2929" s="21"/>
      <c r="E2929" s="7" t="str">
        <f>IF(Plantilla_SCAN_EQ3_COUNT_2[[#This Row],[ID MATERIAL]]="","",VLOOKUP(Plantilla_SCAN_EQ3_COUNT_2[[#This Row],[ID MATERIAL]],INVENTARIO!$A:$D,2,FALSE))</f>
        <v/>
      </c>
      <c r="F2929" s="7" t="str">
        <f>IF(Plantilla_SCAN_EQ3_COUNT_2[[#This Row],[ID MATERIAL]]="","",IF(Plantilla_SCAN_EQ3_COUNT_2[[#This Row],[No. Empaques]]="",1,Plantilla_SCAN_EQ3_COUNT_2[[#This Row],[No. Empaques]]*1))</f>
        <v/>
      </c>
      <c r="G2929" s="7" t="str">
        <f>IF(Plantilla_SCAN_EQ3_COUNT_2[[#This Row],[ID MATERIAL]]="","","PZ")</f>
        <v/>
      </c>
      <c r="H2929" s="7" t="str">
        <f>IF(Plantilla_SCAN_EQ3_COUNT_2[[#This Row],[ID MATERIAL]]="","",$B$13)</f>
        <v/>
      </c>
      <c r="I2929" s="7" t="str">
        <f>IF(Plantilla_SCAN_EQ3_COUNT_2[[#This Row],[ID MATERIAL]]="","","Segundo Conteo")</f>
        <v/>
      </c>
    </row>
    <row r="2930" spans="1:10" s="7" customFormat="1" ht="15" x14ac:dyDescent="0.2">
      <c r="A2930" s="7" t="str">
        <f>IF(Plantilla_SCAN_EQ3_COUNT_2[[#This Row],[ID MATERIAL]]="","",SIGN(Plantilla_SCAN_EQ3_COUNT_2[[#This Row],[Cantidad]])+A2929)</f>
        <v/>
      </c>
      <c r="B2930" s="21" t="str">
        <f>IF(Plantilla_SCAN_EQ3_COUNT_2[[#This Row],[ID MATERIAL]]="","",B2929)</f>
        <v/>
      </c>
      <c r="C2930" s="21"/>
      <c r="D2930" s="21"/>
      <c r="E2930" s="7" t="str">
        <f>IF(Plantilla_SCAN_EQ3_COUNT_2[[#This Row],[ID MATERIAL]]="","",VLOOKUP(Plantilla_SCAN_EQ3_COUNT_2[[#This Row],[ID MATERIAL]],INVENTARIO!$A:$D,2,FALSE))</f>
        <v/>
      </c>
      <c r="F2930" s="7" t="str">
        <f>IF(Plantilla_SCAN_EQ3_COUNT_2[[#This Row],[ID MATERIAL]]="","",IF(Plantilla_SCAN_EQ3_COUNT_2[[#This Row],[No. Empaques]]="",1,Plantilla_SCAN_EQ3_COUNT_2[[#This Row],[No. Empaques]]*1))</f>
        <v/>
      </c>
      <c r="G2930" s="7" t="str">
        <f>IF(Plantilla_SCAN_EQ3_COUNT_2[[#This Row],[ID MATERIAL]]="","","PZ")</f>
        <v/>
      </c>
      <c r="H2930" s="7" t="str">
        <f>IF(Plantilla_SCAN_EQ3_COUNT_2[[#This Row],[ID MATERIAL]]="","",$B$13)</f>
        <v/>
      </c>
      <c r="I2930" s="7" t="str">
        <f>IF(Plantilla_SCAN_EQ3_COUNT_2[[#This Row],[ID MATERIAL]]="","","Segundo Conteo")</f>
        <v/>
      </c>
    </row>
    <row r="2931" spans="1:10" s="7" customFormat="1" ht="15" x14ac:dyDescent="0.2">
      <c r="A2931" s="7" t="str">
        <f>IF(Plantilla_SCAN_EQ3_COUNT_2[[#This Row],[ID MATERIAL]]="","",SIGN(Plantilla_SCAN_EQ3_COUNT_2[[#This Row],[Cantidad]])+A2930)</f>
        <v/>
      </c>
      <c r="B2931" s="21" t="str">
        <f>IF(Plantilla_SCAN_EQ3_COUNT_2[[#This Row],[ID MATERIAL]]="","",B2930)</f>
        <v/>
      </c>
      <c r="C2931" s="21"/>
      <c r="D2931" s="21"/>
      <c r="E2931" s="7" t="str">
        <f>IF(Plantilla_SCAN_EQ3_COUNT_2[[#This Row],[ID MATERIAL]]="","",VLOOKUP(Plantilla_SCAN_EQ3_COUNT_2[[#This Row],[ID MATERIAL]],INVENTARIO!$A:$D,2,FALSE))</f>
        <v/>
      </c>
      <c r="F2931" s="7" t="str">
        <f>IF(Plantilla_SCAN_EQ3_COUNT_2[[#This Row],[ID MATERIAL]]="","",IF(Plantilla_SCAN_EQ3_COUNT_2[[#This Row],[No. Empaques]]="",1,Plantilla_SCAN_EQ3_COUNT_2[[#This Row],[No. Empaques]]*1))</f>
        <v/>
      </c>
      <c r="G2931" s="7" t="str">
        <f>IF(Plantilla_SCAN_EQ3_COUNT_2[[#This Row],[ID MATERIAL]]="","","PZ")</f>
        <v/>
      </c>
      <c r="H2931" s="7" t="str">
        <f>IF(Plantilla_SCAN_EQ3_COUNT_2[[#This Row],[ID MATERIAL]]="","",$B$13)</f>
        <v/>
      </c>
      <c r="I2931" s="7" t="str">
        <f>IF(Plantilla_SCAN_EQ3_COUNT_2[[#This Row],[ID MATERIAL]]="","","Segundo Conteo")</f>
        <v/>
      </c>
    </row>
    <row r="2932" spans="1:10" s="7" customFormat="1" ht="15" x14ac:dyDescent="0.2">
      <c r="A2932" s="7" t="str">
        <f>IF(Plantilla_SCAN_EQ3_COUNT_2[[#This Row],[ID MATERIAL]]="","",SIGN(Plantilla_SCAN_EQ3_COUNT_2[[#This Row],[Cantidad]])+A2931)</f>
        <v/>
      </c>
      <c r="B2932" s="21" t="str">
        <f>IF(Plantilla_SCAN_EQ3_COUNT_2[[#This Row],[ID MATERIAL]]="","",B2931)</f>
        <v/>
      </c>
      <c r="C2932" s="21"/>
      <c r="D2932" s="21"/>
      <c r="E2932" s="7" t="str">
        <f>IF(Plantilla_SCAN_EQ3_COUNT_2[[#This Row],[ID MATERIAL]]="","",VLOOKUP(Plantilla_SCAN_EQ3_COUNT_2[[#This Row],[ID MATERIAL]],INVENTARIO!$A:$D,2,FALSE))</f>
        <v/>
      </c>
      <c r="F2932" s="7" t="str">
        <f>IF(Plantilla_SCAN_EQ3_COUNT_2[[#This Row],[ID MATERIAL]]="","",IF(Plantilla_SCAN_EQ3_COUNT_2[[#This Row],[No. Empaques]]="",1,Plantilla_SCAN_EQ3_COUNT_2[[#This Row],[No. Empaques]]*1))</f>
        <v/>
      </c>
      <c r="G2932" s="7" t="str">
        <f>IF(Plantilla_SCAN_EQ3_COUNT_2[[#This Row],[ID MATERIAL]]="","","PZ")</f>
        <v/>
      </c>
      <c r="H2932" s="7" t="str">
        <f>IF(Plantilla_SCAN_EQ3_COUNT_2[[#This Row],[ID MATERIAL]]="","",$B$13)</f>
        <v/>
      </c>
      <c r="I2932" s="7" t="str">
        <f>IF(Plantilla_SCAN_EQ3_COUNT_2[[#This Row],[ID MATERIAL]]="","","Segundo Conteo")</f>
        <v/>
      </c>
    </row>
    <row r="2933" spans="1:10" s="7" customFormat="1" ht="15" x14ac:dyDescent="0.2">
      <c r="A2933" s="7" t="str">
        <f>IF(Plantilla_SCAN_EQ3_COUNT_2[[#This Row],[ID MATERIAL]]="","",SIGN(Plantilla_SCAN_EQ3_COUNT_2[[#This Row],[Cantidad]])+A2932)</f>
        <v/>
      </c>
      <c r="B2933" s="21" t="str">
        <f>IF(Plantilla_SCAN_EQ3_COUNT_2[[#This Row],[ID MATERIAL]]="","",B2932)</f>
        <v/>
      </c>
      <c r="C2933" s="21"/>
      <c r="D2933" s="21"/>
      <c r="E2933" s="7" t="str">
        <f>IF(Plantilla_SCAN_EQ3_COUNT_2[[#This Row],[ID MATERIAL]]="","",VLOOKUP(Plantilla_SCAN_EQ3_COUNT_2[[#This Row],[ID MATERIAL]],INVENTARIO!$A:$D,2,FALSE))</f>
        <v/>
      </c>
      <c r="F2933" s="7" t="str">
        <f>IF(Plantilla_SCAN_EQ3_COUNT_2[[#This Row],[ID MATERIAL]]="","",IF(Plantilla_SCAN_EQ3_COUNT_2[[#This Row],[No. Empaques]]="",1,Plantilla_SCAN_EQ3_COUNT_2[[#This Row],[No. Empaques]]*1))</f>
        <v/>
      </c>
      <c r="G2933" s="7" t="str">
        <f>IF(Plantilla_SCAN_EQ3_COUNT_2[[#This Row],[ID MATERIAL]]="","","PZ")</f>
        <v/>
      </c>
      <c r="H2933" s="7" t="str">
        <f>IF(Plantilla_SCAN_EQ3_COUNT_2[[#This Row],[ID MATERIAL]]="","",$B$13)</f>
        <v/>
      </c>
      <c r="I2933" s="7" t="str">
        <f>IF(Plantilla_SCAN_EQ3_COUNT_2[[#This Row],[ID MATERIAL]]="","","Segundo Conteo")</f>
        <v/>
      </c>
    </row>
    <row r="2934" spans="1:10" s="7" customFormat="1" ht="15" x14ac:dyDescent="0.2">
      <c r="A2934" s="7" t="str">
        <f>IF(Plantilla_SCAN_EQ3_COUNT_2[[#This Row],[ID MATERIAL]]="","",SIGN(Plantilla_SCAN_EQ3_COUNT_2[[#This Row],[Cantidad]])+A2933)</f>
        <v/>
      </c>
      <c r="B2934" s="21" t="str">
        <f>IF(Plantilla_SCAN_EQ3_COUNT_2[[#This Row],[ID MATERIAL]]="","",B2933)</f>
        <v/>
      </c>
      <c r="C2934" s="21"/>
      <c r="D2934" s="21"/>
      <c r="E2934" s="7" t="str">
        <f>IF(Plantilla_SCAN_EQ3_COUNT_2[[#This Row],[ID MATERIAL]]="","",VLOOKUP(Plantilla_SCAN_EQ3_COUNT_2[[#This Row],[ID MATERIAL]],INVENTARIO!$A:$D,2,FALSE))</f>
        <v/>
      </c>
      <c r="F2934" s="7" t="str">
        <f>IF(Plantilla_SCAN_EQ3_COUNT_2[[#This Row],[ID MATERIAL]]="","",IF(Plantilla_SCAN_EQ3_COUNT_2[[#This Row],[No. Empaques]]="",1,Plantilla_SCAN_EQ3_COUNT_2[[#This Row],[No. Empaques]]*1))</f>
        <v/>
      </c>
      <c r="G2934" s="7" t="str">
        <f>IF(Plantilla_SCAN_EQ3_COUNT_2[[#This Row],[ID MATERIAL]]="","","PZ")</f>
        <v/>
      </c>
      <c r="H2934" s="7" t="str">
        <f>IF(Plantilla_SCAN_EQ3_COUNT_2[[#This Row],[ID MATERIAL]]="","",$B$13)</f>
        <v/>
      </c>
      <c r="I2934" s="7" t="str">
        <f>IF(Plantilla_SCAN_EQ3_COUNT_2[[#This Row],[ID MATERIAL]]="","","Segundo Conteo")</f>
        <v/>
      </c>
    </row>
    <row r="2935" spans="1:10" s="7" customFormat="1" ht="15" x14ac:dyDescent="0.2">
      <c r="A2935" s="7" t="str">
        <f>IF(Plantilla_SCAN_EQ3_COUNT_2[[#This Row],[ID MATERIAL]]="","",SIGN(Plantilla_SCAN_EQ3_COUNT_2[[#This Row],[Cantidad]])+A2934)</f>
        <v/>
      </c>
      <c r="B2935" s="21" t="str">
        <f>IF(Plantilla_SCAN_EQ3_COUNT_2[[#This Row],[ID MATERIAL]]="","",B2934)</f>
        <v/>
      </c>
      <c r="C2935" s="21"/>
      <c r="D2935" s="21"/>
      <c r="E2935" s="7" t="str">
        <f>IF(Plantilla_SCAN_EQ3_COUNT_2[[#This Row],[ID MATERIAL]]="","",VLOOKUP(Plantilla_SCAN_EQ3_COUNT_2[[#This Row],[ID MATERIAL]],INVENTARIO!$A:$D,2,FALSE))</f>
        <v/>
      </c>
      <c r="F2935" s="7" t="str">
        <f>IF(Plantilla_SCAN_EQ3_COUNT_2[[#This Row],[ID MATERIAL]]="","",IF(Plantilla_SCAN_EQ3_COUNT_2[[#This Row],[No. Empaques]]="",1,Plantilla_SCAN_EQ3_COUNT_2[[#This Row],[No. Empaques]]*1))</f>
        <v/>
      </c>
      <c r="G2935" s="7" t="str">
        <f>IF(Plantilla_SCAN_EQ3_COUNT_2[[#This Row],[ID MATERIAL]]="","","PZ")</f>
        <v/>
      </c>
      <c r="H2935" s="7" t="str">
        <f>IF(Plantilla_SCAN_EQ3_COUNT_2[[#This Row],[ID MATERIAL]]="","",$B$13)</f>
        <v/>
      </c>
      <c r="I2935" s="7" t="str">
        <f>IF(Plantilla_SCAN_EQ3_COUNT_2[[#This Row],[ID MATERIAL]]="","","Segundo Conteo")</f>
        <v/>
      </c>
    </row>
    <row r="2936" spans="1:10" s="7" customFormat="1" ht="15" x14ac:dyDescent="0.2">
      <c r="A2936" s="7" t="str">
        <f>IF(Plantilla_SCAN_EQ3_COUNT_2[[#This Row],[ID MATERIAL]]="","",SIGN(Plantilla_SCAN_EQ3_COUNT_2[[#This Row],[Cantidad]])+A2935)</f>
        <v/>
      </c>
      <c r="B2936" s="21" t="str">
        <f>IF(Plantilla_SCAN_EQ3_COUNT_2[[#This Row],[ID MATERIAL]]="","",B2935)</f>
        <v/>
      </c>
      <c r="C2936" s="21"/>
      <c r="D2936" s="21"/>
      <c r="E2936" s="7" t="str">
        <f>IF(Plantilla_SCAN_EQ3_COUNT_2[[#This Row],[ID MATERIAL]]="","",VLOOKUP(Plantilla_SCAN_EQ3_COUNT_2[[#This Row],[ID MATERIAL]],INVENTARIO!$A:$D,2,FALSE))</f>
        <v/>
      </c>
      <c r="F2936" s="7" t="str">
        <f>IF(Plantilla_SCAN_EQ3_COUNT_2[[#This Row],[ID MATERIAL]]="","",IF(Plantilla_SCAN_EQ3_COUNT_2[[#This Row],[No. Empaques]]="",1,Plantilla_SCAN_EQ3_COUNT_2[[#This Row],[No. Empaques]]*1))</f>
        <v/>
      </c>
      <c r="G2936" s="7" t="str">
        <f>IF(Plantilla_SCAN_EQ3_COUNT_2[[#This Row],[ID MATERIAL]]="","","PZ")</f>
        <v/>
      </c>
      <c r="H2936" s="7" t="str">
        <f>IF(Plantilla_SCAN_EQ3_COUNT_2[[#This Row],[ID MATERIAL]]="","",$B$13)</f>
        <v/>
      </c>
      <c r="I2936" s="7" t="str">
        <f>IF(Plantilla_SCAN_EQ3_COUNT_2[[#This Row],[ID MATERIAL]]="","","Segundo Conteo")</f>
        <v/>
      </c>
    </row>
    <row r="2937" spans="1:10" s="7" customFormat="1" ht="15" x14ac:dyDescent="0.2">
      <c r="A2937" s="7" t="str">
        <f>IF(Plantilla_SCAN_EQ3_COUNT_2[[#This Row],[ID MATERIAL]]="","",SIGN(Plantilla_SCAN_EQ3_COUNT_2[[#This Row],[Cantidad]])+A2936)</f>
        <v/>
      </c>
      <c r="B2937" s="21" t="str">
        <f>IF(Plantilla_SCAN_EQ3_COUNT_2[[#This Row],[ID MATERIAL]]="","",B2936)</f>
        <v/>
      </c>
      <c r="C2937" s="21"/>
      <c r="D2937" s="21"/>
      <c r="E2937" s="7" t="str">
        <f>IF(Plantilla_SCAN_EQ3_COUNT_2[[#This Row],[ID MATERIAL]]="","",VLOOKUP(Plantilla_SCAN_EQ3_COUNT_2[[#This Row],[ID MATERIAL]],INVENTARIO!$A:$D,2,FALSE))</f>
        <v/>
      </c>
      <c r="F2937" s="7" t="str">
        <f>IF(Plantilla_SCAN_EQ3_COUNT_2[[#This Row],[ID MATERIAL]]="","",IF(Plantilla_SCAN_EQ3_COUNT_2[[#This Row],[No. Empaques]]="",1,Plantilla_SCAN_EQ3_COUNT_2[[#This Row],[No. Empaques]]*1))</f>
        <v/>
      </c>
      <c r="G2937" s="7" t="str">
        <f>IF(Plantilla_SCAN_EQ3_COUNT_2[[#This Row],[ID MATERIAL]]="","","PZ")</f>
        <v/>
      </c>
      <c r="H2937" s="7" t="str">
        <f>IF(Plantilla_SCAN_EQ3_COUNT_2[[#This Row],[ID MATERIAL]]="","",$B$13)</f>
        <v/>
      </c>
      <c r="I2937" s="7" t="str">
        <f>IF(Plantilla_SCAN_EQ3_COUNT_2[[#This Row],[ID MATERIAL]]="","","Segundo Conteo")</f>
        <v/>
      </c>
    </row>
    <row r="2938" spans="1:10" s="7" customFormat="1" ht="15" x14ac:dyDescent="0.2">
      <c r="A2938" s="7" t="str">
        <f>IF(Plantilla_SCAN_EQ3_COUNT_2[[#This Row],[ID MATERIAL]]="","",SIGN(Plantilla_SCAN_EQ3_COUNT_2[[#This Row],[Cantidad]])+A2937)</f>
        <v/>
      </c>
      <c r="B2938" s="21" t="str">
        <f>IF(Plantilla_SCAN_EQ3_COUNT_2[[#This Row],[ID MATERIAL]]="","",B2937)</f>
        <v/>
      </c>
      <c r="C2938" s="21"/>
      <c r="D2938" s="21"/>
      <c r="E2938" s="7" t="str">
        <f>IF(Plantilla_SCAN_EQ3_COUNT_2[[#This Row],[ID MATERIAL]]="","",VLOOKUP(Plantilla_SCAN_EQ3_COUNT_2[[#This Row],[ID MATERIAL]],INVENTARIO!$A:$D,2,FALSE))</f>
        <v/>
      </c>
      <c r="F2938" s="7" t="str">
        <f>IF(Plantilla_SCAN_EQ3_COUNT_2[[#This Row],[ID MATERIAL]]="","",IF(Plantilla_SCAN_EQ3_COUNT_2[[#This Row],[No. Empaques]]="",1,Plantilla_SCAN_EQ3_COUNT_2[[#This Row],[No. Empaques]]*1))</f>
        <v/>
      </c>
      <c r="G2938" s="7" t="str">
        <f>IF(Plantilla_SCAN_EQ3_COUNT_2[[#This Row],[ID MATERIAL]]="","","PZ")</f>
        <v/>
      </c>
      <c r="H2938" s="7" t="str">
        <f>IF(Plantilla_SCAN_EQ3_COUNT_2[[#This Row],[ID MATERIAL]]="","",$B$13)</f>
        <v/>
      </c>
      <c r="I2938" s="7" t="str">
        <f>IF(Plantilla_SCAN_EQ3_COUNT_2[[#This Row],[ID MATERIAL]]="","","Segundo Conteo")</f>
        <v/>
      </c>
    </row>
    <row r="2939" spans="1:10" s="7" customFormat="1" ht="15" x14ac:dyDescent="0.2">
      <c r="A2939" s="7" t="str">
        <f>IF(Plantilla_SCAN_EQ3_COUNT_2[[#This Row],[ID MATERIAL]]="","",SIGN(Plantilla_SCAN_EQ3_COUNT_2[[#This Row],[Cantidad]])+A2938)</f>
        <v/>
      </c>
      <c r="B2939" s="21" t="str">
        <f>IF(Plantilla_SCAN_EQ3_COUNT_2[[#This Row],[ID MATERIAL]]="","",B2938)</f>
        <v/>
      </c>
      <c r="C2939" s="21"/>
      <c r="D2939" s="21"/>
      <c r="E2939" s="7" t="str">
        <f>IF(Plantilla_SCAN_EQ3_COUNT_2[[#This Row],[ID MATERIAL]]="","",VLOOKUP(Plantilla_SCAN_EQ3_COUNT_2[[#This Row],[ID MATERIAL]],INVENTARIO!$A:$D,2,FALSE))</f>
        <v/>
      </c>
      <c r="F2939" s="7" t="str">
        <f>IF(Plantilla_SCAN_EQ3_COUNT_2[[#This Row],[ID MATERIAL]]="","",IF(Plantilla_SCAN_EQ3_COUNT_2[[#This Row],[No. Empaques]]="",1,Plantilla_SCAN_EQ3_COUNT_2[[#This Row],[No. Empaques]]*1))</f>
        <v/>
      </c>
      <c r="G2939" s="7" t="str">
        <f>IF(Plantilla_SCAN_EQ3_COUNT_2[[#This Row],[ID MATERIAL]]="","","PZ")</f>
        <v/>
      </c>
      <c r="H2939" s="7" t="str">
        <f>IF(Plantilla_SCAN_EQ3_COUNT_2[[#This Row],[ID MATERIAL]]="","",$B$13)</f>
        <v/>
      </c>
      <c r="I2939" s="7" t="str">
        <f>IF(Plantilla_SCAN_EQ3_COUNT_2[[#This Row],[ID MATERIAL]]="","","Segundo Conteo")</f>
        <v/>
      </c>
    </row>
    <row r="2940" spans="1:10" s="7" customFormat="1" ht="15" x14ac:dyDescent="0.2">
      <c r="A2940" s="7" t="str">
        <f>IF(Plantilla_SCAN_EQ3_COUNT_2[[#This Row],[ID MATERIAL]]="","",SIGN(Plantilla_SCAN_EQ3_COUNT_2[[#This Row],[Cantidad]])+A2939)</f>
        <v/>
      </c>
      <c r="B2940" s="21" t="str">
        <f>IF(Plantilla_SCAN_EQ3_COUNT_2[[#This Row],[ID MATERIAL]]="","",B2939)</f>
        <v/>
      </c>
      <c r="C2940" s="21"/>
      <c r="D2940" s="21"/>
      <c r="E2940" s="7" t="str">
        <f>IF(Plantilla_SCAN_EQ3_COUNT_2[[#This Row],[ID MATERIAL]]="","",VLOOKUP(Plantilla_SCAN_EQ3_COUNT_2[[#This Row],[ID MATERIAL]],INVENTARIO!$A:$D,2,FALSE))</f>
        <v/>
      </c>
      <c r="F2940" s="7" t="str">
        <f>IF(Plantilla_SCAN_EQ3_COUNT_2[[#This Row],[ID MATERIAL]]="","",IF(Plantilla_SCAN_EQ3_COUNT_2[[#This Row],[No. Empaques]]="",1,Plantilla_SCAN_EQ3_COUNT_2[[#This Row],[No. Empaques]]*1))</f>
        <v/>
      </c>
      <c r="G2940" s="7" t="str">
        <f>IF(Plantilla_SCAN_EQ3_COUNT_2[[#This Row],[ID MATERIAL]]="","","PZ")</f>
        <v/>
      </c>
      <c r="H2940" s="7" t="str">
        <f>IF(Plantilla_SCAN_EQ3_COUNT_2[[#This Row],[ID MATERIAL]]="","",$B$13)</f>
        <v/>
      </c>
      <c r="I2940" s="7" t="str">
        <f>IF(Plantilla_SCAN_EQ3_COUNT_2[[#This Row],[ID MATERIAL]]="","","Segundo Conteo")</f>
        <v/>
      </c>
    </row>
    <row r="2941" spans="1:10" ht="15" x14ac:dyDescent="0.2">
      <c r="A2941" s="7" t="str">
        <f>IF(Plantilla_SCAN_EQ3_COUNT_2[[#This Row],[ID MATERIAL]]="","",SIGN(Plantilla_SCAN_EQ3_COUNT_2[[#This Row],[Cantidad]])+A2940)</f>
        <v/>
      </c>
      <c r="B2941" s="21" t="str">
        <f>IF(Plantilla_SCAN_EQ3_COUNT_2[[#This Row],[ID MATERIAL]]="","",B2940)</f>
        <v/>
      </c>
      <c r="C2941" s="21"/>
      <c r="D2941" s="21"/>
      <c r="E2941" s="7" t="str">
        <f>IF(Plantilla_SCAN_EQ3_COUNT_2[[#This Row],[ID MATERIAL]]="","",VLOOKUP(Plantilla_SCAN_EQ3_COUNT_2[[#This Row],[ID MATERIAL]],INVENTARIO!$A:$D,2,FALSE))</f>
        <v/>
      </c>
      <c r="F2941" s="7" t="str">
        <f>IF(Plantilla_SCAN_EQ3_COUNT_2[[#This Row],[ID MATERIAL]]="","",IF(Plantilla_SCAN_EQ3_COUNT_2[[#This Row],[No. Empaques]]="",1,Plantilla_SCAN_EQ3_COUNT_2[[#This Row],[No. Empaques]]*1))</f>
        <v/>
      </c>
      <c r="G2941" s="7" t="str">
        <f>IF(Plantilla_SCAN_EQ3_COUNT_2[[#This Row],[ID MATERIAL]]="","","PZ")</f>
        <v/>
      </c>
      <c r="H2941" s="7" t="str">
        <f>IF(Plantilla_SCAN_EQ3_COUNT_2[[#This Row],[ID MATERIAL]]="","",$B$13)</f>
        <v/>
      </c>
      <c r="I2941" s="7" t="str">
        <f>IF(Plantilla_SCAN_EQ3_COUNT_2[[#This Row],[ID MATERIAL]]="","","Segundo Conteo")</f>
        <v/>
      </c>
      <c r="J2941"/>
    </row>
    <row r="2942" spans="1:10" ht="15" x14ac:dyDescent="0.2">
      <c r="A2942" s="7" t="str">
        <f>IF(Plantilla_SCAN_EQ3_COUNT_2[[#This Row],[ID MATERIAL]]="","",SIGN(Plantilla_SCAN_EQ3_COUNT_2[[#This Row],[Cantidad]])+A2941)</f>
        <v/>
      </c>
      <c r="B2942" s="21" t="str">
        <f>IF(Plantilla_SCAN_EQ3_COUNT_2[[#This Row],[ID MATERIAL]]="","",B2941)</f>
        <v/>
      </c>
      <c r="C2942" s="21"/>
      <c r="D2942" s="21"/>
      <c r="E2942" s="7" t="str">
        <f>IF(Plantilla_SCAN_EQ3_COUNT_2[[#This Row],[ID MATERIAL]]="","",VLOOKUP(Plantilla_SCAN_EQ3_COUNT_2[[#This Row],[ID MATERIAL]],INVENTARIO!$A:$D,2,FALSE))</f>
        <v/>
      </c>
      <c r="F2942" s="7" t="str">
        <f>IF(Plantilla_SCAN_EQ3_COUNT_2[[#This Row],[ID MATERIAL]]="","",IF(Plantilla_SCAN_EQ3_COUNT_2[[#This Row],[No. Empaques]]="",1,Plantilla_SCAN_EQ3_COUNT_2[[#This Row],[No. Empaques]]*1))</f>
        <v/>
      </c>
      <c r="G2942" s="7" t="str">
        <f>IF(Plantilla_SCAN_EQ3_COUNT_2[[#This Row],[ID MATERIAL]]="","","PZ")</f>
        <v/>
      </c>
      <c r="H2942" s="7" t="str">
        <f>IF(Plantilla_SCAN_EQ3_COUNT_2[[#This Row],[ID MATERIAL]]="","",$B$13)</f>
        <v/>
      </c>
      <c r="I2942" s="7" t="str">
        <f>IF(Plantilla_SCAN_EQ3_COUNT_2[[#This Row],[ID MATERIAL]]="","","Segundo Conteo")</f>
        <v/>
      </c>
      <c r="J2942"/>
    </row>
  </sheetData>
  <sheetProtection sheet="1" selectLockedCells="1" autoFilter="0"/>
  <customSheetViews>
    <customSheetView guid="{2823F285-EC37-464C-9463-7569505F04CE}" scale="80" showGridLines="0" hiddenColumns="1" state="hidden" topLeftCell="A3">
      <selection activeCell="A23" sqref="A23"/>
      <pageMargins left="0.7" right="0.7" top="0.75" bottom="0.75" header="0.3" footer="0.3"/>
      <pageSetup paperSize="9" orientation="portrait" r:id="rId1"/>
    </customSheetView>
    <customSheetView guid="{F5CEECC2-1AB8-48CD-8B07-22140D0181D3}" scale="80" showGridLines="0" hiddenColumns="1" state="hidden" topLeftCell="A3">
      <selection activeCell="A23" sqref="A23"/>
      <pageMargins left="0.7" right="0.7" top="0.75" bottom="0.75" header="0.3" footer="0.3"/>
      <pageSetup paperSize="9" orientation="portrait" r:id="rId2"/>
    </customSheetView>
  </customSheetViews>
  <pageMargins left="0.7" right="0.7" top="0.75" bottom="0.75" header="0.3" footer="0.3"/>
  <pageSetup paperSize="9" orientation="portrait" r:id="rId3"/>
  <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INVENTARIO</vt:lpstr>
      <vt:lpstr>SCAN 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INVENTARIOS</cp:lastModifiedBy>
  <cp:revision>1</cp:revision>
  <cp:lastPrinted>2021-10-26T17:02:47Z</cp:lastPrinted>
  <dcterms:created xsi:type="dcterms:W3CDTF">2021-06-30T13:20:34Z</dcterms:created>
  <dcterms:modified xsi:type="dcterms:W3CDTF">2023-03-13T14:16:23Z</dcterms:modified>
  <cp:category/>
</cp:coreProperties>
</file>