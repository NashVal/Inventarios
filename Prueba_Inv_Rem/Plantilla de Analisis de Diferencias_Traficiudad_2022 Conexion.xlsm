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ENTARIOS\Documents\ANGELICA\Traficiudad_2023\Inventario Traficiudad_2023\Coordinación_Mesa de Control\"/>
    </mc:Choice>
  </mc:AlternateContent>
  <xr:revisionPtr revIDLastSave="0" documentId="13_ncr:1_{E5D56CA1-2F47-404E-BDA0-50D0D08168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to de Inventario" sheetId="1" r:id="rId1"/>
    <sheet name="Consolidado conteo 1" sheetId="16" r:id="rId2"/>
    <sheet name="Consolidado conteo 2" sheetId="17" r:id="rId3"/>
    <sheet name="Consolidado  Conteo 3" sheetId="18" r:id="rId4"/>
  </sheets>
  <functionGroups builtInGroupCount="19"/>
  <definedNames>
    <definedName name="_xlnm._FilterDatabase" localSheetId="0" hidden="1">'Foto de Inventario'!$A$16:$B$343</definedName>
    <definedName name="DatosExternos_1" localSheetId="3" hidden="1">'Consolidado  Conteo 3'!$A$1:$I$328</definedName>
    <definedName name="DatosExternos_1" localSheetId="1" hidden="1">'Consolidado conteo 1'!$A$1:$I$18</definedName>
    <definedName name="DatosExternos_1" localSheetId="2" hidden="1">'Consolidado conteo 2'!$A$1:$I$19</definedName>
    <definedName name="Z_2823F285_EC37_464C_9463_7569505F04CE_.wvu.FilterData" localSheetId="0" hidden="1">'Foto de Inventario'!$A$16:$B$343</definedName>
    <definedName name="Z_F5CEECC2_1AB8_48CD_8B07_22140D0181D3_.wvu.FilterData" localSheetId="0" hidden="1">'Foto de Inventario'!$A$16:$B$343</definedName>
  </definedNames>
  <calcPr calcId="191029"/>
  <customWorkbookViews>
    <customWorkbookView name="Orta, Misael (MX-TOL1) - Vista personalizada" guid="{F5CEECC2-1AB8-48CD-8B07-22140D0181D3}" mergeInterval="0" personalView="1" maximized="1" xWindow="-11" yWindow="-11" windowWidth="1942" windowHeight="1042" activeSheetId="3"/>
    <customWorkbookView name="Martinez, Jose  (MX-TOL1) - Vista personalizada" guid="{2823F285-EC37-464C-9463-7569505F04CE}" mergeInterval="0" personalView="1" maximized="1" xWindow="-8" yWindow="-8" windowWidth="1936" windowHeight="1056" activeSheetId="3"/>
  </customWorkbookViews>
</workbook>
</file>

<file path=xl/calcChain.xml><?xml version="1.0" encoding="utf-8"?>
<calcChain xmlns="http://schemas.openxmlformats.org/spreadsheetml/2006/main">
  <c r="I17" i="1" l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F330" i="1"/>
  <c r="F17" i="1" l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M15" i="1" l="1"/>
  <c r="I15" i="1"/>
  <c r="E15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15" i="1" l="1"/>
  <c r="L7" i="1"/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D15" i="1"/>
  <c r="F15" i="1" l="1"/>
  <c r="G17" i="1"/>
  <c r="G15" i="1" s="1"/>
  <c r="H327" i="1"/>
  <c r="J327" i="1" s="1"/>
  <c r="H287" i="1"/>
  <c r="J287" i="1" s="1"/>
  <c r="H159" i="1"/>
  <c r="J159" i="1" s="1"/>
  <c r="H151" i="1"/>
  <c r="J151" i="1" s="1"/>
  <c r="H143" i="1"/>
  <c r="J143" i="1" s="1"/>
  <c r="H135" i="1"/>
  <c r="J135" i="1" s="1"/>
  <c r="H127" i="1"/>
  <c r="J127" i="1" s="1"/>
  <c r="H119" i="1"/>
  <c r="J119" i="1" s="1"/>
  <c r="H111" i="1"/>
  <c r="J111" i="1" s="1"/>
  <c r="H103" i="1"/>
  <c r="J103" i="1" s="1"/>
  <c r="H95" i="1"/>
  <c r="J95" i="1" s="1"/>
  <c r="H87" i="1"/>
  <c r="J87" i="1" s="1"/>
  <c r="H79" i="1"/>
  <c r="J79" i="1" s="1"/>
  <c r="H71" i="1"/>
  <c r="J71" i="1" s="1"/>
  <c r="H63" i="1"/>
  <c r="J63" i="1" s="1"/>
  <c r="H55" i="1"/>
  <c r="J55" i="1" s="1"/>
  <c r="H47" i="1"/>
  <c r="J47" i="1" s="1"/>
  <c r="H39" i="1"/>
  <c r="J39" i="1" s="1"/>
  <c r="H31" i="1"/>
  <c r="J31" i="1" s="1"/>
  <c r="H23" i="1"/>
  <c r="J23" i="1" s="1"/>
  <c r="H343" i="1"/>
  <c r="J343" i="1" s="1"/>
  <c r="H311" i="1"/>
  <c r="J311" i="1" s="1"/>
  <c r="H271" i="1"/>
  <c r="J271" i="1" s="1"/>
  <c r="H239" i="1"/>
  <c r="J239" i="1" s="1"/>
  <c r="H223" i="1"/>
  <c r="J223" i="1" s="1"/>
  <c r="H167" i="1"/>
  <c r="J167" i="1" s="1"/>
  <c r="H342" i="1"/>
  <c r="J342" i="1" s="1"/>
  <c r="H334" i="1"/>
  <c r="J334" i="1" s="1"/>
  <c r="H326" i="1"/>
  <c r="J326" i="1" s="1"/>
  <c r="H318" i="1"/>
  <c r="J318" i="1" s="1"/>
  <c r="H310" i="1"/>
  <c r="J310" i="1" s="1"/>
  <c r="H302" i="1"/>
  <c r="J302" i="1" s="1"/>
  <c r="H294" i="1"/>
  <c r="J294" i="1" s="1"/>
  <c r="H286" i="1"/>
  <c r="J286" i="1" s="1"/>
  <c r="H278" i="1"/>
  <c r="J278" i="1" s="1"/>
  <c r="H270" i="1"/>
  <c r="J270" i="1" s="1"/>
  <c r="H262" i="1"/>
  <c r="J262" i="1" s="1"/>
  <c r="H254" i="1"/>
  <c r="J254" i="1" s="1"/>
  <c r="H246" i="1"/>
  <c r="J246" i="1" s="1"/>
  <c r="H238" i="1"/>
  <c r="J238" i="1" s="1"/>
  <c r="H230" i="1"/>
  <c r="J230" i="1" s="1"/>
  <c r="H222" i="1"/>
  <c r="J222" i="1" s="1"/>
  <c r="H214" i="1"/>
  <c r="J214" i="1" s="1"/>
  <c r="H206" i="1"/>
  <c r="J206" i="1" s="1"/>
  <c r="H198" i="1"/>
  <c r="J198" i="1" s="1"/>
  <c r="H190" i="1"/>
  <c r="J190" i="1" s="1"/>
  <c r="H182" i="1"/>
  <c r="J182" i="1" s="1"/>
  <c r="H174" i="1"/>
  <c r="J174" i="1" s="1"/>
  <c r="H166" i="1"/>
  <c r="J166" i="1" s="1"/>
  <c r="H158" i="1"/>
  <c r="J158" i="1" s="1"/>
  <c r="H150" i="1"/>
  <c r="J150" i="1" s="1"/>
  <c r="H142" i="1"/>
  <c r="J142" i="1" s="1"/>
  <c r="H134" i="1"/>
  <c r="J134" i="1" s="1"/>
  <c r="H126" i="1"/>
  <c r="J126" i="1" s="1"/>
  <c r="H118" i="1"/>
  <c r="J118" i="1" s="1"/>
  <c r="H110" i="1"/>
  <c r="J110" i="1" s="1"/>
  <c r="H102" i="1"/>
  <c r="J102" i="1" s="1"/>
  <c r="H94" i="1"/>
  <c r="J94" i="1" s="1"/>
  <c r="H86" i="1"/>
  <c r="J86" i="1" s="1"/>
  <c r="H78" i="1"/>
  <c r="J78" i="1" s="1"/>
  <c r="H70" i="1"/>
  <c r="J70" i="1" s="1"/>
  <c r="H62" i="1"/>
  <c r="J62" i="1" s="1"/>
  <c r="H54" i="1"/>
  <c r="J54" i="1" s="1"/>
  <c r="H46" i="1"/>
  <c r="J46" i="1" s="1"/>
  <c r="H38" i="1"/>
  <c r="J38" i="1" s="1"/>
  <c r="H30" i="1"/>
  <c r="J30" i="1" s="1"/>
  <c r="H22" i="1"/>
  <c r="J22" i="1" s="1"/>
  <c r="H303" i="1"/>
  <c r="J303" i="1" s="1"/>
  <c r="H295" i="1"/>
  <c r="J295" i="1" s="1"/>
  <c r="H263" i="1"/>
  <c r="J263" i="1" s="1"/>
  <c r="H247" i="1"/>
  <c r="J247" i="1" s="1"/>
  <c r="H215" i="1"/>
  <c r="J215" i="1" s="1"/>
  <c r="H199" i="1"/>
  <c r="J199" i="1" s="1"/>
  <c r="H183" i="1"/>
  <c r="J183" i="1" s="1"/>
  <c r="H341" i="1"/>
  <c r="J341" i="1" s="1"/>
  <c r="H325" i="1"/>
  <c r="J325" i="1" s="1"/>
  <c r="H317" i="1"/>
  <c r="J317" i="1" s="1"/>
  <c r="H309" i="1"/>
  <c r="J309" i="1" s="1"/>
  <c r="H301" i="1"/>
  <c r="J301" i="1" s="1"/>
  <c r="H293" i="1"/>
  <c r="J293" i="1" s="1"/>
  <c r="H285" i="1"/>
  <c r="J285" i="1" s="1"/>
  <c r="H277" i="1"/>
  <c r="J277" i="1" s="1"/>
  <c r="H269" i="1"/>
  <c r="J269" i="1" s="1"/>
  <c r="H261" i="1"/>
  <c r="J261" i="1" s="1"/>
  <c r="H253" i="1"/>
  <c r="J253" i="1" s="1"/>
  <c r="H245" i="1"/>
  <c r="J245" i="1" s="1"/>
  <c r="H237" i="1"/>
  <c r="J237" i="1" s="1"/>
  <c r="H229" i="1"/>
  <c r="J229" i="1" s="1"/>
  <c r="H221" i="1"/>
  <c r="J221" i="1" s="1"/>
  <c r="H213" i="1"/>
  <c r="J213" i="1" s="1"/>
  <c r="H205" i="1"/>
  <c r="J205" i="1" s="1"/>
  <c r="H197" i="1"/>
  <c r="J197" i="1" s="1"/>
  <c r="H189" i="1"/>
  <c r="J189" i="1" s="1"/>
  <c r="H181" i="1"/>
  <c r="J181" i="1" s="1"/>
  <c r="H173" i="1"/>
  <c r="J173" i="1" s="1"/>
  <c r="H165" i="1"/>
  <c r="J165" i="1" s="1"/>
  <c r="H157" i="1"/>
  <c r="J157" i="1" s="1"/>
  <c r="H149" i="1"/>
  <c r="J149" i="1" s="1"/>
  <c r="H141" i="1"/>
  <c r="J141" i="1" s="1"/>
  <c r="H133" i="1"/>
  <c r="J133" i="1" s="1"/>
  <c r="H125" i="1"/>
  <c r="J125" i="1" s="1"/>
  <c r="H117" i="1"/>
  <c r="J117" i="1" s="1"/>
  <c r="H109" i="1"/>
  <c r="J109" i="1" s="1"/>
  <c r="H101" i="1"/>
  <c r="J101" i="1" s="1"/>
  <c r="H93" i="1"/>
  <c r="J93" i="1" s="1"/>
  <c r="H85" i="1"/>
  <c r="J85" i="1" s="1"/>
  <c r="H77" i="1"/>
  <c r="J77" i="1" s="1"/>
  <c r="H69" i="1"/>
  <c r="J69" i="1" s="1"/>
  <c r="H61" i="1"/>
  <c r="J61" i="1" s="1"/>
  <c r="H53" i="1"/>
  <c r="J53" i="1" s="1"/>
  <c r="H45" i="1"/>
  <c r="J45" i="1" s="1"/>
  <c r="H37" i="1"/>
  <c r="J37" i="1" s="1"/>
  <c r="H29" i="1"/>
  <c r="J29" i="1" s="1"/>
  <c r="H21" i="1"/>
  <c r="J21" i="1" s="1"/>
  <c r="H335" i="1"/>
  <c r="J335" i="1" s="1"/>
  <c r="H319" i="1"/>
  <c r="J319" i="1" s="1"/>
  <c r="H279" i="1"/>
  <c r="J279" i="1" s="1"/>
  <c r="H255" i="1"/>
  <c r="J255" i="1" s="1"/>
  <c r="H231" i="1"/>
  <c r="J231" i="1" s="1"/>
  <c r="H207" i="1"/>
  <c r="J207" i="1" s="1"/>
  <c r="H191" i="1"/>
  <c r="J191" i="1" s="1"/>
  <c r="H175" i="1"/>
  <c r="J175" i="1" s="1"/>
  <c r="H333" i="1"/>
  <c r="J333" i="1" s="1"/>
  <c r="H340" i="1"/>
  <c r="J340" i="1" s="1"/>
  <c r="H332" i="1"/>
  <c r="J332" i="1" s="1"/>
  <c r="H324" i="1"/>
  <c r="J324" i="1" s="1"/>
  <c r="H316" i="1"/>
  <c r="J316" i="1" s="1"/>
  <c r="H308" i="1"/>
  <c r="J308" i="1" s="1"/>
  <c r="H300" i="1"/>
  <c r="J300" i="1" s="1"/>
  <c r="H292" i="1"/>
  <c r="J292" i="1" s="1"/>
  <c r="H284" i="1"/>
  <c r="J284" i="1" s="1"/>
  <c r="H276" i="1"/>
  <c r="J276" i="1" s="1"/>
  <c r="H268" i="1"/>
  <c r="J268" i="1" s="1"/>
  <c r="H260" i="1"/>
  <c r="J260" i="1" s="1"/>
  <c r="H252" i="1"/>
  <c r="J252" i="1" s="1"/>
  <c r="H244" i="1"/>
  <c r="J244" i="1" s="1"/>
  <c r="H236" i="1"/>
  <c r="J236" i="1" s="1"/>
  <c r="H228" i="1"/>
  <c r="J228" i="1" s="1"/>
  <c r="H220" i="1"/>
  <c r="J220" i="1" s="1"/>
  <c r="H212" i="1"/>
  <c r="J212" i="1" s="1"/>
  <c r="H204" i="1"/>
  <c r="J204" i="1" s="1"/>
  <c r="H196" i="1"/>
  <c r="J196" i="1" s="1"/>
  <c r="H188" i="1"/>
  <c r="J188" i="1" s="1"/>
  <c r="H180" i="1"/>
  <c r="J180" i="1" s="1"/>
  <c r="H172" i="1"/>
  <c r="J172" i="1" s="1"/>
  <c r="H164" i="1"/>
  <c r="J164" i="1" s="1"/>
  <c r="H156" i="1"/>
  <c r="J156" i="1" s="1"/>
  <c r="H148" i="1"/>
  <c r="J148" i="1" s="1"/>
  <c r="H140" i="1"/>
  <c r="J140" i="1" s="1"/>
  <c r="H132" i="1"/>
  <c r="J132" i="1" s="1"/>
  <c r="H124" i="1"/>
  <c r="J124" i="1" s="1"/>
  <c r="H116" i="1"/>
  <c r="J116" i="1" s="1"/>
  <c r="H108" i="1"/>
  <c r="J108" i="1" s="1"/>
  <c r="H100" i="1"/>
  <c r="J100" i="1" s="1"/>
  <c r="H92" i="1"/>
  <c r="J92" i="1" s="1"/>
  <c r="H84" i="1"/>
  <c r="J84" i="1" s="1"/>
  <c r="H76" i="1"/>
  <c r="J76" i="1" s="1"/>
  <c r="H68" i="1"/>
  <c r="J68" i="1" s="1"/>
  <c r="H60" i="1"/>
  <c r="J60" i="1" s="1"/>
  <c r="H52" i="1"/>
  <c r="J52" i="1" s="1"/>
  <c r="H44" i="1"/>
  <c r="J44" i="1" s="1"/>
  <c r="H36" i="1"/>
  <c r="J36" i="1" s="1"/>
  <c r="H28" i="1"/>
  <c r="J28" i="1" s="1"/>
  <c r="H20" i="1"/>
  <c r="J20" i="1" s="1"/>
  <c r="H323" i="1"/>
  <c r="J323" i="1" s="1"/>
  <c r="H299" i="1"/>
  <c r="J299" i="1" s="1"/>
  <c r="H251" i="1"/>
  <c r="J251" i="1" s="1"/>
  <c r="H203" i="1"/>
  <c r="J203" i="1" s="1"/>
  <c r="H195" i="1"/>
  <c r="J195" i="1" s="1"/>
  <c r="H187" i="1"/>
  <c r="J187" i="1" s="1"/>
  <c r="H179" i="1"/>
  <c r="J179" i="1" s="1"/>
  <c r="H171" i="1"/>
  <c r="J171" i="1" s="1"/>
  <c r="H163" i="1"/>
  <c r="J163" i="1" s="1"/>
  <c r="H155" i="1"/>
  <c r="J155" i="1" s="1"/>
  <c r="H147" i="1"/>
  <c r="J147" i="1" s="1"/>
  <c r="H139" i="1"/>
  <c r="J139" i="1" s="1"/>
  <c r="H131" i="1"/>
  <c r="J131" i="1" s="1"/>
  <c r="H123" i="1"/>
  <c r="J123" i="1" s="1"/>
  <c r="H115" i="1"/>
  <c r="J115" i="1" s="1"/>
  <c r="H107" i="1"/>
  <c r="J107" i="1" s="1"/>
  <c r="H99" i="1"/>
  <c r="J99" i="1" s="1"/>
  <c r="H91" i="1"/>
  <c r="J91" i="1" s="1"/>
  <c r="H83" i="1"/>
  <c r="J83" i="1" s="1"/>
  <c r="H75" i="1"/>
  <c r="J75" i="1" s="1"/>
  <c r="H67" i="1"/>
  <c r="J67" i="1" s="1"/>
  <c r="H59" i="1"/>
  <c r="J59" i="1" s="1"/>
  <c r="H51" i="1"/>
  <c r="J51" i="1" s="1"/>
  <c r="H43" i="1"/>
  <c r="J43" i="1" s="1"/>
  <c r="H35" i="1"/>
  <c r="J35" i="1" s="1"/>
  <c r="H27" i="1"/>
  <c r="J27" i="1" s="1"/>
  <c r="H19" i="1"/>
  <c r="J19" i="1" s="1"/>
  <c r="H331" i="1"/>
  <c r="J331" i="1" s="1"/>
  <c r="H291" i="1"/>
  <c r="J291" i="1" s="1"/>
  <c r="H259" i="1"/>
  <c r="J259" i="1" s="1"/>
  <c r="H243" i="1"/>
  <c r="J243" i="1" s="1"/>
  <c r="H211" i="1"/>
  <c r="J211" i="1" s="1"/>
  <c r="H338" i="1"/>
  <c r="J338" i="1" s="1"/>
  <c r="H330" i="1"/>
  <c r="J330" i="1" s="1"/>
  <c r="H322" i="1"/>
  <c r="J322" i="1" s="1"/>
  <c r="H314" i="1"/>
  <c r="J314" i="1" s="1"/>
  <c r="H306" i="1"/>
  <c r="J306" i="1" s="1"/>
  <c r="H298" i="1"/>
  <c r="J298" i="1" s="1"/>
  <c r="H290" i="1"/>
  <c r="J290" i="1" s="1"/>
  <c r="H282" i="1"/>
  <c r="J282" i="1" s="1"/>
  <c r="H274" i="1"/>
  <c r="J274" i="1" s="1"/>
  <c r="H266" i="1"/>
  <c r="J266" i="1" s="1"/>
  <c r="H258" i="1"/>
  <c r="J258" i="1" s="1"/>
  <c r="H250" i="1"/>
  <c r="J250" i="1" s="1"/>
  <c r="H242" i="1"/>
  <c r="J242" i="1" s="1"/>
  <c r="H234" i="1"/>
  <c r="J234" i="1" s="1"/>
  <c r="H226" i="1"/>
  <c r="J226" i="1" s="1"/>
  <c r="H218" i="1"/>
  <c r="J218" i="1" s="1"/>
  <c r="H210" i="1"/>
  <c r="J210" i="1" s="1"/>
  <c r="H202" i="1"/>
  <c r="J202" i="1" s="1"/>
  <c r="H194" i="1"/>
  <c r="J194" i="1" s="1"/>
  <c r="H186" i="1"/>
  <c r="J186" i="1" s="1"/>
  <c r="H178" i="1"/>
  <c r="J178" i="1" s="1"/>
  <c r="H170" i="1"/>
  <c r="J170" i="1" s="1"/>
  <c r="H162" i="1"/>
  <c r="J162" i="1" s="1"/>
  <c r="H154" i="1"/>
  <c r="J154" i="1" s="1"/>
  <c r="H146" i="1"/>
  <c r="J146" i="1" s="1"/>
  <c r="H138" i="1"/>
  <c r="J138" i="1" s="1"/>
  <c r="H130" i="1"/>
  <c r="J130" i="1" s="1"/>
  <c r="H122" i="1"/>
  <c r="J122" i="1" s="1"/>
  <c r="H114" i="1"/>
  <c r="J114" i="1" s="1"/>
  <c r="H106" i="1"/>
  <c r="J106" i="1" s="1"/>
  <c r="H98" i="1"/>
  <c r="J98" i="1" s="1"/>
  <c r="H90" i="1"/>
  <c r="J90" i="1" s="1"/>
  <c r="H82" i="1"/>
  <c r="J82" i="1" s="1"/>
  <c r="H74" i="1"/>
  <c r="J74" i="1" s="1"/>
  <c r="H66" i="1"/>
  <c r="J66" i="1" s="1"/>
  <c r="H58" i="1"/>
  <c r="J58" i="1" s="1"/>
  <c r="H50" i="1"/>
  <c r="J50" i="1" s="1"/>
  <c r="H42" i="1"/>
  <c r="J42" i="1" s="1"/>
  <c r="H34" i="1"/>
  <c r="J34" i="1" s="1"/>
  <c r="H26" i="1"/>
  <c r="J26" i="1" s="1"/>
  <c r="H18" i="1"/>
  <c r="J18" i="1" s="1"/>
  <c r="H307" i="1"/>
  <c r="J307" i="1" s="1"/>
  <c r="H283" i="1"/>
  <c r="J283" i="1" s="1"/>
  <c r="H267" i="1"/>
  <c r="J267" i="1" s="1"/>
  <c r="H227" i="1"/>
  <c r="J227" i="1" s="1"/>
  <c r="H337" i="1"/>
  <c r="J337" i="1" s="1"/>
  <c r="H329" i="1"/>
  <c r="J329" i="1" s="1"/>
  <c r="H321" i="1"/>
  <c r="J321" i="1" s="1"/>
  <c r="H313" i="1"/>
  <c r="J313" i="1" s="1"/>
  <c r="H305" i="1"/>
  <c r="J305" i="1" s="1"/>
  <c r="H297" i="1"/>
  <c r="J297" i="1" s="1"/>
  <c r="H289" i="1"/>
  <c r="J289" i="1" s="1"/>
  <c r="H281" i="1"/>
  <c r="J281" i="1" s="1"/>
  <c r="H273" i="1"/>
  <c r="J273" i="1" s="1"/>
  <c r="H265" i="1"/>
  <c r="J265" i="1" s="1"/>
  <c r="H257" i="1"/>
  <c r="J257" i="1" s="1"/>
  <c r="H249" i="1"/>
  <c r="J249" i="1" s="1"/>
  <c r="H241" i="1"/>
  <c r="J241" i="1" s="1"/>
  <c r="H233" i="1"/>
  <c r="J233" i="1" s="1"/>
  <c r="H225" i="1"/>
  <c r="J225" i="1" s="1"/>
  <c r="H217" i="1"/>
  <c r="J217" i="1" s="1"/>
  <c r="H209" i="1"/>
  <c r="J209" i="1" s="1"/>
  <c r="H201" i="1"/>
  <c r="J201" i="1" s="1"/>
  <c r="H193" i="1"/>
  <c r="J193" i="1" s="1"/>
  <c r="H185" i="1"/>
  <c r="J185" i="1" s="1"/>
  <c r="H177" i="1"/>
  <c r="J177" i="1" s="1"/>
  <c r="H169" i="1"/>
  <c r="J169" i="1" s="1"/>
  <c r="H161" i="1"/>
  <c r="J161" i="1" s="1"/>
  <c r="H153" i="1"/>
  <c r="J153" i="1" s="1"/>
  <c r="H145" i="1"/>
  <c r="J145" i="1" s="1"/>
  <c r="H137" i="1"/>
  <c r="J137" i="1" s="1"/>
  <c r="H129" i="1"/>
  <c r="J129" i="1" s="1"/>
  <c r="H121" i="1"/>
  <c r="J121" i="1" s="1"/>
  <c r="H113" i="1"/>
  <c r="J113" i="1" s="1"/>
  <c r="H105" i="1"/>
  <c r="J105" i="1" s="1"/>
  <c r="H97" i="1"/>
  <c r="J97" i="1" s="1"/>
  <c r="H89" i="1"/>
  <c r="J89" i="1" s="1"/>
  <c r="H81" i="1"/>
  <c r="J81" i="1" s="1"/>
  <c r="H73" i="1"/>
  <c r="J73" i="1" s="1"/>
  <c r="H65" i="1"/>
  <c r="J65" i="1" s="1"/>
  <c r="H57" i="1"/>
  <c r="J57" i="1" s="1"/>
  <c r="H49" i="1"/>
  <c r="J49" i="1" s="1"/>
  <c r="H41" i="1"/>
  <c r="J41" i="1" s="1"/>
  <c r="H33" i="1"/>
  <c r="J33" i="1" s="1"/>
  <c r="H25" i="1"/>
  <c r="J25" i="1" s="1"/>
  <c r="H17" i="1"/>
  <c r="J17" i="1" s="1"/>
  <c r="H339" i="1"/>
  <c r="J339" i="1" s="1"/>
  <c r="H315" i="1"/>
  <c r="J315" i="1" s="1"/>
  <c r="H275" i="1"/>
  <c r="J275" i="1" s="1"/>
  <c r="H235" i="1"/>
  <c r="J235" i="1" s="1"/>
  <c r="H219" i="1"/>
  <c r="J219" i="1" s="1"/>
  <c r="H336" i="1"/>
  <c r="J336" i="1" s="1"/>
  <c r="H328" i="1"/>
  <c r="J328" i="1" s="1"/>
  <c r="H320" i="1"/>
  <c r="J320" i="1" s="1"/>
  <c r="H312" i="1"/>
  <c r="J312" i="1" s="1"/>
  <c r="H304" i="1"/>
  <c r="J304" i="1" s="1"/>
  <c r="H296" i="1"/>
  <c r="J296" i="1" s="1"/>
  <c r="H288" i="1"/>
  <c r="J288" i="1" s="1"/>
  <c r="H280" i="1"/>
  <c r="J280" i="1" s="1"/>
  <c r="H272" i="1"/>
  <c r="J272" i="1" s="1"/>
  <c r="H264" i="1"/>
  <c r="J264" i="1" s="1"/>
  <c r="H256" i="1"/>
  <c r="J256" i="1" s="1"/>
  <c r="H248" i="1"/>
  <c r="J248" i="1" s="1"/>
  <c r="H240" i="1"/>
  <c r="J240" i="1" s="1"/>
  <c r="H232" i="1"/>
  <c r="J232" i="1" s="1"/>
  <c r="H224" i="1"/>
  <c r="J224" i="1" s="1"/>
  <c r="H216" i="1"/>
  <c r="J216" i="1" s="1"/>
  <c r="H208" i="1"/>
  <c r="J208" i="1" s="1"/>
  <c r="H200" i="1"/>
  <c r="J200" i="1" s="1"/>
  <c r="H192" i="1"/>
  <c r="J192" i="1" s="1"/>
  <c r="H184" i="1"/>
  <c r="J184" i="1" s="1"/>
  <c r="H176" i="1"/>
  <c r="J176" i="1" s="1"/>
  <c r="H168" i="1"/>
  <c r="J168" i="1" s="1"/>
  <c r="H160" i="1"/>
  <c r="J160" i="1" s="1"/>
  <c r="H152" i="1"/>
  <c r="J152" i="1" s="1"/>
  <c r="H144" i="1"/>
  <c r="J144" i="1" s="1"/>
  <c r="H136" i="1"/>
  <c r="J136" i="1" s="1"/>
  <c r="H128" i="1"/>
  <c r="J128" i="1" s="1"/>
  <c r="H120" i="1"/>
  <c r="J120" i="1" s="1"/>
  <c r="H112" i="1"/>
  <c r="J112" i="1" s="1"/>
  <c r="H104" i="1"/>
  <c r="J104" i="1" s="1"/>
  <c r="H96" i="1"/>
  <c r="J96" i="1" s="1"/>
  <c r="H88" i="1"/>
  <c r="J88" i="1" s="1"/>
  <c r="H80" i="1"/>
  <c r="J80" i="1" s="1"/>
  <c r="H72" i="1"/>
  <c r="J72" i="1" s="1"/>
  <c r="H64" i="1"/>
  <c r="J64" i="1" s="1"/>
  <c r="H56" i="1"/>
  <c r="J56" i="1" s="1"/>
  <c r="H48" i="1"/>
  <c r="J48" i="1" s="1"/>
  <c r="H40" i="1"/>
  <c r="J40" i="1" s="1"/>
  <c r="H32" i="1"/>
  <c r="J32" i="1" s="1"/>
  <c r="H24" i="1"/>
  <c r="J24" i="1" s="1"/>
  <c r="L17" i="1" l="1"/>
  <c r="J15" i="1"/>
  <c r="K13" i="1" s="1"/>
  <c r="Q56" i="1"/>
  <c r="L56" i="1"/>
  <c r="Q184" i="1"/>
  <c r="L184" i="1"/>
  <c r="Q219" i="1"/>
  <c r="L219" i="1"/>
  <c r="Q105" i="1"/>
  <c r="L105" i="1"/>
  <c r="Q201" i="1"/>
  <c r="L201" i="1"/>
  <c r="Q34" i="1"/>
  <c r="L34" i="1"/>
  <c r="Q194" i="1"/>
  <c r="L194" i="1"/>
  <c r="Q271" i="1"/>
  <c r="L271" i="1"/>
  <c r="Q216" i="1"/>
  <c r="L216" i="1"/>
  <c r="Q41" i="1"/>
  <c r="L41" i="1"/>
  <c r="Q137" i="1"/>
  <c r="L137" i="1"/>
  <c r="Q265" i="1"/>
  <c r="L265" i="1"/>
  <c r="Q66" i="1"/>
  <c r="L66" i="1"/>
  <c r="Q130" i="1"/>
  <c r="L130" i="1"/>
  <c r="Q226" i="1"/>
  <c r="L226" i="1"/>
  <c r="Q322" i="1"/>
  <c r="L322" i="1"/>
  <c r="Q51" i="1"/>
  <c r="L51" i="1"/>
  <c r="Q115" i="1"/>
  <c r="L115" i="1"/>
  <c r="Q179" i="1"/>
  <c r="L179" i="1"/>
  <c r="Q28" i="1"/>
  <c r="L28" i="1"/>
  <c r="Q92" i="1"/>
  <c r="L92" i="1"/>
  <c r="Q156" i="1"/>
  <c r="L156" i="1"/>
  <c r="Q188" i="1"/>
  <c r="L188" i="1"/>
  <c r="Q220" i="1"/>
  <c r="L220" i="1"/>
  <c r="Q284" i="1"/>
  <c r="L284" i="1"/>
  <c r="Q316" i="1"/>
  <c r="L316" i="1"/>
  <c r="Q333" i="1"/>
  <c r="L333" i="1"/>
  <c r="Q231" i="1"/>
  <c r="L231" i="1"/>
  <c r="Q335" i="1"/>
  <c r="L335" i="1"/>
  <c r="Q45" i="1"/>
  <c r="L45" i="1"/>
  <c r="Q77" i="1"/>
  <c r="L77" i="1"/>
  <c r="Q109" i="1"/>
  <c r="L109" i="1"/>
  <c r="Q141" i="1"/>
  <c r="L141" i="1"/>
  <c r="Q173" i="1"/>
  <c r="L173" i="1"/>
  <c r="Q205" i="1"/>
  <c r="L205" i="1"/>
  <c r="Q237" i="1"/>
  <c r="L237" i="1"/>
  <c r="Q269" i="1"/>
  <c r="L269" i="1"/>
  <c r="Q301" i="1"/>
  <c r="L301" i="1"/>
  <c r="Q341" i="1"/>
  <c r="L341" i="1"/>
  <c r="Q247" i="1"/>
  <c r="L247" i="1"/>
  <c r="Q22" i="1"/>
  <c r="L22" i="1"/>
  <c r="Q54" i="1"/>
  <c r="L54" i="1"/>
  <c r="Q86" i="1"/>
  <c r="L86" i="1"/>
  <c r="Q118" i="1"/>
  <c r="L118" i="1"/>
  <c r="Q150" i="1"/>
  <c r="L150" i="1"/>
  <c r="Q182" i="1"/>
  <c r="L182" i="1"/>
  <c r="Q214" i="1"/>
  <c r="L214" i="1"/>
  <c r="Q246" i="1"/>
  <c r="L246" i="1"/>
  <c r="Q278" i="1"/>
  <c r="L278" i="1"/>
  <c r="Q310" i="1"/>
  <c r="L310" i="1"/>
  <c r="Q120" i="1"/>
  <c r="L120" i="1"/>
  <c r="Q339" i="1"/>
  <c r="L339" i="1"/>
  <c r="Q169" i="1"/>
  <c r="L169" i="1"/>
  <c r="Q297" i="1"/>
  <c r="L297" i="1"/>
  <c r="Q98" i="1"/>
  <c r="L98" i="1"/>
  <c r="Q162" i="1"/>
  <c r="L162" i="1"/>
  <c r="Q290" i="1"/>
  <c r="L290" i="1"/>
  <c r="Q243" i="1"/>
  <c r="L243" i="1"/>
  <c r="Q19" i="1"/>
  <c r="L19" i="1"/>
  <c r="Q83" i="1"/>
  <c r="L83" i="1"/>
  <c r="Q147" i="1"/>
  <c r="L147" i="1"/>
  <c r="Q251" i="1"/>
  <c r="L251" i="1"/>
  <c r="Q60" i="1"/>
  <c r="L60" i="1"/>
  <c r="Q124" i="1"/>
  <c r="L124" i="1"/>
  <c r="Q252" i="1"/>
  <c r="L252" i="1"/>
  <c r="Q159" i="1"/>
  <c r="L159" i="1"/>
  <c r="Q88" i="1"/>
  <c r="L88" i="1"/>
  <c r="Q280" i="1"/>
  <c r="L280" i="1"/>
  <c r="Q329" i="1"/>
  <c r="L329" i="1"/>
  <c r="Q63" i="1"/>
  <c r="L63" i="1"/>
  <c r="Q32" i="1"/>
  <c r="L32" i="1"/>
  <c r="Q64" i="1"/>
  <c r="L64" i="1"/>
  <c r="Q96" i="1"/>
  <c r="L96" i="1"/>
  <c r="Q128" i="1"/>
  <c r="L128" i="1"/>
  <c r="Q160" i="1"/>
  <c r="L160" i="1"/>
  <c r="Q192" i="1"/>
  <c r="L192" i="1"/>
  <c r="Q224" i="1"/>
  <c r="L224" i="1"/>
  <c r="Q256" i="1"/>
  <c r="L256" i="1"/>
  <c r="Q288" i="1"/>
  <c r="L288" i="1"/>
  <c r="Q320" i="1"/>
  <c r="L320" i="1"/>
  <c r="Q235" i="1"/>
  <c r="L235" i="1"/>
  <c r="Q49" i="1"/>
  <c r="L49" i="1"/>
  <c r="Q81" i="1"/>
  <c r="L81" i="1"/>
  <c r="Q113" i="1"/>
  <c r="L113" i="1"/>
  <c r="Q145" i="1"/>
  <c r="L145" i="1"/>
  <c r="Q177" i="1"/>
  <c r="L177" i="1"/>
  <c r="Q209" i="1"/>
  <c r="L209" i="1"/>
  <c r="Q241" i="1"/>
  <c r="L241" i="1"/>
  <c r="Q273" i="1"/>
  <c r="L273" i="1"/>
  <c r="Q305" i="1"/>
  <c r="L305" i="1"/>
  <c r="Q337" i="1"/>
  <c r="L337" i="1"/>
  <c r="Q307" i="1"/>
  <c r="L307" i="1"/>
  <c r="Q42" i="1"/>
  <c r="L42" i="1"/>
  <c r="Q74" i="1"/>
  <c r="L74" i="1"/>
  <c r="Q106" i="1"/>
  <c r="L106" i="1"/>
  <c r="Q138" i="1"/>
  <c r="L138" i="1"/>
  <c r="Q170" i="1"/>
  <c r="L170" i="1"/>
  <c r="Q202" i="1"/>
  <c r="L202" i="1"/>
  <c r="Q234" i="1"/>
  <c r="L234" i="1"/>
  <c r="Q266" i="1"/>
  <c r="L266" i="1"/>
  <c r="Q298" i="1"/>
  <c r="L298" i="1"/>
  <c r="Q330" i="1"/>
  <c r="L330" i="1"/>
  <c r="Q259" i="1"/>
  <c r="L259" i="1"/>
  <c r="Q27" i="1"/>
  <c r="L27" i="1"/>
  <c r="Q59" i="1"/>
  <c r="L59" i="1"/>
  <c r="Q91" i="1"/>
  <c r="L91" i="1"/>
  <c r="Q123" i="1"/>
  <c r="L123" i="1"/>
  <c r="Q155" i="1"/>
  <c r="L155" i="1"/>
  <c r="Q187" i="1"/>
  <c r="L187" i="1"/>
  <c r="Q299" i="1"/>
  <c r="L299" i="1"/>
  <c r="Q36" i="1"/>
  <c r="L36" i="1"/>
  <c r="Q68" i="1"/>
  <c r="L68" i="1"/>
  <c r="Q100" i="1"/>
  <c r="L100" i="1"/>
  <c r="Q132" i="1"/>
  <c r="L132" i="1"/>
  <c r="Q164" i="1"/>
  <c r="L164" i="1"/>
  <c r="Q196" i="1"/>
  <c r="L196" i="1"/>
  <c r="Q228" i="1"/>
  <c r="L228" i="1"/>
  <c r="Q260" i="1"/>
  <c r="L260" i="1"/>
  <c r="Q292" i="1"/>
  <c r="L292" i="1"/>
  <c r="Q324" i="1"/>
  <c r="L324" i="1"/>
  <c r="Q175" i="1"/>
  <c r="L175" i="1"/>
  <c r="Q255" i="1"/>
  <c r="L255" i="1"/>
  <c r="Q21" i="1"/>
  <c r="L21" i="1"/>
  <c r="Q53" i="1"/>
  <c r="L53" i="1"/>
  <c r="Q85" i="1"/>
  <c r="L85" i="1"/>
  <c r="Q117" i="1"/>
  <c r="L117" i="1"/>
  <c r="Q149" i="1"/>
  <c r="L149" i="1"/>
  <c r="Q181" i="1"/>
  <c r="L181" i="1"/>
  <c r="Q213" i="1"/>
  <c r="L213" i="1"/>
  <c r="Q245" i="1"/>
  <c r="L245" i="1"/>
  <c r="Q277" i="1"/>
  <c r="L277" i="1"/>
  <c r="Q309" i="1"/>
  <c r="L309" i="1"/>
  <c r="Q183" i="1"/>
  <c r="L183" i="1"/>
  <c r="Q263" i="1"/>
  <c r="L263" i="1"/>
  <c r="Q30" i="1"/>
  <c r="L30" i="1"/>
  <c r="Q62" i="1"/>
  <c r="L62" i="1"/>
  <c r="Q94" i="1"/>
  <c r="L94" i="1"/>
  <c r="Q126" i="1"/>
  <c r="L126" i="1"/>
  <c r="Q158" i="1"/>
  <c r="L158" i="1"/>
  <c r="Q190" i="1"/>
  <c r="L190" i="1"/>
  <c r="Q222" i="1"/>
  <c r="L222" i="1"/>
  <c r="Q254" i="1"/>
  <c r="L254" i="1"/>
  <c r="Q286" i="1"/>
  <c r="L286" i="1"/>
  <c r="Q318" i="1"/>
  <c r="L318" i="1"/>
  <c r="Q167" i="1"/>
  <c r="L167" i="1"/>
  <c r="Q311" i="1"/>
  <c r="L311" i="1"/>
  <c r="Q39" i="1"/>
  <c r="L39" i="1"/>
  <c r="Q71" i="1"/>
  <c r="L71" i="1"/>
  <c r="Q103" i="1"/>
  <c r="L103" i="1"/>
  <c r="Q135" i="1"/>
  <c r="L135" i="1"/>
  <c r="Q287" i="1"/>
  <c r="L287" i="1"/>
  <c r="Q342" i="1"/>
  <c r="L342" i="1"/>
  <c r="Q24" i="1"/>
  <c r="L24" i="1"/>
  <c r="Q152" i="1"/>
  <c r="L152" i="1"/>
  <c r="Q312" i="1"/>
  <c r="L312" i="1"/>
  <c r="Q73" i="1"/>
  <c r="L73" i="1"/>
  <c r="Q233" i="1"/>
  <c r="L233" i="1"/>
  <c r="Q283" i="1"/>
  <c r="L283" i="1"/>
  <c r="Q258" i="1"/>
  <c r="L258" i="1"/>
  <c r="Q31" i="1"/>
  <c r="L31" i="1"/>
  <c r="Q40" i="1"/>
  <c r="L40" i="1"/>
  <c r="Q72" i="1"/>
  <c r="L72" i="1"/>
  <c r="Q104" i="1"/>
  <c r="L104" i="1"/>
  <c r="Q136" i="1"/>
  <c r="L136" i="1"/>
  <c r="Q168" i="1"/>
  <c r="L168" i="1"/>
  <c r="Q200" i="1"/>
  <c r="L200" i="1"/>
  <c r="Q232" i="1"/>
  <c r="L232" i="1"/>
  <c r="Q264" i="1"/>
  <c r="L264" i="1"/>
  <c r="Q296" i="1"/>
  <c r="L296" i="1"/>
  <c r="Q328" i="1"/>
  <c r="L328" i="1"/>
  <c r="Q275" i="1"/>
  <c r="L275" i="1"/>
  <c r="Q25" i="1"/>
  <c r="L25" i="1"/>
  <c r="Q57" i="1"/>
  <c r="L57" i="1"/>
  <c r="Q89" i="1"/>
  <c r="L89" i="1"/>
  <c r="Q121" i="1"/>
  <c r="L121" i="1"/>
  <c r="Q153" i="1"/>
  <c r="L153" i="1"/>
  <c r="Q185" i="1"/>
  <c r="L185" i="1"/>
  <c r="Q217" i="1"/>
  <c r="L217" i="1"/>
  <c r="Q249" i="1"/>
  <c r="L249" i="1"/>
  <c r="Q281" i="1"/>
  <c r="L281" i="1"/>
  <c r="Q313" i="1"/>
  <c r="L313" i="1"/>
  <c r="Q227" i="1"/>
  <c r="L227" i="1"/>
  <c r="Q18" i="1"/>
  <c r="L18" i="1"/>
  <c r="Q50" i="1"/>
  <c r="L50" i="1"/>
  <c r="Q82" i="1"/>
  <c r="L82" i="1"/>
  <c r="Q114" i="1"/>
  <c r="L114" i="1"/>
  <c r="Q146" i="1"/>
  <c r="L146" i="1"/>
  <c r="Q178" i="1"/>
  <c r="L178" i="1"/>
  <c r="Q210" i="1"/>
  <c r="L210" i="1"/>
  <c r="Q242" i="1"/>
  <c r="L242" i="1"/>
  <c r="Q274" i="1"/>
  <c r="L274" i="1"/>
  <c r="Q306" i="1"/>
  <c r="L306" i="1"/>
  <c r="Q338" i="1"/>
  <c r="L338" i="1"/>
  <c r="Q291" i="1"/>
  <c r="L291" i="1"/>
  <c r="Q35" i="1"/>
  <c r="L35" i="1"/>
  <c r="Q67" i="1"/>
  <c r="L67" i="1"/>
  <c r="Q99" i="1"/>
  <c r="L99" i="1"/>
  <c r="Q131" i="1"/>
  <c r="L131" i="1"/>
  <c r="Q163" i="1"/>
  <c r="L163" i="1"/>
  <c r="Q195" i="1"/>
  <c r="L195" i="1"/>
  <c r="Q323" i="1"/>
  <c r="L323" i="1"/>
  <c r="Q44" i="1"/>
  <c r="L44" i="1"/>
  <c r="Q76" i="1"/>
  <c r="L76" i="1"/>
  <c r="Q108" i="1"/>
  <c r="L108" i="1"/>
  <c r="Q140" i="1"/>
  <c r="L140" i="1"/>
  <c r="Q172" i="1"/>
  <c r="L172" i="1"/>
  <c r="Q204" i="1"/>
  <c r="L204" i="1"/>
  <c r="Q236" i="1"/>
  <c r="L236" i="1"/>
  <c r="Q268" i="1"/>
  <c r="L268" i="1"/>
  <c r="Q300" i="1"/>
  <c r="L300" i="1"/>
  <c r="Q332" i="1"/>
  <c r="L332" i="1"/>
  <c r="Q191" i="1"/>
  <c r="L191" i="1"/>
  <c r="Q279" i="1"/>
  <c r="L279" i="1"/>
  <c r="Q29" i="1"/>
  <c r="L29" i="1"/>
  <c r="Q61" i="1"/>
  <c r="L61" i="1"/>
  <c r="Q93" i="1"/>
  <c r="L93" i="1"/>
  <c r="Q125" i="1"/>
  <c r="L125" i="1"/>
  <c r="Q157" i="1"/>
  <c r="L157" i="1"/>
  <c r="Q189" i="1"/>
  <c r="L189" i="1"/>
  <c r="Q221" i="1"/>
  <c r="L221" i="1"/>
  <c r="Q253" i="1"/>
  <c r="L253" i="1"/>
  <c r="Q285" i="1"/>
  <c r="L285" i="1"/>
  <c r="Q317" i="1"/>
  <c r="L317" i="1"/>
  <c r="Q199" i="1"/>
  <c r="L199" i="1"/>
  <c r="Q295" i="1"/>
  <c r="L295" i="1"/>
  <c r="Q38" i="1"/>
  <c r="L38" i="1"/>
  <c r="Q70" i="1"/>
  <c r="L70" i="1"/>
  <c r="Q102" i="1"/>
  <c r="L102" i="1"/>
  <c r="Q134" i="1"/>
  <c r="L134" i="1"/>
  <c r="Q166" i="1"/>
  <c r="L166" i="1"/>
  <c r="Q198" i="1"/>
  <c r="L198" i="1"/>
  <c r="Q230" i="1"/>
  <c r="L230" i="1"/>
  <c r="Q262" i="1"/>
  <c r="L262" i="1"/>
  <c r="Q294" i="1"/>
  <c r="L294" i="1"/>
  <c r="Q326" i="1"/>
  <c r="L326" i="1"/>
  <c r="Q223" i="1"/>
  <c r="L223" i="1"/>
  <c r="Q343" i="1"/>
  <c r="L343" i="1"/>
  <c r="Q47" i="1"/>
  <c r="L47" i="1"/>
  <c r="Q79" i="1"/>
  <c r="L79" i="1"/>
  <c r="Q111" i="1"/>
  <c r="L111" i="1"/>
  <c r="Q143" i="1"/>
  <c r="L143" i="1"/>
  <c r="Q327" i="1"/>
  <c r="L327" i="1"/>
  <c r="Q95" i="1"/>
  <c r="L95" i="1"/>
  <c r="Q248" i="1"/>
  <c r="L248" i="1"/>
  <c r="Q127" i="1"/>
  <c r="L127" i="1"/>
  <c r="Q48" i="1"/>
  <c r="L48" i="1"/>
  <c r="Q80" i="1"/>
  <c r="L80" i="1"/>
  <c r="Q112" i="1"/>
  <c r="L112" i="1"/>
  <c r="Q144" i="1"/>
  <c r="L144" i="1"/>
  <c r="Q176" i="1"/>
  <c r="L176" i="1"/>
  <c r="Q208" i="1"/>
  <c r="L208" i="1"/>
  <c r="Q240" i="1"/>
  <c r="L240" i="1"/>
  <c r="Q272" i="1"/>
  <c r="L272" i="1"/>
  <c r="Q304" i="1"/>
  <c r="L304" i="1"/>
  <c r="Q336" i="1"/>
  <c r="L336" i="1"/>
  <c r="Q315" i="1"/>
  <c r="L315" i="1"/>
  <c r="Q33" i="1"/>
  <c r="L33" i="1"/>
  <c r="Q65" i="1"/>
  <c r="L65" i="1"/>
  <c r="Q97" i="1"/>
  <c r="L97" i="1"/>
  <c r="Q129" i="1"/>
  <c r="L129" i="1"/>
  <c r="Q161" i="1"/>
  <c r="L161" i="1"/>
  <c r="Q193" i="1"/>
  <c r="L193" i="1"/>
  <c r="Q225" i="1"/>
  <c r="L225" i="1"/>
  <c r="Q257" i="1"/>
  <c r="L257" i="1"/>
  <c r="Q289" i="1"/>
  <c r="L289" i="1"/>
  <c r="Q321" i="1"/>
  <c r="L321" i="1"/>
  <c r="Q267" i="1"/>
  <c r="L267" i="1"/>
  <c r="Q26" i="1"/>
  <c r="L26" i="1"/>
  <c r="Q58" i="1"/>
  <c r="L58" i="1"/>
  <c r="Q90" i="1"/>
  <c r="L90" i="1"/>
  <c r="Q122" i="1"/>
  <c r="L122" i="1"/>
  <c r="Q154" i="1"/>
  <c r="L154" i="1"/>
  <c r="Q186" i="1"/>
  <c r="L186" i="1"/>
  <c r="Q218" i="1"/>
  <c r="L218" i="1"/>
  <c r="Q250" i="1"/>
  <c r="L250" i="1"/>
  <c r="Q282" i="1"/>
  <c r="L282" i="1"/>
  <c r="Q314" i="1"/>
  <c r="L314" i="1"/>
  <c r="Q211" i="1"/>
  <c r="L211" i="1"/>
  <c r="Q331" i="1"/>
  <c r="L331" i="1"/>
  <c r="Q43" i="1"/>
  <c r="L43" i="1"/>
  <c r="Q75" i="1"/>
  <c r="L75" i="1"/>
  <c r="Q107" i="1"/>
  <c r="L107" i="1"/>
  <c r="Q139" i="1"/>
  <c r="L139" i="1"/>
  <c r="Q171" i="1"/>
  <c r="L171" i="1"/>
  <c r="Q203" i="1"/>
  <c r="L203" i="1"/>
  <c r="Q20" i="1"/>
  <c r="L20" i="1"/>
  <c r="Q52" i="1"/>
  <c r="L52" i="1"/>
  <c r="Q84" i="1"/>
  <c r="L84" i="1"/>
  <c r="Q116" i="1"/>
  <c r="L116" i="1"/>
  <c r="Q148" i="1"/>
  <c r="L148" i="1"/>
  <c r="Q180" i="1"/>
  <c r="L180" i="1"/>
  <c r="Q212" i="1"/>
  <c r="L212" i="1"/>
  <c r="Q244" i="1"/>
  <c r="L244" i="1"/>
  <c r="Q276" i="1"/>
  <c r="L276" i="1"/>
  <c r="Q308" i="1"/>
  <c r="L308" i="1"/>
  <c r="Q340" i="1"/>
  <c r="L340" i="1"/>
  <c r="Q207" i="1"/>
  <c r="L207" i="1"/>
  <c r="Q319" i="1"/>
  <c r="L319" i="1"/>
  <c r="Q37" i="1"/>
  <c r="L37" i="1"/>
  <c r="Q69" i="1"/>
  <c r="L69" i="1"/>
  <c r="Q101" i="1"/>
  <c r="L101" i="1"/>
  <c r="Q133" i="1"/>
  <c r="L133" i="1"/>
  <c r="Q165" i="1"/>
  <c r="L165" i="1"/>
  <c r="Q197" i="1"/>
  <c r="L197" i="1"/>
  <c r="Q229" i="1"/>
  <c r="L229" i="1"/>
  <c r="Q261" i="1"/>
  <c r="L261" i="1"/>
  <c r="Q293" i="1"/>
  <c r="L293" i="1"/>
  <c r="Q325" i="1"/>
  <c r="L325" i="1"/>
  <c r="Q215" i="1"/>
  <c r="L215" i="1"/>
  <c r="Q303" i="1"/>
  <c r="L303" i="1"/>
  <c r="Q46" i="1"/>
  <c r="L46" i="1"/>
  <c r="Q78" i="1"/>
  <c r="L78" i="1"/>
  <c r="Q110" i="1"/>
  <c r="L110" i="1"/>
  <c r="Q142" i="1"/>
  <c r="L142" i="1"/>
  <c r="Q174" i="1"/>
  <c r="L174" i="1"/>
  <c r="Q206" i="1"/>
  <c r="L206" i="1"/>
  <c r="Q238" i="1"/>
  <c r="L238" i="1"/>
  <c r="Q270" i="1"/>
  <c r="L270" i="1"/>
  <c r="Q302" i="1"/>
  <c r="L302" i="1"/>
  <c r="Q334" i="1"/>
  <c r="L334" i="1"/>
  <c r="Q239" i="1"/>
  <c r="L239" i="1"/>
  <c r="Q23" i="1"/>
  <c r="L23" i="1"/>
  <c r="Q55" i="1"/>
  <c r="L55" i="1"/>
  <c r="Q87" i="1"/>
  <c r="L87" i="1"/>
  <c r="Q119" i="1"/>
  <c r="L119" i="1"/>
  <c r="Q151" i="1"/>
  <c r="L151" i="1"/>
  <c r="Q17" i="1"/>
  <c r="N48" i="1"/>
  <c r="P48" i="1" s="1"/>
  <c r="K48" i="1"/>
  <c r="N240" i="1"/>
  <c r="P240" i="1" s="1"/>
  <c r="K240" i="1"/>
  <c r="N97" i="1"/>
  <c r="P97" i="1" s="1"/>
  <c r="K97" i="1"/>
  <c r="N267" i="1"/>
  <c r="P267" i="1" s="1"/>
  <c r="K267" i="1"/>
  <c r="N218" i="1"/>
  <c r="P218" i="1" s="1"/>
  <c r="K218" i="1"/>
  <c r="N75" i="1"/>
  <c r="P75" i="1" s="1"/>
  <c r="K75" i="1"/>
  <c r="N116" i="1"/>
  <c r="P116" i="1" s="1"/>
  <c r="K116" i="1"/>
  <c r="N319" i="1"/>
  <c r="P319" i="1" s="1"/>
  <c r="K319" i="1"/>
  <c r="N197" i="1"/>
  <c r="P197" i="1" s="1"/>
  <c r="K197" i="1"/>
  <c r="N78" i="1"/>
  <c r="P78" i="1" s="1"/>
  <c r="K78" i="1"/>
  <c r="N151" i="1"/>
  <c r="P151" i="1" s="1"/>
  <c r="K151" i="1"/>
  <c r="N208" i="1"/>
  <c r="P208" i="1" s="1"/>
  <c r="K208" i="1"/>
  <c r="N65" i="1"/>
  <c r="P65" i="1" s="1"/>
  <c r="K65" i="1"/>
  <c r="N321" i="1"/>
  <c r="P321" i="1" s="1"/>
  <c r="K321" i="1"/>
  <c r="N186" i="1"/>
  <c r="P186" i="1" s="1"/>
  <c r="K186" i="1"/>
  <c r="N43" i="1"/>
  <c r="P43" i="1" s="1"/>
  <c r="K43" i="1"/>
  <c r="N52" i="1"/>
  <c r="P52" i="1" s="1"/>
  <c r="K52" i="1"/>
  <c r="N244" i="1"/>
  <c r="P244" i="1" s="1"/>
  <c r="K244" i="1"/>
  <c r="N207" i="1"/>
  <c r="P207" i="1" s="1"/>
  <c r="K207" i="1"/>
  <c r="N165" i="1"/>
  <c r="P165" i="1" s="1"/>
  <c r="K165" i="1"/>
  <c r="N215" i="1"/>
  <c r="P215" i="1" s="1"/>
  <c r="K215" i="1"/>
  <c r="N110" i="1"/>
  <c r="P110" i="1" s="1"/>
  <c r="K110" i="1"/>
  <c r="N55" i="1"/>
  <c r="P55" i="1" s="1"/>
  <c r="K55" i="1"/>
  <c r="N24" i="1"/>
  <c r="P24" i="1" s="1"/>
  <c r="K24" i="1"/>
  <c r="N56" i="1"/>
  <c r="P56" i="1" s="1"/>
  <c r="K56" i="1"/>
  <c r="N88" i="1"/>
  <c r="P88" i="1" s="1"/>
  <c r="K88" i="1"/>
  <c r="N120" i="1"/>
  <c r="P120" i="1" s="1"/>
  <c r="K120" i="1"/>
  <c r="N152" i="1"/>
  <c r="P152" i="1" s="1"/>
  <c r="K152" i="1"/>
  <c r="N184" i="1"/>
  <c r="P184" i="1" s="1"/>
  <c r="K184" i="1"/>
  <c r="N216" i="1"/>
  <c r="P216" i="1" s="1"/>
  <c r="K216" i="1"/>
  <c r="N248" i="1"/>
  <c r="P248" i="1" s="1"/>
  <c r="K248" i="1"/>
  <c r="N280" i="1"/>
  <c r="P280" i="1" s="1"/>
  <c r="K280" i="1"/>
  <c r="N312" i="1"/>
  <c r="P312" i="1" s="1"/>
  <c r="K312" i="1"/>
  <c r="N219" i="1"/>
  <c r="P219" i="1" s="1"/>
  <c r="K219" i="1"/>
  <c r="N339" i="1"/>
  <c r="P339" i="1" s="1"/>
  <c r="K339" i="1"/>
  <c r="N41" i="1"/>
  <c r="P41" i="1" s="1"/>
  <c r="K41" i="1"/>
  <c r="N73" i="1"/>
  <c r="P73" i="1" s="1"/>
  <c r="K73" i="1"/>
  <c r="N105" i="1"/>
  <c r="P105" i="1" s="1"/>
  <c r="K105" i="1"/>
  <c r="N137" i="1"/>
  <c r="P137" i="1" s="1"/>
  <c r="K137" i="1"/>
  <c r="N169" i="1"/>
  <c r="P169" i="1" s="1"/>
  <c r="K169" i="1"/>
  <c r="N201" i="1"/>
  <c r="P201" i="1" s="1"/>
  <c r="K201" i="1"/>
  <c r="N233" i="1"/>
  <c r="P233" i="1" s="1"/>
  <c r="K233" i="1"/>
  <c r="N265" i="1"/>
  <c r="P265" i="1" s="1"/>
  <c r="K265" i="1"/>
  <c r="N297" i="1"/>
  <c r="P297" i="1" s="1"/>
  <c r="K297" i="1"/>
  <c r="N329" i="1"/>
  <c r="P329" i="1" s="1"/>
  <c r="K329" i="1"/>
  <c r="N283" i="1"/>
  <c r="P283" i="1" s="1"/>
  <c r="K283" i="1"/>
  <c r="N34" i="1"/>
  <c r="P34" i="1" s="1"/>
  <c r="K34" i="1"/>
  <c r="N66" i="1"/>
  <c r="P66" i="1" s="1"/>
  <c r="K66" i="1"/>
  <c r="N98" i="1"/>
  <c r="P98" i="1" s="1"/>
  <c r="K98" i="1"/>
  <c r="N130" i="1"/>
  <c r="P130" i="1" s="1"/>
  <c r="K130" i="1"/>
  <c r="N162" i="1"/>
  <c r="P162" i="1" s="1"/>
  <c r="K162" i="1"/>
  <c r="N194" i="1"/>
  <c r="K194" i="1"/>
  <c r="N226" i="1"/>
  <c r="P226" i="1" s="1"/>
  <c r="K226" i="1"/>
  <c r="N258" i="1"/>
  <c r="P258" i="1" s="1"/>
  <c r="K258" i="1"/>
  <c r="N290" i="1"/>
  <c r="P290" i="1" s="1"/>
  <c r="K290" i="1"/>
  <c r="N322" i="1"/>
  <c r="P322" i="1" s="1"/>
  <c r="K322" i="1"/>
  <c r="N243" i="1"/>
  <c r="P243" i="1" s="1"/>
  <c r="K243" i="1"/>
  <c r="N19" i="1"/>
  <c r="P19" i="1" s="1"/>
  <c r="K19" i="1"/>
  <c r="N51" i="1"/>
  <c r="P51" i="1" s="1"/>
  <c r="K51" i="1"/>
  <c r="N83" i="1"/>
  <c r="P83" i="1" s="1"/>
  <c r="K83" i="1"/>
  <c r="N115" i="1"/>
  <c r="P115" i="1" s="1"/>
  <c r="K115" i="1"/>
  <c r="N147" i="1"/>
  <c r="P147" i="1" s="1"/>
  <c r="K147" i="1"/>
  <c r="N179" i="1"/>
  <c r="P179" i="1" s="1"/>
  <c r="K179" i="1"/>
  <c r="N251" i="1"/>
  <c r="P251" i="1" s="1"/>
  <c r="K251" i="1"/>
  <c r="N28" i="1"/>
  <c r="P28" i="1" s="1"/>
  <c r="K28" i="1"/>
  <c r="N60" i="1"/>
  <c r="P60" i="1" s="1"/>
  <c r="K60" i="1"/>
  <c r="N92" i="1"/>
  <c r="P92" i="1" s="1"/>
  <c r="K92" i="1"/>
  <c r="N124" i="1"/>
  <c r="P124" i="1" s="1"/>
  <c r="K124" i="1"/>
  <c r="N156" i="1"/>
  <c r="P156" i="1" s="1"/>
  <c r="K156" i="1"/>
  <c r="N188" i="1"/>
  <c r="P188" i="1" s="1"/>
  <c r="K188" i="1"/>
  <c r="N220" i="1"/>
  <c r="P220" i="1" s="1"/>
  <c r="K220" i="1"/>
  <c r="N252" i="1"/>
  <c r="P252" i="1" s="1"/>
  <c r="K252" i="1"/>
  <c r="N284" i="1"/>
  <c r="P284" i="1" s="1"/>
  <c r="K284" i="1"/>
  <c r="N316" i="1"/>
  <c r="P316" i="1" s="1"/>
  <c r="K316" i="1"/>
  <c r="N333" i="1"/>
  <c r="P333" i="1" s="1"/>
  <c r="K333" i="1"/>
  <c r="N231" i="1"/>
  <c r="P231" i="1" s="1"/>
  <c r="K231" i="1"/>
  <c r="N335" i="1"/>
  <c r="P335" i="1" s="1"/>
  <c r="K335" i="1"/>
  <c r="N45" i="1"/>
  <c r="P45" i="1" s="1"/>
  <c r="K45" i="1"/>
  <c r="N77" i="1"/>
  <c r="P77" i="1" s="1"/>
  <c r="K77" i="1"/>
  <c r="N109" i="1"/>
  <c r="P109" i="1" s="1"/>
  <c r="K109" i="1"/>
  <c r="N141" i="1"/>
  <c r="P141" i="1" s="1"/>
  <c r="K141" i="1"/>
  <c r="N173" i="1"/>
  <c r="P173" i="1" s="1"/>
  <c r="K173" i="1"/>
  <c r="N205" i="1"/>
  <c r="P205" i="1" s="1"/>
  <c r="K205" i="1"/>
  <c r="N237" i="1"/>
  <c r="P237" i="1" s="1"/>
  <c r="K237" i="1"/>
  <c r="N269" i="1"/>
  <c r="P269" i="1" s="1"/>
  <c r="K269" i="1"/>
  <c r="N301" i="1"/>
  <c r="P301" i="1" s="1"/>
  <c r="K301" i="1"/>
  <c r="N341" i="1"/>
  <c r="P341" i="1" s="1"/>
  <c r="K341" i="1"/>
  <c r="N247" i="1"/>
  <c r="P247" i="1" s="1"/>
  <c r="K247" i="1"/>
  <c r="N22" i="1"/>
  <c r="P22" i="1" s="1"/>
  <c r="K22" i="1"/>
  <c r="N54" i="1"/>
  <c r="P54" i="1" s="1"/>
  <c r="K54" i="1"/>
  <c r="N86" i="1"/>
  <c r="P86" i="1" s="1"/>
  <c r="K86" i="1"/>
  <c r="N118" i="1"/>
  <c r="P118" i="1" s="1"/>
  <c r="K118" i="1"/>
  <c r="N150" i="1"/>
  <c r="P150" i="1" s="1"/>
  <c r="K150" i="1"/>
  <c r="N182" i="1"/>
  <c r="P182" i="1" s="1"/>
  <c r="K182" i="1"/>
  <c r="N214" i="1"/>
  <c r="P214" i="1" s="1"/>
  <c r="K214" i="1"/>
  <c r="N246" i="1"/>
  <c r="P246" i="1" s="1"/>
  <c r="K246" i="1"/>
  <c r="N278" i="1"/>
  <c r="P278" i="1" s="1"/>
  <c r="K278" i="1"/>
  <c r="N310" i="1"/>
  <c r="P310" i="1" s="1"/>
  <c r="K310" i="1"/>
  <c r="N342" i="1"/>
  <c r="P342" i="1" s="1"/>
  <c r="K342" i="1"/>
  <c r="N271" i="1"/>
  <c r="P271" i="1" s="1"/>
  <c r="K271" i="1"/>
  <c r="N31" i="1"/>
  <c r="P31" i="1" s="1"/>
  <c r="K31" i="1"/>
  <c r="N63" i="1"/>
  <c r="P63" i="1" s="1"/>
  <c r="K63" i="1"/>
  <c r="N95" i="1"/>
  <c r="P95" i="1" s="1"/>
  <c r="K95" i="1"/>
  <c r="N127" i="1"/>
  <c r="P127" i="1" s="1"/>
  <c r="K127" i="1"/>
  <c r="N159" i="1"/>
  <c r="P159" i="1" s="1"/>
  <c r="K159" i="1"/>
  <c r="N80" i="1"/>
  <c r="P80" i="1" s="1"/>
  <c r="K80" i="1"/>
  <c r="N304" i="1"/>
  <c r="P304" i="1" s="1"/>
  <c r="K304" i="1"/>
  <c r="N161" i="1"/>
  <c r="P161" i="1" s="1"/>
  <c r="K161" i="1"/>
  <c r="N26" i="1"/>
  <c r="P26" i="1" s="1"/>
  <c r="K26" i="1"/>
  <c r="N250" i="1"/>
  <c r="P250" i="1" s="1"/>
  <c r="K250" i="1"/>
  <c r="N107" i="1"/>
  <c r="P107" i="1" s="1"/>
  <c r="K107" i="1"/>
  <c r="N84" i="1"/>
  <c r="P84" i="1" s="1"/>
  <c r="K84" i="1"/>
  <c r="N276" i="1"/>
  <c r="P276" i="1" s="1"/>
  <c r="K276" i="1"/>
  <c r="N101" i="1"/>
  <c r="P101" i="1" s="1"/>
  <c r="K101" i="1"/>
  <c r="N229" i="1"/>
  <c r="P229" i="1" s="1"/>
  <c r="K229" i="1"/>
  <c r="N46" i="1"/>
  <c r="P46" i="1" s="1"/>
  <c r="K46" i="1"/>
  <c r="N142" i="1"/>
  <c r="P142" i="1" s="1"/>
  <c r="K142" i="1"/>
  <c r="N238" i="1"/>
  <c r="P238" i="1" s="1"/>
  <c r="K238" i="1"/>
  <c r="N270" i="1"/>
  <c r="P270" i="1" s="1"/>
  <c r="K270" i="1"/>
  <c r="N87" i="1"/>
  <c r="P87" i="1" s="1"/>
  <c r="K87" i="1"/>
  <c r="N144" i="1"/>
  <c r="P144" i="1" s="1"/>
  <c r="K144" i="1"/>
  <c r="N315" i="1"/>
  <c r="P315" i="1" s="1"/>
  <c r="K315" i="1"/>
  <c r="N225" i="1"/>
  <c r="P225" i="1" s="1"/>
  <c r="K225" i="1"/>
  <c r="N90" i="1"/>
  <c r="P90" i="1" s="1"/>
  <c r="K90" i="1"/>
  <c r="N314" i="1"/>
  <c r="P314" i="1" s="1"/>
  <c r="K314" i="1"/>
  <c r="N171" i="1"/>
  <c r="P171" i="1" s="1"/>
  <c r="K171" i="1"/>
  <c r="N148" i="1"/>
  <c r="P148" i="1" s="1"/>
  <c r="K148" i="1"/>
  <c r="N308" i="1"/>
  <c r="P308" i="1" s="1"/>
  <c r="K308" i="1"/>
  <c r="N133" i="1"/>
  <c r="P133" i="1" s="1"/>
  <c r="K133" i="1"/>
  <c r="N261" i="1"/>
  <c r="P261" i="1" s="1"/>
  <c r="K261" i="1"/>
  <c r="N303" i="1"/>
  <c r="P303" i="1" s="1"/>
  <c r="K303" i="1"/>
  <c r="N174" i="1"/>
  <c r="P174" i="1" s="1"/>
  <c r="K174" i="1"/>
  <c r="N206" i="1"/>
  <c r="P206" i="1" s="1"/>
  <c r="K206" i="1"/>
  <c r="N302" i="1"/>
  <c r="P302" i="1" s="1"/>
  <c r="K302" i="1"/>
  <c r="N119" i="1"/>
  <c r="P119" i="1" s="1"/>
  <c r="K119" i="1"/>
  <c r="N32" i="1"/>
  <c r="P32" i="1" s="1"/>
  <c r="K32" i="1"/>
  <c r="N64" i="1"/>
  <c r="P64" i="1" s="1"/>
  <c r="K64" i="1"/>
  <c r="N96" i="1"/>
  <c r="P96" i="1" s="1"/>
  <c r="K96" i="1"/>
  <c r="N128" i="1"/>
  <c r="P128" i="1" s="1"/>
  <c r="K128" i="1"/>
  <c r="N160" i="1"/>
  <c r="P160" i="1" s="1"/>
  <c r="K160" i="1"/>
  <c r="N192" i="1"/>
  <c r="P192" i="1" s="1"/>
  <c r="K192" i="1"/>
  <c r="N224" i="1"/>
  <c r="P224" i="1" s="1"/>
  <c r="K224" i="1"/>
  <c r="N256" i="1"/>
  <c r="P256" i="1" s="1"/>
  <c r="K256" i="1"/>
  <c r="N288" i="1"/>
  <c r="P288" i="1" s="1"/>
  <c r="K288" i="1"/>
  <c r="N320" i="1"/>
  <c r="P320" i="1" s="1"/>
  <c r="K320" i="1"/>
  <c r="N235" i="1"/>
  <c r="P235" i="1" s="1"/>
  <c r="K235" i="1"/>
  <c r="N17" i="1"/>
  <c r="K17" i="1"/>
  <c r="N49" i="1"/>
  <c r="P49" i="1" s="1"/>
  <c r="K49" i="1"/>
  <c r="N81" i="1"/>
  <c r="P81" i="1" s="1"/>
  <c r="K81" i="1"/>
  <c r="N113" i="1"/>
  <c r="P113" i="1" s="1"/>
  <c r="K113" i="1"/>
  <c r="N145" i="1"/>
  <c r="P145" i="1" s="1"/>
  <c r="K145" i="1"/>
  <c r="N177" i="1"/>
  <c r="P177" i="1" s="1"/>
  <c r="K177" i="1"/>
  <c r="N209" i="1"/>
  <c r="P209" i="1" s="1"/>
  <c r="K209" i="1"/>
  <c r="N241" i="1"/>
  <c r="P241" i="1" s="1"/>
  <c r="K241" i="1"/>
  <c r="N273" i="1"/>
  <c r="P273" i="1" s="1"/>
  <c r="K273" i="1"/>
  <c r="N305" i="1"/>
  <c r="P305" i="1" s="1"/>
  <c r="K305" i="1"/>
  <c r="N337" i="1"/>
  <c r="P337" i="1" s="1"/>
  <c r="K337" i="1"/>
  <c r="N307" i="1"/>
  <c r="P307" i="1" s="1"/>
  <c r="K307" i="1"/>
  <c r="N42" i="1"/>
  <c r="P42" i="1" s="1"/>
  <c r="K42" i="1"/>
  <c r="N74" i="1"/>
  <c r="P74" i="1" s="1"/>
  <c r="K74" i="1"/>
  <c r="N106" i="1"/>
  <c r="P106" i="1" s="1"/>
  <c r="K106" i="1"/>
  <c r="N138" i="1"/>
  <c r="P138" i="1" s="1"/>
  <c r="K138" i="1"/>
  <c r="N170" i="1"/>
  <c r="P170" i="1" s="1"/>
  <c r="K170" i="1"/>
  <c r="N202" i="1"/>
  <c r="P202" i="1" s="1"/>
  <c r="K202" i="1"/>
  <c r="N234" i="1"/>
  <c r="P234" i="1" s="1"/>
  <c r="K234" i="1"/>
  <c r="N266" i="1"/>
  <c r="P266" i="1" s="1"/>
  <c r="K266" i="1"/>
  <c r="N298" i="1"/>
  <c r="P298" i="1" s="1"/>
  <c r="K298" i="1"/>
  <c r="N330" i="1"/>
  <c r="P330" i="1" s="1"/>
  <c r="K330" i="1"/>
  <c r="N259" i="1"/>
  <c r="P259" i="1" s="1"/>
  <c r="K259" i="1"/>
  <c r="N27" i="1"/>
  <c r="P27" i="1" s="1"/>
  <c r="K27" i="1"/>
  <c r="N59" i="1"/>
  <c r="P59" i="1" s="1"/>
  <c r="K59" i="1"/>
  <c r="N91" i="1"/>
  <c r="P91" i="1" s="1"/>
  <c r="K91" i="1"/>
  <c r="N123" i="1"/>
  <c r="P123" i="1" s="1"/>
  <c r="K123" i="1"/>
  <c r="N155" i="1"/>
  <c r="P155" i="1" s="1"/>
  <c r="K155" i="1"/>
  <c r="N187" i="1"/>
  <c r="P187" i="1" s="1"/>
  <c r="K187" i="1"/>
  <c r="N299" i="1"/>
  <c r="P299" i="1" s="1"/>
  <c r="K299" i="1"/>
  <c r="N36" i="1"/>
  <c r="P36" i="1" s="1"/>
  <c r="K36" i="1"/>
  <c r="N68" i="1"/>
  <c r="P68" i="1" s="1"/>
  <c r="K68" i="1"/>
  <c r="N100" i="1"/>
  <c r="P100" i="1" s="1"/>
  <c r="K100" i="1"/>
  <c r="N132" i="1"/>
  <c r="P132" i="1" s="1"/>
  <c r="K132" i="1"/>
  <c r="N164" i="1"/>
  <c r="P164" i="1" s="1"/>
  <c r="K164" i="1"/>
  <c r="N196" i="1"/>
  <c r="P196" i="1" s="1"/>
  <c r="K196" i="1"/>
  <c r="N228" i="1"/>
  <c r="P228" i="1" s="1"/>
  <c r="K228" i="1"/>
  <c r="N260" i="1"/>
  <c r="P260" i="1" s="1"/>
  <c r="K260" i="1"/>
  <c r="N292" i="1"/>
  <c r="P292" i="1" s="1"/>
  <c r="K292" i="1"/>
  <c r="N324" i="1"/>
  <c r="P324" i="1" s="1"/>
  <c r="K324" i="1"/>
  <c r="N175" i="1"/>
  <c r="P175" i="1" s="1"/>
  <c r="K175" i="1"/>
  <c r="N255" i="1"/>
  <c r="P255" i="1" s="1"/>
  <c r="K255" i="1"/>
  <c r="N21" i="1"/>
  <c r="P21" i="1" s="1"/>
  <c r="K21" i="1"/>
  <c r="N53" i="1"/>
  <c r="P53" i="1" s="1"/>
  <c r="K53" i="1"/>
  <c r="N85" i="1"/>
  <c r="P85" i="1" s="1"/>
  <c r="K85" i="1"/>
  <c r="N117" i="1"/>
  <c r="P117" i="1" s="1"/>
  <c r="K117" i="1"/>
  <c r="N149" i="1"/>
  <c r="P149" i="1" s="1"/>
  <c r="K149" i="1"/>
  <c r="N181" i="1"/>
  <c r="P181" i="1" s="1"/>
  <c r="K181" i="1"/>
  <c r="N213" i="1"/>
  <c r="P213" i="1" s="1"/>
  <c r="K213" i="1"/>
  <c r="N245" i="1"/>
  <c r="P245" i="1" s="1"/>
  <c r="K245" i="1"/>
  <c r="N277" i="1"/>
  <c r="P277" i="1" s="1"/>
  <c r="K277" i="1"/>
  <c r="N309" i="1"/>
  <c r="P309" i="1" s="1"/>
  <c r="K309" i="1"/>
  <c r="N183" i="1"/>
  <c r="P183" i="1" s="1"/>
  <c r="K183" i="1"/>
  <c r="N263" i="1"/>
  <c r="P263" i="1" s="1"/>
  <c r="K263" i="1"/>
  <c r="N30" i="1"/>
  <c r="P30" i="1" s="1"/>
  <c r="K30" i="1"/>
  <c r="N62" i="1"/>
  <c r="P62" i="1" s="1"/>
  <c r="K62" i="1"/>
  <c r="N94" i="1"/>
  <c r="P94" i="1" s="1"/>
  <c r="K94" i="1"/>
  <c r="N126" i="1"/>
  <c r="P126" i="1" s="1"/>
  <c r="K126" i="1"/>
  <c r="N158" i="1"/>
  <c r="P158" i="1" s="1"/>
  <c r="K158" i="1"/>
  <c r="N190" i="1"/>
  <c r="P190" i="1" s="1"/>
  <c r="K190" i="1"/>
  <c r="N222" i="1"/>
  <c r="P222" i="1" s="1"/>
  <c r="K222" i="1"/>
  <c r="N254" i="1"/>
  <c r="P254" i="1" s="1"/>
  <c r="K254" i="1"/>
  <c r="N286" i="1"/>
  <c r="P286" i="1" s="1"/>
  <c r="K286" i="1"/>
  <c r="N318" i="1"/>
  <c r="P318" i="1" s="1"/>
  <c r="K318" i="1"/>
  <c r="N167" i="1"/>
  <c r="P167" i="1" s="1"/>
  <c r="K167" i="1"/>
  <c r="N311" i="1"/>
  <c r="P311" i="1" s="1"/>
  <c r="K311" i="1"/>
  <c r="N39" i="1"/>
  <c r="P39" i="1" s="1"/>
  <c r="K39" i="1"/>
  <c r="N71" i="1"/>
  <c r="P71" i="1" s="1"/>
  <c r="K71" i="1"/>
  <c r="N103" i="1"/>
  <c r="P103" i="1" s="1"/>
  <c r="K103" i="1"/>
  <c r="N135" i="1"/>
  <c r="P135" i="1" s="1"/>
  <c r="K135" i="1"/>
  <c r="N287" i="1"/>
  <c r="P287" i="1" s="1"/>
  <c r="K287" i="1"/>
  <c r="N176" i="1"/>
  <c r="P176" i="1" s="1"/>
  <c r="K176" i="1"/>
  <c r="N33" i="1"/>
  <c r="P33" i="1" s="1"/>
  <c r="K33" i="1"/>
  <c r="N257" i="1"/>
  <c r="P257" i="1" s="1"/>
  <c r="K257" i="1"/>
  <c r="N122" i="1"/>
  <c r="P122" i="1" s="1"/>
  <c r="K122" i="1"/>
  <c r="N331" i="1"/>
  <c r="P331" i="1" s="1"/>
  <c r="K331" i="1"/>
  <c r="N20" i="1"/>
  <c r="P20" i="1" s="1"/>
  <c r="K20" i="1"/>
  <c r="N212" i="1"/>
  <c r="P212" i="1" s="1"/>
  <c r="K212" i="1"/>
  <c r="N69" i="1"/>
  <c r="P69" i="1" s="1"/>
  <c r="K69" i="1"/>
  <c r="N293" i="1"/>
  <c r="P293" i="1" s="1"/>
  <c r="K293" i="1"/>
  <c r="N23" i="1"/>
  <c r="P23" i="1" s="1"/>
  <c r="K23" i="1"/>
  <c r="N272" i="1"/>
  <c r="P272" i="1" s="1"/>
  <c r="K272" i="1"/>
  <c r="N129" i="1"/>
  <c r="P129" i="1" s="1"/>
  <c r="K129" i="1"/>
  <c r="N289" i="1"/>
  <c r="P289" i="1" s="1"/>
  <c r="K289" i="1"/>
  <c r="N154" i="1"/>
  <c r="P154" i="1" s="1"/>
  <c r="K154" i="1"/>
  <c r="N211" i="1"/>
  <c r="P211" i="1" s="1"/>
  <c r="K211" i="1"/>
  <c r="N203" i="1"/>
  <c r="P203" i="1" s="1"/>
  <c r="K203" i="1"/>
  <c r="N340" i="1"/>
  <c r="P340" i="1" s="1"/>
  <c r="K340" i="1"/>
  <c r="N334" i="1"/>
  <c r="P334" i="1" s="1"/>
  <c r="K334" i="1"/>
  <c r="N40" i="1"/>
  <c r="P40" i="1" s="1"/>
  <c r="K40" i="1"/>
  <c r="N72" i="1"/>
  <c r="P72" i="1" s="1"/>
  <c r="K72" i="1"/>
  <c r="N104" i="1"/>
  <c r="P104" i="1" s="1"/>
  <c r="K104" i="1"/>
  <c r="N136" i="1"/>
  <c r="P136" i="1" s="1"/>
  <c r="K136" i="1"/>
  <c r="N168" i="1"/>
  <c r="P168" i="1" s="1"/>
  <c r="K168" i="1"/>
  <c r="N200" i="1"/>
  <c r="P200" i="1" s="1"/>
  <c r="K200" i="1"/>
  <c r="N232" i="1"/>
  <c r="P232" i="1" s="1"/>
  <c r="K232" i="1"/>
  <c r="N264" i="1"/>
  <c r="P264" i="1" s="1"/>
  <c r="K264" i="1"/>
  <c r="N296" i="1"/>
  <c r="P296" i="1" s="1"/>
  <c r="K296" i="1"/>
  <c r="N328" i="1"/>
  <c r="P328" i="1" s="1"/>
  <c r="K328" i="1"/>
  <c r="N275" i="1"/>
  <c r="P275" i="1" s="1"/>
  <c r="K275" i="1"/>
  <c r="N25" i="1"/>
  <c r="P25" i="1" s="1"/>
  <c r="K25" i="1"/>
  <c r="N57" i="1"/>
  <c r="P57" i="1" s="1"/>
  <c r="K57" i="1"/>
  <c r="N89" i="1"/>
  <c r="P89" i="1" s="1"/>
  <c r="K89" i="1"/>
  <c r="N121" i="1"/>
  <c r="P121" i="1" s="1"/>
  <c r="K121" i="1"/>
  <c r="N153" i="1"/>
  <c r="P153" i="1" s="1"/>
  <c r="K153" i="1"/>
  <c r="N185" i="1"/>
  <c r="P185" i="1" s="1"/>
  <c r="K185" i="1"/>
  <c r="N217" i="1"/>
  <c r="P217" i="1" s="1"/>
  <c r="K217" i="1"/>
  <c r="N249" i="1"/>
  <c r="P249" i="1" s="1"/>
  <c r="K249" i="1"/>
  <c r="N281" i="1"/>
  <c r="P281" i="1" s="1"/>
  <c r="K281" i="1"/>
  <c r="N313" i="1"/>
  <c r="P313" i="1" s="1"/>
  <c r="K313" i="1"/>
  <c r="N227" i="1"/>
  <c r="P227" i="1" s="1"/>
  <c r="K227" i="1"/>
  <c r="N18" i="1"/>
  <c r="P18" i="1" s="1"/>
  <c r="K18" i="1"/>
  <c r="N50" i="1"/>
  <c r="P50" i="1" s="1"/>
  <c r="K50" i="1"/>
  <c r="N82" i="1"/>
  <c r="P82" i="1" s="1"/>
  <c r="K82" i="1"/>
  <c r="N114" i="1"/>
  <c r="P114" i="1" s="1"/>
  <c r="K114" i="1"/>
  <c r="N146" i="1"/>
  <c r="P146" i="1" s="1"/>
  <c r="K146" i="1"/>
  <c r="N178" i="1"/>
  <c r="P178" i="1" s="1"/>
  <c r="K178" i="1"/>
  <c r="N210" i="1"/>
  <c r="P210" i="1" s="1"/>
  <c r="K210" i="1"/>
  <c r="N242" i="1"/>
  <c r="P242" i="1" s="1"/>
  <c r="K242" i="1"/>
  <c r="N274" i="1"/>
  <c r="P274" i="1" s="1"/>
  <c r="K274" i="1"/>
  <c r="N306" i="1"/>
  <c r="P306" i="1" s="1"/>
  <c r="K306" i="1"/>
  <c r="N338" i="1"/>
  <c r="P338" i="1" s="1"/>
  <c r="K338" i="1"/>
  <c r="N291" i="1"/>
  <c r="P291" i="1" s="1"/>
  <c r="K291" i="1"/>
  <c r="N35" i="1"/>
  <c r="P35" i="1" s="1"/>
  <c r="K35" i="1"/>
  <c r="N67" i="1"/>
  <c r="P67" i="1" s="1"/>
  <c r="K67" i="1"/>
  <c r="N99" i="1"/>
  <c r="P99" i="1" s="1"/>
  <c r="K99" i="1"/>
  <c r="N131" i="1"/>
  <c r="P131" i="1" s="1"/>
  <c r="K131" i="1"/>
  <c r="N163" i="1"/>
  <c r="P163" i="1" s="1"/>
  <c r="K163" i="1"/>
  <c r="N195" i="1"/>
  <c r="P195" i="1" s="1"/>
  <c r="K195" i="1"/>
  <c r="N323" i="1"/>
  <c r="P323" i="1" s="1"/>
  <c r="K323" i="1"/>
  <c r="N44" i="1"/>
  <c r="P44" i="1" s="1"/>
  <c r="K44" i="1"/>
  <c r="N76" i="1"/>
  <c r="P76" i="1" s="1"/>
  <c r="K76" i="1"/>
  <c r="N108" i="1"/>
  <c r="P108" i="1" s="1"/>
  <c r="K108" i="1"/>
  <c r="N140" i="1"/>
  <c r="P140" i="1" s="1"/>
  <c r="K140" i="1"/>
  <c r="N172" i="1"/>
  <c r="P172" i="1" s="1"/>
  <c r="K172" i="1"/>
  <c r="N204" i="1"/>
  <c r="P204" i="1" s="1"/>
  <c r="K204" i="1"/>
  <c r="N236" i="1"/>
  <c r="P236" i="1" s="1"/>
  <c r="K236" i="1"/>
  <c r="N268" i="1"/>
  <c r="P268" i="1" s="1"/>
  <c r="K268" i="1"/>
  <c r="N300" i="1"/>
  <c r="P300" i="1" s="1"/>
  <c r="K300" i="1"/>
  <c r="N332" i="1"/>
  <c r="P332" i="1" s="1"/>
  <c r="K332" i="1"/>
  <c r="N191" i="1"/>
  <c r="P191" i="1" s="1"/>
  <c r="K191" i="1"/>
  <c r="N279" i="1"/>
  <c r="P279" i="1" s="1"/>
  <c r="K279" i="1"/>
  <c r="N29" i="1"/>
  <c r="P29" i="1" s="1"/>
  <c r="K29" i="1"/>
  <c r="N61" i="1"/>
  <c r="P61" i="1" s="1"/>
  <c r="K61" i="1"/>
  <c r="N93" i="1"/>
  <c r="P93" i="1" s="1"/>
  <c r="K93" i="1"/>
  <c r="N125" i="1"/>
  <c r="P125" i="1" s="1"/>
  <c r="K125" i="1"/>
  <c r="N157" i="1"/>
  <c r="P157" i="1" s="1"/>
  <c r="K157" i="1"/>
  <c r="N189" i="1"/>
  <c r="P189" i="1" s="1"/>
  <c r="K189" i="1"/>
  <c r="N221" i="1"/>
  <c r="P221" i="1" s="1"/>
  <c r="K221" i="1"/>
  <c r="N253" i="1"/>
  <c r="P253" i="1" s="1"/>
  <c r="K253" i="1"/>
  <c r="N285" i="1"/>
  <c r="P285" i="1" s="1"/>
  <c r="K285" i="1"/>
  <c r="N317" i="1"/>
  <c r="P317" i="1" s="1"/>
  <c r="K317" i="1"/>
  <c r="N199" i="1"/>
  <c r="P199" i="1" s="1"/>
  <c r="K199" i="1"/>
  <c r="N295" i="1"/>
  <c r="P295" i="1" s="1"/>
  <c r="K295" i="1"/>
  <c r="N38" i="1"/>
  <c r="P38" i="1" s="1"/>
  <c r="K38" i="1"/>
  <c r="N70" i="1"/>
  <c r="P70" i="1" s="1"/>
  <c r="K70" i="1"/>
  <c r="N102" i="1"/>
  <c r="P102" i="1" s="1"/>
  <c r="K102" i="1"/>
  <c r="N134" i="1"/>
  <c r="P134" i="1" s="1"/>
  <c r="K134" i="1"/>
  <c r="N166" i="1"/>
  <c r="P166" i="1" s="1"/>
  <c r="K166" i="1"/>
  <c r="N198" i="1"/>
  <c r="P198" i="1" s="1"/>
  <c r="K198" i="1"/>
  <c r="N230" i="1"/>
  <c r="P230" i="1" s="1"/>
  <c r="K230" i="1"/>
  <c r="N262" i="1"/>
  <c r="P262" i="1" s="1"/>
  <c r="K262" i="1"/>
  <c r="N294" i="1"/>
  <c r="P294" i="1" s="1"/>
  <c r="K294" i="1"/>
  <c r="N326" i="1"/>
  <c r="P326" i="1" s="1"/>
  <c r="K326" i="1"/>
  <c r="N223" i="1"/>
  <c r="P223" i="1" s="1"/>
  <c r="K223" i="1"/>
  <c r="N343" i="1"/>
  <c r="P343" i="1" s="1"/>
  <c r="K343" i="1"/>
  <c r="N47" i="1"/>
  <c r="P47" i="1" s="1"/>
  <c r="K47" i="1"/>
  <c r="N79" i="1"/>
  <c r="P79" i="1" s="1"/>
  <c r="K79" i="1"/>
  <c r="N111" i="1"/>
  <c r="P111" i="1" s="1"/>
  <c r="K111" i="1"/>
  <c r="N143" i="1"/>
  <c r="P143" i="1" s="1"/>
  <c r="K143" i="1"/>
  <c r="N327" i="1"/>
  <c r="P327" i="1" s="1"/>
  <c r="K327" i="1"/>
  <c r="N112" i="1"/>
  <c r="P112" i="1" s="1"/>
  <c r="K112" i="1"/>
  <c r="N336" i="1"/>
  <c r="P336" i="1" s="1"/>
  <c r="K336" i="1"/>
  <c r="N193" i="1"/>
  <c r="P193" i="1" s="1"/>
  <c r="K193" i="1"/>
  <c r="N58" i="1"/>
  <c r="P58" i="1" s="1"/>
  <c r="K58" i="1"/>
  <c r="N282" i="1"/>
  <c r="P282" i="1" s="1"/>
  <c r="K282" i="1"/>
  <c r="N139" i="1"/>
  <c r="P139" i="1" s="1"/>
  <c r="K139" i="1"/>
  <c r="N180" i="1"/>
  <c r="P180" i="1" s="1"/>
  <c r="K180" i="1"/>
  <c r="N37" i="1"/>
  <c r="P37" i="1" s="1"/>
  <c r="K37" i="1"/>
  <c r="N325" i="1"/>
  <c r="P325" i="1" s="1"/>
  <c r="K325" i="1"/>
  <c r="N239" i="1"/>
  <c r="P239" i="1" s="1"/>
  <c r="K239" i="1"/>
  <c r="K15" i="1" l="1"/>
  <c r="N15" i="1"/>
  <c r="P194" i="1"/>
  <c r="P17" i="1"/>
  <c r="P1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6871CF-FC69-4447-BEAA-B97140F366AB}" keepAlive="1" name="Consulta - Analisis_Diferecias_Tercer_conteo" description="Conexión a la consulta 'Analisis_Diferecias_Tercer_conteo' en el libro." type="5" refreshedVersion="8" background="1" saveData="1">
    <dbPr connection="Provider=Microsoft.Mashup.OleDb.1;Data Source=$Workbook$;Location=Analisis_Diferecias_Tercer_conteo;Extended Properties=&quot;&quot;" command="SELECT * FROM [Analisis_Diferecias_Tercer_conteo]"/>
  </connection>
  <connection id="2" xr16:uid="{00000000-0015-0000-FFFF-FFFF00000000}" keepAlive="1" name="Consulta - Consolidado_conteo_1" description="Conexión a la consulta 'Consolidado_conteo_1' en el libro." type="5" refreshedVersion="8" background="1" saveData="1">
    <dbPr connection="Provider=Microsoft.Mashup.OleDb.1;Data Source=$Workbook$;Location=Consolidado_conteo_1;Extended Properties=&quot;&quot;" command="SELECT * FROM [Consolidado_conteo_1]"/>
  </connection>
  <connection id="3" xr16:uid="{00000000-0015-0000-FFFF-FFFF01000000}" keepAlive="1" name="Consulta - Consolidado_conteo_2" description="Conexión a la consulta 'Consolidado_conteo_2' en el libro." type="5" refreshedVersion="8" background="1" saveData="1">
    <dbPr connection="Provider=Microsoft.Mashup.OleDb.1;Data Source=$Workbook$;Location=Consolidado_conteo_2;Extended Properties=&quot;&quot;" command="SELECT * FROM [Consolidado_conteo_2]"/>
  </connection>
  <connection id="4" xr16:uid="{00000000-0015-0000-FFFF-FFFF02000000}" keepAlive="1" name="Consulta - Plantilla_SCAN_EQ1_COUNT_1" description="Conexión a la consulta 'Plantilla_SCAN_EQ1_COUNT_1' en el libro." type="5" refreshedVersion="0" background="1">
    <dbPr connection="Provider=Microsoft.Mashup.OleDb.1;Data Source=$Workbook$;Location=Plantilla_SCAN_EQ1_COUNT_1;Extended Properties=&quot;&quot;" command="SELECT * FROM [Plantilla_SCAN_EQ1_COUNT_1]"/>
  </connection>
  <connection id="5" xr16:uid="{00000000-0015-0000-FFFF-FFFF03000000}" keepAlive="1" name="Consulta - Plantilla_SCAN_EQ2_COUNT_1" description="Conexión a la consulta 'Plantilla_SCAN_EQ2_COUNT_1' en el libro." type="5" refreshedVersion="0" background="1">
    <dbPr connection="Provider=Microsoft.Mashup.OleDb.1;Data Source=$Workbook$;Location=Plantilla_SCAN_EQ2_COUNT_1;Extended Properties=&quot;&quot;" command="SELECT * FROM [Plantilla_SCAN_EQ2_COUNT_1]"/>
  </connection>
  <connection id="6" xr16:uid="{00000000-0015-0000-FFFF-FFFF04000000}" keepAlive="1" name="Consulta - Plantilla_SCAN_EQ3_COUNT_2" description="Conexión a la consulta 'Plantilla_SCAN_EQ3_COUNT_2' en el libro." type="5" refreshedVersion="0" background="1">
    <dbPr connection="Provider=Microsoft.Mashup.OleDb.1;Data Source=$Workbook$;Location=Plantilla_SCAN_EQ3_COUNT_2;Extended Properties=&quot;&quot;" command="SELECT * FROM [Plantilla_SCAN_EQ3_COUNT_2]"/>
  </connection>
  <connection id="7" xr16:uid="{00000000-0015-0000-FFFF-FFFF05000000}" keepAlive="1" name="Consulta - Plantilla_SCAN_EQ4_COUNT_2" description="Conexión a la consulta 'Plantilla_SCAN_EQ4_COUNT_2' en el libro." type="5" refreshedVersion="0" background="1">
    <dbPr connection="Provider=Microsoft.Mashup.OleDb.1;Data Source=$Workbook$;Location=Plantilla_SCAN_EQ4_COUNT_2;Extended Properties=&quot;&quot;" command="SELECT * FROM [Plantilla_SCAN_EQ4_COUNT_2]"/>
  </connection>
</connections>
</file>

<file path=xl/sharedStrings.xml><?xml version="1.0" encoding="utf-8"?>
<sst xmlns="http://schemas.openxmlformats.org/spreadsheetml/2006/main" count="1852" uniqueCount="691">
  <si>
    <t>Texto breve de material</t>
  </si>
  <si>
    <t>Cantidad</t>
  </si>
  <si>
    <t>Texto Breve de Material</t>
  </si>
  <si>
    <t>UBICACIÓN</t>
  </si>
  <si>
    <t>Equipo de Conteo</t>
  </si>
  <si>
    <t>FECHA:</t>
  </si>
  <si>
    <t># Pos</t>
  </si>
  <si>
    <t>T-20</t>
  </si>
  <si>
    <t>HITO POLIFLEXY AMARILLO SIN REFLEJANTE</t>
  </si>
  <si>
    <t>ITO-PF-76-AC</t>
  </si>
  <si>
    <t>CLAVO PARA BOYA</t>
  </si>
  <si>
    <t>CLAVO-BOYA</t>
  </si>
  <si>
    <t>BASE NEGRA PARA TRAFISIT 105</t>
  </si>
  <si>
    <t>BASE-TSL-105-NG</t>
  </si>
  <si>
    <t>TRAFISIT 109 NARANJA</t>
  </si>
  <si>
    <t>MSTR-TS109-NJ-0</t>
  </si>
  <si>
    <t>CONO 45 INYECTADO NARANJA</t>
  </si>
  <si>
    <t>CNFI-45-NJ</t>
  </si>
  <si>
    <t>CONO 45 INYECTADO NARANJA CR/GI</t>
  </si>
  <si>
    <t>CNFI-45-NJ-GI</t>
  </si>
  <si>
    <t>BOTON MULTIVISTA AMBAR 2 REFLEJANTES</t>
  </si>
  <si>
    <t>BT-MUL-AC-2R</t>
  </si>
  <si>
    <t>CONO 71 INYECTADO AMARILLO</t>
  </si>
  <si>
    <t>CNFI-71-AC</t>
  </si>
  <si>
    <t>BOTON MULTIVISTA BLANCO 2 REFL</t>
  </si>
  <si>
    <t>BT-MUL-BL-2R</t>
  </si>
  <si>
    <t>BOTON MULTIVISTA DE ALUMINIO 1RAM</t>
  </si>
  <si>
    <t>BT-MUL-AL-1RAM</t>
  </si>
  <si>
    <t>BOTON MULTIVISTA ALUMNIO 2 REFL AMBAR</t>
  </si>
  <si>
    <t>BT-MUL-AL-2RAM</t>
  </si>
  <si>
    <t>BOTON MULTIVISTA  ALUMINIO 2 REFL BCO.</t>
  </si>
  <si>
    <t>BT-MUL-AL-2RBL</t>
  </si>
  <si>
    <t>CONO 91 INYECTADO NARANJA</t>
  </si>
  <si>
    <t>CNFI-91-INY-NJ</t>
  </si>
  <si>
    <t>TSR-122 COLOR NARANJA R-TRAFISIT-122</t>
  </si>
  <si>
    <t>RTRAFISIT-122</t>
  </si>
  <si>
    <t>CONO SUPERFLEXIBLE 45cm NARANJA</t>
  </si>
  <si>
    <t>CNSF-45-NJ</t>
  </si>
  <si>
    <t>CONO SUPERFLEXIBLE 60 CM NARANJA PUNTA CHATA</t>
  </si>
  <si>
    <t>CNSF-60-NJ-PCH</t>
  </si>
  <si>
    <t>TAPON AUDITIVO REUTILIZABLE TRIPLE BARRE</t>
  </si>
  <si>
    <t>TC-HHBB</t>
  </si>
  <si>
    <t>TAPON AUDITIVO REUTILIZABLE T/BAR/EST</t>
  </si>
  <si>
    <t>TC-HHBBC</t>
  </si>
  <si>
    <t>CONO SUPERFLEXIBLE 71 CM NARANJA</t>
  </si>
  <si>
    <t>CNSF-71-NJ</t>
  </si>
  <si>
    <t>TAPON AUDITIVO REUTILIZABLE TIPO HONGO</t>
  </si>
  <si>
    <t>TC-HHCC</t>
  </si>
  <si>
    <t>CONO 71 INYECTADO NARANJA CR/GI</t>
  </si>
  <si>
    <t>CNFI-71-NJ-GI</t>
  </si>
  <si>
    <t>TRAFISIT 109 NARANJA CON 2 REFLE-G.I. SIN LOGO</t>
  </si>
  <si>
    <t>TSL-109-2RGI</t>
  </si>
  <si>
    <t>ESQUINERO PARA ESTACIONAMIENTO DE 80 CM C/REF A.I</t>
  </si>
  <si>
    <t>ESQ-EST-80-AI</t>
  </si>
  <si>
    <t>CONO 91 INYECTADO AZUL PEPSI C/REF</t>
  </si>
  <si>
    <t>CNFI-91-ZP-REF</t>
  </si>
  <si>
    <t>PALETA ANTIDESLUMBRANTE COLOR VERDE</t>
  </si>
  <si>
    <t>P-ADS-62-VD</t>
  </si>
  <si>
    <t>CONO 71 INYECTADO NARANJA</t>
  </si>
  <si>
    <t>CNFI-71-NJ</t>
  </si>
  <si>
    <t>TOPE SIGLO 21 AMARILLO CON REF</t>
  </si>
  <si>
    <t>TPES-S21-AC-C/REF</t>
  </si>
  <si>
    <t>CONO 91 INYECTADO AMARILLO C/REF</t>
  </si>
  <si>
    <t>CNFI-91-AC-REF</t>
  </si>
  <si>
    <t>CUERPO BARRICADA 115 NARANJA</t>
  </si>
  <si>
    <t>BA-115-NJ-C</t>
  </si>
  <si>
    <t>BOYA ROMANA AMARILLA CON REFLEJANTE</t>
  </si>
  <si>
    <t>BY-I-68-CR</t>
  </si>
  <si>
    <t>LENTE SEGURIDAD MOD. COSMOS MICA HUMO</t>
  </si>
  <si>
    <t>TC-COSMO2</t>
  </si>
  <si>
    <t>CAPAMANGA IMPLERMEABLE AMARILLO TEL/TEJ</t>
  </si>
  <si>
    <t>TC-CAPAD</t>
  </si>
  <si>
    <t>GUANTE SOLDADOR</t>
  </si>
  <si>
    <t>TCGUANCAR4160RK</t>
  </si>
  <si>
    <t>LENTE SEGURIDAD MOD. GEMINIS MICA HUMO</t>
  </si>
  <si>
    <t>TC-GEMINI2</t>
  </si>
  <si>
    <t>BARRICADA 115 NARANJA SIN REFLEJANTE CON BASE</t>
  </si>
  <si>
    <t>BA-115-NJ-S/R-C/B</t>
  </si>
  <si>
    <t>LOSETA PODOTACTIL AMARILLO DE  LINEAS</t>
  </si>
  <si>
    <t>LPT-02-AC</t>
  </si>
  <si>
    <t>LOSETA PODOTACTIL DE CÃRCULOS AMARILLA</t>
  </si>
  <si>
    <t>LPT-03-AC</t>
  </si>
  <si>
    <t>GUANTE JAPONES C PUNTOS</t>
  </si>
  <si>
    <t>TCGUANJAP9661</t>
  </si>
  <si>
    <t>CONO SUPER FLEXIBLE 91 CM NARANJA.</t>
  </si>
  <si>
    <t>CNSF-91-NJ</t>
  </si>
  <si>
    <t xml:space="preserve">TOPE LIDER 60 NEGRO CON PINTURA A DOS CARAS </t>
  </si>
  <si>
    <t>TPES-L-60-NG-P2C</t>
  </si>
  <si>
    <t>TOPE PARA ESTACIONAMIENTO NEGRO C/PINTURA</t>
  </si>
  <si>
    <t>TPES-N-55-NG-C/P</t>
  </si>
  <si>
    <t>LENTE SEGURIDAD MOD. GEMINIS MICA AMBAR</t>
  </si>
  <si>
    <t>TC-GEMINI1</t>
  </si>
  <si>
    <t xml:space="preserve">BARRERA BABY 100 SOPLADA COLOR NARANJA SIN REFLEJANTES </t>
  </si>
  <si>
    <t>BBS-100-NJ</t>
  </si>
  <si>
    <t>LENTE SEGURIDAD MOD. COSMOS MICA AMBAR</t>
  </si>
  <si>
    <t>TC-COSMO1</t>
  </si>
  <si>
    <t>LENTE SEGURIDAD MOD. VENUS MICA HUMO</t>
  </si>
  <si>
    <t>TC-VENUS2</t>
  </si>
  <si>
    <t>CINTA BARRICADA PELIGRO 303M</t>
  </si>
  <si>
    <t>TC-CB02</t>
  </si>
  <si>
    <t xml:space="preserve">CASACA DE TELA VERDE </t>
  </si>
  <si>
    <t>TC-CAST-VD</t>
  </si>
  <si>
    <t>BALIZA BRIO 1000 COLOR BLANCO CON REFLEJANTE</t>
  </si>
  <si>
    <t>BBRIO-1000-BL-C/REF</t>
  </si>
  <si>
    <t>BALIZA BRIO 1000 NEGRO</t>
  </si>
  <si>
    <t>BBRIO-1000-NG</t>
  </si>
  <si>
    <t>TOPE SOPLADO 51 CM AMARILLO</t>
  </si>
  <si>
    <t xml:space="preserve"> TPES-S-51-AC</t>
  </si>
  <si>
    <t>BOYA I-68 COLOR VERDE CON REF. BLANCO</t>
  </si>
  <si>
    <t>BY-I-68-VD/BL</t>
  </si>
  <si>
    <t>BALIZA BRIO 105 NEGRA CON REFLEJANTE</t>
  </si>
  <si>
    <t>BBRIO-105-NG-C/R</t>
  </si>
  <si>
    <t>GUANTE ANTICORTE</t>
  </si>
  <si>
    <t>TCGUANDYN8915DP</t>
  </si>
  <si>
    <t xml:space="preserve">CONO SUPERFLEXIBLE 45cm NARANJA REFLEJANTE G.I.  </t>
  </si>
  <si>
    <t>CNSF-45-NJ-C/R</t>
  </si>
  <si>
    <t>BANDERIN PARA CAMION PLASTICO NARANJA</t>
  </si>
  <si>
    <t>BAND-CAM-NJP</t>
  </si>
  <si>
    <t xml:space="preserve">TOPE 55 NEGRO PARA ESTACIONAMIENTO </t>
  </si>
  <si>
    <t>TPES-N-55-NG</t>
  </si>
  <si>
    <t xml:space="preserve">CONO SUPERFLEXIBLE 91 CM REFLEJANTE </t>
  </si>
  <si>
    <t>CNSF-91-C/R</t>
  </si>
  <si>
    <t>BARRICADA 115 VERDE CON REFLEJANTE CON BASE</t>
  </si>
  <si>
    <t>BA-115-VD-C/R-C/B</t>
  </si>
  <si>
    <t>ITO POLIFLEXY COLOR AMARILLO G. I.</t>
  </si>
  <si>
    <t>ITO-PF-51-AC-GI</t>
  </si>
  <si>
    <t>POSTE BICOLOR NEGRO CON BLANCO</t>
  </si>
  <si>
    <t>P-BC-NB</t>
  </si>
  <si>
    <t>BANDEROLA LONA NJ C/ REFLEJANTE</t>
  </si>
  <si>
    <t>TC-BMN04</t>
  </si>
  <si>
    <t>CASACA DE TELA 100% ALGODON ROJO</t>
  </si>
  <si>
    <t>TC-CASTRJ</t>
  </si>
  <si>
    <t>GUANTE CARNAZA CORTO</t>
  </si>
  <si>
    <t>TC-GUANCARCOR</t>
  </si>
  <si>
    <t>GUANTE CARNAZA LARGO</t>
  </si>
  <si>
    <t>TC-GUANCARLAR</t>
  </si>
  <si>
    <t>BALIZA BRIO 105 VERDE CON REFLEJANTE</t>
  </si>
  <si>
    <t>BBRIO-105-VD-C/R</t>
  </si>
  <si>
    <t>CONECTOR PARA ANCLAJE EN TRAVESAÃ‘OS 90 M</t>
  </si>
  <si>
    <t>TC-ANCLA-1</t>
  </si>
  <si>
    <t>CASCO T/CACHUCHA ROJO Y AJUSTE/INT</t>
  </si>
  <si>
    <t>TC-CASCO-RO</t>
  </si>
  <si>
    <t>LENTE SEGURIDAD MOD. GEMINIS MICA CLARA</t>
  </si>
  <si>
    <t>TC-GEMINI0</t>
  </si>
  <si>
    <t>CASACA TELA %100ALGODON AMARILLO</t>
  </si>
  <si>
    <t>TC-CASTAMC</t>
  </si>
  <si>
    <t>BOTIQUIN INDUSTRIAL 40X50X12</t>
  </si>
  <si>
    <t>TC-BOT IND</t>
  </si>
  <si>
    <t>CASCO T/CACHUCHA NARANJA Y AJUSTE/INTERV</t>
  </si>
  <si>
    <t>TC-CASCO-N</t>
  </si>
  <si>
    <t>LENTE SEGURIDAD MOD. VENUS MICA AMBAR</t>
  </si>
  <si>
    <t>TC-VENUS1</t>
  </si>
  <si>
    <t>BARRICADA 115 NARANJA CON REFLEJANTE CON BASE</t>
  </si>
  <si>
    <t>BA-115-NJ-C/R-C/B</t>
  </si>
  <si>
    <t>ZAPATO SEGURIDAD ERGONOMICO BULLENCLAVE #6</t>
  </si>
  <si>
    <t>TC-BULLENCLAVE-6</t>
  </si>
  <si>
    <t>CHALECO MF AMARILLO T/CHICA</t>
  </si>
  <si>
    <t>TC-CHAMFATCH</t>
  </si>
  <si>
    <t>CHALECO MF ROJO T/GRANDE</t>
  </si>
  <si>
    <t>TC-CHAMFRTG</t>
  </si>
  <si>
    <t>CHA BRI 100%ALGODON C/R TELA VERDE</t>
  </si>
  <si>
    <t>TC-CHBRTELVB1</t>
  </si>
  <si>
    <t>POLYSTRECH TRANSPARENTE CALIBRE 80 18"</t>
  </si>
  <si>
    <t>MSPS-P8018-TR-0</t>
  </si>
  <si>
    <t>BALIZA BRIO 105 AZUL PEPSI CON REFLEJANTE</t>
  </si>
  <si>
    <t>BBRIO-105-ZP-C/R</t>
  </si>
  <si>
    <t>CACHUCHA HIGIENICA DE PROTECCION</t>
  </si>
  <si>
    <t>TC-BCAP</t>
  </si>
  <si>
    <t>BOTIQUIN OFICINA 25X30X8</t>
  </si>
  <si>
    <t>TC-BOT OF</t>
  </si>
  <si>
    <t>ZAPATO SEGURIDAD ERGONOMICO BULLENCLAVE #4</t>
  </si>
  <si>
    <t>TC-BULLENCLAVE-4</t>
  </si>
  <si>
    <t>ZAPATO SEGURIDAD ERGONOMICO BULLENCLAVE #5</t>
  </si>
  <si>
    <t>TC-BULLENCLAVE-5</t>
  </si>
  <si>
    <t>CASCO T/CACHUCHA GRIS Y AJUSTE/INTERVALO</t>
  </si>
  <si>
    <t>TC-CASCO-G</t>
  </si>
  <si>
    <t>CHALECO MF AMARILLO T/MEDIANA</t>
  </si>
  <si>
    <t>TC-CHAMFATM</t>
  </si>
  <si>
    <t>CHALECO MF NARANJA T/CHICA</t>
  </si>
  <si>
    <t>TC-CHAMFNTCH</t>
  </si>
  <si>
    <t>CHALECO MF NARANGA T/GRANDE</t>
  </si>
  <si>
    <t>TC-CHAMFNTG</t>
  </si>
  <si>
    <t>CHALECO MF ROJO T/CHICO</t>
  </si>
  <si>
    <t>TC-CHAMFRTCH</t>
  </si>
  <si>
    <t>CHALECO MF VERDE BANDERA T/CHICA</t>
  </si>
  <si>
    <t>TC-CHAMFVBTCH</t>
  </si>
  <si>
    <t>CHALECO MF VERDE BANDERA T/GRANDE</t>
  </si>
  <si>
    <t>TC-CHAMFVBTG</t>
  </si>
  <si>
    <t>CHA BRI 100%ALGODON C/R TELA ROJA</t>
  </si>
  <si>
    <t>TC-CHBRTELRO</t>
  </si>
  <si>
    <t>GUANTE JAPONES GRIS</t>
  </si>
  <si>
    <t>TCGUANJAPF6039</t>
  </si>
  <si>
    <t>LINEA DE POSICIONAMIENTO Y LIMITACION, T</t>
  </si>
  <si>
    <t>TC-LP1</t>
  </si>
  <si>
    <t>BARRERA MULTIUSOS NARANJA</t>
  </si>
  <si>
    <t>BA-MUL-1500-NJ</t>
  </si>
  <si>
    <t>JUEGO DE TAQUETE, PIJA Y RONDANA DE 3/8"</t>
  </si>
  <si>
    <t>JGO-TAQ-PIJ</t>
  </si>
  <si>
    <t>BARRICADA 115 VERDE SIN REFLEJANTE CON BASE</t>
  </si>
  <si>
    <t>BA-115-VD-S/R-C/B</t>
  </si>
  <si>
    <t>ZAPATO SEGURIDAD ERGONOMICO BULLENCLAVE #7</t>
  </si>
  <si>
    <t>TC-BULLENCLAVE-7</t>
  </si>
  <si>
    <t>ZAPATO SEGURIDAD ERGONOMICO BULLENCLAVE #9</t>
  </si>
  <si>
    <t>TC-BULLENCLAVE-9</t>
  </si>
  <si>
    <t>CASCO T/CACHUCHA NARANJA Y AJUSTE/MATRAC</t>
  </si>
  <si>
    <t>TC-CASCOM-N</t>
  </si>
  <si>
    <t>CHALECO MF AMARILLO T/GRANDE</t>
  </si>
  <si>
    <t>TC-CHAMFATG</t>
  </si>
  <si>
    <t>CHALECO MF VERDE BANDERA T/MEDIANA</t>
  </si>
  <si>
    <t>TC-CHAMFVBTM</t>
  </si>
  <si>
    <t>CHA BRI 100%ALGODON C/R TELA AZUL REY</t>
  </si>
  <si>
    <t>TC-CHBRTELAR7</t>
  </si>
  <si>
    <t>SILBATO</t>
  </si>
  <si>
    <t>TC-SILB</t>
  </si>
  <si>
    <t>MALLA DE CONSTRUCCION LIGERA</t>
  </si>
  <si>
    <t>CP-NA</t>
  </si>
  <si>
    <t>TACO PARA CAMION 20</t>
  </si>
  <si>
    <t xml:space="preserve">ITO 110 NARANJA </t>
  </si>
  <si>
    <t>IT-110-NJ</t>
  </si>
  <si>
    <t>ZAPATO SEGURIDAD ERGONOMICO BULLENCLAVE #8</t>
  </si>
  <si>
    <t>TC-BULLENCLAVE-8</t>
  </si>
  <si>
    <t>CARETA P/SOLDADOR CON 30% FIBRA/VID. MA</t>
  </si>
  <si>
    <t>TC-CARETA-FV-VL</t>
  </si>
  <si>
    <t>CASCO T/MINERO (ALA ANCHA) NARANJA Y AJUSTE/INTERVA</t>
  </si>
  <si>
    <t>TC-CASCOE-N</t>
  </si>
  <si>
    <t>CASACA DE TELA 100% ALGODON NARANJA</t>
  </si>
  <si>
    <t>TC-CASTNJ</t>
  </si>
  <si>
    <t>CHA BRI 100%ALGODON C/R TELA NARANJA</t>
  </si>
  <si>
    <t>TC-CHBRTLNJ</t>
  </si>
  <si>
    <t>DETECTOR HUMO</t>
  </si>
  <si>
    <t>TC-I9040E</t>
  </si>
  <si>
    <t>LINEA POSICIONAMIENTO Y LIMITACION, C/TR</t>
  </si>
  <si>
    <t>TC-LP2</t>
  </si>
  <si>
    <t>LINEA POSICIONAMIENTO Y LIMITACION C/A</t>
  </si>
  <si>
    <t>TC-LP3</t>
  </si>
  <si>
    <t>MUÃ‘EQUERA DE 3 PULGADAS</t>
  </si>
  <si>
    <t>TC-MUÃ‘E3</t>
  </si>
  <si>
    <t>MUÃ‘EQUERA DE 4 PULGADAS</t>
  </si>
  <si>
    <t>TC-MUÃ‘E4</t>
  </si>
  <si>
    <t>BARRERA BABY ROTOMOLDEADA COLOR NARANJA CON DOS CARAS REFLEJANTES</t>
  </si>
  <si>
    <t>BD-100-NJ-CR-2</t>
  </si>
  <si>
    <t xml:space="preserve">BARRERA BULLDOG S-70 CON FLECHAS Y 4 CAPTAFAROS EN AMBOS LADOS </t>
  </si>
  <si>
    <t>BB-S70-2C-REF</t>
  </si>
  <si>
    <t xml:space="preserve">BARRERA BULLDOG S-81 CON CAPTAFAROS EN AMBOS LADOS </t>
  </si>
  <si>
    <t>BB-S81-2C-CAP</t>
  </si>
  <si>
    <t>CONO INYECTADO DE 71 CON REFLEJANTE Y LUZ</t>
  </si>
  <si>
    <t xml:space="preserve">CNFI-71-NJ-GI-L </t>
  </si>
  <si>
    <t>CONO INYECTADO DE 91 CON REFLEJANTE Y LUZ</t>
  </si>
  <si>
    <t>CNFI-91-NJ-GI-L</t>
  </si>
  <si>
    <t>HITO 80 DEFENDER NARANJA</t>
  </si>
  <si>
    <t>IT-80-NJ</t>
  </si>
  <si>
    <t>ARNES CUERPO COMPLETO 1 ARGOLLA L/ V/ I</t>
  </si>
  <si>
    <t>TC-A1ALV</t>
  </si>
  <si>
    <t>ARNES DE CUERPO COMPLETO DE 4 ARGOLLAS</t>
  </si>
  <si>
    <t>TC-A4A</t>
  </si>
  <si>
    <t>ARNES DE CUERPO COMPLETO DE 5 ARGOLLAS</t>
  </si>
  <si>
    <t>TC-A5A</t>
  </si>
  <si>
    <t>CASCO T/CACHUCHA NEGRO Y AJUSTE/INT</t>
  </si>
  <si>
    <t>TC-CASCO-NE</t>
  </si>
  <si>
    <t>CASCO T/CACHUCHA ROSA Y AJUSTE/INT</t>
  </si>
  <si>
    <t>TC-CASCO-RA</t>
  </si>
  <si>
    <t xml:space="preserve">BARRERA DIAMANTE SOPLADA 2REF G.I </t>
  </si>
  <si>
    <t>BDS-174-NJ-2</t>
  </si>
  <si>
    <t xml:space="preserve">CONO INYECTADO DE 41 CMS COLOR NARANJA </t>
  </si>
  <si>
    <t>CN-41-NJ</t>
  </si>
  <si>
    <t>PALETA ANTIDESLUMBRANTE CON 2 REFLEJANTES</t>
  </si>
  <si>
    <t>P-ADS-62-C/2R</t>
  </si>
  <si>
    <t>TRAFISIT 109 CON LUZ</t>
  </si>
  <si>
    <t>TSL-109-LUZ</t>
  </si>
  <si>
    <t>BALIZA BRIO 1000 AMARILLO</t>
  </si>
  <si>
    <t>BBRIO-1000-AC</t>
  </si>
  <si>
    <t>BALIZA BRIO 1000 VERDE</t>
  </si>
  <si>
    <t>BBRIO-1000-VD</t>
  </si>
  <si>
    <t>POSTE BICOLOR ROJO/BLANCO</t>
  </si>
  <si>
    <t>P-BC-RB</t>
  </si>
  <si>
    <t>BOYA MULTIESFERA  2REF.  AMBAR</t>
  </si>
  <si>
    <t>BY-ES-2R-AM</t>
  </si>
  <si>
    <t>BALIZA BRIO 105 BLANCO CON REFLEJANTE</t>
  </si>
  <si>
    <t>BBRIO-105-BL-C/R</t>
  </si>
  <si>
    <t xml:space="preserve">BALIZA BRIO 105 NARANJA CON REFLEJANTE </t>
  </si>
  <si>
    <t>BBRIO-105-NJ-C/R</t>
  </si>
  <si>
    <t>ITO 113 NARANJA</t>
  </si>
  <si>
    <t>IT-113-NJ</t>
  </si>
  <si>
    <t>HITO FLEX 100 BLANCO</t>
  </si>
  <si>
    <t>IT-FLE-100</t>
  </si>
  <si>
    <t>HITO 80 DEFENDER AMARILLO</t>
  </si>
  <si>
    <t>IT-80-AC</t>
  </si>
  <si>
    <t>HITO 80 DEFENDER NATURAL</t>
  </si>
  <si>
    <t>IT-80-NT</t>
  </si>
  <si>
    <t>HITO 80 DEFENDER VERDE</t>
  </si>
  <si>
    <t>IT-80-VD</t>
  </si>
  <si>
    <t>HITO 80 DEFENDER AZUL</t>
  </si>
  <si>
    <t>IT-80-ZP</t>
  </si>
  <si>
    <t>TOPE REDUCTOR DE VELOCIDAD SIN ESFERAS</t>
  </si>
  <si>
    <t>TR-EV-183-S/E</t>
  </si>
  <si>
    <t>CINTA REFLEJANTE GD 2" BARRAS BLANCO/ROJO ROLLO</t>
  </si>
  <si>
    <t>CI-R2"GD-BL/RJ</t>
  </si>
  <si>
    <t>CINTA DE MARCAJE BARRICADA (BLANCO-ROJO) 48 mm x 33 mts (2") ROLLO</t>
  </si>
  <si>
    <t>CNT-BARR-3</t>
  </si>
  <si>
    <t>ARNES DE CUERPO COMPLETO DE 3 ARGOLLAS</t>
  </si>
  <si>
    <t>TC-A3A</t>
  </si>
  <si>
    <t>CASCO T/MINERO (ALA ANCHA) AMARILLO Y AJUSTE/INTERVA</t>
  </si>
  <si>
    <t>TC-CASCOE-A</t>
  </si>
  <si>
    <t>CINTA BARRICADA PRECAUCION 303 M</t>
  </si>
  <si>
    <t>TC-CB01</t>
  </si>
  <si>
    <t>CHALECO MF NARANJA T/MEDIANA</t>
  </si>
  <si>
    <t>TC-CHAMFNTM</t>
  </si>
  <si>
    <t>GUANTE POLIURETANO</t>
  </si>
  <si>
    <t>TCGUANNYL9911PUN</t>
  </si>
  <si>
    <t>OVEROL GABARDINA AZUL MARINO TALLA 36</t>
  </si>
  <si>
    <t>TC-OVER-185-36</t>
  </si>
  <si>
    <t>OVEROL GABARDINA AZUL MARINO TALLA 38</t>
  </si>
  <si>
    <t>TC-OVER-185-38</t>
  </si>
  <si>
    <t>OVEROL GABARDINA AZUL MARINO TALLA 40</t>
  </si>
  <si>
    <t>TC-OVER-185-40</t>
  </si>
  <si>
    <t>BARRERA BABY ROTOMOLDEADA COLOR NARANJA CON UNA CARA REFLEJANTE</t>
  </si>
  <si>
    <t>BD-100-NJ-C/R-1</t>
  </si>
  <si>
    <t>CONFIBICI 40 MODELO ANTERIOR SIN LUZ</t>
  </si>
  <si>
    <t>B-COBI-40-AN-S/L-AC</t>
  </si>
  <si>
    <t xml:space="preserve">BOLARDO C.MT AMARILLO REF G.I C/A </t>
  </si>
  <si>
    <t>C.MT-180-AC</t>
  </si>
  <si>
    <t xml:space="preserve">BARRERA B-180 AZUL PEPSI CON DOS PALETAS </t>
  </si>
  <si>
    <t>B-180-2PAL-ZP</t>
  </si>
  <si>
    <t xml:space="preserve">BARRERA GALAXY NARANJA </t>
  </si>
  <si>
    <t>BGP-145-NJ</t>
  </si>
  <si>
    <t>ECOREDUCTOR CENTRAL AMARILLO 140 SIN CAJA</t>
  </si>
  <si>
    <t>ECO-RI-140-AM-S/C</t>
  </si>
  <si>
    <t>BARRERA MINI SOPLADA RS 100 CON 2 REFLEJANTES</t>
  </si>
  <si>
    <t>RS-100-NJ-2R</t>
  </si>
  <si>
    <t>CABALLETE GRAN FORMATO BLANCO 2 CARAS REF</t>
  </si>
  <si>
    <t>CAB-114-A-BL-2C</t>
  </si>
  <si>
    <t>CABALLETE 2 ESPACIOS BLANCO</t>
  </si>
  <si>
    <t>CAB-114-B-BL</t>
  </si>
  <si>
    <t>PALETA INFORMATIVA SIN TEXTO</t>
  </si>
  <si>
    <t>PAL-INF-S/T</t>
  </si>
  <si>
    <t>PALETA UNIX PTR</t>
  </si>
  <si>
    <t>PAL-UNIX-PTR</t>
  </si>
  <si>
    <t xml:space="preserve">CONO SEMIFLEXIBLE DE 25 CMS COLOR NARANJA </t>
  </si>
  <si>
    <t>CN-25-NJ</t>
  </si>
  <si>
    <t>ABSORB 190 COLOR AZUL PEPSI</t>
  </si>
  <si>
    <t>ABSORB-190-ZP</t>
  </si>
  <si>
    <t>IMPACTADOR VIAL AMARILLO SIN REFLEJANTE</t>
  </si>
  <si>
    <t>I-890-AC-SR</t>
  </si>
  <si>
    <t>ECOREDUCTOR 140 DERECHO AMARILLO S/C</t>
  </si>
  <si>
    <t>ECO-140-DER-AM-S/C</t>
  </si>
  <si>
    <t>ECOREDUCTOR 140 IZQUIERDO AMARILLO S/C</t>
  </si>
  <si>
    <t>ECO-140-IZQ-AM-S/C</t>
  </si>
  <si>
    <t>RDV-45 MODULO UNIVERSAL AMARILLO</t>
  </si>
  <si>
    <t>RDV-45-MU-AC</t>
  </si>
  <si>
    <t>RDV-45 MODULO UNIVERSAL NEGRO</t>
  </si>
  <si>
    <t>RDV-45-MU-NG</t>
  </si>
  <si>
    <t>RDV-45 REMATE DERECHO (HEMBRA) NEGRO</t>
  </si>
  <si>
    <t>RDV-45-RE-DER-NG</t>
  </si>
  <si>
    <t>RDV-45 REMATE IZQUIERDO (MACHO) AMARILLO</t>
  </si>
  <si>
    <t xml:space="preserve"> RDV-45-RE-IZQ-AC</t>
  </si>
  <si>
    <t>REDUCTOR S-81 CENTRAL AMARILLO S/CAJA VI</t>
  </si>
  <si>
    <t>RED-S81C-ACSCV</t>
  </si>
  <si>
    <t>REDUCTOR S-81 CENTRAL NEGRO S/CAJA VIALE</t>
  </si>
  <si>
    <t>RED-S81C-NGSCV</t>
  </si>
  <si>
    <t>REDUCTOR S-81 REMATE AMARILLO (PUNTA)</t>
  </si>
  <si>
    <t>RED-S81R-ACP</t>
  </si>
  <si>
    <t>MOUSE</t>
  </si>
  <si>
    <t>CINTA BARRICADA PROHIBIDO 303M</t>
  </si>
  <si>
    <t>TC-CB03</t>
  </si>
  <si>
    <t>CANALIZADOR BUS-TROLEBUS C.R. G.I. S/A</t>
  </si>
  <si>
    <t>C.MT-180-S/A</t>
  </si>
  <si>
    <t>CONTROL REMOTO</t>
  </si>
  <si>
    <t>CON-RE</t>
  </si>
  <si>
    <t xml:space="preserve">BOYA METALICA AMARILLA </t>
  </si>
  <si>
    <t>BY-M</t>
  </si>
  <si>
    <t>BARRERA BULLDOG S70 NARANJA</t>
  </si>
  <si>
    <t>BB-S70-NJ</t>
  </si>
  <si>
    <t>TOPE PARA ESTACIONAMIENTO NEGRO C/ 2 FRANJA PINTADA A 1 CARA</t>
  </si>
  <si>
    <t>TPES-N-180-NG-P2F</t>
  </si>
  <si>
    <t>BALIZA BRIO 105 AMARILLO CON REFLEJANTE</t>
  </si>
  <si>
    <t>BBRIO-105-AC-C/R</t>
  </si>
  <si>
    <t xml:space="preserve">CUERPO BARRERA MULTIUSOS NARANJA CUENTA CON 2 HEMBRAS Y 2 MACHOS </t>
  </si>
  <si>
    <t>BA-MUL-1500-NJ-C-H/M</t>
  </si>
  <si>
    <t xml:space="preserve">TOPE LIDER 60 NEGRO CON PINTURA A UNA CARA </t>
  </si>
  <si>
    <t>TPES-L-60-NG-CP</t>
  </si>
  <si>
    <t>TOPE REDUCTOR DE VELOCIDAD CON ESFERAS</t>
  </si>
  <si>
    <t>TR-EV-183-C/E</t>
  </si>
  <si>
    <t>CONO SUPERFLEXIBLE 60 CM NARANJA PUNTA CHATA REF G.I.</t>
  </si>
  <si>
    <t>CNSF-60-NJ-CH-RGI</t>
  </si>
  <si>
    <t>ITO 80 DEFENDER NARANJA CON REFLEJANTE</t>
  </si>
  <si>
    <t>IT-80-NJ-C/R</t>
  </si>
  <si>
    <t>BARRERA BABY SOPLADA CON 2 CARAS REFLEJANTES</t>
  </si>
  <si>
    <t>BBS-100-NJ-S-CR-2</t>
  </si>
  <si>
    <t>TRAFISIT 105 ECONOMICO SIN REFLEJANTES.</t>
  </si>
  <si>
    <t>TSL-105</t>
  </si>
  <si>
    <t>CONO 91 INYECTADO NARANJA C/REF</t>
  </si>
  <si>
    <t>CNFI-91-NJ-REF</t>
  </si>
  <si>
    <t>HITO POLIFLEXY COLOR BLANCO</t>
  </si>
  <si>
    <t>ITO-PF-76-BL</t>
  </si>
  <si>
    <t>HITO POLIFLEXY COLOR NARANJA</t>
  </si>
  <si>
    <t>ITO-PF-76-NJ</t>
  </si>
  <si>
    <t>TOPE PARA ESTACIONAMIENTO C/FRANJA PINTADA</t>
  </si>
  <si>
    <t>TPES-N-180-CP</t>
  </si>
  <si>
    <t>BARRERA DIAMANTE SOPLADA NARANJA</t>
  </si>
  <si>
    <t>BDS-174-NJ</t>
  </si>
  <si>
    <t>PICOBA BARCELONA</t>
  </si>
  <si>
    <t>PIC-BARCELONA</t>
  </si>
  <si>
    <t>PICOBA EIFEL NEGRA</t>
  </si>
  <si>
    <t>PIC-EIFEL-NG</t>
  </si>
  <si>
    <t>PICOBA METROPOLI</t>
  </si>
  <si>
    <t>PIC-METROPOLI-NG</t>
  </si>
  <si>
    <t>PICOBA VIENA</t>
  </si>
  <si>
    <t>PIC-VIENA-NG</t>
  </si>
  <si>
    <t>VIALETON 395 CON LUZ</t>
  </si>
  <si>
    <t>VIA-395-AC</t>
  </si>
  <si>
    <t>CONO SUPERFLEXIBLE 71cm NARANJA C/REF G. I.</t>
  </si>
  <si>
    <t>CNSF-71-NJ-C/R-GI</t>
  </si>
  <si>
    <t>POSTE BICOLOR AMARILLO/BLANCO</t>
  </si>
  <si>
    <t>P-BC-AB</t>
  </si>
  <si>
    <t xml:space="preserve">NO USAR CONO SUPERFLEXIBLE 60 CM NARANJA REF G.I. </t>
  </si>
  <si>
    <t>NO USAR CNSF-60-NJ-C/R</t>
  </si>
  <si>
    <t>Código</t>
  </si>
  <si>
    <t>LRO-30-200-RJ</t>
  </si>
  <si>
    <t>BOLSA ROJA RPBI 30X40 CAL. 200 (A1BL-LRO30-RJ-0)</t>
  </si>
  <si>
    <t>BOT-200-VM</t>
  </si>
  <si>
    <t>CONTENEDOR BOTE VERDE MILITAR 200 LTS (A1HD-EF200-VM-0)</t>
  </si>
  <si>
    <t>LRO-50-200-RJ</t>
  </si>
  <si>
    <t>BOLSA ROJA RPBI 46X50 CAL. 200 (A1BL-LRO50-RJ-0)</t>
  </si>
  <si>
    <t>LRO-20-200-RJ</t>
  </si>
  <si>
    <t>BOLSA ROJA RPBI 20X30 CAL. 200 (A1BL-LRO20-RJ-0)</t>
  </si>
  <si>
    <t>LRO-110-200-RJ</t>
  </si>
  <si>
    <t>BOLSA ROJA RPBI 78X109 CAL. 200 (A1BL-LR110-RJ-0)</t>
  </si>
  <si>
    <t>LRO-61-200-RJ</t>
  </si>
  <si>
    <t>BOLSA ROJA RPBI 60X80 CAL. 200 (A1BL-LRO61-RJ-0)</t>
  </si>
  <si>
    <t>A1HD-V240H-RJ-B</t>
  </si>
  <si>
    <t>BOTE VIC HD 240 Lts. ROJO</t>
  </si>
  <si>
    <t>A/EC-BFY24-VE</t>
  </si>
  <si>
    <t>BOTE VERDE FREDY 24 LTS</t>
  </si>
  <si>
    <t>ECOBATERY-ZP</t>
  </si>
  <si>
    <t>CONTENEDOR PARA PILAS ECOBATERY AZUL PEPSI (A1CO-ECOBA-ZP-0)</t>
  </si>
  <si>
    <t>A/EC-BCTB90-AC-0</t>
  </si>
  <si>
    <t>BOTE CUADRADO C/TAPA BALANCIN-90 LTS AMARILLO</t>
  </si>
  <si>
    <t>A/EC-BCTB90-ZP-0</t>
  </si>
  <si>
    <t>BOTE CUADRADO C/TAPA BALANCIN-90 LTS AZUL</t>
  </si>
  <si>
    <t>A/EC-BCTB90-RJ-0</t>
  </si>
  <si>
    <t>BOTE CUADRADO C/TAPA BALANCIN-90 LTS ROJO</t>
  </si>
  <si>
    <t>A/EC-BCTB90-GC-0</t>
  </si>
  <si>
    <t>BOTE CUADRADO C/TAPA BALANCIN-90 LTS GRIS</t>
  </si>
  <si>
    <t>A/EC-BCTB90-VM-0</t>
  </si>
  <si>
    <t>BOTE CUADRADO C/TAPA BALANCIN-90 LTS VERDE</t>
  </si>
  <si>
    <t>A/EC-BFY24-RJ</t>
  </si>
  <si>
    <t>BOTE ROJO FREDY 24 LTS</t>
  </si>
  <si>
    <t>A/EC-BP21-NJ</t>
  </si>
  <si>
    <t>BOTE PEDAL NARANJA  21 LTS</t>
  </si>
  <si>
    <t>A/EC-BCTB90-NJ-0</t>
  </si>
  <si>
    <t>BOTE CUADRADO C/TAPA BALANCIN-90 LTS NARANJA</t>
  </si>
  <si>
    <t xml:space="preserve"> A/EC-BCTNB75-GS</t>
  </si>
  <si>
    <t xml:space="preserve">BOTE GRIS C/T NEGRA BAL.- 75 LTS </t>
  </si>
  <si>
    <t xml:space="preserve"> A/EC-BCTNB75-RJ</t>
  </si>
  <si>
    <t xml:space="preserve">BOTE ROJO C/T NEGRA BAL.- 75 LTS </t>
  </si>
  <si>
    <t>A/EC-BP21-AC</t>
  </si>
  <si>
    <t>BOTE PEDAL AMARILLO  21 LTS</t>
  </si>
  <si>
    <t>A/EC-BP21-VE</t>
  </si>
  <si>
    <t>BOTE PEDAL VERDE  21 LTS</t>
  </si>
  <si>
    <t>RECICAJA-47-ZP</t>
  </si>
  <si>
    <t>RECICAJA 47 Lts. AZUL PEPSI (A1AC-REC47-ZP-0)</t>
  </si>
  <si>
    <t>A/EC-BCTB22-NJ</t>
  </si>
  <si>
    <t xml:space="preserve">BOTE DE 22 LTS. NARANJA C/T BAL/BLANCA </t>
  </si>
  <si>
    <t>A/EC-BCTB22-VE</t>
  </si>
  <si>
    <t>BOTE DE 22 LTS. VERDE C/T BAL/BLANCA</t>
  </si>
  <si>
    <t>A/EC-BCTB22-ZC</t>
  </si>
  <si>
    <t xml:space="preserve">BOTE DE 22 LTS. AZUL C/T BAL/BLANCA </t>
  </si>
  <si>
    <t>A/EC-BFY24-GS</t>
  </si>
  <si>
    <t>BOTE GRIS FREDY 24 LTS</t>
  </si>
  <si>
    <t>A/EC-BLCT20-VE</t>
  </si>
  <si>
    <t>BOTE LAPO VERDE CON TAPA 20 LTS</t>
  </si>
  <si>
    <t>A/EC-BLCT20-ZC</t>
  </si>
  <si>
    <t>BOTE LAPO AZUL CON TAPA 20 LTS</t>
  </si>
  <si>
    <t>TJ76-GRA-F</t>
  </si>
  <si>
    <t>MACETA TIPO JARRON TJ76 GRIS GRANITO (A1MC-TTJ76-GG-0)</t>
  </si>
  <si>
    <t>A/EC-BLCT20-AC</t>
  </si>
  <si>
    <t>BOTE LAPO AMARILLO CON TAPA 20 LTS</t>
  </si>
  <si>
    <t>A/EC-B120-RJ</t>
  </si>
  <si>
    <t>BOTE 120 LTS ROJO C/RUEDAS Y TAPA</t>
  </si>
  <si>
    <t xml:space="preserve"> A/EC-BCTNB100-AC</t>
  </si>
  <si>
    <t xml:space="preserve">BOTE AMARILLO C/T. NEGRA BALANCÃN 100 LTS </t>
  </si>
  <si>
    <t>PL-3-RJ</t>
  </si>
  <si>
    <t>RECOLECTOR CAP. 3 Lts. ROJO (A1RC-00PL3-RJ-0)</t>
  </si>
  <si>
    <t>A/EC-BFY24-ZC</t>
  </si>
  <si>
    <t>BOTE AZUL FREDY 24 LTS</t>
  </si>
  <si>
    <t>A/EC-BCTB22-AC</t>
  </si>
  <si>
    <t xml:space="preserve">BOTE DE 22 LTS. AMARILLO C/T BAL/BLANCA </t>
  </si>
  <si>
    <t>A/EC-BCTB22-RJ</t>
  </si>
  <si>
    <t xml:space="preserve">BOTE DE 22 LTS. ROJO C/T BAL/BLANCA </t>
  </si>
  <si>
    <t xml:space="preserve"> A/EC-BCTNB100-NJ</t>
  </si>
  <si>
    <t xml:space="preserve">BOTE NARANJA C/T. NEGRA BALANCÃN 100 LTS </t>
  </si>
  <si>
    <t xml:space="preserve"> A/EC-BCTNB100-ZC</t>
  </si>
  <si>
    <t xml:space="preserve">BOTE AZUL C/T. NEGRA BALANCÃN 100 LTS </t>
  </si>
  <si>
    <t xml:space="preserve"> A/EC-BCTNB75-AC</t>
  </si>
  <si>
    <t xml:space="preserve">BOTE AMARILLO C/T NEGRA BAL.- 75 LTS </t>
  </si>
  <si>
    <t>A/EC-BCTNB75-NJ</t>
  </si>
  <si>
    <t xml:space="preserve">BOTE NARANJA C/T NEGRA BAL.- 75 LTS </t>
  </si>
  <si>
    <t>A/EC-BCTNB75-ZC</t>
  </si>
  <si>
    <t xml:space="preserve">BOTE AZUL C/T NEGRA BAL.- 75 LTS </t>
  </si>
  <si>
    <t>A/EC-BLCT20-GS</t>
  </si>
  <si>
    <t>BOTE LAPO GRIS CON TAPA 20 LTS</t>
  </si>
  <si>
    <t>CR26-GRA-L</t>
  </si>
  <si>
    <t>MACETA CLASICA ROMANA CR26 GRIS GRANITO (A1MC-TCR26-GG-0)</t>
  </si>
  <si>
    <t>VC13-GRA-L</t>
  </si>
  <si>
    <t>MACETA VASIJA CORTA COLOR GRANITO LISA</t>
  </si>
  <si>
    <t>VIC-240-AC</t>
  </si>
  <si>
    <t>CONTENEDOR VIC240 AMARILLO (A1CO-VC240-AC-0)</t>
  </si>
  <si>
    <t>VOL-500-VM</t>
  </si>
  <si>
    <t>VOLQUETE 500 Lts. VERDE MILITAR (A1CR-VL500-VM-0)</t>
  </si>
  <si>
    <t>A/EC-B120-ZP</t>
  </si>
  <si>
    <t>BOTE 120 LTS AZUL C/RUEDAS Y TAPA</t>
  </si>
  <si>
    <t>MA-825-NG-C</t>
  </si>
  <si>
    <t>BIN ALEMAN MA-825 NEGRO CERRADO</t>
  </si>
  <si>
    <t>POPY-AC</t>
  </si>
  <si>
    <t>POPYCAN AMARILLA/ROJO (A1PP-POPYC-AC-0)</t>
  </si>
  <si>
    <t>RECICEST-18-GR</t>
  </si>
  <si>
    <t xml:space="preserve">PAPELERA RECICEST 18 GRIS </t>
  </si>
  <si>
    <t>A/EC-BC50-ZP</t>
  </si>
  <si>
    <t xml:space="preserve">BOTE CONICO AZUL CON TAPA NEGRA - 50 LTS </t>
  </si>
  <si>
    <t>A/EC-BCTNB100-VE</t>
  </si>
  <si>
    <t>BOTE VERDE  C/T. NEGRA BALANCÃN  100 LTS</t>
  </si>
  <si>
    <t>A/EC-BCTNB75-VE</t>
  </si>
  <si>
    <t>BOTE  VERDE C/T NEGRA BAL.- 75 LTS</t>
  </si>
  <si>
    <t>A/EC-BP21-ZP</t>
  </si>
  <si>
    <t>BOTE PEDAL AZUL PEPSI 21 LTS</t>
  </si>
  <si>
    <t>A/TA-TEUR120X100</t>
  </si>
  <si>
    <t>TARIMA TIPO EUROPEO DE 1.20X1.00</t>
  </si>
  <si>
    <t>A/TA-TEUR120X110</t>
  </si>
  <si>
    <t>TARIMA TIPO EUROPEO DE 1.20X1.10</t>
  </si>
  <si>
    <t>A/TA-TEUR120X120</t>
  </si>
  <si>
    <t>TARIMA TIPO EUROPEO DE 1.20X1.20</t>
  </si>
  <si>
    <t>A/TA-TEUR130X110</t>
  </si>
  <si>
    <t>TARIMA TIPO EUROPEO DE 1.30X1.10</t>
  </si>
  <si>
    <t>CC96-GC-L</t>
  </si>
  <si>
    <t>MACETA CLASICA CONICA CC96 GRIS CLARO (A1MC-TCC96-GC-0)</t>
  </si>
  <si>
    <t>VIC-120-L-NG</t>
  </si>
  <si>
    <t>CONTENEDOR VIC LIGERO 120 LTS. NEGRO (A1HD-V120L-NG-0)</t>
  </si>
  <si>
    <t>VIC-120-L-VM</t>
  </si>
  <si>
    <t>CONTENEDOR VIC LIGERO 120LTS VERDE MILITAR (A1HD-V120L-VM-0)</t>
  </si>
  <si>
    <t>VIC-240-GC</t>
  </si>
  <si>
    <t>CONTENEDOR VIC240 GRIS CLARO (A1CO-VC240-GC-0)</t>
  </si>
  <si>
    <t>VIC-240-ZP</t>
  </si>
  <si>
    <t>CONTENEDOR VIC 240 AZUL PEPSI (A1CO-VC240-ZP-0)</t>
  </si>
  <si>
    <t>A/EC-B120-AC</t>
  </si>
  <si>
    <t>BOTE 120 LTS AMARILLO C/RUEDAS Y TAPA</t>
  </si>
  <si>
    <t>A/EC-B120-NJ</t>
  </si>
  <si>
    <t>BOTE 120 LTS NARANJA C/RUEDAS Y TAPA</t>
  </si>
  <si>
    <t>A/EC-B120-VE</t>
  </si>
  <si>
    <t>BOTE 120 LTS VERDE C/RUEDAS Y TAPA</t>
  </si>
  <si>
    <t>BAN-BARCE-TRA</t>
  </si>
  <si>
    <t xml:space="preserve">BANCA BARCELONA RAUTEADA CON LEYENDA TRAFICIUDAD </t>
  </si>
  <si>
    <t>A760-VL-R-2-TRA</t>
  </si>
  <si>
    <t>BIN ALEMAN 760 VERDE LIMON RANURADO CON DOS TRAVERSAS</t>
  </si>
  <si>
    <t>MA760-R-NJ</t>
  </si>
  <si>
    <t>BIN ALEMAN 760 RANURADO NARANJA CON CUATRO PATAS (A1BI-MA760-NJ-1)</t>
  </si>
  <si>
    <t>MA760-R-VM</t>
  </si>
  <si>
    <t>BIN ALEMAN 760 RANURADO VERDE MILITAR CON CUATRO PATAS (MA-760-VM-1)</t>
  </si>
  <si>
    <t>MA760-VL-R</t>
  </si>
  <si>
    <t>BIN ALEMAN 760 RANURADO VERDE LIMON 4 PATAS (A1BI-MA760-VL-R)</t>
  </si>
  <si>
    <t>TP-UNI-MA</t>
  </si>
  <si>
    <t>TAPA PARA BIN ALEMAN (A1BI-MATAP-NG-0)</t>
  </si>
  <si>
    <t>BAR-300-NJ</t>
  </si>
  <si>
    <t>BAR-300 CON 2 BOTES 145 LTS. NARANJA (A1CR-BA300-NJ-0)</t>
  </si>
  <si>
    <t>BARCELONA-A80-VC</t>
  </si>
  <si>
    <t>PAPELERA BARCELONA ARCO 80LTS VERDE CLARO (A1PM-BABME-VC-0)</t>
  </si>
  <si>
    <t>CARGA-450-VM-R</t>
  </si>
  <si>
    <t xml:space="preserve">CARGACARRO 450 Lts. VERDE MLITAR CON RUEDAS </t>
  </si>
  <si>
    <t>GASO-2000-VM</t>
  </si>
  <si>
    <t>PAPELERA GASOLINERA 2000 VERDE MILITAR (A1CO-G2000-VM-0)</t>
  </si>
  <si>
    <t>RECEPTOR-CASCAJERO-NJ</t>
  </si>
  <si>
    <t>RECEPTOR CASCAJERO NARANJA (A1AC-RCASC-NJ-0)</t>
  </si>
  <si>
    <t>TAM-200-AC</t>
  </si>
  <si>
    <t>TAMBO EN POLIETILENO 200 Lts. AMARILLO (A1CO-TA200-AC-0)</t>
  </si>
  <si>
    <t>A1PP-POPYC-00-0</t>
  </si>
  <si>
    <t>POSTE PARA POPYCAN</t>
  </si>
  <si>
    <t>A/AG-CMC300</t>
  </si>
  <si>
    <t>CONTENEDOR MEXICO CERRADO COLOR NARANJA</t>
  </si>
  <si>
    <t>A/AG-CMLC200</t>
  </si>
  <si>
    <t>CONTENEDOR MILANO CALADO NARANJA</t>
  </si>
  <si>
    <t>A/AG-CMLC250</t>
  </si>
  <si>
    <t>CONTENEDOR MILANO CERRADO NARANJA</t>
  </si>
  <si>
    <t>A/EC-BC50-VE</t>
  </si>
  <si>
    <t xml:space="preserve">BOTE CONICO VERDE CON TAPA NEGRA - 50  LTS </t>
  </si>
  <si>
    <t>A/EC-BLCT20-RJ</t>
  </si>
  <si>
    <t>BOTE LAPO ROJO CON TAPA 20 LTS</t>
  </si>
  <si>
    <t>A/EC-BP21-RJ</t>
  </si>
  <si>
    <t>BOTE PEDAL ROJO  21 LTS</t>
  </si>
  <si>
    <t>A/TA-TAME124X103</t>
  </si>
  <si>
    <t>TARIMA TIPO AMERICANO 1.24X1.03 MTS BCO</t>
  </si>
  <si>
    <t>A/TA-TAME124X103-2</t>
  </si>
  <si>
    <t>TARIMA TIPO AMERICANO DE 1.24X1.03 NARANJA</t>
  </si>
  <si>
    <t>TAR4-200-AC</t>
  </si>
  <si>
    <t>TARIMA TAR4-200 AMARILLO (A1TR-T4200-AC-0)</t>
  </si>
  <si>
    <t>BONITA-250-VC</t>
  </si>
  <si>
    <t>PAPELERA BONITA-250 VERDE CLARO (A1PP-BN250-VC-0)</t>
  </si>
  <si>
    <t>ERPBI-00-0</t>
  </si>
  <si>
    <t>ETIQUETA RPBI 13 X 22.5 (A1PA-IRPBI-00-0)</t>
  </si>
  <si>
    <t>PC-13-R</t>
  </si>
  <si>
    <t>RECOLECTOR PARA PUNZOCORTANTES CAP. 13.2 LTS (A1RC-0PC13-RJ-0)</t>
  </si>
  <si>
    <t>PC-1-R</t>
  </si>
  <si>
    <t>RECOLECTOR PUNZOCORTANTES CAP. 1.7 Lts. (A1RC-00PC1-RJ-0)</t>
  </si>
  <si>
    <t>PC-3-R</t>
  </si>
  <si>
    <t>RECOLECTOR ROJO PARA PUNZOCORTANTES CAP. 3 Lt (A1RC-00PC3-RJ-0)</t>
  </si>
  <si>
    <t>PL12-A</t>
  </si>
  <si>
    <t>RECOLECTOR CAP. 12 Lts. AMARILLO (A1RC-0PL12-AM-0)</t>
  </si>
  <si>
    <t>PL1-A</t>
  </si>
  <si>
    <t>RECOLECTOR CAP. 1.7 Lts. AMARILLO (A1RC-00PL1-AM-0)</t>
  </si>
  <si>
    <t>PL3-A</t>
  </si>
  <si>
    <t>RECOLECTOR CAP. 3.00 Lts. AMARILLO (A1RC-00PL3-AM-0)</t>
  </si>
  <si>
    <t>CARROMOVIL-1-NG</t>
  </si>
  <si>
    <t>CARROMOVIL 1 CON BOTE NEGRO (A1CR-CAMO1-NG-0)</t>
  </si>
  <si>
    <t>VOL-1000-ZP</t>
  </si>
  <si>
    <t>VOLQUETE 1000 Lts. AZUL PEPSI (A1CR-VLQ1M-ZP-0)</t>
  </si>
  <si>
    <t>SB-A580-VM-C</t>
  </si>
  <si>
    <t>SUPER BIN 580 LTS. CERRADO VERDE MILITAR CUATRO PATAS  (A1BI-SB580-VM-0</t>
  </si>
  <si>
    <t>VIC-1100-HD-VM</t>
  </si>
  <si>
    <t>CONTENEDOR VIC HD 1100 Lts VERDE MILITAR (A1HD-V1100-VM-0)</t>
  </si>
  <si>
    <t>VIC-120-HD-AC</t>
  </si>
  <si>
    <t>CONTENEDOR VIC HD 120 Lts. AMARILLO (A1HD-V120H-AC-0)</t>
  </si>
  <si>
    <t xml:space="preserve"> VIC-120-HD-NJ </t>
  </si>
  <si>
    <t>CONTENEDOR VIC HD 120 LTS NARANJA (A1HD-V120H-NJ-0)</t>
  </si>
  <si>
    <t>VIC-120-HD-ZP-P</t>
  </si>
  <si>
    <t xml:space="preserve">CONTENEDOR VIC HD 120 Lts. AZUL PEPSI C/PEDAL (A1HD-V120H-ZP-P) </t>
  </si>
  <si>
    <t>VIC-120-L-ZM</t>
  </si>
  <si>
    <t>CONTENEDOR VIC LIGERO 120LTS. AZUL MARINO (A1HD-V120L-ZM-0)</t>
  </si>
  <si>
    <t>VIC-240-HD-AC-P</t>
  </si>
  <si>
    <t>CONTENEDOR VIC HD 240 Lts. AMARILLO C/PEDAL (A1HD-V240H-AC-P)</t>
  </si>
  <si>
    <t>VIC-240-HD-GO-P</t>
  </si>
  <si>
    <t>CONTENEDOR VIC HD 240 Lts. GRIS OBSCURO C/PEDAL (A1HD-V240H-GO-P)</t>
  </si>
  <si>
    <t>VIC-240-HD-NJ</t>
  </si>
  <si>
    <t>CONTENEDOR VIC HD 240 Lt. NARANJA</t>
  </si>
  <si>
    <t>VIC-240-HD-RJ</t>
  </si>
  <si>
    <t>CONTENEDOR VIC HD 240 Lts. ROJO (A1HD-V240H-RJ-0)</t>
  </si>
  <si>
    <t>VIC-240-HD-RJ-P</t>
  </si>
  <si>
    <t>CONTENEDOR VIC HD 240 Lts. ROJO C/PEDAL (A1HD-V240H-RJ-P)</t>
  </si>
  <si>
    <t>VIC-1000-ZP</t>
  </si>
  <si>
    <t>CONTENEDOR VIC 1000 AZUL PEPSI</t>
  </si>
  <si>
    <t>VIC-240-RJ</t>
  </si>
  <si>
    <t>CONTENEDOR VIC240 ROJO (A1CO-VC240-RJ-0)</t>
  </si>
  <si>
    <t>VIC-550-VM</t>
  </si>
  <si>
    <t>CONTENEDOR VIC 550 VERDE MILITAR (A1CR-VC550-VM-0)</t>
  </si>
  <si>
    <t>BOT-100-ZM</t>
  </si>
  <si>
    <t>CONTENEDOR AZUL MARINO 100 LTS (A1CO-BC100-ZP-0)</t>
  </si>
  <si>
    <t>LRO-55-200-RJ</t>
  </si>
  <si>
    <t>BOLSA ROJA RPBI 55X60 CAL. 200 (A1BL-LRO55-RJ-0)</t>
  </si>
  <si>
    <t>ISO-835-BG</t>
  </si>
  <si>
    <t>ISOTERMICO 835 BEIGE (A1IS-IS835-BE-0)</t>
  </si>
  <si>
    <t>VIC-1100-HD-GC</t>
  </si>
  <si>
    <t>CONTENEDOR VIC HD 1100 Lts. GRIS CLARO (A1HD-V1100-GC-0)</t>
  </si>
  <si>
    <t>BOT-130-NJ-TNG</t>
  </si>
  <si>
    <t>BOTE CONICO CON CAPACIDAD DE 130 LTS COLOR NARANJA CON TAPA NEGRA</t>
  </si>
  <si>
    <t>BOT-130-VM-TNG</t>
  </si>
  <si>
    <t>BOTE CONICO CON CAPACIDAD DE 130 LTS COLOR VERDE MILITAR CON TAPA NEGRA</t>
  </si>
  <si>
    <t>BOT-130-NJ-TBL</t>
  </si>
  <si>
    <t xml:space="preserve">BOTE CONICO CON CAPACIDAD DE 130 LTS COLOR NARANJA CON TAPA BLANCA </t>
  </si>
  <si>
    <t>BOT-130-VO-TBL</t>
  </si>
  <si>
    <t>BOTE CONICO CON CAPACIDAD DE 130 LTS COLOR VERDE OLIVO CON TAPA BLANCA</t>
  </si>
  <si>
    <t>BOT-200-GR</t>
  </si>
  <si>
    <t>BOTE CONICO CON CAPACIDAD DE 200 LTS COLOR GRIS</t>
  </si>
  <si>
    <t>A/EC-B120-GS</t>
  </si>
  <si>
    <t>BOTE 120 LTS GRIS C/RUEDAS Y TAPA</t>
  </si>
  <si>
    <t>ID MATERIAL</t>
  </si>
  <si>
    <t>U.M.</t>
  </si>
  <si>
    <t>ID</t>
  </si>
  <si>
    <t>No. Empaques</t>
  </si>
  <si>
    <t>Primer Conteo</t>
  </si>
  <si>
    <t>Segundo Conteo</t>
  </si>
  <si>
    <t>Tipo de incidencia</t>
  </si>
  <si>
    <t>TOTAL:</t>
  </si>
  <si>
    <t>Tercer Conteo</t>
  </si>
  <si>
    <t>Diferencia de Coteo 1 &amp; 2</t>
  </si>
  <si>
    <t>Valor Total Contado</t>
  </si>
  <si>
    <t>Cantidad Total de Conteos</t>
  </si>
  <si>
    <t>EQUIPO MESA CTRL:</t>
  </si>
  <si>
    <t>NAYELI VALENZUELA</t>
  </si>
  <si>
    <t>Confiabilidad de Inventario:</t>
  </si>
  <si>
    <t>SOBRANTE</t>
  </si>
  <si>
    <t>Costo Unitario($)</t>
  </si>
  <si>
    <t>Costo Total Sistema</t>
  </si>
  <si>
    <t>Diferencia de Costo -Inventario Fisico Vs. Sistema</t>
  </si>
  <si>
    <t>Direferncia de Cantidad Total Contado Vs. Cantidad Sistema</t>
  </si>
  <si>
    <t>Incidencia de Conteos Vs. sistema</t>
  </si>
  <si>
    <t>Incidencia de Costos Físico Vs. Sistema.</t>
  </si>
  <si>
    <t>Numero de Conteo</t>
  </si>
  <si>
    <t>PZ</t>
  </si>
  <si>
    <t>ANGELICA GONZALEZ / JUAN PEREZ</t>
  </si>
  <si>
    <t>Tercer_conteo</t>
  </si>
  <si>
    <t>NO CONTADO</t>
  </si>
  <si>
    <t>DIFERENCIA</t>
  </si>
  <si>
    <t>RF'N1'P6</t>
  </si>
  <si>
    <t>R1'N3'P4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</si>
</sst>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8" x14ac:knownFonts="1">
    <font>
      <sz val="10"/>
      <name val="Arial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3CE9"/>
        <bgColor indexed="64"/>
      </patternFill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14" fontId="2" fillId="0" borderId="0" xfId="0" applyNumberFormat="1" applyFont="1" applyAlignment="1">
      <alignment horizontal="center" vertical="top"/>
    </xf>
    <xf numFmtId="0" fontId="2" fillId="0" borderId="1" xfId="0" applyFont="1" applyBorder="1" applyAlignment="1" applyProtection="1">
      <alignment vertical="top"/>
      <protection locked="0"/>
    </xf>
    <xf numFmtId="0" fontId="2" fillId="0" borderId="1" xfId="0" applyFont="1" applyBorder="1" applyAlignment="1">
      <alignment vertical="top"/>
    </xf>
    <xf numFmtId="0" fontId="3" fillId="0" borderId="0" xfId="0" applyFont="1" applyAlignment="1" applyProtection="1">
      <alignment horizontal="right" vertical="top"/>
      <protection locked="0"/>
    </xf>
    <xf numFmtId="4" fontId="0" fillId="0" borderId="0" xfId="0" applyNumberFormat="1" applyAlignment="1">
      <alignment horizontal="center" vertical="top"/>
    </xf>
    <xf numFmtId="0" fontId="0" fillId="0" borderId="0" xfId="0"/>
    <xf numFmtId="0" fontId="2" fillId="0" borderId="0" xfId="0" applyFont="1" applyAlignment="1">
      <alignment vertical="top"/>
    </xf>
    <xf numFmtId="0" fontId="0" fillId="3" borderId="0" xfId="0" applyFill="1" applyAlignment="1">
      <alignment vertical="top"/>
    </xf>
    <xf numFmtId="43" fontId="0" fillId="0" borderId="0" xfId="1" applyFont="1" applyAlignment="1">
      <alignment vertical="top"/>
    </xf>
    <xf numFmtId="0" fontId="0" fillId="0" borderId="0" xfId="0" applyAlignment="1">
      <alignment horizontal="left" vertical="top"/>
    </xf>
    <xf numFmtId="0" fontId="1" fillId="4" borderId="3" xfId="0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1" fillId="0" borderId="0" xfId="0" applyFont="1" applyAlignment="1">
      <alignment vertical="top" wrapText="1"/>
    </xf>
    <xf numFmtId="14" fontId="0" fillId="0" borderId="0" xfId="0" applyNumberFormat="1" applyAlignment="1">
      <alignment horizontal="center" vertical="top"/>
    </xf>
    <xf numFmtId="44" fontId="0" fillId="0" borderId="0" xfId="3" applyFont="1" applyAlignment="1">
      <alignment vertical="top"/>
    </xf>
    <xf numFmtId="43" fontId="0" fillId="3" borderId="0" xfId="1" applyFont="1" applyFill="1" applyAlignment="1">
      <alignment vertical="top"/>
    </xf>
    <xf numFmtId="44" fontId="0" fillId="0" borderId="0" xfId="0" applyNumberFormat="1" applyAlignment="1">
      <alignment vertical="top"/>
    </xf>
    <xf numFmtId="0" fontId="1" fillId="8" borderId="2" xfId="0" applyFont="1" applyFill="1" applyBorder="1" applyAlignment="1">
      <alignment vertical="top" wrapText="1"/>
    </xf>
    <xf numFmtId="43" fontId="0" fillId="0" borderId="0" xfId="1" applyFont="1" applyFill="1" applyAlignment="1">
      <alignment vertical="top"/>
    </xf>
    <xf numFmtId="10" fontId="5" fillId="2" borderId="0" xfId="2" applyNumberFormat="1" applyFont="1" applyFill="1" applyAlignment="1">
      <alignment horizontal="center" vertical="center"/>
    </xf>
    <xf numFmtId="44" fontId="0" fillId="3" borderId="0" xfId="3" applyFont="1" applyFill="1" applyAlignment="1">
      <alignment vertical="top"/>
    </xf>
    <xf numFmtId="0" fontId="7" fillId="0" borderId="0" xfId="0" applyFont="1" applyAlignment="1">
      <alignment horizontal="center" vertical="top"/>
    </xf>
    <xf numFmtId="0" fontId="1" fillId="8" borderId="4" xfId="0" applyFont="1" applyFill="1" applyBorder="1" applyAlignment="1">
      <alignment vertical="top" wrapText="1"/>
    </xf>
    <xf numFmtId="0" fontId="1" fillId="6" borderId="5" xfId="0" applyFont="1" applyFill="1" applyBorder="1" applyAlignment="1">
      <alignment vertical="top" wrapText="1"/>
    </xf>
    <xf numFmtId="43" fontId="0" fillId="3" borderId="7" xfId="1" applyFont="1" applyFill="1" applyBorder="1" applyAlignment="1">
      <alignment vertical="top"/>
    </xf>
    <xf numFmtId="43" fontId="0" fillId="3" borderId="8" xfId="1" applyFont="1" applyFill="1" applyBorder="1" applyAlignment="1">
      <alignment vertical="top"/>
    </xf>
    <xf numFmtId="43" fontId="0" fillId="0" borderId="9" xfId="1" applyFont="1" applyFill="1" applyBorder="1" applyAlignment="1">
      <alignment vertical="top"/>
    </xf>
    <xf numFmtId="0" fontId="1" fillId="6" borderId="10" xfId="0" applyFont="1" applyFill="1" applyBorder="1" applyAlignment="1">
      <alignment vertical="top" wrapText="1"/>
    </xf>
    <xf numFmtId="0" fontId="1" fillId="4" borderId="11" xfId="0" applyFont="1" applyFill="1" applyBorder="1" applyAlignment="1">
      <alignment horizontal="left" vertical="top" wrapText="1"/>
    </xf>
    <xf numFmtId="0" fontId="1" fillId="9" borderId="3" xfId="0" applyFont="1" applyFill="1" applyBorder="1" applyAlignment="1">
      <alignment vertical="top" wrapText="1"/>
    </xf>
    <xf numFmtId="0" fontId="1" fillId="10" borderId="6" xfId="0" applyFont="1" applyFill="1" applyBorder="1" applyAlignment="1">
      <alignment vertical="top" wrapText="1"/>
    </xf>
    <xf numFmtId="0" fontId="1" fillId="10" borderId="3" xfId="0" applyFont="1" applyFill="1" applyBorder="1" applyAlignment="1">
      <alignment vertical="top" wrapText="1"/>
    </xf>
    <xf numFmtId="0" fontId="1" fillId="8" borderId="3" xfId="0" applyFont="1" applyFill="1" applyBorder="1" applyAlignment="1">
      <alignment horizontal="center" vertical="top" wrapText="1"/>
    </xf>
    <xf numFmtId="43" fontId="0" fillId="0" borderId="0" xfId="1" applyFont="1" applyAlignment="1">
      <alignment horizontal="left" vertical="top"/>
    </xf>
    <xf numFmtId="43" fontId="1" fillId="7" borderId="3" xfId="1" applyFont="1" applyFill="1" applyBorder="1" applyAlignment="1">
      <alignment vertical="top" wrapText="1"/>
    </xf>
  </cellXfs>
  <cellStyles count="4">
    <cellStyle name="Millares" xfId="1" builtinId="3"/>
    <cellStyle name="Moneda" xfId="3" builtinId="4"/>
    <cellStyle name="Normal" xfId="0" builtinId="0"/>
    <cellStyle name="Porcentaje" xfId="2" builtinId="5"/>
  </cellStyles>
  <dxfs count="40">
    <dxf>
      <font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/>
        <color theme="0"/>
      </font>
      <fill>
        <patternFill>
          <bgColor rgb="FFC0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8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8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-* #,##0.00_-;\-* #,##0.00_-;_-* &quot;-&quot;??_-;_-@_-"/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5" formatCode="_-* #,##0.00_-;\-* #,##0.00_-;_-* &quot;-&quot;??_-;_-@_-"/>
      <alignment horizontal="general" vertical="top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scheme val="none"/>
      </font>
      <alignment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F63C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30397</xdr:colOff>
      <xdr:row>5</xdr:row>
      <xdr:rowOff>144812</xdr:rowOff>
    </xdr:to>
    <xdr:sp macro="" textlink="">
      <xdr:nvSpPr>
        <xdr:cNvPr id="2" name="Titl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Grp="1"/>
        </xdr:cNvSpPr>
      </xdr:nvSpPr>
      <xdr:spPr>
        <a:xfrm>
          <a:off x="0" y="0"/>
          <a:ext cx="16784872" cy="954437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182880" rIns="365760" bIns="45720" rtlCol="0" anchor="ctr">
          <a:noAutofit/>
        </a:bodyPr>
        <a:lstStyle>
          <a:lvl1pPr marL="274320"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b="0" i="0" kern="1200" cap="all" spc="3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j-ea"/>
              <a:cs typeface="Arial Black" panose="020B0604020202020204" pitchFamily="34" charset="0"/>
            </a:defRPr>
          </a:lvl1pPr>
        </a:lstStyle>
        <a:p>
          <a:pPr algn="ctr"/>
          <a:r>
            <a:rPr lang="en-US" sz="4400">
              <a:solidFill>
                <a:schemeClr val="bg1"/>
              </a:solidFill>
            </a:rPr>
            <a:t>ANALISIS DE DIFERENCIAS</a:t>
          </a:r>
        </a:p>
      </xdr:txBody>
    </xdr:sp>
    <xdr:clientData/>
  </xdr:twoCellAnchor>
  <xdr:twoCellAnchor>
    <xdr:from>
      <xdr:col>0</xdr:col>
      <xdr:colOff>1</xdr:colOff>
      <xdr:row>7</xdr:row>
      <xdr:rowOff>35718</xdr:rowOff>
    </xdr:from>
    <xdr:to>
      <xdr:col>11</xdr:col>
      <xdr:colOff>1152525</xdr:colOff>
      <xdr:row>11</xdr:row>
      <xdr:rowOff>81064</xdr:rowOff>
    </xdr:to>
    <xdr:sp macro="" textlink="">
      <xdr:nvSpPr>
        <xdr:cNvPr id="3" name="Subtit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Grp="1"/>
        </xdr:cNvSpPr>
      </xdr:nvSpPr>
      <xdr:spPr>
        <a:xfrm>
          <a:off x="1" y="1169193"/>
          <a:ext cx="17840324" cy="693046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91440" rIns="365760" bIns="228600" rtlCol="0">
          <a:noAutofit/>
        </a:bodyPr>
        <a:lstStyle>
          <a:lvl1pPr marL="274320" indent="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000" b="1" i="0" kern="1200" cap="all" spc="6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>
              <a:solidFill>
                <a:schemeClr val="bg1"/>
              </a:solidFill>
            </a:rPr>
            <a:t>planta:traficiudad</a:t>
          </a:r>
          <a:r>
            <a:rPr lang="en-US" sz="2000" baseline="0">
              <a:solidFill>
                <a:schemeClr val="bg1"/>
              </a:solidFill>
            </a:rPr>
            <a:t>           almacen: tienda traficuidad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11</xdr:col>
      <xdr:colOff>977688</xdr:colOff>
      <xdr:row>6</xdr:row>
      <xdr:rowOff>40532</xdr:rowOff>
    </xdr:from>
    <xdr:to>
      <xdr:col>15</xdr:col>
      <xdr:colOff>292658</xdr:colOff>
      <xdr:row>12</xdr:row>
      <xdr:rowOff>4990</xdr:rowOff>
    </xdr:to>
    <xdr:pic>
      <xdr:nvPicPr>
        <xdr:cNvPr id="4" name="Picture 4" descr="https://traficiudad.com.mx/wp-content/uploads/2022/10/Diseno-sin-titulo-12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95" b="26087"/>
        <a:stretch/>
      </xdr:blipFill>
      <xdr:spPr bwMode="auto">
        <a:xfrm>
          <a:off x="17665488" y="1012082"/>
          <a:ext cx="4062816" cy="100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00000000-0016-0000-0100-000000000000}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# Pos" tableColumnId="28"/>
      <queryTableField id="2" name="UBICACIÓN" tableColumnId="29"/>
      <queryTableField id="3" name="ID MATERIAL" tableColumnId="30"/>
      <queryTableField id="4" name="No. Empaques" tableColumnId="31"/>
      <queryTableField id="5" name="Texto Breve de Material" tableColumnId="32"/>
      <queryTableField id="6" name="Cantidad" tableColumnId="33"/>
      <queryTableField id="7" name="U.M." tableColumnId="34"/>
      <queryTableField id="8" name="Equipo de Conteo" tableColumnId="35"/>
      <queryTableField id="9" name="Numero de Conteo" tableColumnId="3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00000000-0016-0000-0200-000001000000}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# Pos" tableColumnId="37"/>
      <queryTableField id="2" name="UBICACIÓN" tableColumnId="38"/>
      <queryTableField id="3" name="ID MATERIAL" tableColumnId="39"/>
      <queryTableField id="4" name="No. Empaques" tableColumnId="40"/>
      <queryTableField id="5" name="Texto Breve de Material" tableColumnId="41"/>
      <queryTableField id="6" name="Cantidad" tableColumnId="42"/>
      <queryTableField id="7" name="U.M." tableColumnId="43"/>
      <queryTableField id="8" name="Equipo de Conteo" tableColumnId="44"/>
      <queryTableField id="9" name="Numero de Conteo" tableColumnId="4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7D08B31-E872-4CF8-B965-E0389B9ED0A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xto breve de material" tableColumnId="2"/>
      <queryTableField id="3" name="Código" tableColumnId="3"/>
      <queryTableField id="4" name="Cantidad" tableColumnId="4"/>
      <queryTableField id="5" name="Primer Conteo" tableColumnId="5"/>
      <queryTableField id="6" name="Segundo Conteo" tableColumnId="6"/>
      <queryTableField id="7" name="Diferencia de Coteo 1 &amp; 2" tableColumnId="7"/>
      <queryTableField id="8" name="Tipo de incidencia" tableColumnId="8"/>
      <queryTableField id="9" name="Tercer_conteo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Analisis_Diferecias" displayName="Analisis_Diferecias" ref="A16:Q343" totalsRowShown="0" headerRowDxfId="39" dataDxfId="37" headerRowBorderDxfId="38" tableBorderDxfId="36">
  <autoFilter ref="A16:Q343" xr:uid="{00000000-0009-0000-0100-000009000000}"/>
  <tableColumns count="17">
    <tableColumn id="1" xr3:uid="{00000000-0010-0000-0000-000001000000}" name="ID" dataDxfId="35"/>
    <tableColumn id="2" xr3:uid="{00000000-0010-0000-0000-000002000000}" name="Texto breve de material" dataDxfId="34"/>
    <tableColumn id="3" xr3:uid="{00000000-0010-0000-0000-000003000000}" name="Código" dataDxfId="33"/>
    <tableColumn id="4" xr3:uid="{00000000-0010-0000-0000-000004000000}" name="Cantidad" dataDxfId="32"/>
    <tableColumn id="5" xr3:uid="{00000000-0010-0000-0000-000005000000}" name="Primer Conteo" dataDxfId="31" dataCellStyle="Millares">
      <calculatedColumnFormula>SUMIFS('Consolidado conteo 1'!$F:$F,'Consolidado conteo 1'!$C:$C,Analisis_Diferecias[[#This Row],[ID]],'Consolidado conteo 1'!$I:$I,Analisis_Diferecias[[#Headers],[Primer Conteo]])</calculatedColumnFormula>
    </tableColumn>
    <tableColumn id="6" xr3:uid="{00000000-0010-0000-0000-000006000000}" name="Segundo Conteo" dataDxfId="30" dataCellStyle="Millares">
      <calculatedColumnFormula>SUMIFS('Consolidado conteo 2'!$F:$F,'Consolidado conteo 2'!$C:$C,Analisis_Diferecias[[#This Row],[ID]],'Consolidado conteo 2'!$I:$I,Analisis_Diferecias[[#Headers],[Segundo Conteo]])</calculatedColumnFormula>
    </tableColumn>
    <tableColumn id="8" xr3:uid="{00000000-0010-0000-0000-000008000000}" name="Diferencia de Coteo 1 &amp; 2" dataDxfId="29" dataCellStyle="Millares">
      <calculatedColumnFormula>+Analisis_Diferecias[[#This Row],[Segundo Conteo]]-(Analisis_Diferecias[[#This Row],[Primer Conteo]])</calculatedColumnFormula>
    </tableColumn>
    <tableColumn id="7" xr3:uid="{00000000-0010-0000-0000-000007000000}" name="Tipo de incidencia" dataDxfId="28" dataCellStyle="Millares">
      <calculatedColumnFormula>IF(AND(Analisis_Diferecias[[#This Row],[Primer Conteo]]=0,Analisis_Diferecias[[#This Row],[Segundo Conteo]]=0),"NO CONTADO",IF(Analisis_Diferecias[[#This Row],[Primer Conteo]]=Analisis_Diferecias[[#This Row],[Segundo Conteo]],"OK","DIFERENCIA"))</calculatedColumnFormula>
    </tableColumn>
    <tableColumn id="11" xr3:uid="{00000000-0010-0000-0000-00000B000000}" name="Tercer Conteo" dataCellStyle="Millares">
      <calculatedColumnFormula>SUMIFS(Analisis_Diferecias_Tercer_conteo[Tercer_conteo],Analisis_Diferecias_Tercer_conteo[ID],Analisis_Diferecias[[#This Row],[ID]])</calculatedColumnFormula>
    </tableColumn>
    <tableColumn id="13" xr3:uid="{00000000-0010-0000-0000-00000D000000}" name="Cantidad Total de Conteos" dataCellStyle="Millares">
      <calculatedColumnFormula>IF(Analisis_Diferecias[[#This Row],[Tipo de incidencia]]="OK",Analisis_Diferecias[[#This Row],[Segundo Conteo]],Analisis_Diferecias[[#This Row],[Tercer Conteo]])</calculatedColumnFormula>
    </tableColumn>
    <tableColumn id="15" xr3:uid="{00000000-0010-0000-0000-00000F000000}" name="Direferncia de Cantidad Total Contado Vs. Cantidad Sistema" dataDxfId="27" dataCellStyle="Millares">
      <calculatedColumnFormula>+(Analisis_Diferecias[[#This Row],[Cantidad Total de Conteos]]-(Analisis_Diferecias[[#This Row],[Cantidad]]))</calculatedColumnFormula>
    </tableColumn>
    <tableColumn id="18" xr3:uid="{00000000-0010-0000-0000-000012000000}" name="Incidencia de Conteos Vs. sistema" dataDxfId="26" dataCellStyle="Millares">
      <calculatedColumnFormula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calculatedColumnFormula>
    </tableColumn>
    <tableColumn id="9" xr3:uid="{00000000-0010-0000-0000-000009000000}" name="Costo Unitario($)" dataDxfId="25" dataCellStyle="Moneda"/>
    <tableColumn id="14" xr3:uid="{00000000-0010-0000-0000-00000E000000}" name="Valor Total Contado" dataDxfId="24" dataCellStyle="Moneda">
      <calculatedColumnFormula>Analisis_Diferecias[[#This Row],[Costo Unitario($)]]*Analisis_Diferecias[[#This Row],[Cantidad Total de Conteos]]</calculatedColumnFormula>
    </tableColumn>
    <tableColumn id="10" xr3:uid="{00000000-0010-0000-0000-00000A000000}" name="Costo Total Sistema" dataDxfId="23" dataCellStyle="Moneda">
      <calculatedColumnFormula>Analisis_Diferecias[[#This Row],[Costo Unitario($)]]*Analisis_Diferecias[[#This Row],[Cantidad]]</calculatedColumnFormula>
    </tableColumn>
    <tableColumn id="17" xr3:uid="{00000000-0010-0000-0000-000011000000}" name="Diferencia de Costo -Inventario Fisico Vs. Sistema" dataDxfId="22" dataCellStyle="Millares">
      <calculatedColumnFormula>+Analisis_Diferecias[[#This Row],[Valor Total Contado]]-Analisis_Diferecias[[#This Row],[Costo Total Sistema]]</calculatedColumnFormula>
    </tableColumn>
    <tableColumn id="16" xr3:uid="{00000000-0010-0000-0000-000010000000}" name="Incidencia de Costos Físico Vs. Sistema." dataDxfId="21" dataCellStyle="Millares">
      <calculatedColumnFormula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nsolidado_conteo_2" displayName="Consolidado_conteo_2" ref="A1:I18" tableType="queryTable" totalsRowShown="0">
  <autoFilter ref="A1:I18" xr:uid="{00000000-000C-0000-FFFF-FFFF01000000}"/>
  <tableColumns count="9">
    <tableColumn id="28" xr3:uid="{F2A36FB5-EFC9-4AB0-B104-0CFDAA3E5B10}" uniqueName="28" name="# Pos" queryTableFieldId="1"/>
    <tableColumn id="29" xr3:uid="{A98CBAA6-B498-4A77-80B0-BB802DC58BC7}" uniqueName="29" name="UBICACIÓN" queryTableFieldId="2"/>
    <tableColumn id="30" xr3:uid="{83723C5F-36A4-4E69-ADE2-9983EB32BD22}" uniqueName="30" name="ID MATERIAL" queryTableFieldId="3"/>
    <tableColumn id="31" xr3:uid="{A5CF21EA-DA4C-4E6C-A392-F222023F68C9}" uniqueName="31" name="No. Empaques" queryTableFieldId="4"/>
    <tableColumn id="32" xr3:uid="{8105DBA3-4F73-4D0B-9448-A38BAE81C080}" uniqueName="32" name="Texto Breve de Material" queryTableFieldId="5"/>
    <tableColumn id="33" xr3:uid="{0C70F0FC-83B2-4F7F-A249-9CBAF1B28C7C}" uniqueName="33" name="Cantidad" queryTableFieldId="6"/>
    <tableColumn id="34" xr3:uid="{25A82068-9761-4E45-9B00-BF963AC25BD9}" uniqueName="34" name="U.M." queryTableFieldId="7"/>
    <tableColumn id="35" xr3:uid="{F49DB0CA-56BC-4311-9CC3-33FFCAF569BD}" uniqueName="35" name="Equipo de Conteo" queryTableFieldId="8"/>
    <tableColumn id="36" xr3:uid="{60A36AFD-06DE-4E45-8739-FEE91696B61C}" uniqueName="36" name="Numero de Conteo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nsolidado_conteo_3" displayName="Consolidado_conteo_3" ref="A1:I19" tableType="queryTable" totalsRowShown="0">
  <autoFilter ref="A1:I19" xr:uid="{00000000-000C-0000-FFFF-FFFF02000000}"/>
  <tableColumns count="9">
    <tableColumn id="37" xr3:uid="{077C209E-E97A-48F2-A1B7-FBCF055F4D82}" uniqueName="37" name="# Pos" queryTableFieldId="1"/>
    <tableColumn id="38" xr3:uid="{15670E45-9039-4ECF-88B8-7398A584C28A}" uniqueName="38" name="UBICACIÓN" queryTableFieldId="2"/>
    <tableColumn id="39" xr3:uid="{B789FDB7-FD26-48C0-9F72-360F9B8BB1BF}" uniqueName="39" name="ID MATERIAL" queryTableFieldId="3"/>
    <tableColumn id="40" xr3:uid="{16849085-0570-4D23-891F-12A3A325E2F9}" uniqueName="40" name="No. Empaques" queryTableFieldId="4"/>
    <tableColumn id="41" xr3:uid="{570016C1-469C-4BA3-BF86-D5E008344AD9}" uniqueName="41" name="Texto Breve de Material" queryTableFieldId="5"/>
    <tableColumn id="42" xr3:uid="{C237F837-1E21-4AE6-B99F-AE163D3231A7}" uniqueName="42" name="Cantidad" queryTableFieldId="6"/>
    <tableColumn id="43" xr3:uid="{6A3E7550-2305-480C-BABC-F23F24700478}" uniqueName="43" name="U.M." queryTableFieldId="7"/>
    <tableColumn id="44" xr3:uid="{3A9446E3-972F-4352-8BE6-EE50DCF4CDAD}" uniqueName="44" name="Equipo de Conteo" queryTableFieldId="8"/>
    <tableColumn id="45" xr3:uid="{9EBD1AD6-43CE-4378-B864-98F4FD460E9A}" uniqueName="45" name="Numero de Conte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56E1D-38A7-4718-823E-79398277B078}" name="Analisis_Diferecias_Tercer_conteo" displayName="Analisis_Diferecias_Tercer_conteo" ref="A1:I328" tableType="queryTable" totalsRowShown="0">
  <autoFilter ref="A1:I328" xr:uid="{61556E1D-38A7-4718-823E-79398277B078}"/>
  <tableColumns count="9">
    <tableColumn id="1" xr3:uid="{EEF91E70-F922-4ECF-99FB-0B5445EC8D1B}" uniqueName="1" name="ID" queryTableFieldId="1"/>
    <tableColumn id="2" xr3:uid="{E0F3B936-E059-4D78-A61C-15EE1A4F7017}" uniqueName="2" name="Texto breve de material" queryTableFieldId="2" dataDxfId="20"/>
    <tableColumn id="3" xr3:uid="{F8AF6824-0E89-4A28-94E5-2860D5F79DE4}" uniqueName="3" name="Código" queryTableFieldId="3" dataDxfId="19"/>
    <tableColumn id="4" xr3:uid="{0977EFD4-71DB-4D08-A8B9-541547A6ABA4}" uniqueName="4" name="Cantidad" queryTableFieldId="4"/>
    <tableColumn id="5" xr3:uid="{A5074CEB-AF44-435A-BE28-0277D1C3F08B}" uniqueName="5" name="Primer Conteo" queryTableFieldId="5"/>
    <tableColumn id="6" xr3:uid="{94B470B0-1A1D-4272-93B6-45758F761EE3}" uniqueName="6" name="Segundo Conteo" queryTableFieldId="6"/>
    <tableColumn id="7" xr3:uid="{B41FBDA8-9D78-4934-BD64-CEEA2C06327C}" uniqueName="7" name="Diferencia de Coteo 1 &amp; 2" queryTableFieldId="7"/>
    <tableColumn id="8" xr3:uid="{3B19FA21-9C5F-4427-9303-B55B1ED16811}" uniqueName="8" name="Tipo de incidencia" queryTableFieldId="8" dataDxfId="18"/>
    <tableColumn id="9" xr3:uid="{BD891803-749A-445A-80B6-4A54DABB8733}" uniqueName="9" name="Tercer_conte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43"/>
  <sheetViews>
    <sheetView tabSelected="1" zoomScale="80" zoomScaleNormal="80" workbookViewId="0">
      <selection activeCell="F17" sqref="F17"/>
    </sheetView>
  </sheetViews>
  <sheetFormatPr baseColWidth="10" defaultColWidth="9.42578125" defaultRowHeight="12.75" x14ac:dyDescent="0.2"/>
  <cols>
    <col min="1" max="1" width="13.85546875" customWidth="1"/>
    <col min="2" max="2" width="80.5703125" bestFit="1" customWidth="1"/>
    <col min="3" max="3" width="26" bestFit="1" customWidth="1"/>
    <col min="4" max="4" width="11.42578125" bestFit="1" customWidth="1"/>
    <col min="5" max="5" width="16.42578125" bestFit="1" customWidth="1"/>
    <col min="6" max="6" width="17.5703125" customWidth="1"/>
    <col min="7" max="7" width="26.42578125" customWidth="1"/>
    <col min="8" max="8" width="17.5703125" customWidth="1"/>
    <col min="9" max="9" width="17.5703125" style="37" customWidth="1"/>
    <col min="10" max="10" width="19.5703125" customWidth="1"/>
    <col min="11" max="13" width="17.5703125" customWidth="1"/>
    <col min="14" max="14" width="19.85546875" customWidth="1"/>
    <col min="15" max="15" width="16.140625" bestFit="1" customWidth="1"/>
    <col min="16" max="16" width="18.42578125" customWidth="1"/>
    <col min="17" max="18" width="15.42578125" bestFit="1" customWidth="1"/>
  </cols>
  <sheetData>
    <row r="1" spans="1:17" x14ac:dyDescent="0.2">
      <c r="A1" s="2"/>
      <c r="B1" s="2"/>
      <c r="F1" s="1"/>
      <c r="G1" s="1"/>
      <c r="H1" s="1"/>
      <c r="J1" s="8"/>
      <c r="K1" s="1"/>
      <c r="L1" s="1"/>
      <c r="M1" s="1"/>
      <c r="N1" s="1"/>
      <c r="P1" s="1"/>
    </row>
    <row r="2" spans="1:17" x14ac:dyDescent="0.2">
      <c r="A2" s="2"/>
      <c r="B2" s="2"/>
      <c r="F2" s="1"/>
      <c r="G2" s="1"/>
      <c r="H2" s="1"/>
      <c r="J2" s="8"/>
      <c r="K2" s="1"/>
      <c r="L2" s="1"/>
      <c r="M2" s="1"/>
      <c r="N2" s="1"/>
      <c r="P2" s="1"/>
    </row>
    <row r="3" spans="1:17" x14ac:dyDescent="0.2">
      <c r="A3" s="2"/>
      <c r="B3" s="2"/>
      <c r="F3" s="1"/>
      <c r="G3" s="1"/>
      <c r="H3" s="1"/>
      <c r="J3" s="8"/>
      <c r="K3" s="1"/>
      <c r="L3" s="1"/>
      <c r="M3" s="1"/>
      <c r="N3" s="1"/>
      <c r="P3" s="1"/>
    </row>
    <row r="4" spans="1:17" x14ac:dyDescent="0.2">
      <c r="A4" s="2"/>
      <c r="B4" s="2"/>
      <c r="F4" s="1"/>
      <c r="G4" s="1"/>
      <c r="H4" s="1"/>
      <c r="J4" s="8"/>
      <c r="K4" s="1"/>
      <c r="L4" s="1"/>
      <c r="M4" s="1"/>
      <c r="N4" s="1"/>
      <c r="P4" s="1"/>
    </row>
    <row r="5" spans="1:17" x14ac:dyDescent="0.2">
      <c r="A5" s="2"/>
      <c r="B5" s="2"/>
      <c r="F5" s="1"/>
      <c r="G5" s="1"/>
      <c r="H5" s="1"/>
      <c r="J5" s="8"/>
      <c r="K5" s="1"/>
      <c r="L5" s="1"/>
      <c r="M5" s="1"/>
      <c r="N5" s="1"/>
      <c r="P5" s="1"/>
    </row>
    <row r="6" spans="1:17" x14ac:dyDescent="0.2">
      <c r="A6" s="2"/>
      <c r="B6" s="2"/>
      <c r="F6" s="1"/>
      <c r="G6" s="1"/>
      <c r="H6" s="1"/>
      <c r="J6" s="8"/>
      <c r="K6" s="1"/>
      <c r="L6" s="1"/>
      <c r="M6" s="1"/>
      <c r="N6" s="1"/>
      <c r="P6" s="1"/>
    </row>
    <row r="7" spans="1:17" ht="18" x14ac:dyDescent="0.2">
      <c r="A7" s="2"/>
      <c r="B7" s="2"/>
      <c r="F7" s="1"/>
      <c r="G7" s="1"/>
      <c r="H7" s="1"/>
      <c r="J7" s="8"/>
      <c r="K7" s="7" t="s">
        <v>5</v>
      </c>
      <c r="L7" s="17">
        <f ca="1">TODAY()</f>
        <v>44995</v>
      </c>
      <c r="M7" s="1"/>
      <c r="N7" s="1"/>
      <c r="P7" s="1"/>
    </row>
    <row r="8" spans="1:17" x14ac:dyDescent="0.2">
      <c r="A8" s="2"/>
      <c r="B8" s="2"/>
      <c r="F8" s="1"/>
      <c r="G8" s="1"/>
      <c r="H8" s="1"/>
      <c r="J8" s="8"/>
      <c r="K8" s="1"/>
      <c r="L8" s="1"/>
      <c r="M8" s="1"/>
      <c r="N8" s="1"/>
      <c r="P8" s="25" t="s">
        <v>676</v>
      </c>
    </row>
    <row r="9" spans="1:17" x14ac:dyDescent="0.2">
      <c r="A9" s="2"/>
      <c r="B9" s="2"/>
      <c r="F9" s="1"/>
      <c r="G9" s="1"/>
      <c r="H9" s="1"/>
      <c r="J9" s="8"/>
      <c r="K9" s="1"/>
      <c r="L9" s="1"/>
      <c r="M9" s="1"/>
      <c r="N9" s="1"/>
      <c r="P9" s="1"/>
    </row>
    <row r="10" spans="1:17" x14ac:dyDescent="0.2">
      <c r="A10" s="2"/>
      <c r="B10" s="2"/>
      <c r="F10" s="1"/>
      <c r="G10" s="1"/>
      <c r="H10" s="1"/>
      <c r="J10" s="8"/>
      <c r="K10" s="1"/>
      <c r="L10" s="1"/>
      <c r="M10" s="1"/>
      <c r="N10" s="1"/>
      <c r="P10" s="1"/>
    </row>
    <row r="11" spans="1:17" x14ac:dyDescent="0.2">
      <c r="A11" s="2"/>
      <c r="B11" s="2"/>
      <c r="F11" s="1"/>
      <c r="G11" s="1"/>
      <c r="H11" s="1"/>
      <c r="J11" s="8"/>
      <c r="K11" s="1"/>
      <c r="L11" s="1"/>
      <c r="M11" s="1"/>
      <c r="N11" s="1"/>
      <c r="P11" s="1"/>
    </row>
    <row r="12" spans="1:17" x14ac:dyDescent="0.2">
      <c r="A12" s="2"/>
      <c r="B12" s="2"/>
      <c r="F12" s="1"/>
      <c r="G12" s="1"/>
      <c r="H12" s="1"/>
      <c r="J12" s="8"/>
      <c r="K12" s="1"/>
      <c r="L12" s="1"/>
      <c r="M12" s="1"/>
      <c r="N12" s="1"/>
      <c r="P12" s="1"/>
    </row>
    <row r="13" spans="1:17" ht="23.25" x14ac:dyDescent="0.2">
      <c r="A13" s="3" t="s">
        <v>673</v>
      </c>
      <c r="B13" s="5" t="s">
        <v>674</v>
      </c>
      <c r="C13" s="6"/>
      <c r="D13" s="10"/>
      <c r="F13" s="1"/>
      <c r="G13" s="1"/>
      <c r="J13" s="7" t="s">
        <v>675</v>
      </c>
      <c r="K13" s="23">
        <f>J15/D15</f>
        <v>0.1484913045632463</v>
      </c>
      <c r="L13" s="1"/>
      <c r="M13" s="1"/>
      <c r="N13" s="1"/>
      <c r="O13" s="4"/>
      <c r="P13" s="1"/>
    </row>
    <row r="14" spans="1:17" ht="13.5" thickBot="1" x14ac:dyDescent="0.25"/>
    <row r="15" spans="1:17" ht="13.5" thickTop="1" x14ac:dyDescent="0.2">
      <c r="C15" s="11" t="s">
        <v>668</v>
      </c>
      <c r="D15" s="19">
        <f>SUBTOTAL(9,Analisis_Diferecias[Cantidad])</f>
        <v>20183</v>
      </c>
      <c r="E15" s="28">
        <f>SUBTOTAL(9,Analisis_Diferecias[Primer Conteo])</f>
        <v>4277</v>
      </c>
      <c r="F15" s="29">
        <f>SUBTOTAL(9,Analisis_Diferecias[Segundo Conteo])</f>
        <v>3018</v>
      </c>
      <c r="G15" s="29">
        <f>SUBTOTAL(9,Analisis_Diferecias[Diferencia de Coteo 1 &amp; 2])</f>
        <v>-1259</v>
      </c>
      <c r="H15" s="30"/>
      <c r="I15" s="19">
        <f>SUBTOTAL(9,Analisis_Diferecias[Tercer Conteo])</f>
        <v>2992</v>
      </c>
      <c r="J15" s="19">
        <f>SUBTOTAL(9,Analisis_Diferecias[Cantidad Total de Conteos])</f>
        <v>2997</v>
      </c>
      <c r="K15" s="19">
        <f>SUBTOTAL(9,Analisis_Diferecias[Direferncia de Cantidad Total Contado Vs. Cantidad Sistema])</f>
        <v>-17186</v>
      </c>
      <c r="L15" s="22"/>
      <c r="M15" s="24">
        <f>SUBTOTAL(9,Analisis_Diferecias[Costo Unitario($)])</f>
        <v>0</v>
      </c>
      <c r="N15" s="24">
        <f>SUBTOTAL(9,Analisis_Diferecias[Valor Total Contado])</f>
        <v>0</v>
      </c>
      <c r="O15" s="24">
        <f>SUBTOTAL(9,Analisis_Diferecias[Costo Total Sistema])</f>
        <v>0</v>
      </c>
      <c r="P15" s="24">
        <f>SUBTOTAL(9,Analisis_Diferecias[Diferencia de Costo -Inventario Fisico Vs. Sistema])</f>
        <v>0</v>
      </c>
    </row>
    <row r="16" spans="1:17" s="16" customFormat="1" ht="75" x14ac:dyDescent="0.2">
      <c r="A16" s="21" t="s">
        <v>663</v>
      </c>
      <c r="B16" s="21" t="s">
        <v>0</v>
      </c>
      <c r="C16" s="21" t="s">
        <v>416</v>
      </c>
      <c r="D16" s="26" t="s">
        <v>1</v>
      </c>
      <c r="E16" s="31" t="s">
        <v>665</v>
      </c>
      <c r="F16" s="27" t="s">
        <v>666</v>
      </c>
      <c r="G16" s="34" t="s">
        <v>670</v>
      </c>
      <c r="H16" s="32" t="s">
        <v>667</v>
      </c>
      <c r="I16" s="38" t="s">
        <v>669</v>
      </c>
      <c r="J16" s="33" t="s">
        <v>672</v>
      </c>
      <c r="K16" s="35" t="s">
        <v>680</v>
      </c>
      <c r="L16" s="14" t="s">
        <v>681</v>
      </c>
      <c r="M16" s="36" t="s">
        <v>677</v>
      </c>
      <c r="N16" s="15" t="s">
        <v>671</v>
      </c>
      <c r="O16" s="15" t="s">
        <v>678</v>
      </c>
      <c r="P16" s="35" t="s">
        <v>679</v>
      </c>
      <c r="Q16" s="14" t="s">
        <v>682</v>
      </c>
    </row>
    <row r="17" spans="1:17" x14ac:dyDescent="0.2">
      <c r="A17">
        <v>8731</v>
      </c>
      <c r="B17" t="s">
        <v>8</v>
      </c>
      <c r="C17" t="s">
        <v>9</v>
      </c>
      <c r="D17">
        <v>1270</v>
      </c>
      <c r="E17" s="12">
        <f>SUMIFS('Consolidado conteo 1'!$F:$F,'Consolidado conteo 1'!$C:$C,Analisis_Diferecias[[#This Row],[ID]],'Consolidado conteo 1'!$I:$I,Analisis_Diferecias[[#Headers],[Primer Conteo]])</f>
        <v>1270</v>
      </c>
      <c r="F17" s="12">
        <f>SUMIFS('Consolidado conteo 2'!$F:$F,'Consolidado conteo 2'!$C:$C,Analisis_Diferecias[[#This Row],[ID]],'Consolidado conteo 2'!$I:$I,Analisis_Diferecias[[#Headers],[Segundo Conteo]])</f>
        <v>1268</v>
      </c>
      <c r="G17" s="12">
        <f>+Analisis_Diferecias[[#This Row],[Segundo Conteo]]-(Analisis_Diferecias[[#This Row],[Primer Conteo]])</f>
        <v>-2</v>
      </c>
      <c r="H1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DIFERENCIA</v>
      </c>
      <c r="I17" s="12">
        <f>SUMIFS(Analisis_Diferecias_Tercer_conteo[Tercer_conteo],Analisis_Diferecias_Tercer_conteo[ID],Analisis_Diferecias[[#This Row],[ID]])</f>
        <v>1269</v>
      </c>
      <c r="J17" s="12">
        <f>IF(Analisis_Diferecias[[#This Row],[Tipo de incidencia]]="OK",Analisis_Diferecias[[#This Row],[Segundo Conteo]],Analisis_Diferecias[[#This Row],[Tercer Conteo]])</f>
        <v>1269</v>
      </c>
      <c r="K17" s="12">
        <f>+(Analisis_Diferecias[[#This Row],[Cantidad Total de Conteos]]-(Analisis_Diferecias[[#This Row],[Cantidad]]))</f>
        <v>-1</v>
      </c>
      <c r="L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" s="18"/>
      <c r="N17" s="18">
        <f>Analisis_Diferecias[[#This Row],[Costo Unitario($)]]*Analisis_Diferecias[[#This Row],[Cantidad Total de Conteos]]</f>
        <v>0</v>
      </c>
      <c r="O17" s="18">
        <f>Analisis_Diferecias[[#This Row],[Costo Unitario($)]]*Analisis_Diferecias[[#This Row],[Cantidad]]</f>
        <v>0</v>
      </c>
      <c r="P17" s="18">
        <f>+Analisis_Diferecias[[#This Row],[Valor Total Contado]]-Analisis_Diferecias[[#This Row],[Costo Total Sistema]]</f>
        <v>0</v>
      </c>
      <c r="Q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" spans="1:17" x14ac:dyDescent="0.2">
      <c r="A18">
        <v>6833</v>
      </c>
      <c r="B18" t="s">
        <v>10</v>
      </c>
      <c r="C18" t="s">
        <v>11</v>
      </c>
      <c r="D18">
        <v>875</v>
      </c>
      <c r="E18" s="12">
        <f>SUMIFS('Consolidado conteo 1'!$F:$F,'Consolidado conteo 1'!$C:$C,Analisis_Diferecias[[#This Row],[ID]],'Consolidado conteo 1'!$I:$I,Analisis_Diferecias[[#Headers],[Primer Conteo]])</f>
        <v>835</v>
      </c>
      <c r="F18" s="12">
        <f>SUMIFS('Consolidado conteo 2'!$F:$F,'Consolidado conteo 2'!$C:$C,Analisis_Diferecias[[#This Row],[ID]],'Consolidado conteo 2'!$I:$I,Analisis_Diferecias[[#Headers],[Segundo Conteo]])</f>
        <v>835</v>
      </c>
      <c r="G18" s="12">
        <f>+Analisis_Diferecias[[#This Row],[Segundo Conteo]]-(Analisis_Diferecias[[#This Row],[Primer Conteo]])</f>
        <v>0</v>
      </c>
      <c r="H1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OK</v>
      </c>
      <c r="I18" s="12">
        <f>SUMIFS(Analisis_Diferecias_Tercer_conteo[Tercer_conteo],Analisis_Diferecias_Tercer_conteo[ID],Analisis_Diferecias[[#This Row],[ID]])</f>
        <v>835</v>
      </c>
      <c r="J18" s="12">
        <f>IF(Analisis_Diferecias[[#This Row],[Tipo de incidencia]]="OK",Analisis_Diferecias[[#This Row],[Segundo Conteo]],Analisis_Diferecias[[#This Row],[Tercer Conteo]])</f>
        <v>835</v>
      </c>
      <c r="K18" s="12">
        <f>+(Analisis_Diferecias[[#This Row],[Cantidad Total de Conteos]]-(Analisis_Diferecias[[#This Row],[Cantidad]]))</f>
        <v>-40</v>
      </c>
      <c r="L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" s="18"/>
      <c r="N18" s="18">
        <f>Analisis_Diferecias[[#This Row],[Costo Unitario($)]]*Analisis_Diferecias[[#This Row],[Cantidad Total de Conteos]]</f>
        <v>0</v>
      </c>
      <c r="O18" s="18">
        <f>Analisis_Diferecias[[#This Row],[Costo Unitario($)]]*Analisis_Diferecias[[#This Row],[Cantidad]]</f>
        <v>0</v>
      </c>
      <c r="P18" s="20">
        <f>+Analisis_Diferecias[[#This Row],[Valor Total Contado]]-Analisis_Diferecias[[#This Row],[Costo Total Sistema]]</f>
        <v>0</v>
      </c>
      <c r="Q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" spans="1:17" x14ac:dyDescent="0.2">
      <c r="A19">
        <v>9681</v>
      </c>
      <c r="B19" t="s">
        <v>12</v>
      </c>
      <c r="C19" t="s">
        <v>13</v>
      </c>
      <c r="D19">
        <v>593</v>
      </c>
      <c r="E19" s="12">
        <f>SUMIFS('Consolidado conteo 1'!$F:$F,'Consolidado conteo 1'!$C:$C,Analisis_Diferecias[[#This Row],[ID]],'Consolidado conteo 1'!$I:$I,Analisis_Diferecias[[#Headers],[Primer Conteo]])</f>
        <v>0</v>
      </c>
      <c r="F19" s="12">
        <f>SUMIFS('Consolidado conteo 2'!$F:$F,'Consolidado conteo 2'!$C:$C,Analisis_Diferecias[[#This Row],[ID]],'Consolidado conteo 2'!$I:$I,Analisis_Diferecias[[#Headers],[Segundo Conteo]])</f>
        <v>0</v>
      </c>
      <c r="G19" s="12">
        <f>+Analisis_Diferecias[[#This Row],[Segundo Conteo]]-(Analisis_Diferecias[[#This Row],[Primer Conteo]])</f>
        <v>0</v>
      </c>
      <c r="H1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" s="12">
        <f>SUMIFS(Analisis_Diferecias_Tercer_conteo[Tercer_conteo],Analisis_Diferecias_Tercer_conteo[ID],Analisis_Diferecias[[#This Row],[ID]])</f>
        <v>0</v>
      </c>
      <c r="J19" s="12">
        <f>IF(Analisis_Diferecias[[#This Row],[Tipo de incidencia]]="OK",Analisis_Diferecias[[#This Row],[Segundo Conteo]],Analisis_Diferecias[[#This Row],[Tercer Conteo]])</f>
        <v>0</v>
      </c>
      <c r="K19" s="12">
        <f>+(Analisis_Diferecias[[#This Row],[Cantidad Total de Conteos]]-(Analisis_Diferecias[[#This Row],[Cantidad]]))</f>
        <v>-593</v>
      </c>
      <c r="L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9" s="18"/>
      <c r="N19" s="18">
        <f>Analisis_Diferecias[[#This Row],[Costo Unitario($)]]*Analisis_Diferecias[[#This Row],[Cantidad Total de Conteos]]</f>
        <v>0</v>
      </c>
      <c r="O19" s="18">
        <f>Analisis_Diferecias[[#This Row],[Costo Unitario($)]]*Analisis_Diferecias[[#This Row],[Cantidad]]</f>
        <v>0</v>
      </c>
      <c r="P19" s="20">
        <f>+Analisis_Diferecias[[#This Row],[Valor Total Contado]]-Analisis_Diferecias[[#This Row],[Costo Total Sistema]]</f>
        <v>0</v>
      </c>
      <c r="Q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0" spans="1:17" x14ac:dyDescent="0.2">
      <c r="A20">
        <v>3455</v>
      </c>
      <c r="B20" t="s">
        <v>14</v>
      </c>
      <c r="C20" t="s">
        <v>15</v>
      </c>
      <c r="D20">
        <v>577</v>
      </c>
      <c r="E20" s="12">
        <f>SUMIFS('Consolidado conteo 1'!$F:$F,'Consolidado conteo 1'!$C:$C,Analisis_Diferecias[[#This Row],[ID]],'Consolidado conteo 1'!$I:$I,Analisis_Diferecias[[#Headers],[Primer Conteo]])</f>
        <v>0</v>
      </c>
      <c r="F20" s="12">
        <f>SUMIFS('Consolidado conteo 2'!$F:$F,'Consolidado conteo 2'!$C:$C,Analisis_Diferecias[[#This Row],[ID]],'Consolidado conteo 2'!$I:$I,Analisis_Diferecias[[#Headers],[Segundo Conteo]])</f>
        <v>0</v>
      </c>
      <c r="G20" s="12">
        <f>+Analisis_Diferecias[[#This Row],[Segundo Conteo]]-(Analisis_Diferecias[[#This Row],[Primer Conteo]])</f>
        <v>0</v>
      </c>
      <c r="H2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" s="12">
        <f>SUMIFS(Analisis_Diferecias_Tercer_conteo[Tercer_conteo],Analisis_Diferecias_Tercer_conteo[ID],Analisis_Diferecias[[#This Row],[ID]])</f>
        <v>0</v>
      </c>
      <c r="J20" s="12">
        <f>IF(Analisis_Diferecias[[#This Row],[Tipo de incidencia]]="OK",Analisis_Diferecias[[#This Row],[Segundo Conteo]],Analisis_Diferecias[[#This Row],[Tercer Conteo]])</f>
        <v>0</v>
      </c>
      <c r="K20" s="12">
        <f>+(Analisis_Diferecias[[#This Row],[Cantidad Total de Conteos]]-(Analisis_Diferecias[[#This Row],[Cantidad]]))</f>
        <v>-577</v>
      </c>
      <c r="L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0" s="18"/>
      <c r="N20" s="18">
        <f>Analisis_Diferecias[[#This Row],[Costo Unitario($)]]*Analisis_Diferecias[[#This Row],[Cantidad Total de Conteos]]</f>
        <v>0</v>
      </c>
      <c r="O20" s="18">
        <f>Analisis_Diferecias[[#This Row],[Costo Unitario($)]]*Analisis_Diferecias[[#This Row],[Cantidad]]</f>
        <v>0</v>
      </c>
      <c r="P20" s="20">
        <f>+Analisis_Diferecias[[#This Row],[Valor Total Contado]]-Analisis_Diferecias[[#This Row],[Costo Total Sistema]]</f>
        <v>0</v>
      </c>
      <c r="Q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" spans="1:17" x14ac:dyDescent="0.2">
      <c r="A21">
        <v>11099</v>
      </c>
      <c r="B21" t="s">
        <v>16</v>
      </c>
      <c r="C21" t="s">
        <v>17</v>
      </c>
      <c r="D21">
        <v>131</v>
      </c>
      <c r="E21" s="12">
        <f>SUMIFS('Consolidado conteo 1'!$F:$F,'Consolidado conteo 1'!$C:$C,Analisis_Diferecias[[#This Row],[ID]],'Consolidado conteo 1'!$I:$I,Analisis_Diferecias[[#Headers],[Primer Conteo]])</f>
        <v>0</v>
      </c>
      <c r="F21" s="12">
        <f>SUMIFS('Consolidado conteo 2'!$F:$F,'Consolidado conteo 2'!$C:$C,Analisis_Diferecias[[#This Row],[ID]],'Consolidado conteo 2'!$I:$I,Analisis_Diferecias[[#Headers],[Segundo Conteo]])</f>
        <v>0</v>
      </c>
      <c r="G21" s="12">
        <f>+Analisis_Diferecias[[#This Row],[Segundo Conteo]]-(Analisis_Diferecias[[#This Row],[Primer Conteo]])</f>
        <v>0</v>
      </c>
      <c r="H2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" s="12">
        <f>SUMIFS(Analisis_Diferecias_Tercer_conteo[Tercer_conteo],Analisis_Diferecias_Tercer_conteo[ID],Analisis_Diferecias[[#This Row],[ID]])</f>
        <v>0</v>
      </c>
      <c r="J21" s="12">
        <f>IF(Analisis_Diferecias[[#This Row],[Tipo de incidencia]]="OK",Analisis_Diferecias[[#This Row],[Segundo Conteo]],Analisis_Diferecias[[#This Row],[Tercer Conteo]])</f>
        <v>0</v>
      </c>
      <c r="K21" s="12">
        <f>+(Analisis_Diferecias[[#This Row],[Cantidad Total de Conteos]]-(Analisis_Diferecias[[#This Row],[Cantidad]]))</f>
        <v>-131</v>
      </c>
      <c r="L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" s="18"/>
      <c r="N21" s="18">
        <f>Analisis_Diferecias[[#This Row],[Costo Unitario($)]]*Analisis_Diferecias[[#This Row],[Cantidad Total de Conteos]]</f>
        <v>0</v>
      </c>
      <c r="O21" s="18">
        <f>Analisis_Diferecias[[#This Row],[Costo Unitario($)]]*Analisis_Diferecias[[#This Row],[Cantidad]]</f>
        <v>0</v>
      </c>
      <c r="P21" s="20">
        <f>+Analisis_Diferecias[[#This Row],[Valor Total Contado]]-Analisis_Diferecias[[#This Row],[Costo Total Sistema]]</f>
        <v>0</v>
      </c>
      <c r="Q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" spans="1:17" x14ac:dyDescent="0.2">
      <c r="A22">
        <v>11100</v>
      </c>
      <c r="B22" t="s">
        <v>18</v>
      </c>
      <c r="C22" t="s">
        <v>19</v>
      </c>
      <c r="D22">
        <v>118</v>
      </c>
      <c r="E22" s="12">
        <f>SUMIFS('Consolidado conteo 1'!$F:$F,'Consolidado conteo 1'!$C:$C,Analisis_Diferecias[[#This Row],[ID]],'Consolidado conteo 1'!$I:$I,Analisis_Diferecias[[#Headers],[Primer Conteo]])</f>
        <v>0</v>
      </c>
      <c r="F22" s="12">
        <f>SUMIFS('Consolidado conteo 2'!$F:$F,'Consolidado conteo 2'!$C:$C,Analisis_Diferecias[[#This Row],[ID]],'Consolidado conteo 2'!$I:$I,Analisis_Diferecias[[#Headers],[Segundo Conteo]])</f>
        <v>0</v>
      </c>
      <c r="G22" s="12">
        <f>+Analisis_Diferecias[[#This Row],[Segundo Conteo]]-(Analisis_Diferecias[[#This Row],[Primer Conteo]])</f>
        <v>0</v>
      </c>
      <c r="H2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" s="12">
        <f>SUMIFS(Analisis_Diferecias_Tercer_conteo[Tercer_conteo],Analisis_Diferecias_Tercer_conteo[ID],Analisis_Diferecias[[#This Row],[ID]])</f>
        <v>0</v>
      </c>
      <c r="J22" s="12">
        <f>IF(Analisis_Diferecias[[#This Row],[Tipo de incidencia]]="OK",Analisis_Diferecias[[#This Row],[Segundo Conteo]],Analisis_Diferecias[[#This Row],[Tercer Conteo]])</f>
        <v>0</v>
      </c>
      <c r="K22" s="12">
        <f>+(Analisis_Diferecias[[#This Row],[Cantidad Total de Conteos]]-(Analisis_Diferecias[[#This Row],[Cantidad]]))</f>
        <v>-118</v>
      </c>
      <c r="L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" s="18"/>
      <c r="N22" s="18">
        <f>Analisis_Diferecias[[#This Row],[Costo Unitario($)]]*Analisis_Diferecias[[#This Row],[Cantidad Total de Conteos]]</f>
        <v>0</v>
      </c>
      <c r="O22" s="18">
        <f>Analisis_Diferecias[[#This Row],[Costo Unitario($)]]*Analisis_Diferecias[[#This Row],[Cantidad]]</f>
        <v>0</v>
      </c>
      <c r="P22" s="20">
        <f>+Analisis_Diferecias[[#This Row],[Valor Total Contado]]-Analisis_Diferecias[[#This Row],[Costo Total Sistema]]</f>
        <v>0</v>
      </c>
      <c r="Q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" spans="1:17" x14ac:dyDescent="0.2">
      <c r="A23">
        <v>7538</v>
      </c>
      <c r="B23" t="s">
        <v>20</v>
      </c>
      <c r="C23" t="s">
        <v>21</v>
      </c>
      <c r="D23">
        <v>102</v>
      </c>
      <c r="E23" s="12">
        <f>SUMIFS('Consolidado conteo 1'!$F:$F,'Consolidado conteo 1'!$C:$C,Analisis_Diferecias[[#This Row],[ID]],'Consolidado conteo 1'!$I:$I,Analisis_Diferecias[[#Headers],[Primer Conteo]])</f>
        <v>0</v>
      </c>
      <c r="F23" s="12">
        <f>SUMIFS('Consolidado conteo 2'!$F:$F,'Consolidado conteo 2'!$C:$C,Analisis_Diferecias[[#This Row],[ID]],'Consolidado conteo 2'!$I:$I,Analisis_Diferecias[[#Headers],[Segundo Conteo]])</f>
        <v>0</v>
      </c>
      <c r="G23" s="12">
        <f>+Analisis_Diferecias[[#This Row],[Segundo Conteo]]-(Analisis_Diferecias[[#This Row],[Primer Conteo]])</f>
        <v>0</v>
      </c>
      <c r="H2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" s="12">
        <f>SUMIFS(Analisis_Diferecias_Tercer_conteo[Tercer_conteo],Analisis_Diferecias_Tercer_conteo[ID],Analisis_Diferecias[[#This Row],[ID]])</f>
        <v>0</v>
      </c>
      <c r="J23" s="12">
        <f>IF(Analisis_Diferecias[[#This Row],[Tipo de incidencia]]="OK",Analisis_Diferecias[[#This Row],[Segundo Conteo]],Analisis_Diferecias[[#This Row],[Tercer Conteo]])</f>
        <v>0</v>
      </c>
      <c r="K23" s="12">
        <f>+(Analisis_Diferecias[[#This Row],[Cantidad Total de Conteos]]-(Analisis_Diferecias[[#This Row],[Cantidad]]))</f>
        <v>-102</v>
      </c>
      <c r="L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" s="18"/>
      <c r="N23" s="18">
        <f>Analisis_Diferecias[[#This Row],[Costo Unitario($)]]*Analisis_Diferecias[[#This Row],[Cantidad Total de Conteos]]</f>
        <v>0</v>
      </c>
      <c r="O23" s="18">
        <f>Analisis_Diferecias[[#This Row],[Costo Unitario($)]]*Analisis_Diferecias[[#This Row],[Cantidad]]</f>
        <v>0</v>
      </c>
      <c r="P23" s="20">
        <f>+Analisis_Diferecias[[#This Row],[Valor Total Contado]]-Analisis_Diferecias[[#This Row],[Costo Total Sistema]]</f>
        <v>0</v>
      </c>
      <c r="Q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" spans="1:17" x14ac:dyDescent="0.2">
      <c r="A24">
        <v>13927</v>
      </c>
      <c r="B24" t="s">
        <v>22</v>
      </c>
      <c r="C24" t="s">
        <v>23</v>
      </c>
      <c r="D24">
        <v>102</v>
      </c>
      <c r="E24" s="12">
        <f>SUMIFS('Consolidado conteo 1'!$F:$F,'Consolidado conteo 1'!$C:$C,Analisis_Diferecias[[#This Row],[ID]],'Consolidado conteo 1'!$I:$I,Analisis_Diferecias[[#Headers],[Primer Conteo]])</f>
        <v>0</v>
      </c>
      <c r="F24" s="12">
        <f>SUMIFS('Consolidado conteo 2'!$F:$F,'Consolidado conteo 2'!$C:$C,Analisis_Diferecias[[#This Row],[ID]],'Consolidado conteo 2'!$I:$I,Analisis_Diferecias[[#Headers],[Segundo Conteo]])</f>
        <v>0</v>
      </c>
      <c r="G24" s="12">
        <f>+Analisis_Diferecias[[#This Row],[Segundo Conteo]]-(Analisis_Diferecias[[#This Row],[Primer Conteo]])</f>
        <v>0</v>
      </c>
      <c r="H2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" s="12">
        <f>SUMIFS(Analisis_Diferecias_Tercer_conteo[Tercer_conteo],Analisis_Diferecias_Tercer_conteo[ID],Analisis_Diferecias[[#This Row],[ID]])</f>
        <v>0</v>
      </c>
      <c r="J24" s="12">
        <f>IF(Analisis_Diferecias[[#This Row],[Tipo de incidencia]]="OK",Analisis_Diferecias[[#This Row],[Segundo Conteo]],Analisis_Diferecias[[#This Row],[Tercer Conteo]])</f>
        <v>0</v>
      </c>
      <c r="K24" s="12">
        <f>+(Analisis_Diferecias[[#This Row],[Cantidad Total de Conteos]]-(Analisis_Diferecias[[#This Row],[Cantidad]]))</f>
        <v>-102</v>
      </c>
      <c r="L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" s="18"/>
      <c r="N24" s="18">
        <f>Analisis_Diferecias[[#This Row],[Costo Unitario($)]]*Analisis_Diferecias[[#This Row],[Cantidad Total de Conteos]]</f>
        <v>0</v>
      </c>
      <c r="O24" s="18">
        <f>Analisis_Diferecias[[#This Row],[Costo Unitario($)]]*Analisis_Diferecias[[#This Row],[Cantidad]]</f>
        <v>0</v>
      </c>
      <c r="P24" s="20">
        <f>+Analisis_Diferecias[[#This Row],[Valor Total Contado]]-Analisis_Diferecias[[#This Row],[Costo Total Sistema]]</f>
        <v>0</v>
      </c>
      <c r="Q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" spans="1:17" x14ac:dyDescent="0.2">
      <c r="A25">
        <v>7518</v>
      </c>
      <c r="B25" t="s">
        <v>24</v>
      </c>
      <c r="C25" t="s">
        <v>25</v>
      </c>
      <c r="D25">
        <v>100</v>
      </c>
      <c r="E25" s="12">
        <f>SUMIFS('Consolidado conteo 1'!$F:$F,'Consolidado conteo 1'!$C:$C,Analisis_Diferecias[[#This Row],[ID]],'Consolidado conteo 1'!$I:$I,Analisis_Diferecias[[#Headers],[Primer Conteo]])</f>
        <v>0</v>
      </c>
      <c r="F25" s="12">
        <f>SUMIFS('Consolidado conteo 2'!$F:$F,'Consolidado conteo 2'!$C:$C,Analisis_Diferecias[[#This Row],[ID]],'Consolidado conteo 2'!$I:$I,Analisis_Diferecias[[#Headers],[Segundo Conteo]])</f>
        <v>0</v>
      </c>
      <c r="G25" s="12">
        <f>+Analisis_Diferecias[[#This Row],[Segundo Conteo]]-(Analisis_Diferecias[[#This Row],[Primer Conteo]])</f>
        <v>0</v>
      </c>
      <c r="H2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" s="12">
        <f>SUMIFS(Analisis_Diferecias_Tercer_conteo[Tercer_conteo],Analisis_Diferecias_Tercer_conteo[ID],Analisis_Diferecias[[#This Row],[ID]])</f>
        <v>0</v>
      </c>
      <c r="J25" s="12">
        <f>IF(Analisis_Diferecias[[#This Row],[Tipo de incidencia]]="OK",Analisis_Diferecias[[#This Row],[Segundo Conteo]],Analisis_Diferecias[[#This Row],[Tercer Conteo]])</f>
        <v>0</v>
      </c>
      <c r="K25" s="12">
        <f>+(Analisis_Diferecias[[#This Row],[Cantidad Total de Conteos]]-(Analisis_Diferecias[[#This Row],[Cantidad]]))</f>
        <v>-100</v>
      </c>
      <c r="L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" s="18"/>
      <c r="N25" s="18">
        <f>Analisis_Diferecias[[#This Row],[Costo Unitario($)]]*Analisis_Diferecias[[#This Row],[Cantidad Total de Conteos]]</f>
        <v>0</v>
      </c>
      <c r="O25" s="18">
        <f>Analisis_Diferecias[[#This Row],[Costo Unitario($)]]*Analisis_Diferecias[[#This Row],[Cantidad]]</f>
        <v>0</v>
      </c>
      <c r="P25" s="20">
        <f>+Analisis_Diferecias[[#This Row],[Valor Total Contado]]-Analisis_Diferecias[[#This Row],[Costo Total Sistema]]</f>
        <v>0</v>
      </c>
      <c r="Q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" spans="1:17" x14ac:dyDescent="0.2">
      <c r="A26">
        <v>7534</v>
      </c>
      <c r="B26" t="s">
        <v>26</v>
      </c>
      <c r="C26" t="s">
        <v>27</v>
      </c>
      <c r="D26">
        <v>100</v>
      </c>
      <c r="E26" s="12">
        <f>SUMIFS('Consolidado conteo 1'!$F:$F,'Consolidado conteo 1'!$C:$C,Analisis_Diferecias[[#This Row],[ID]],'Consolidado conteo 1'!$I:$I,Analisis_Diferecias[[#Headers],[Primer Conteo]])</f>
        <v>0</v>
      </c>
      <c r="F26" s="12">
        <f>SUMIFS('Consolidado conteo 2'!$F:$F,'Consolidado conteo 2'!$C:$C,Analisis_Diferecias[[#This Row],[ID]],'Consolidado conteo 2'!$I:$I,Analisis_Diferecias[[#Headers],[Segundo Conteo]])</f>
        <v>0</v>
      </c>
      <c r="G26" s="12">
        <f>+Analisis_Diferecias[[#This Row],[Segundo Conteo]]-(Analisis_Diferecias[[#This Row],[Primer Conteo]])</f>
        <v>0</v>
      </c>
      <c r="H2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" s="12">
        <f>SUMIFS(Analisis_Diferecias_Tercer_conteo[Tercer_conteo],Analisis_Diferecias_Tercer_conteo[ID],Analisis_Diferecias[[#This Row],[ID]])</f>
        <v>0</v>
      </c>
      <c r="J26" s="12">
        <f>IF(Analisis_Diferecias[[#This Row],[Tipo de incidencia]]="OK",Analisis_Diferecias[[#This Row],[Segundo Conteo]],Analisis_Diferecias[[#This Row],[Tercer Conteo]])</f>
        <v>0</v>
      </c>
      <c r="K26" s="12">
        <f>+(Analisis_Diferecias[[#This Row],[Cantidad Total de Conteos]]-(Analisis_Diferecias[[#This Row],[Cantidad]]))</f>
        <v>-100</v>
      </c>
      <c r="L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" s="18"/>
      <c r="N26" s="18">
        <f>Analisis_Diferecias[[#This Row],[Costo Unitario($)]]*Analisis_Diferecias[[#This Row],[Cantidad Total de Conteos]]</f>
        <v>0</v>
      </c>
      <c r="O26" s="18">
        <f>Analisis_Diferecias[[#This Row],[Costo Unitario($)]]*Analisis_Diferecias[[#This Row],[Cantidad]]</f>
        <v>0</v>
      </c>
      <c r="P26" s="20">
        <f>+Analisis_Diferecias[[#This Row],[Valor Total Contado]]-Analisis_Diferecias[[#This Row],[Costo Total Sistema]]</f>
        <v>0</v>
      </c>
      <c r="Q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" spans="1:17" x14ac:dyDescent="0.2">
      <c r="A27">
        <v>7528</v>
      </c>
      <c r="B27" t="s">
        <v>28</v>
      </c>
      <c r="C27" t="s">
        <v>29</v>
      </c>
      <c r="D27">
        <v>100</v>
      </c>
      <c r="E27" s="12">
        <f>SUMIFS('Consolidado conteo 1'!$F:$F,'Consolidado conteo 1'!$C:$C,Analisis_Diferecias[[#This Row],[ID]],'Consolidado conteo 1'!$I:$I,Analisis_Diferecias[[#Headers],[Primer Conteo]])</f>
        <v>0</v>
      </c>
      <c r="F27" s="12">
        <f>SUMIFS('Consolidado conteo 2'!$F:$F,'Consolidado conteo 2'!$C:$C,Analisis_Diferecias[[#This Row],[ID]],'Consolidado conteo 2'!$I:$I,Analisis_Diferecias[[#Headers],[Segundo Conteo]])</f>
        <v>0</v>
      </c>
      <c r="G27" s="12">
        <f>+Analisis_Diferecias[[#This Row],[Segundo Conteo]]-(Analisis_Diferecias[[#This Row],[Primer Conteo]])</f>
        <v>0</v>
      </c>
      <c r="H2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" s="12">
        <f>SUMIFS(Analisis_Diferecias_Tercer_conteo[Tercer_conteo],Analisis_Diferecias_Tercer_conteo[ID],Analisis_Diferecias[[#This Row],[ID]])</f>
        <v>0</v>
      </c>
      <c r="J27" s="12">
        <f>IF(Analisis_Diferecias[[#This Row],[Tipo de incidencia]]="OK",Analisis_Diferecias[[#This Row],[Segundo Conteo]],Analisis_Diferecias[[#This Row],[Tercer Conteo]])</f>
        <v>0</v>
      </c>
      <c r="K27" s="12">
        <f>+(Analisis_Diferecias[[#This Row],[Cantidad Total de Conteos]]-(Analisis_Diferecias[[#This Row],[Cantidad]]))</f>
        <v>-100</v>
      </c>
      <c r="L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" s="18"/>
      <c r="N27" s="18">
        <f>Analisis_Diferecias[[#This Row],[Costo Unitario($)]]*Analisis_Diferecias[[#This Row],[Cantidad Total de Conteos]]</f>
        <v>0</v>
      </c>
      <c r="O27" s="18">
        <f>Analisis_Diferecias[[#This Row],[Costo Unitario($)]]*Analisis_Diferecias[[#This Row],[Cantidad]]</f>
        <v>0</v>
      </c>
      <c r="P27" s="20">
        <f>+Analisis_Diferecias[[#This Row],[Valor Total Contado]]-Analisis_Diferecias[[#This Row],[Costo Total Sistema]]</f>
        <v>0</v>
      </c>
      <c r="Q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" spans="1:17" x14ac:dyDescent="0.2">
      <c r="A28">
        <v>7527</v>
      </c>
      <c r="B28" t="s">
        <v>30</v>
      </c>
      <c r="C28" t="s">
        <v>31</v>
      </c>
      <c r="D28">
        <v>100</v>
      </c>
      <c r="E28" s="12">
        <f>SUMIFS('Consolidado conteo 1'!$F:$F,'Consolidado conteo 1'!$C:$C,Analisis_Diferecias[[#This Row],[ID]],'Consolidado conteo 1'!$I:$I,Analisis_Diferecias[[#Headers],[Primer Conteo]])</f>
        <v>0</v>
      </c>
      <c r="F28" s="12">
        <f>SUMIFS('Consolidado conteo 2'!$F:$F,'Consolidado conteo 2'!$C:$C,Analisis_Diferecias[[#This Row],[ID]],'Consolidado conteo 2'!$I:$I,Analisis_Diferecias[[#Headers],[Segundo Conteo]])</f>
        <v>0</v>
      </c>
      <c r="G28" s="12">
        <f>+Analisis_Diferecias[[#This Row],[Segundo Conteo]]-(Analisis_Diferecias[[#This Row],[Primer Conteo]])</f>
        <v>0</v>
      </c>
      <c r="H2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" s="12">
        <f>SUMIFS(Analisis_Diferecias_Tercer_conteo[Tercer_conteo],Analisis_Diferecias_Tercer_conteo[ID],Analisis_Diferecias[[#This Row],[ID]])</f>
        <v>0</v>
      </c>
      <c r="J28" s="12">
        <f>IF(Analisis_Diferecias[[#This Row],[Tipo de incidencia]]="OK",Analisis_Diferecias[[#This Row],[Segundo Conteo]],Analisis_Diferecias[[#This Row],[Tercer Conteo]])</f>
        <v>0</v>
      </c>
      <c r="K28" s="12">
        <f>+(Analisis_Diferecias[[#This Row],[Cantidad Total de Conteos]]-(Analisis_Diferecias[[#This Row],[Cantidad]]))</f>
        <v>-100</v>
      </c>
      <c r="L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" s="18"/>
      <c r="N28" s="18">
        <f>Analisis_Diferecias[[#This Row],[Costo Unitario($)]]*Analisis_Diferecias[[#This Row],[Cantidad Total de Conteos]]</f>
        <v>0</v>
      </c>
      <c r="O28" s="18">
        <f>Analisis_Diferecias[[#This Row],[Costo Unitario($)]]*Analisis_Diferecias[[#This Row],[Cantidad]]</f>
        <v>0</v>
      </c>
      <c r="P28" s="20">
        <f>+Analisis_Diferecias[[#This Row],[Valor Total Contado]]-Analisis_Diferecias[[#This Row],[Costo Total Sistema]]</f>
        <v>0</v>
      </c>
      <c r="Q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" spans="1:17" x14ac:dyDescent="0.2">
      <c r="A29">
        <v>11107</v>
      </c>
      <c r="B29" t="s">
        <v>32</v>
      </c>
      <c r="C29" t="s">
        <v>33</v>
      </c>
      <c r="D29">
        <v>90</v>
      </c>
      <c r="E29" s="12">
        <f>SUMIFS('Consolidado conteo 1'!$F:$F,'Consolidado conteo 1'!$C:$C,Analisis_Diferecias[[#This Row],[ID]],'Consolidado conteo 1'!$I:$I,Analisis_Diferecias[[#Headers],[Primer Conteo]])</f>
        <v>0</v>
      </c>
      <c r="F29" s="12">
        <f>SUMIFS('Consolidado conteo 2'!$F:$F,'Consolidado conteo 2'!$C:$C,Analisis_Diferecias[[#This Row],[ID]],'Consolidado conteo 2'!$I:$I,Analisis_Diferecias[[#Headers],[Segundo Conteo]])</f>
        <v>0</v>
      </c>
      <c r="G29" s="12">
        <f>+Analisis_Diferecias[[#This Row],[Segundo Conteo]]-(Analisis_Diferecias[[#This Row],[Primer Conteo]])</f>
        <v>0</v>
      </c>
      <c r="H2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" s="12">
        <f>SUMIFS(Analisis_Diferecias_Tercer_conteo[Tercer_conteo],Analisis_Diferecias_Tercer_conteo[ID],Analisis_Diferecias[[#This Row],[ID]])</f>
        <v>0</v>
      </c>
      <c r="J29" s="12">
        <f>IF(Analisis_Diferecias[[#This Row],[Tipo de incidencia]]="OK",Analisis_Diferecias[[#This Row],[Segundo Conteo]],Analisis_Diferecias[[#This Row],[Tercer Conteo]])</f>
        <v>0</v>
      </c>
      <c r="K29" s="12">
        <f>+(Analisis_Diferecias[[#This Row],[Cantidad Total de Conteos]]-(Analisis_Diferecias[[#This Row],[Cantidad]]))</f>
        <v>-90</v>
      </c>
      <c r="L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" s="18"/>
      <c r="N29" s="18">
        <f>Analisis_Diferecias[[#This Row],[Costo Unitario($)]]*Analisis_Diferecias[[#This Row],[Cantidad Total de Conteos]]</f>
        <v>0</v>
      </c>
      <c r="O29" s="18">
        <f>Analisis_Diferecias[[#This Row],[Costo Unitario($)]]*Analisis_Diferecias[[#This Row],[Cantidad]]</f>
        <v>0</v>
      </c>
      <c r="P29" s="20">
        <f>+Analisis_Diferecias[[#This Row],[Valor Total Contado]]-Analisis_Diferecias[[#This Row],[Costo Total Sistema]]</f>
        <v>0</v>
      </c>
      <c r="Q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" spans="1:17" x14ac:dyDescent="0.2">
      <c r="A30">
        <v>2103</v>
      </c>
      <c r="B30" t="s">
        <v>34</v>
      </c>
      <c r="C30" t="s">
        <v>35</v>
      </c>
      <c r="D30">
        <v>73</v>
      </c>
      <c r="E30" s="12">
        <f>SUMIFS('Consolidado conteo 1'!$F:$F,'Consolidado conteo 1'!$C:$C,Analisis_Diferecias[[#This Row],[ID]],'Consolidado conteo 1'!$I:$I,Analisis_Diferecias[[#Headers],[Primer Conteo]])</f>
        <v>0</v>
      </c>
      <c r="F30" s="12">
        <f>SUMIFS('Consolidado conteo 2'!$F:$F,'Consolidado conteo 2'!$C:$C,Analisis_Diferecias[[#This Row],[ID]],'Consolidado conteo 2'!$I:$I,Analisis_Diferecias[[#Headers],[Segundo Conteo]])</f>
        <v>0</v>
      </c>
      <c r="G30" s="12">
        <f>+Analisis_Diferecias[[#This Row],[Segundo Conteo]]-(Analisis_Diferecias[[#This Row],[Primer Conteo]])</f>
        <v>0</v>
      </c>
      <c r="H3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" s="12">
        <f>SUMIFS(Analisis_Diferecias_Tercer_conteo[Tercer_conteo],Analisis_Diferecias_Tercer_conteo[ID],Analisis_Diferecias[[#This Row],[ID]])</f>
        <v>0</v>
      </c>
      <c r="J30" s="12">
        <f>IF(Analisis_Diferecias[[#This Row],[Tipo de incidencia]]="OK",Analisis_Diferecias[[#This Row],[Segundo Conteo]],Analisis_Diferecias[[#This Row],[Tercer Conteo]])</f>
        <v>0</v>
      </c>
      <c r="K30" s="12">
        <f>+(Analisis_Diferecias[[#This Row],[Cantidad Total de Conteos]]-(Analisis_Diferecias[[#This Row],[Cantidad]]))</f>
        <v>-73</v>
      </c>
      <c r="L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" s="18"/>
      <c r="N30" s="18">
        <f>Analisis_Diferecias[[#This Row],[Costo Unitario($)]]*Analisis_Diferecias[[#This Row],[Cantidad Total de Conteos]]</f>
        <v>0</v>
      </c>
      <c r="O30" s="18">
        <f>Analisis_Diferecias[[#This Row],[Costo Unitario($)]]*Analisis_Diferecias[[#This Row],[Cantidad]]</f>
        <v>0</v>
      </c>
      <c r="P30" s="20">
        <f>+Analisis_Diferecias[[#This Row],[Valor Total Contado]]-Analisis_Diferecias[[#This Row],[Costo Total Sistema]]</f>
        <v>0</v>
      </c>
      <c r="Q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" spans="1:17" x14ac:dyDescent="0.2">
      <c r="A31">
        <v>6775</v>
      </c>
      <c r="B31" t="s">
        <v>36</v>
      </c>
      <c r="C31" t="s">
        <v>37</v>
      </c>
      <c r="D31">
        <v>71</v>
      </c>
      <c r="E31" s="12">
        <f>SUMIFS('Consolidado conteo 1'!$F:$F,'Consolidado conteo 1'!$C:$C,Analisis_Diferecias[[#This Row],[ID]],'Consolidado conteo 1'!$I:$I,Analisis_Diferecias[[#Headers],[Primer Conteo]])</f>
        <v>0</v>
      </c>
      <c r="F31" s="12">
        <f>SUMIFS('Consolidado conteo 2'!$F:$F,'Consolidado conteo 2'!$C:$C,Analisis_Diferecias[[#This Row],[ID]],'Consolidado conteo 2'!$I:$I,Analisis_Diferecias[[#Headers],[Segundo Conteo]])</f>
        <v>0</v>
      </c>
      <c r="G31" s="12">
        <f>+Analisis_Diferecias[[#This Row],[Segundo Conteo]]-(Analisis_Diferecias[[#This Row],[Primer Conteo]])</f>
        <v>0</v>
      </c>
      <c r="H3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" s="12">
        <f>SUMIFS(Analisis_Diferecias_Tercer_conteo[Tercer_conteo],Analisis_Diferecias_Tercer_conteo[ID],Analisis_Diferecias[[#This Row],[ID]])</f>
        <v>0</v>
      </c>
      <c r="J31" s="12">
        <f>IF(Analisis_Diferecias[[#This Row],[Tipo de incidencia]]="OK",Analisis_Diferecias[[#This Row],[Segundo Conteo]],Analisis_Diferecias[[#This Row],[Tercer Conteo]])</f>
        <v>0</v>
      </c>
      <c r="K31" s="12">
        <f>+(Analisis_Diferecias[[#This Row],[Cantidad Total de Conteos]]-(Analisis_Diferecias[[#This Row],[Cantidad]]))</f>
        <v>-71</v>
      </c>
      <c r="L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" s="18"/>
      <c r="N31" s="18">
        <f>Analisis_Diferecias[[#This Row],[Costo Unitario($)]]*Analisis_Diferecias[[#This Row],[Cantidad Total de Conteos]]</f>
        <v>0</v>
      </c>
      <c r="O31" s="18">
        <f>Analisis_Diferecias[[#This Row],[Costo Unitario($)]]*Analisis_Diferecias[[#This Row],[Cantidad]]</f>
        <v>0</v>
      </c>
      <c r="P31" s="20">
        <f>+Analisis_Diferecias[[#This Row],[Valor Total Contado]]-Analisis_Diferecias[[#This Row],[Costo Total Sistema]]</f>
        <v>0</v>
      </c>
      <c r="Q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" spans="1:17" x14ac:dyDescent="0.2">
      <c r="A32">
        <v>6773</v>
      </c>
      <c r="B32" t="s">
        <v>38</v>
      </c>
      <c r="C32" t="s">
        <v>39</v>
      </c>
      <c r="D32">
        <v>59</v>
      </c>
      <c r="E32" s="12">
        <f>SUMIFS('Consolidado conteo 1'!$F:$F,'Consolidado conteo 1'!$C:$C,Analisis_Diferecias[[#This Row],[ID]],'Consolidado conteo 1'!$I:$I,Analisis_Diferecias[[#Headers],[Primer Conteo]])</f>
        <v>0</v>
      </c>
      <c r="F32" s="12">
        <f>SUMIFS('Consolidado conteo 2'!$F:$F,'Consolidado conteo 2'!$C:$C,Analisis_Diferecias[[#This Row],[ID]],'Consolidado conteo 2'!$I:$I,Analisis_Diferecias[[#Headers],[Segundo Conteo]])</f>
        <v>0</v>
      </c>
      <c r="G32" s="12">
        <f>+Analisis_Diferecias[[#This Row],[Segundo Conteo]]-(Analisis_Diferecias[[#This Row],[Primer Conteo]])</f>
        <v>0</v>
      </c>
      <c r="H3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" s="12">
        <f>SUMIFS(Analisis_Diferecias_Tercer_conteo[Tercer_conteo],Analisis_Diferecias_Tercer_conteo[ID],Analisis_Diferecias[[#This Row],[ID]])</f>
        <v>0</v>
      </c>
      <c r="J32" s="12">
        <f>IF(Analisis_Diferecias[[#This Row],[Tipo de incidencia]]="OK",Analisis_Diferecias[[#This Row],[Segundo Conteo]],Analisis_Diferecias[[#This Row],[Tercer Conteo]])</f>
        <v>0</v>
      </c>
      <c r="K32" s="12">
        <f>+(Analisis_Diferecias[[#This Row],[Cantidad Total de Conteos]]-(Analisis_Diferecias[[#This Row],[Cantidad]]))</f>
        <v>-59</v>
      </c>
      <c r="L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" s="18"/>
      <c r="N32" s="18">
        <f>Analisis_Diferecias[[#This Row],[Costo Unitario($)]]*Analisis_Diferecias[[#This Row],[Cantidad Total de Conteos]]</f>
        <v>0</v>
      </c>
      <c r="O32" s="18">
        <f>Analisis_Diferecias[[#This Row],[Costo Unitario($)]]*Analisis_Diferecias[[#This Row],[Cantidad]]</f>
        <v>0</v>
      </c>
      <c r="P32" s="20">
        <f>+Analisis_Diferecias[[#This Row],[Valor Total Contado]]-Analisis_Diferecias[[#This Row],[Costo Total Sistema]]</f>
        <v>0</v>
      </c>
      <c r="Q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" spans="1:17" x14ac:dyDescent="0.2">
      <c r="A33">
        <v>10386</v>
      </c>
      <c r="B33" t="s">
        <v>40</v>
      </c>
      <c r="C33" t="s">
        <v>41</v>
      </c>
      <c r="D33">
        <v>55</v>
      </c>
      <c r="E33" s="12">
        <f>SUMIFS('Consolidado conteo 1'!$F:$F,'Consolidado conteo 1'!$C:$C,Analisis_Diferecias[[#This Row],[ID]],'Consolidado conteo 1'!$I:$I,Analisis_Diferecias[[#Headers],[Primer Conteo]])</f>
        <v>0</v>
      </c>
      <c r="F33" s="12">
        <f>SUMIFS('Consolidado conteo 2'!$F:$F,'Consolidado conteo 2'!$C:$C,Analisis_Diferecias[[#This Row],[ID]],'Consolidado conteo 2'!$I:$I,Analisis_Diferecias[[#Headers],[Segundo Conteo]])</f>
        <v>0</v>
      </c>
      <c r="G33" s="12">
        <f>+Analisis_Diferecias[[#This Row],[Segundo Conteo]]-(Analisis_Diferecias[[#This Row],[Primer Conteo]])</f>
        <v>0</v>
      </c>
      <c r="H3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" s="12">
        <f>SUMIFS(Analisis_Diferecias_Tercer_conteo[Tercer_conteo],Analisis_Diferecias_Tercer_conteo[ID],Analisis_Diferecias[[#This Row],[ID]])</f>
        <v>0</v>
      </c>
      <c r="J33" s="12">
        <f>IF(Analisis_Diferecias[[#This Row],[Tipo de incidencia]]="OK",Analisis_Diferecias[[#This Row],[Segundo Conteo]],Analisis_Diferecias[[#This Row],[Tercer Conteo]])</f>
        <v>0</v>
      </c>
      <c r="K33" s="12">
        <f>+(Analisis_Diferecias[[#This Row],[Cantidad Total de Conteos]]-(Analisis_Diferecias[[#This Row],[Cantidad]]))</f>
        <v>-55</v>
      </c>
      <c r="L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" s="18"/>
      <c r="N33" s="18">
        <f>Analisis_Diferecias[[#This Row],[Costo Unitario($)]]*Analisis_Diferecias[[#This Row],[Cantidad Total de Conteos]]</f>
        <v>0</v>
      </c>
      <c r="O33" s="18">
        <f>Analisis_Diferecias[[#This Row],[Costo Unitario($)]]*Analisis_Diferecias[[#This Row],[Cantidad]]</f>
        <v>0</v>
      </c>
      <c r="P33" s="20">
        <f>+Analisis_Diferecias[[#This Row],[Valor Total Contado]]-Analisis_Diferecias[[#This Row],[Costo Total Sistema]]</f>
        <v>0</v>
      </c>
      <c r="Q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4" spans="1:17" x14ac:dyDescent="0.2">
      <c r="A34">
        <v>10405</v>
      </c>
      <c r="B34" t="s">
        <v>42</v>
      </c>
      <c r="C34" t="s">
        <v>43</v>
      </c>
      <c r="D34">
        <v>51</v>
      </c>
      <c r="E34" s="12">
        <f>SUMIFS('Consolidado conteo 1'!$F:$F,'Consolidado conteo 1'!$C:$C,Analisis_Diferecias[[#This Row],[ID]],'Consolidado conteo 1'!$I:$I,Analisis_Diferecias[[#Headers],[Primer Conteo]])</f>
        <v>0</v>
      </c>
      <c r="F34" s="12">
        <f>SUMIFS('Consolidado conteo 2'!$F:$F,'Consolidado conteo 2'!$C:$C,Analisis_Diferecias[[#This Row],[ID]],'Consolidado conteo 2'!$I:$I,Analisis_Diferecias[[#Headers],[Segundo Conteo]])</f>
        <v>0</v>
      </c>
      <c r="G34" s="12">
        <f>+Analisis_Diferecias[[#This Row],[Segundo Conteo]]-(Analisis_Diferecias[[#This Row],[Primer Conteo]])</f>
        <v>0</v>
      </c>
      <c r="H3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4" s="12">
        <f>SUMIFS(Analisis_Diferecias_Tercer_conteo[Tercer_conteo],Analisis_Diferecias_Tercer_conteo[ID],Analisis_Diferecias[[#This Row],[ID]])</f>
        <v>0</v>
      </c>
      <c r="J34" s="12">
        <f>IF(Analisis_Diferecias[[#This Row],[Tipo de incidencia]]="OK",Analisis_Diferecias[[#This Row],[Segundo Conteo]],Analisis_Diferecias[[#This Row],[Tercer Conteo]])</f>
        <v>0</v>
      </c>
      <c r="K34" s="12">
        <f>+(Analisis_Diferecias[[#This Row],[Cantidad Total de Conteos]]-(Analisis_Diferecias[[#This Row],[Cantidad]]))</f>
        <v>-51</v>
      </c>
      <c r="L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4" s="18"/>
      <c r="N34" s="18">
        <f>Analisis_Diferecias[[#This Row],[Costo Unitario($)]]*Analisis_Diferecias[[#This Row],[Cantidad Total de Conteos]]</f>
        <v>0</v>
      </c>
      <c r="O34" s="18">
        <f>Analisis_Diferecias[[#This Row],[Costo Unitario($)]]*Analisis_Diferecias[[#This Row],[Cantidad]]</f>
        <v>0</v>
      </c>
      <c r="P34" s="20">
        <f>+Analisis_Diferecias[[#This Row],[Valor Total Contado]]-Analisis_Diferecias[[#This Row],[Costo Total Sistema]]</f>
        <v>0</v>
      </c>
      <c r="Q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5" spans="1:17" x14ac:dyDescent="0.2">
      <c r="A35">
        <v>6766</v>
      </c>
      <c r="B35" t="s">
        <v>44</v>
      </c>
      <c r="C35" t="s">
        <v>45</v>
      </c>
      <c r="D35">
        <v>51</v>
      </c>
      <c r="E35" s="12">
        <f>SUMIFS('Consolidado conteo 1'!$F:$F,'Consolidado conteo 1'!$C:$C,Analisis_Diferecias[[#This Row],[ID]],'Consolidado conteo 1'!$I:$I,Analisis_Diferecias[[#Headers],[Primer Conteo]])</f>
        <v>0</v>
      </c>
      <c r="F35" s="12">
        <f>SUMIFS('Consolidado conteo 2'!$F:$F,'Consolidado conteo 2'!$C:$C,Analisis_Diferecias[[#This Row],[ID]],'Consolidado conteo 2'!$I:$I,Analisis_Diferecias[[#Headers],[Segundo Conteo]])</f>
        <v>0</v>
      </c>
      <c r="G35" s="12">
        <f>+Analisis_Diferecias[[#This Row],[Segundo Conteo]]-(Analisis_Diferecias[[#This Row],[Primer Conteo]])</f>
        <v>0</v>
      </c>
      <c r="H3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5" s="12">
        <f>SUMIFS(Analisis_Diferecias_Tercer_conteo[Tercer_conteo],Analisis_Diferecias_Tercer_conteo[ID],Analisis_Diferecias[[#This Row],[ID]])</f>
        <v>0</v>
      </c>
      <c r="J35" s="12">
        <f>IF(Analisis_Diferecias[[#This Row],[Tipo de incidencia]]="OK",Analisis_Diferecias[[#This Row],[Segundo Conteo]],Analisis_Diferecias[[#This Row],[Tercer Conteo]])</f>
        <v>0</v>
      </c>
      <c r="K35" s="12">
        <f>+(Analisis_Diferecias[[#This Row],[Cantidad Total de Conteos]]-(Analisis_Diferecias[[#This Row],[Cantidad]]))</f>
        <v>-51</v>
      </c>
      <c r="L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5" s="18"/>
      <c r="N35" s="18">
        <f>Analisis_Diferecias[[#This Row],[Costo Unitario($)]]*Analisis_Diferecias[[#This Row],[Cantidad Total de Conteos]]</f>
        <v>0</v>
      </c>
      <c r="O35" s="18">
        <f>Analisis_Diferecias[[#This Row],[Costo Unitario($)]]*Analisis_Diferecias[[#This Row],[Cantidad]]</f>
        <v>0</v>
      </c>
      <c r="P35" s="20">
        <f>+Analisis_Diferecias[[#This Row],[Valor Total Contado]]-Analisis_Diferecias[[#This Row],[Costo Total Sistema]]</f>
        <v>0</v>
      </c>
      <c r="Q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6" spans="1:17" x14ac:dyDescent="0.2">
      <c r="A36">
        <v>10396</v>
      </c>
      <c r="B36" t="s">
        <v>46</v>
      </c>
      <c r="C36" t="s">
        <v>47</v>
      </c>
      <c r="D36">
        <v>50</v>
      </c>
      <c r="E36" s="12">
        <f>SUMIFS('Consolidado conteo 1'!$F:$F,'Consolidado conteo 1'!$C:$C,Analisis_Diferecias[[#This Row],[ID]],'Consolidado conteo 1'!$I:$I,Analisis_Diferecias[[#Headers],[Primer Conteo]])</f>
        <v>0</v>
      </c>
      <c r="F36" s="12">
        <f>SUMIFS('Consolidado conteo 2'!$F:$F,'Consolidado conteo 2'!$C:$C,Analisis_Diferecias[[#This Row],[ID]],'Consolidado conteo 2'!$I:$I,Analisis_Diferecias[[#Headers],[Segundo Conteo]])</f>
        <v>0</v>
      </c>
      <c r="G36" s="12">
        <f>+Analisis_Diferecias[[#This Row],[Segundo Conteo]]-(Analisis_Diferecias[[#This Row],[Primer Conteo]])</f>
        <v>0</v>
      </c>
      <c r="H3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6" s="12">
        <f>SUMIFS(Analisis_Diferecias_Tercer_conteo[Tercer_conteo],Analisis_Diferecias_Tercer_conteo[ID],Analisis_Diferecias[[#This Row],[ID]])</f>
        <v>0</v>
      </c>
      <c r="J36" s="12">
        <f>IF(Analisis_Diferecias[[#This Row],[Tipo de incidencia]]="OK",Analisis_Diferecias[[#This Row],[Segundo Conteo]],Analisis_Diferecias[[#This Row],[Tercer Conteo]])</f>
        <v>0</v>
      </c>
      <c r="K36" s="12">
        <f>+(Analisis_Diferecias[[#This Row],[Cantidad Total de Conteos]]-(Analisis_Diferecias[[#This Row],[Cantidad]]))</f>
        <v>-50</v>
      </c>
      <c r="L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6" s="18"/>
      <c r="N36" s="18">
        <f>Analisis_Diferecias[[#This Row],[Costo Unitario($)]]*Analisis_Diferecias[[#This Row],[Cantidad Total de Conteos]]</f>
        <v>0</v>
      </c>
      <c r="O36" s="18">
        <f>Analisis_Diferecias[[#This Row],[Costo Unitario($)]]*Analisis_Diferecias[[#This Row],[Cantidad]]</f>
        <v>0</v>
      </c>
      <c r="P36" s="20">
        <f>+Analisis_Diferecias[[#This Row],[Valor Total Contado]]-Analisis_Diferecias[[#This Row],[Costo Total Sistema]]</f>
        <v>0</v>
      </c>
      <c r="Q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7" spans="1:17" x14ac:dyDescent="0.2">
      <c r="A37">
        <v>11104</v>
      </c>
      <c r="B37" t="s">
        <v>48</v>
      </c>
      <c r="C37" t="s">
        <v>49</v>
      </c>
      <c r="D37">
        <v>47</v>
      </c>
      <c r="E37" s="12">
        <f>SUMIFS('Consolidado conteo 1'!$F:$F,'Consolidado conteo 1'!$C:$C,Analisis_Diferecias[[#This Row],[ID]],'Consolidado conteo 1'!$I:$I,Analisis_Diferecias[[#Headers],[Primer Conteo]])</f>
        <v>0</v>
      </c>
      <c r="F37" s="12">
        <f>SUMIFS('Consolidado conteo 2'!$F:$F,'Consolidado conteo 2'!$C:$C,Analisis_Diferecias[[#This Row],[ID]],'Consolidado conteo 2'!$I:$I,Analisis_Diferecias[[#Headers],[Segundo Conteo]])</f>
        <v>0</v>
      </c>
      <c r="G37" s="12">
        <f>+Analisis_Diferecias[[#This Row],[Segundo Conteo]]-(Analisis_Diferecias[[#This Row],[Primer Conteo]])</f>
        <v>0</v>
      </c>
      <c r="H3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7" s="12">
        <f>SUMIFS(Analisis_Diferecias_Tercer_conteo[Tercer_conteo],Analisis_Diferecias_Tercer_conteo[ID],Analisis_Diferecias[[#This Row],[ID]])</f>
        <v>0</v>
      </c>
      <c r="J37" s="12">
        <f>IF(Analisis_Diferecias[[#This Row],[Tipo de incidencia]]="OK",Analisis_Diferecias[[#This Row],[Segundo Conteo]],Analisis_Diferecias[[#This Row],[Tercer Conteo]])</f>
        <v>0</v>
      </c>
      <c r="K37" s="12">
        <f>+(Analisis_Diferecias[[#This Row],[Cantidad Total de Conteos]]-(Analisis_Diferecias[[#This Row],[Cantidad]]))</f>
        <v>-47</v>
      </c>
      <c r="L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7" s="18"/>
      <c r="N37" s="18">
        <f>Analisis_Diferecias[[#This Row],[Costo Unitario($)]]*Analisis_Diferecias[[#This Row],[Cantidad Total de Conteos]]</f>
        <v>0</v>
      </c>
      <c r="O37" s="18">
        <f>Analisis_Diferecias[[#This Row],[Costo Unitario($)]]*Analisis_Diferecias[[#This Row],[Cantidad]]</f>
        <v>0</v>
      </c>
      <c r="P37" s="20">
        <f>+Analisis_Diferecias[[#This Row],[Valor Total Contado]]-Analisis_Diferecias[[#This Row],[Costo Total Sistema]]</f>
        <v>0</v>
      </c>
      <c r="Q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8" spans="1:17" x14ac:dyDescent="0.2">
      <c r="A38">
        <v>533</v>
      </c>
      <c r="B38" t="s">
        <v>50</v>
      </c>
      <c r="C38" t="s">
        <v>51</v>
      </c>
      <c r="D38">
        <v>46</v>
      </c>
      <c r="E38" s="12">
        <f>SUMIFS('Consolidado conteo 1'!$F:$F,'Consolidado conteo 1'!$C:$C,Analisis_Diferecias[[#This Row],[ID]],'Consolidado conteo 1'!$I:$I,Analisis_Diferecias[[#Headers],[Primer Conteo]])</f>
        <v>0</v>
      </c>
      <c r="F38" s="12">
        <f>SUMIFS('Consolidado conteo 2'!$F:$F,'Consolidado conteo 2'!$C:$C,Analisis_Diferecias[[#This Row],[ID]],'Consolidado conteo 2'!$I:$I,Analisis_Diferecias[[#Headers],[Segundo Conteo]])</f>
        <v>0</v>
      </c>
      <c r="G38" s="12">
        <f>+Analisis_Diferecias[[#This Row],[Segundo Conteo]]-(Analisis_Diferecias[[#This Row],[Primer Conteo]])</f>
        <v>0</v>
      </c>
      <c r="H3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8" s="12">
        <f>SUMIFS(Analisis_Diferecias_Tercer_conteo[Tercer_conteo],Analisis_Diferecias_Tercer_conteo[ID],Analisis_Diferecias[[#This Row],[ID]])</f>
        <v>0</v>
      </c>
      <c r="J38" s="12">
        <f>IF(Analisis_Diferecias[[#This Row],[Tipo de incidencia]]="OK",Analisis_Diferecias[[#This Row],[Segundo Conteo]],Analisis_Diferecias[[#This Row],[Tercer Conteo]])</f>
        <v>0</v>
      </c>
      <c r="K38" s="12">
        <f>+(Analisis_Diferecias[[#This Row],[Cantidad Total de Conteos]]-(Analisis_Diferecias[[#This Row],[Cantidad]]))</f>
        <v>-46</v>
      </c>
      <c r="L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8" s="18"/>
      <c r="N38" s="18">
        <f>Analisis_Diferecias[[#This Row],[Costo Unitario($)]]*Analisis_Diferecias[[#This Row],[Cantidad Total de Conteos]]</f>
        <v>0</v>
      </c>
      <c r="O38" s="18">
        <f>Analisis_Diferecias[[#This Row],[Costo Unitario($)]]*Analisis_Diferecias[[#This Row],[Cantidad]]</f>
        <v>0</v>
      </c>
      <c r="P38" s="20">
        <f>+Analisis_Diferecias[[#This Row],[Valor Total Contado]]-Analisis_Diferecias[[#This Row],[Costo Total Sistema]]</f>
        <v>0</v>
      </c>
      <c r="Q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9" spans="1:17" x14ac:dyDescent="0.2">
      <c r="A39">
        <v>9710</v>
      </c>
      <c r="B39" t="s">
        <v>52</v>
      </c>
      <c r="C39" t="s">
        <v>53</v>
      </c>
      <c r="D39">
        <v>38</v>
      </c>
      <c r="E39" s="12">
        <f>SUMIFS('Consolidado conteo 1'!$F:$F,'Consolidado conteo 1'!$C:$C,Analisis_Diferecias[[#This Row],[ID]],'Consolidado conteo 1'!$I:$I,Analisis_Diferecias[[#Headers],[Primer Conteo]])</f>
        <v>0</v>
      </c>
      <c r="F39" s="12">
        <f>SUMIFS('Consolidado conteo 2'!$F:$F,'Consolidado conteo 2'!$C:$C,Analisis_Diferecias[[#This Row],[ID]],'Consolidado conteo 2'!$I:$I,Analisis_Diferecias[[#Headers],[Segundo Conteo]])</f>
        <v>0</v>
      </c>
      <c r="G39" s="12">
        <f>+Analisis_Diferecias[[#This Row],[Segundo Conteo]]-(Analisis_Diferecias[[#This Row],[Primer Conteo]])</f>
        <v>0</v>
      </c>
      <c r="H3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9" s="12">
        <f>SUMIFS(Analisis_Diferecias_Tercer_conteo[Tercer_conteo],Analisis_Diferecias_Tercer_conteo[ID],Analisis_Diferecias[[#This Row],[ID]])</f>
        <v>0</v>
      </c>
      <c r="J39" s="12">
        <f>IF(Analisis_Diferecias[[#This Row],[Tipo de incidencia]]="OK",Analisis_Diferecias[[#This Row],[Segundo Conteo]],Analisis_Diferecias[[#This Row],[Tercer Conteo]])</f>
        <v>0</v>
      </c>
      <c r="K39" s="12">
        <f>+(Analisis_Diferecias[[#This Row],[Cantidad Total de Conteos]]-(Analisis_Diferecias[[#This Row],[Cantidad]]))</f>
        <v>-38</v>
      </c>
      <c r="L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9" s="18"/>
      <c r="N39" s="18">
        <f>Analisis_Diferecias[[#This Row],[Costo Unitario($)]]*Analisis_Diferecias[[#This Row],[Cantidad Total de Conteos]]</f>
        <v>0</v>
      </c>
      <c r="O39" s="18">
        <f>Analisis_Diferecias[[#This Row],[Costo Unitario($)]]*Analisis_Diferecias[[#This Row],[Cantidad]]</f>
        <v>0</v>
      </c>
      <c r="P39" s="20">
        <f>+Analisis_Diferecias[[#This Row],[Valor Total Contado]]-Analisis_Diferecias[[#This Row],[Costo Total Sistema]]</f>
        <v>0</v>
      </c>
      <c r="Q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0" spans="1:17" x14ac:dyDescent="0.2">
      <c r="A40">
        <v>13910</v>
      </c>
      <c r="B40" t="s">
        <v>54</v>
      </c>
      <c r="C40" t="s">
        <v>55</v>
      </c>
      <c r="D40">
        <v>34</v>
      </c>
      <c r="E40" s="12">
        <f>SUMIFS('Consolidado conteo 1'!$F:$F,'Consolidado conteo 1'!$C:$C,Analisis_Diferecias[[#This Row],[ID]],'Consolidado conteo 1'!$I:$I,Analisis_Diferecias[[#Headers],[Primer Conteo]])</f>
        <v>0</v>
      </c>
      <c r="F40" s="12">
        <f>SUMIFS('Consolidado conteo 2'!$F:$F,'Consolidado conteo 2'!$C:$C,Analisis_Diferecias[[#This Row],[ID]],'Consolidado conteo 2'!$I:$I,Analisis_Diferecias[[#Headers],[Segundo Conteo]])</f>
        <v>0</v>
      </c>
      <c r="G40" s="12">
        <f>+Analisis_Diferecias[[#This Row],[Segundo Conteo]]-(Analisis_Diferecias[[#This Row],[Primer Conteo]])</f>
        <v>0</v>
      </c>
      <c r="H4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0" s="12">
        <f>SUMIFS(Analisis_Diferecias_Tercer_conteo[Tercer_conteo],Analisis_Diferecias_Tercer_conteo[ID],Analisis_Diferecias[[#This Row],[ID]])</f>
        <v>0</v>
      </c>
      <c r="J40" s="12">
        <f>IF(Analisis_Diferecias[[#This Row],[Tipo de incidencia]]="OK",Analisis_Diferecias[[#This Row],[Segundo Conteo]],Analisis_Diferecias[[#This Row],[Tercer Conteo]])</f>
        <v>0</v>
      </c>
      <c r="K40" s="12">
        <f>+(Analisis_Diferecias[[#This Row],[Cantidad Total de Conteos]]-(Analisis_Diferecias[[#This Row],[Cantidad]]))</f>
        <v>-34</v>
      </c>
      <c r="L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0" s="18"/>
      <c r="N40" s="18">
        <f>Analisis_Diferecias[[#This Row],[Costo Unitario($)]]*Analisis_Diferecias[[#This Row],[Cantidad Total de Conteos]]</f>
        <v>0</v>
      </c>
      <c r="O40" s="18">
        <f>Analisis_Diferecias[[#This Row],[Costo Unitario($)]]*Analisis_Diferecias[[#This Row],[Cantidad]]</f>
        <v>0</v>
      </c>
      <c r="P40" s="20">
        <f>+Analisis_Diferecias[[#This Row],[Valor Total Contado]]-Analisis_Diferecias[[#This Row],[Costo Total Sistema]]</f>
        <v>0</v>
      </c>
      <c r="Q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1" spans="1:17" x14ac:dyDescent="0.2">
      <c r="A41">
        <v>11250</v>
      </c>
      <c r="B41" t="s">
        <v>56</v>
      </c>
      <c r="C41" t="s">
        <v>57</v>
      </c>
      <c r="D41">
        <v>31</v>
      </c>
      <c r="E41" s="12">
        <f>SUMIFS('Consolidado conteo 1'!$F:$F,'Consolidado conteo 1'!$C:$C,Analisis_Diferecias[[#This Row],[ID]],'Consolidado conteo 1'!$I:$I,Analisis_Diferecias[[#Headers],[Primer Conteo]])</f>
        <v>0</v>
      </c>
      <c r="F41" s="12">
        <f>SUMIFS('Consolidado conteo 2'!$F:$F,'Consolidado conteo 2'!$C:$C,Analisis_Diferecias[[#This Row],[ID]],'Consolidado conteo 2'!$I:$I,Analisis_Diferecias[[#Headers],[Segundo Conteo]])</f>
        <v>0</v>
      </c>
      <c r="G41" s="12">
        <f>+Analisis_Diferecias[[#This Row],[Segundo Conteo]]-(Analisis_Diferecias[[#This Row],[Primer Conteo]])</f>
        <v>0</v>
      </c>
      <c r="H4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1" s="12">
        <f>SUMIFS(Analisis_Diferecias_Tercer_conteo[Tercer_conteo],Analisis_Diferecias_Tercer_conteo[ID],Analisis_Diferecias[[#This Row],[ID]])</f>
        <v>0</v>
      </c>
      <c r="J41" s="12">
        <f>IF(Analisis_Diferecias[[#This Row],[Tipo de incidencia]]="OK",Analisis_Diferecias[[#This Row],[Segundo Conteo]],Analisis_Diferecias[[#This Row],[Tercer Conteo]])</f>
        <v>0</v>
      </c>
      <c r="K41" s="12">
        <f>+(Analisis_Diferecias[[#This Row],[Cantidad Total de Conteos]]-(Analisis_Diferecias[[#This Row],[Cantidad]]))</f>
        <v>-31</v>
      </c>
      <c r="L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1" s="18"/>
      <c r="N41" s="18">
        <f>Analisis_Diferecias[[#This Row],[Costo Unitario($)]]*Analisis_Diferecias[[#This Row],[Cantidad Total de Conteos]]</f>
        <v>0</v>
      </c>
      <c r="O41" s="18">
        <f>Analisis_Diferecias[[#This Row],[Costo Unitario($)]]*Analisis_Diferecias[[#This Row],[Cantidad]]</f>
        <v>0</v>
      </c>
      <c r="P41" s="20">
        <f>+Analisis_Diferecias[[#This Row],[Valor Total Contado]]-Analisis_Diferecias[[#This Row],[Costo Total Sistema]]</f>
        <v>0</v>
      </c>
      <c r="Q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2" spans="1:17" x14ac:dyDescent="0.2">
      <c r="A42">
        <v>11103</v>
      </c>
      <c r="B42" t="s">
        <v>58</v>
      </c>
      <c r="C42" t="s">
        <v>59</v>
      </c>
      <c r="D42">
        <v>31</v>
      </c>
      <c r="E42" s="12">
        <f>SUMIFS('Consolidado conteo 1'!$F:$F,'Consolidado conteo 1'!$C:$C,Analisis_Diferecias[[#This Row],[ID]],'Consolidado conteo 1'!$I:$I,Analisis_Diferecias[[#Headers],[Primer Conteo]])</f>
        <v>0</v>
      </c>
      <c r="F42" s="12">
        <f>SUMIFS('Consolidado conteo 2'!$F:$F,'Consolidado conteo 2'!$C:$C,Analisis_Diferecias[[#This Row],[ID]],'Consolidado conteo 2'!$I:$I,Analisis_Diferecias[[#Headers],[Segundo Conteo]])</f>
        <v>0</v>
      </c>
      <c r="G42" s="12">
        <f>+Analisis_Diferecias[[#This Row],[Segundo Conteo]]-(Analisis_Diferecias[[#This Row],[Primer Conteo]])</f>
        <v>0</v>
      </c>
      <c r="H4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2" s="12">
        <f>SUMIFS(Analisis_Diferecias_Tercer_conteo[Tercer_conteo],Analisis_Diferecias_Tercer_conteo[ID],Analisis_Diferecias[[#This Row],[ID]])</f>
        <v>0</v>
      </c>
      <c r="J42" s="12">
        <f>IF(Analisis_Diferecias[[#This Row],[Tipo de incidencia]]="OK",Analisis_Diferecias[[#This Row],[Segundo Conteo]],Analisis_Diferecias[[#This Row],[Tercer Conteo]])</f>
        <v>0</v>
      </c>
      <c r="K42" s="12">
        <f>+(Analisis_Diferecias[[#This Row],[Cantidad Total de Conteos]]-(Analisis_Diferecias[[#This Row],[Cantidad]]))</f>
        <v>-31</v>
      </c>
      <c r="L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2" s="18"/>
      <c r="N42" s="18">
        <f>Analisis_Diferecias[[#This Row],[Costo Unitario($)]]*Analisis_Diferecias[[#This Row],[Cantidad Total de Conteos]]</f>
        <v>0</v>
      </c>
      <c r="O42" s="18">
        <f>Analisis_Diferecias[[#This Row],[Costo Unitario($)]]*Analisis_Diferecias[[#This Row],[Cantidad]]</f>
        <v>0</v>
      </c>
      <c r="P42" s="20">
        <f>+Analisis_Diferecias[[#This Row],[Valor Total Contado]]-Analisis_Diferecias[[#This Row],[Costo Total Sistema]]</f>
        <v>0</v>
      </c>
      <c r="Q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3" spans="1:17" x14ac:dyDescent="0.2">
      <c r="A43">
        <v>10575</v>
      </c>
      <c r="B43" t="s">
        <v>60</v>
      </c>
      <c r="C43" t="s">
        <v>61</v>
      </c>
      <c r="D43">
        <v>30</v>
      </c>
      <c r="E43" s="12">
        <f>SUMIFS('Consolidado conteo 1'!$F:$F,'Consolidado conteo 1'!$C:$C,Analisis_Diferecias[[#This Row],[ID]],'Consolidado conteo 1'!$I:$I,Analisis_Diferecias[[#Headers],[Primer Conteo]])</f>
        <v>0</v>
      </c>
      <c r="F43" s="12">
        <f>SUMIFS('Consolidado conteo 2'!$F:$F,'Consolidado conteo 2'!$C:$C,Analisis_Diferecias[[#This Row],[ID]],'Consolidado conteo 2'!$I:$I,Analisis_Diferecias[[#Headers],[Segundo Conteo]])</f>
        <v>0</v>
      </c>
      <c r="G43" s="12">
        <f>+Analisis_Diferecias[[#This Row],[Segundo Conteo]]-(Analisis_Diferecias[[#This Row],[Primer Conteo]])</f>
        <v>0</v>
      </c>
      <c r="H4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3" s="12">
        <f>SUMIFS(Analisis_Diferecias_Tercer_conteo[Tercer_conteo],Analisis_Diferecias_Tercer_conteo[ID],Analisis_Diferecias[[#This Row],[ID]])</f>
        <v>0</v>
      </c>
      <c r="J43" s="12">
        <f>IF(Analisis_Diferecias[[#This Row],[Tipo de incidencia]]="OK",Analisis_Diferecias[[#This Row],[Segundo Conteo]],Analisis_Diferecias[[#This Row],[Tercer Conteo]])</f>
        <v>0</v>
      </c>
      <c r="K43" s="12">
        <f>+(Analisis_Diferecias[[#This Row],[Cantidad Total de Conteos]]-(Analisis_Diferecias[[#This Row],[Cantidad]]))</f>
        <v>-30</v>
      </c>
      <c r="L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3" s="18"/>
      <c r="N43" s="18">
        <f>Analisis_Diferecias[[#This Row],[Costo Unitario($)]]*Analisis_Diferecias[[#This Row],[Cantidad Total de Conteos]]</f>
        <v>0</v>
      </c>
      <c r="O43" s="18">
        <f>Analisis_Diferecias[[#This Row],[Costo Unitario($)]]*Analisis_Diferecias[[#This Row],[Cantidad]]</f>
        <v>0</v>
      </c>
      <c r="P43" s="20">
        <f>+Analisis_Diferecias[[#This Row],[Valor Total Contado]]-Analisis_Diferecias[[#This Row],[Costo Total Sistema]]</f>
        <v>0</v>
      </c>
      <c r="Q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4" spans="1:17" x14ac:dyDescent="0.2">
      <c r="A44">
        <v>13734</v>
      </c>
      <c r="B44" t="s">
        <v>62</v>
      </c>
      <c r="C44" t="s">
        <v>63</v>
      </c>
      <c r="D44">
        <v>30</v>
      </c>
      <c r="E44" s="12">
        <f>SUMIFS('Consolidado conteo 1'!$F:$F,'Consolidado conteo 1'!$C:$C,Analisis_Diferecias[[#This Row],[ID]],'Consolidado conteo 1'!$I:$I,Analisis_Diferecias[[#Headers],[Primer Conteo]])</f>
        <v>0</v>
      </c>
      <c r="F44" s="12">
        <f>SUMIFS('Consolidado conteo 2'!$F:$F,'Consolidado conteo 2'!$C:$C,Analisis_Diferecias[[#This Row],[ID]],'Consolidado conteo 2'!$I:$I,Analisis_Diferecias[[#Headers],[Segundo Conteo]])</f>
        <v>0</v>
      </c>
      <c r="G44" s="12">
        <f>+Analisis_Diferecias[[#This Row],[Segundo Conteo]]-(Analisis_Diferecias[[#This Row],[Primer Conteo]])</f>
        <v>0</v>
      </c>
      <c r="H4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4" s="12">
        <f>SUMIFS(Analisis_Diferecias_Tercer_conteo[Tercer_conteo],Analisis_Diferecias_Tercer_conteo[ID],Analisis_Diferecias[[#This Row],[ID]])</f>
        <v>0</v>
      </c>
      <c r="J44" s="12">
        <f>IF(Analisis_Diferecias[[#This Row],[Tipo de incidencia]]="OK",Analisis_Diferecias[[#This Row],[Segundo Conteo]],Analisis_Diferecias[[#This Row],[Tercer Conteo]])</f>
        <v>0</v>
      </c>
      <c r="K44" s="12">
        <f>+(Analisis_Diferecias[[#This Row],[Cantidad Total de Conteos]]-(Analisis_Diferecias[[#This Row],[Cantidad]]))</f>
        <v>-30</v>
      </c>
      <c r="L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4" s="18"/>
      <c r="N44" s="18">
        <f>Analisis_Diferecias[[#This Row],[Costo Unitario($)]]*Analisis_Diferecias[[#This Row],[Cantidad Total de Conteos]]</f>
        <v>0</v>
      </c>
      <c r="O44" s="18">
        <f>Analisis_Diferecias[[#This Row],[Costo Unitario($)]]*Analisis_Diferecias[[#This Row],[Cantidad]]</f>
        <v>0</v>
      </c>
      <c r="P44" s="20">
        <f>+Analisis_Diferecias[[#This Row],[Valor Total Contado]]-Analisis_Diferecias[[#This Row],[Costo Total Sistema]]</f>
        <v>0</v>
      </c>
      <c r="Q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5" spans="1:17" x14ac:dyDescent="0.2">
      <c r="A45">
        <v>10668</v>
      </c>
      <c r="B45" t="s">
        <v>64</v>
      </c>
      <c r="C45" t="s">
        <v>65</v>
      </c>
      <c r="D45">
        <v>29</v>
      </c>
      <c r="E45" s="12">
        <f>SUMIFS('Consolidado conteo 1'!$F:$F,'Consolidado conteo 1'!$C:$C,Analisis_Diferecias[[#This Row],[ID]],'Consolidado conteo 1'!$I:$I,Analisis_Diferecias[[#Headers],[Primer Conteo]])</f>
        <v>0</v>
      </c>
      <c r="F45" s="12">
        <f>SUMIFS('Consolidado conteo 2'!$F:$F,'Consolidado conteo 2'!$C:$C,Analisis_Diferecias[[#This Row],[ID]],'Consolidado conteo 2'!$I:$I,Analisis_Diferecias[[#Headers],[Segundo Conteo]])</f>
        <v>0</v>
      </c>
      <c r="G45" s="12">
        <f>+Analisis_Diferecias[[#This Row],[Segundo Conteo]]-(Analisis_Diferecias[[#This Row],[Primer Conteo]])</f>
        <v>0</v>
      </c>
      <c r="H4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5" s="12">
        <f>SUMIFS(Analisis_Diferecias_Tercer_conteo[Tercer_conteo],Analisis_Diferecias_Tercer_conteo[ID],Analisis_Diferecias[[#This Row],[ID]])</f>
        <v>0</v>
      </c>
      <c r="J45" s="12">
        <f>IF(Analisis_Diferecias[[#This Row],[Tipo de incidencia]]="OK",Analisis_Diferecias[[#This Row],[Segundo Conteo]],Analisis_Diferecias[[#This Row],[Tercer Conteo]])</f>
        <v>0</v>
      </c>
      <c r="K45" s="12">
        <f>+(Analisis_Diferecias[[#This Row],[Cantidad Total de Conteos]]-(Analisis_Diferecias[[#This Row],[Cantidad]]))</f>
        <v>-29</v>
      </c>
      <c r="L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5" s="18"/>
      <c r="N45" s="18">
        <f>Analisis_Diferecias[[#This Row],[Costo Unitario($)]]*Analisis_Diferecias[[#This Row],[Cantidad Total de Conteos]]</f>
        <v>0</v>
      </c>
      <c r="O45" s="18">
        <f>Analisis_Diferecias[[#This Row],[Costo Unitario($)]]*Analisis_Diferecias[[#This Row],[Cantidad]]</f>
        <v>0</v>
      </c>
      <c r="P45" s="20">
        <f>+Analisis_Diferecias[[#This Row],[Valor Total Contado]]-Analisis_Diferecias[[#This Row],[Costo Total Sistema]]</f>
        <v>0</v>
      </c>
      <c r="Q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6" spans="1:17" x14ac:dyDescent="0.2">
      <c r="A46">
        <v>7490</v>
      </c>
      <c r="B46" t="s">
        <v>66</v>
      </c>
      <c r="C46" t="s">
        <v>67</v>
      </c>
      <c r="D46">
        <v>27</v>
      </c>
      <c r="E46" s="12">
        <f>SUMIFS('Consolidado conteo 1'!$F:$F,'Consolidado conteo 1'!$C:$C,Analisis_Diferecias[[#This Row],[ID]],'Consolidado conteo 1'!$I:$I,Analisis_Diferecias[[#Headers],[Primer Conteo]])</f>
        <v>0</v>
      </c>
      <c r="F46" s="12">
        <f>SUMIFS('Consolidado conteo 2'!$F:$F,'Consolidado conteo 2'!$C:$C,Analisis_Diferecias[[#This Row],[ID]],'Consolidado conteo 2'!$I:$I,Analisis_Diferecias[[#Headers],[Segundo Conteo]])</f>
        <v>0</v>
      </c>
      <c r="G46" s="12">
        <f>+Analisis_Diferecias[[#This Row],[Segundo Conteo]]-(Analisis_Diferecias[[#This Row],[Primer Conteo]])</f>
        <v>0</v>
      </c>
      <c r="H4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6" s="12">
        <f>SUMIFS(Analisis_Diferecias_Tercer_conteo[Tercer_conteo],Analisis_Diferecias_Tercer_conteo[ID],Analisis_Diferecias[[#This Row],[ID]])</f>
        <v>0</v>
      </c>
      <c r="J46" s="12">
        <f>IF(Analisis_Diferecias[[#This Row],[Tipo de incidencia]]="OK",Analisis_Diferecias[[#This Row],[Segundo Conteo]],Analisis_Diferecias[[#This Row],[Tercer Conteo]])</f>
        <v>0</v>
      </c>
      <c r="K46" s="12">
        <f>+(Analisis_Diferecias[[#This Row],[Cantidad Total de Conteos]]-(Analisis_Diferecias[[#This Row],[Cantidad]]))</f>
        <v>-27</v>
      </c>
      <c r="L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6" s="18"/>
      <c r="N46" s="18">
        <f>Analisis_Diferecias[[#This Row],[Costo Unitario($)]]*Analisis_Diferecias[[#This Row],[Cantidad Total de Conteos]]</f>
        <v>0</v>
      </c>
      <c r="O46" s="18">
        <f>Analisis_Diferecias[[#This Row],[Costo Unitario($)]]*Analisis_Diferecias[[#This Row],[Cantidad]]</f>
        <v>0</v>
      </c>
      <c r="P46" s="20">
        <f>+Analisis_Diferecias[[#This Row],[Valor Total Contado]]-Analisis_Diferecias[[#This Row],[Costo Total Sistema]]</f>
        <v>0</v>
      </c>
      <c r="Q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7" spans="1:17" x14ac:dyDescent="0.2">
      <c r="A47">
        <v>10348</v>
      </c>
      <c r="B47" t="s">
        <v>68</v>
      </c>
      <c r="C47" t="s">
        <v>69</v>
      </c>
      <c r="D47">
        <v>23</v>
      </c>
      <c r="E47" s="12">
        <f>SUMIFS('Consolidado conteo 1'!$F:$F,'Consolidado conteo 1'!$C:$C,Analisis_Diferecias[[#This Row],[ID]],'Consolidado conteo 1'!$I:$I,Analisis_Diferecias[[#Headers],[Primer Conteo]])</f>
        <v>0</v>
      </c>
      <c r="F47" s="12">
        <f>SUMIFS('Consolidado conteo 2'!$F:$F,'Consolidado conteo 2'!$C:$C,Analisis_Diferecias[[#This Row],[ID]],'Consolidado conteo 2'!$I:$I,Analisis_Diferecias[[#Headers],[Segundo Conteo]])</f>
        <v>0</v>
      </c>
      <c r="G47" s="12">
        <f>+Analisis_Diferecias[[#This Row],[Segundo Conteo]]-(Analisis_Diferecias[[#This Row],[Primer Conteo]])</f>
        <v>0</v>
      </c>
      <c r="H4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7" s="12">
        <f>SUMIFS(Analisis_Diferecias_Tercer_conteo[Tercer_conteo],Analisis_Diferecias_Tercer_conteo[ID],Analisis_Diferecias[[#This Row],[ID]])</f>
        <v>0</v>
      </c>
      <c r="J47" s="12">
        <f>IF(Analisis_Diferecias[[#This Row],[Tipo de incidencia]]="OK",Analisis_Diferecias[[#This Row],[Segundo Conteo]],Analisis_Diferecias[[#This Row],[Tercer Conteo]])</f>
        <v>0</v>
      </c>
      <c r="K47" s="12">
        <f>+(Analisis_Diferecias[[#This Row],[Cantidad Total de Conteos]]-(Analisis_Diferecias[[#This Row],[Cantidad]]))</f>
        <v>-23</v>
      </c>
      <c r="L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7" s="18"/>
      <c r="N47" s="18">
        <f>Analisis_Diferecias[[#This Row],[Costo Unitario($)]]*Analisis_Diferecias[[#This Row],[Cantidad Total de Conteos]]</f>
        <v>0</v>
      </c>
      <c r="O47" s="18">
        <f>Analisis_Diferecias[[#This Row],[Costo Unitario($)]]*Analisis_Diferecias[[#This Row],[Cantidad]]</f>
        <v>0</v>
      </c>
      <c r="P47" s="20">
        <f>+Analisis_Diferecias[[#This Row],[Valor Total Contado]]-Analisis_Diferecias[[#This Row],[Costo Total Sistema]]</f>
        <v>0</v>
      </c>
      <c r="Q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8" spans="1:17" x14ac:dyDescent="0.2">
      <c r="A48">
        <v>10407</v>
      </c>
      <c r="B48" t="s">
        <v>70</v>
      </c>
      <c r="C48" t="s">
        <v>71</v>
      </c>
      <c r="D48">
        <v>22</v>
      </c>
      <c r="E48" s="12">
        <f>SUMIFS('Consolidado conteo 1'!$F:$F,'Consolidado conteo 1'!$C:$C,Analisis_Diferecias[[#This Row],[ID]],'Consolidado conteo 1'!$I:$I,Analisis_Diferecias[[#Headers],[Primer Conteo]])</f>
        <v>0</v>
      </c>
      <c r="F48" s="12">
        <f>SUMIFS('Consolidado conteo 2'!$F:$F,'Consolidado conteo 2'!$C:$C,Analisis_Diferecias[[#This Row],[ID]],'Consolidado conteo 2'!$I:$I,Analisis_Diferecias[[#Headers],[Segundo Conteo]])</f>
        <v>0</v>
      </c>
      <c r="G48" s="12">
        <f>+Analisis_Diferecias[[#This Row],[Segundo Conteo]]-(Analisis_Diferecias[[#This Row],[Primer Conteo]])</f>
        <v>0</v>
      </c>
      <c r="H4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8" s="12">
        <f>SUMIFS(Analisis_Diferecias_Tercer_conteo[Tercer_conteo],Analisis_Diferecias_Tercer_conteo[ID],Analisis_Diferecias[[#This Row],[ID]])</f>
        <v>0</v>
      </c>
      <c r="J48" s="12">
        <f>IF(Analisis_Diferecias[[#This Row],[Tipo de incidencia]]="OK",Analisis_Diferecias[[#This Row],[Segundo Conteo]],Analisis_Diferecias[[#This Row],[Tercer Conteo]])</f>
        <v>0</v>
      </c>
      <c r="K48" s="12">
        <f>+(Analisis_Diferecias[[#This Row],[Cantidad Total de Conteos]]-(Analisis_Diferecias[[#This Row],[Cantidad]]))</f>
        <v>-22</v>
      </c>
      <c r="L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8" s="18"/>
      <c r="N48" s="18">
        <f>Analisis_Diferecias[[#This Row],[Costo Unitario($)]]*Analisis_Diferecias[[#This Row],[Cantidad Total de Conteos]]</f>
        <v>0</v>
      </c>
      <c r="O48" s="18">
        <f>Analisis_Diferecias[[#This Row],[Costo Unitario($)]]*Analisis_Diferecias[[#This Row],[Cantidad]]</f>
        <v>0</v>
      </c>
      <c r="P48" s="20">
        <f>+Analisis_Diferecias[[#This Row],[Valor Total Contado]]-Analisis_Diferecias[[#This Row],[Costo Total Sistema]]</f>
        <v>0</v>
      </c>
      <c r="Q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49" spans="1:17" x14ac:dyDescent="0.2">
      <c r="A49">
        <v>10437</v>
      </c>
      <c r="B49" t="s">
        <v>72</v>
      </c>
      <c r="C49" t="s">
        <v>73</v>
      </c>
      <c r="D49">
        <v>22</v>
      </c>
      <c r="E49" s="12">
        <f>SUMIFS('Consolidado conteo 1'!$F:$F,'Consolidado conteo 1'!$C:$C,Analisis_Diferecias[[#This Row],[ID]],'Consolidado conteo 1'!$I:$I,Analisis_Diferecias[[#Headers],[Primer Conteo]])</f>
        <v>0</v>
      </c>
      <c r="F49" s="12">
        <f>SUMIFS('Consolidado conteo 2'!$F:$F,'Consolidado conteo 2'!$C:$C,Analisis_Diferecias[[#This Row],[ID]],'Consolidado conteo 2'!$I:$I,Analisis_Diferecias[[#Headers],[Segundo Conteo]])</f>
        <v>0</v>
      </c>
      <c r="G49" s="12">
        <f>+Analisis_Diferecias[[#This Row],[Segundo Conteo]]-(Analisis_Diferecias[[#This Row],[Primer Conteo]])</f>
        <v>0</v>
      </c>
      <c r="H4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49" s="12">
        <f>SUMIFS(Analisis_Diferecias_Tercer_conteo[Tercer_conteo],Analisis_Diferecias_Tercer_conteo[ID],Analisis_Diferecias[[#This Row],[ID]])</f>
        <v>0</v>
      </c>
      <c r="J49" s="12">
        <f>IF(Analisis_Diferecias[[#This Row],[Tipo de incidencia]]="OK",Analisis_Diferecias[[#This Row],[Segundo Conteo]],Analisis_Diferecias[[#This Row],[Tercer Conteo]])</f>
        <v>0</v>
      </c>
      <c r="K49" s="12">
        <f>+(Analisis_Diferecias[[#This Row],[Cantidad Total de Conteos]]-(Analisis_Diferecias[[#This Row],[Cantidad]]))</f>
        <v>-22</v>
      </c>
      <c r="L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49" s="18"/>
      <c r="N49" s="18">
        <f>Analisis_Diferecias[[#This Row],[Costo Unitario($)]]*Analisis_Diferecias[[#This Row],[Cantidad Total de Conteos]]</f>
        <v>0</v>
      </c>
      <c r="O49" s="18">
        <f>Analisis_Diferecias[[#This Row],[Costo Unitario($)]]*Analisis_Diferecias[[#This Row],[Cantidad]]</f>
        <v>0</v>
      </c>
      <c r="P49" s="20">
        <f>+Analisis_Diferecias[[#This Row],[Valor Total Contado]]-Analisis_Diferecias[[#This Row],[Costo Total Sistema]]</f>
        <v>0</v>
      </c>
      <c r="Q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0" spans="1:17" x14ac:dyDescent="0.2">
      <c r="A50">
        <v>10379</v>
      </c>
      <c r="B50" t="s">
        <v>74</v>
      </c>
      <c r="C50" t="s">
        <v>75</v>
      </c>
      <c r="D50">
        <v>21</v>
      </c>
      <c r="E50" s="12">
        <f>SUMIFS('Consolidado conteo 1'!$F:$F,'Consolidado conteo 1'!$C:$C,Analisis_Diferecias[[#This Row],[ID]],'Consolidado conteo 1'!$I:$I,Analisis_Diferecias[[#Headers],[Primer Conteo]])</f>
        <v>0</v>
      </c>
      <c r="F50" s="12">
        <f>SUMIFS('Consolidado conteo 2'!$F:$F,'Consolidado conteo 2'!$C:$C,Analisis_Diferecias[[#This Row],[ID]],'Consolidado conteo 2'!$I:$I,Analisis_Diferecias[[#Headers],[Segundo Conteo]])</f>
        <v>0</v>
      </c>
      <c r="G50" s="12">
        <f>+Analisis_Diferecias[[#This Row],[Segundo Conteo]]-(Analisis_Diferecias[[#This Row],[Primer Conteo]])</f>
        <v>0</v>
      </c>
      <c r="H5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0" s="12">
        <f>SUMIFS(Analisis_Diferecias_Tercer_conteo[Tercer_conteo],Analisis_Diferecias_Tercer_conteo[ID],Analisis_Diferecias[[#This Row],[ID]])</f>
        <v>0</v>
      </c>
      <c r="J50" s="12">
        <f>IF(Analisis_Diferecias[[#This Row],[Tipo de incidencia]]="OK",Analisis_Diferecias[[#This Row],[Segundo Conteo]],Analisis_Diferecias[[#This Row],[Tercer Conteo]])</f>
        <v>0</v>
      </c>
      <c r="K50" s="12">
        <f>+(Analisis_Diferecias[[#This Row],[Cantidad Total de Conteos]]-(Analisis_Diferecias[[#This Row],[Cantidad]]))</f>
        <v>-21</v>
      </c>
      <c r="L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0" s="18"/>
      <c r="N50" s="18">
        <f>Analisis_Diferecias[[#This Row],[Costo Unitario($)]]*Analisis_Diferecias[[#This Row],[Cantidad Total de Conteos]]</f>
        <v>0</v>
      </c>
      <c r="O50" s="18">
        <f>Analisis_Diferecias[[#This Row],[Costo Unitario($)]]*Analisis_Diferecias[[#This Row],[Cantidad]]</f>
        <v>0</v>
      </c>
      <c r="P50" s="20">
        <f>+Analisis_Diferecias[[#This Row],[Valor Total Contado]]-Analisis_Diferecias[[#This Row],[Costo Total Sistema]]</f>
        <v>0</v>
      </c>
      <c r="Q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1" spans="1:17" x14ac:dyDescent="0.2">
      <c r="A51">
        <v>10171</v>
      </c>
      <c r="B51" t="s">
        <v>76</v>
      </c>
      <c r="C51" t="s">
        <v>77</v>
      </c>
      <c r="D51">
        <v>20</v>
      </c>
      <c r="E51" s="12">
        <f>SUMIFS('Consolidado conteo 1'!$F:$F,'Consolidado conteo 1'!$C:$C,Analisis_Diferecias[[#This Row],[ID]],'Consolidado conteo 1'!$I:$I,Analisis_Diferecias[[#Headers],[Primer Conteo]])</f>
        <v>0</v>
      </c>
      <c r="F51" s="12">
        <f>SUMIFS('Consolidado conteo 2'!$F:$F,'Consolidado conteo 2'!$C:$C,Analisis_Diferecias[[#This Row],[ID]],'Consolidado conteo 2'!$I:$I,Analisis_Diferecias[[#Headers],[Segundo Conteo]])</f>
        <v>0</v>
      </c>
      <c r="G51" s="12">
        <f>+Analisis_Diferecias[[#This Row],[Segundo Conteo]]-(Analisis_Diferecias[[#This Row],[Primer Conteo]])</f>
        <v>0</v>
      </c>
      <c r="H5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1" s="12">
        <f>SUMIFS(Analisis_Diferecias_Tercer_conteo[Tercer_conteo],Analisis_Diferecias_Tercer_conteo[ID],Analisis_Diferecias[[#This Row],[ID]])</f>
        <v>0</v>
      </c>
      <c r="J51" s="12">
        <f>IF(Analisis_Diferecias[[#This Row],[Tipo de incidencia]]="OK",Analisis_Diferecias[[#This Row],[Segundo Conteo]],Analisis_Diferecias[[#This Row],[Tercer Conteo]])</f>
        <v>0</v>
      </c>
      <c r="K51" s="12">
        <f>+(Analisis_Diferecias[[#This Row],[Cantidad Total de Conteos]]-(Analisis_Diferecias[[#This Row],[Cantidad]]))</f>
        <v>-20</v>
      </c>
      <c r="L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1" s="18"/>
      <c r="N51" s="18">
        <f>Analisis_Diferecias[[#This Row],[Costo Unitario($)]]*Analisis_Diferecias[[#This Row],[Cantidad Total de Conteos]]</f>
        <v>0</v>
      </c>
      <c r="O51" s="18">
        <f>Analisis_Diferecias[[#This Row],[Costo Unitario($)]]*Analisis_Diferecias[[#This Row],[Cantidad]]</f>
        <v>0</v>
      </c>
      <c r="P51" s="20">
        <f>+Analisis_Diferecias[[#This Row],[Valor Total Contado]]-Analisis_Diferecias[[#This Row],[Costo Total Sistema]]</f>
        <v>0</v>
      </c>
      <c r="Q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2" spans="1:17" x14ac:dyDescent="0.2">
      <c r="A52">
        <v>9528</v>
      </c>
      <c r="B52" t="s">
        <v>78</v>
      </c>
      <c r="C52" t="s">
        <v>79</v>
      </c>
      <c r="D52">
        <v>20</v>
      </c>
      <c r="E52" s="12">
        <f>SUMIFS('Consolidado conteo 1'!$F:$F,'Consolidado conteo 1'!$C:$C,Analisis_Diferecias[[#This Row],[ID]],'Consolidado conteo 1'!$I:$I,Analisis_Diferecias[[#Headers],[Primer Conteo]])</f>
        <v>0</v>
      </c>
      <c r="F52" s="12">
        <f>SUMIFS('Consolidado conteo 2'!$F:$F,'Consolidado conteo 2'!$C:$C,Analisis_Diferecias[[#This Row],[ID]],'Consolidado conteo 2'!$I:$I,Analisis_Diferecias[[#Headers],[Segundo Conteo]])</f>
        <v>0</v>
      </c>
      <c r="G52" s="12">
        <f>+Analisis_Diferecias[[#This Row],[Segundo Conteo]]-(Analisis_Diferecias[[#This Row],[Primer Conteo]])</f>
        <v>0</v>
      </c>
      <c r="H5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2" s="12">
        <f>SUMIFS(Analisis_Diferecias_Tercer_conteo[Tercer_conteo],Analisis_Diferecias_Tercer_conteo[ID],Analisis_Diferecias[[#This Row],[ID]])</f>
        <v>0</v>
      </c>
      <c r="J52" s="12">
        <f>IF(Analisis_Diferecias[[#This Row],[Tipo de incidencia]]="OK",Analisis_Diferecias[[#This Row],[Segundo Conteo]],Analisis_Diferecias[[#This Row],[Tercer Conteo]])</f>
        <v>0</v>
      </c>
      <c r="K52" s="12">
        <f>+(Analisis_Diferecias[[#This Row],[Cantidad Total de Conteos]]-(Analisis_Diferecias[[#This Row],[Cantidad]]))</f>
        <v>-20</v>
      </c>
      <c r="L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2" s="18"/>
      <c r="N52" s="18">
        <f>Analisis_Diferecias[[#This Row],[Costo Unitario($)]]*Analisis_Diferecias[[#This Row],[Cantidad Total de Conteos]]</f>
        <v>0</v>
      </c>
      <c r="O52" s="18">
        <f>Analisis_Diferecias[[#This Row],[Costo Unitario($)]]*Analisis_Diferecias[[#This Row],[Cantidad]]</f>
        <v>0</v>
      </c>
      <c r="P52" s="20">
        <f>+Analisis_Diferecias[[#This Row],[Valor Total Contado]]-Analisis_Diferecias[[#This Row],[Costo Total Sistema]]</f>
        <v>0</v>
      </c>
      <c r="Q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3" spans="1:17" x14ac:dyDescent="0.2">
      <c r="A53">
        <v>9530</v>
      </c>
      <c r="B53" t="s">
        <v>80</v>
      </c>
      <c r="C53" t="s">
        <v>81</v>
      </c>
      <c r="D53">
        <v>20</v>
      </c>
      <c r="E53" s="12">
        <f>SUMIFS('Consolidado conteo 1'!$F:$F,'Consolidado conteo 1'!$C:$C,Analisis_Diferecias[[#This Row],[ID]],'Consolidado conteo 1'!$I:$I,Analisis_Diferecias[[#Headers],[Primer Conteo]])</f>
        <v>0</v>
      </c>
      <c r="F53" s="12">
        <f>SUMIFS('Consolidado conteo 2'!$F:$F,'Consolidado conteo 2'!$C:$C,Analisis_Diferecias[[#This Row],[ID]],'Consolidado conteo 2'!$I:$I,Analisis_Diferecias[[#Headers],[Segundo Conteo]])</f>
        <v>0</v>
      </c>
      <c r="G53" s="12">
        <f>+Analisis_Diferecias[[#This Row],[Segundo Conteo]]-(Analisis_Diferecias[[#This Row],[Primer Conteo]])</f>
        <v>0</v>
      </c>
      <c r="H5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3" s="12">
        <f>SUMIFS(Analisis_Diferecias_Tercer_conteo[Tercer_conteo],Analisis_Diferecias_Tercer_conteo[ID],Analisis_Diferecias[[#This Row],[ID]])</f>
        <v>0</v>
      </c>
      <c r="J53" s="12">
        <f>IF(Analisis_Diferecias[[#This Row],[Tipo de incidencia]]="OK",Analisis_Diferecias[[#This Row],[Segundo Conteo]],Analisis_Diferecias[[#This Row],[Tercer Conteo]])</f>
        <v>0</v>
      </c>
      <c r="K53" s="12">
        <f>+(Analisis_Diferecias[[#This Row],[Cantidad Total de Conteos]]-(Analisis_Diferecias[[#This Row],[Cantidad]]))</f>
        <v>-20</v>
      </c>
      <c r="L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3" s="18"/>
      <c r="N53" s="18">
        <f>Analisis_Diferecias[[#This Row],[Costo Unitario($)]]*Analisis_Diferecias[[#This Row],[Cantidad Total de Conteos]]</f>
        <v>0</v>
      </c>
      <c r="O53" s="18">
        <f>Analisis_Diferecias[[#This Row],[Costo Unitario($)]]*Analisis_Diferecias[[#This Row],[Cantidad]]</f>
        <v>0</v>
      </c>
      <c r="P53" s="20">
        <f>+Analisis_Diferecias[[#This Row],[Valor Total Contado]]-Analisis_Diferecias[[#This Row],[Costo Total Sistema]]</f>
        <v>0</v>
      </c>
      <c r="Q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4" spans="1:17" x14ac:dyDescent="0.2">
      <c r="A54">
        <v>10436</v>
      </c>
      <c r="B54" t="s">
        <v>82</v>
      </c>
      <c r="C54" t="s">
        <v>83</v>
      </c>
      <c r="D54">
        <v>20</v>
      </c>
      <c r="E54" s="12">
        <f>SUMIFS('Consolidado conteo 1'!$F:$F,'Consolidado conteo 1'!$C:$C,Analisis_Diferecias[[#This Row],[ID]],'Consolidado conteo 1'!$I:$I,Analisis_Diferecias[[#Headers],[Primer Conteo]])</f>
        <v>0</v>
      </c>
      <c r="F54" s="12">
        <f>SUMIFS('Consolidado conteo 2'!$F:$F,'Consolidado conteo 2'!$C:$C,Analisis_Diferecias[[#This Row],[ID]],'Consolidado conteo 2'!$I:$I,Analisis_Diferecias[[#Headers],[Segundo Conteo]])</f>
        <v>0</v>
      </c>
      <c r="G54" s="12">
        <f>+Analisis_Diferecias[[#This Row],[Segundo Conteo]]-(Analisis_Diferecias[[#This Row],[Primer Conteo]])</f>
        <v>0</v>
      </c>
      <c r="H5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4" s="12">
        <f>SUMIFS(Analisis_Diferecias_Tercer_conteo[Tercer_conteo],Analisis_Diferecias_Tercer_conteo[ID],Analisis_Diferecias[[#This Row],[ID]])</f>
        <v>0</v>
      </c>
      <c r="J54" s="12">
        <f>IF(Analisis_Diferecias[[#This Row],[Tipo de incidencia]]="OK",Analisis_Diferecias[[#This Row],[Segundo Conteo]],Analisis_Diferecias[[#This Row],[Tercer Conteo]])</f>
        <v>0</v>
      </c>
      <c r="K54" s="12">
        <f>+(Analisis_Diferecias[[#This Row],[Cantidad Total de Conteos]]-(Analisis_Diferecias[[#This Row],[Cantidad]]))</f>
        <v>-20</v>
      </c>
      <c r="L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4" s="18"/>
      <c r="N54" s="18">
        <f>Analisis_Diferecias[[#This Row],[Costo Unitario($)]]*Analisis_Diferecias[[#This Row],[Cantidad Total de Conteos]]</f>
        <v>0</v>
      </c>
      <c r="O54" s="18">
        <f>Analisis_Diferecias[[#This Row],[Costo Unitario($)]]*Analisis_Diferecias[[#This Row],[Cantidad]]</f>
        <v>0</v>
      </c>
      <c r="P54" s="20">
        <f>+Analisis_Diferecias[[#This Row],[Valor Total Contado]]-Analisis_Diferecias[[#This Row],[Costo Total Sistema]]</f>
        <v>0</v>
      </c>
      <c r="Q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5" spans="1:17" x14ac:dyDescent="0.2">
      <c r="A55">
        <v>9055</v>
      </c>
      <c r="B55" t="s">
        <v>84</v>
      </c>
      <c r="C55" t="s">
        <v>85</v>
      </c>
      <c r="D55">
        <v>20</v>
      </c>
      <c r="E55" s="12">
        <f>SUMIFS('Consolidado conteo 1'!$F:$F,'Consolidado conteo 1'!$C:$C,Analisis_Diferecias[[#This Row],[ID]],'Consolidado conteo 1'!$I:$I,Analisis_Diferecias[[#Headers],[Primer Conteo]])</f>
        <v>0</v>
      </c>
      <c r="F55" s="12">
        <f>SUMIFS('Consolidado conteo 2'!$F:$F,'Consolidado conteo 2'!$C:$C,Analisis_Diferecias[[#This Row],[ID]],'Consolidado conteo 2'!$I:$I,Analisis_Diferecias[[#Headers],[Segundo Conteo]])</f>
        <v>0</v>
      </c>
      <c r="G55" s="12">
        <f>+Analisis_Diferecias[[#This Row],[Segundo Conteo]]-(Analisis_Diferecias[[#This Row],[Primer Conteo]])</f>
        <v>0</v>
      </c>
      <c r="H5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5" s="12">
        <f>SUMIFS(Analisis_Diferecias_Tercer_conteo[Tercer_conteo],Analisis_Diferecias_Tercer_conteo[ID],Analisis_Diferecias[[#This Row],[ID]])</f>
        <v>0</v>
      </c>
      <c r="J55" s="12">
        <f>IF(Analisis_Diferecias[[#This Row],[Tipo de incidencia]]="OK",Analisis_Diferecias[[#This Row],[Segundo Conteo]],Analisis_Diferecias[[#This Row],[Tercer Conteo]])</f>
        <v>0</v>
      </c>
      <c r="K55" s="12">
        <f>+(Analisis_Diferecias[[#This Row],[Cantidad Total de Conteos]]-(Analisis_Diferecias[[#This Row],[Cantidad]]))</f>
        <v>-20</v>
      </c>
      <c r="L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5" s="18"/>
      <c r="N55" s="18">
        <f>Analisis_Diferecias[[#This Row],[Costo Unitario($)]]*Analisis_Diferecias[[#This Row],[Cantidad Total de Conteos]]</f>
        <v>0</v>
      </c>
      <c r="O55" s="18">
        <f>Analisis_Diferecias[[#This Row],[Costo Unitario($)]]*Analisis_Diferecias[[#This Row],[Cantidad]]</f>
        <v>0</v>
      </c>
      <c r="P55" s="20">
        <f>+Analisis_Diferecias[[#This Row],[Valor Total Contado]]-Analisis_Diferecias[[#This Row],[Costo Total Sistema]]</f>
        <v>0</v>
      </c>
      <c r="Q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6" spans="1:17" x14ac:dyDescent="0.2">
      <c r="A56">
        <v>14303</v>
      </c>
      <c r="B56" t="s">
        <v>86</v>
      </c>
      <c r="C56" t="s">
        <v>87</v>
      </c>
      <c r="D56">
        <v>20</v>
      </c>
      <c r="E56" s="12">
        <f>SUMIFS('Consolidado conteo 1'!$F:$F,'Consolidado conteo 1'!$C:$C,Analisis_Diferecias[[#This Row],[ID]],'Consolidado conteo 1'!$I:$I,Analisis_Diferecias[[#Headers],[Primer Conteo]])</f>
        <v>0</v>
      </c>
      <c r="F56" s="12">
        <f>SUMIFS('Consolidado conteo 2'!$F:$F,'Consolidado conteo 2'!$C:$C,Analisis_Diferecias[[#This Row],[ID]],'Consolidado conteo 2'!$I:$I,Analisis_Diferecias[[#Headers],[Segundo Conteo]])</f>
        <v>0</v>
      </c>
      <c r="G56" s="12">
        <f>+Analisis_Diferecias[[#This Row],[Segundo Conteo]]-(Analisis_Diferecias[[#This Row],[Primer Conteo]])</f>
        <v>0</v>
      </c>
      <c r="H5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6" s="12">
        <f>SUMIFS(Analisis_Diferecias_Tercer_conteo[Tercer_conteo],Analisis_Diferecias_Tercer_conteo[ID],Analisis_Diferecias[[#This Row],[ID]])</f>
        <v>0</v>
      </c>
      <c r="J56" s="12">
        <f>IF(Analisis_Diferecias[[#This Row],[Tipo de incidencia]]="OK",Analisis_Diferecias[[#This Row],[Segundo Conteo]],Analisis_Diferecias[[#This Row],[Tercer Conteo]])</f>
        <v>0</v>
      </c>
      <c r="K56" s="12">
        <f>+(Analisis_Diferecias[[#This Row],[Cantidad Total de Conteos]]-(Analisis_Diferecias[[#This Row],[Cantidad]]))</f>
        <v>-20</v>
      </c>
      <c r="L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6" s="18"/>
      <c r="N56" s="18">
        <f>Analisis_Diferecias[[#This Row],[Costo Unitario($)]]*Analisis_Diferecias[[#This Row],[Cantidad Total de Conteos]]</f>
        <v>0</v>
      </c>
      <c r="O56" s="18">
        <f>Analisis_Diferecias[[#This Row],[Costo Unitario($)]]*Analisis_Diferecias[[#This Row],[Cantidad]]</f>
        <v>0</v>
      </c>
      <c r="P56" s="20">
        <f>+Analisis_Diferecias[[#This Row],[Valor Total Contado]]-Analisis_Diferecias[[#This Row],[Costo Total Sistema]]</f>
        <v>0</v>
      </c>
      <c r="Q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7" spans="1:17" x14ac:dyDescent="0.2">
      <c r="A57">
        <v>10063</v>
      </c>
      <c r="B57" t="s">
        <v>88</v>
      </c>
      <c r="C57" t="s">
        <v>89</v>
      </c>
      <c r="D57">
        <v>20</v>
      </c>
      <c r="E57" s="12">
        <f>SUMIFS('Consolidado conteo 1'!$F:$F,'Consolidado conteo 1'!$C:$C,Analisis_Diferecias[[#This Row],[ID]],'Consolidado conteo 1'!$I:$I,Analisis_Diferecias[[#Headers],[Primer Conteo]])</f>
        <v>0</v>
      </c>
      <c r="F57" s="12">
        <f>SUMIFS('Consolidado conteo 2'!$F:$F,'Consolidado conteo 2'!$C:$C,Analisis_Diferecias[[#This Row],[ID]],'Consolidado conteo 2'!$I:$I,Analisis_Diferecias[[#Headers],[Segundo Conteo]])</f>
        <v>0</v>
      </c>
      <c r="G57" s="12">
        <f>+Analisis_Diferecias[[#This Row],[Segundo Conteo]]-(Analisis_Diferecias[[#This Row],[Primer Conteo]])</f>
        <v>0</v>
      </c>
      <c r="H5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7" s="12">
        <f>SUMIFS(Analisis_Diferecias_Tercer_conteo[Tercer_conteo],Analisis_Diferecias_Tercer_conteo[ID],Analisis_Diferecias[[#This Row],[ID]])</f>
        <v>0</v>
      </c>
      <c r="J57" s="12">
        <f>IF(Analisis_Diferecias[[#This Row],[Tipo de incidencia]]="OK",Analisis_Diferecias[[#This Row],[Segundo Conteo]],Analisis_Diferecias[[#This Row],[Tercer Conteo]])</f>
        <v>0</v>
      </c>
      <c r="K57" s="12">
        <f>+(Analisis_Diferecias[[#This Row],[Cantidad Total de Conteos]]-(Analisis_Diferecias[[#This Row],[Cantidad]]))</f>
        <v>-20</v>
      </c>
      <c r="L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7" s="18"/>
      <c r="N57" s="18">
        <f>Analisis_Diferecias[[#This Row],[Costo Unitario($)]]*Analisis_Diferecias[[#This Row],[Cantidad Total de Conteos]]</f>
        <v>0</v>
      </c>
      <c r="O57" s="18">
        <f>Analisis_Diferecias[[#This Row],[Costo Unitario($)]]*Analisis_Diferecias[[#This Row],[Cantidad]]</f>
        <v>0</v>
      </c>
      <c r="P57" s="20">
        <f>+Analisis_Diferecias[[#This Row],[Valor Total Contado]]-Analisis_Diferecias[[#This Row],[Costo Total Sistema]]</f>
        <v>0</v>
      </c>
      <c r="Q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8" spans="1:17" x14ac:dyDescent="0.2">
      <c r="A58">
        <v>10377</v>
      </c>
      <c r="B58" t="s">
        <v>90</v>
      </c>
      <c r="C58" t="s">
        <v>91</v>
      </c>
      <c r="D58">
        <v>19</v>
      </c>
      <c r="E58" s="12">
        <f>SUMIFS('Consolidado conteo 1'!$F:$F,'Consolidado conteo 1'!$C:$C,Analisis_Diferecias[[#This Row],[ID]],'Consolidado conteo 1'!$I:$I,Analisis_Diferecias[[#Headers],[Primer Conteo]])</f>
        <v>0</v>
      </c>
      <c r="F58" s="12">
        <f>SUMIFS('Consolidado conteo 2'!$F:$F,'Consolidado conteo 2'!$C:$C,Analisis_Diferecias[[#This Row],[ID]],'Consolidado conteo 2'!$I:$I,Analisis_Diferecias[[#Headers],[Segundo Conteo]])</f>
        <v>0</v>
      </c>
      <c r="G58" s="12">
        <f>+Analisis_Diferecias[[#This Row],[Segundo Conteo]]-(Analisis_Diferecias[[#This Row],[Primer Conteo]])</f>
        <v>0</v>
      </c>
      <c r="H5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8" s="12">
        <f>SUMIFS(Analisis_Diferecias_Tercer_conteo[Tercer_conteo],Analisis_Diferecias_Tercer_conteo[ID],Analisis_Diferecias[[#This Row],[ID]])</f>
        <v>0</v>
      </c>
      <c r="J58" s="12">
        <f>IF(Analisis_Diferecias[[#This Row],[Tipo de incidencia]]="OK",Analisis_Diferecias[[#This Row],[Segundo Conteo]],Analisis_Diferecias[[#This Row],[Tercer Conteo]])</f>
        <v>0</v>
      </c>
      <c r="K58" s="12">
        <f>+(Analisis_Diferecias[[#This Row],[Cantidad Total de Conteos]]-(Analisis_Diferecias[[#This Row],[Cantidad]]))</f>
        <v>-19</v>
      </c>
      <c r="L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8" s="18"/>
      <c r="N58" s="18">
        <f>Analisis_Diferecias[[#This Row],[Costo Unitario($)]]*Analisis_Diferecias[[#This Row],[Cantidad Total de Conteos]]</f>
        <v>0</v>
      </c>
      <c r="O58" s="18">
        <f>Analisis_Diferecias[[#This Row],[Costo Unitario($)]]*Analisis_Diferecias[[#This Row],[Cantidad]]</f>
        <v>0</v>
      </c>
      <c r="P58" s="20">
        <f>+Analisis_Diferecias[[#This Row],[Valor Total Contado]]-Analisis_Diferecias[[#This Row],[Costo Total Sistema]]</f>
        <v>0</v>
      </c>
      <c r="Q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59" spans="1:17" x14ac:dyDescent="0.2">
      <c r="A59">
        <v>10641</v>
      </c>
      <c r="B59" t="s">
        <v>92</v>
      </c>
      <c r="C59" t="s">
        <v>93</v>
      </c>
      <c r="D59">
        <v>19</v>
      </c>
      <c r="E59" s="12">
        <f>SUMIFS('Consolidado conteo 1'!$F:$F,'Consolidado conteo 1'!$C:$C,Analisis_Diferecias[[#This Row],[ID]],'Consolidado conteo 1'!$I:$I,Analisis_Diferecias[[#Headers],[Primer Conteo]])</f>
        <v>0</v>
      </c>
      <c r="F59" s="12">
        <f>SUMIFS('Consolidado conteo 2'!$F:$F,'Consolidado conteo 2'!$C:$C,Analisis_Diferecias[[#This Row],[ID]],'Consolidado conteo 2'!$I:$I,Analisis_Diferecias[[#Headers],[Segundo Conteo]])</f>
        <v>0</v>
      </c>
      <c r="G59" s="12">
        <f>+Analisis_Diferecias[[#This Row],[Segundo Conteo]]-(Analisis_Diferecias[[#This Row],[Primer Conteo]])</f>
        <v>0</v>
      </c>
      <c r="H5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59" s="12">
        <f>SUMIFS(Analisis_Diferecias_Tercer_conteo[Tercer_conteo],Analisis_Diferecias_Tercer_conteo[ID],Analisis_Diferecias[[#This Row],[ID]])</f>
        <v>0</v>
      </c>
      <c r="J59" s="12">
        <f>IF(Analisis_Diferecias[[#This Row],[Tipo de incidencia]]="OK",Analisis_Diferecias[[#This Row],[Segundo Conteo]],Analisis_Diferecias[[#This Row],[Tercer Conteo]])</f>
        <v>0</v>
      </c>
      <c r="K59" s="12">
        <f>+(Analisis_Diferecias[[#This Row],[Cantidad Total de Conteos]]-(Analisis_Diferecias[[#This Row],[Cantidad]]))</f>
        <v>-19</v>
      </c>
      <c r="L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59" s="18"/>
      <c r="N59" s="18">
        <f>Analisis_Diferecias[[#This Row],[Costo Unitario($)]]*Analisis_Diferecias[[#This Row],[Cantidad Total de Conteos]]</f>
        <v>0</v>
      </c>
      <c r="O59" s="18">
        <f>Analisis_Diferecias[[#This Row],[Costo Unitario($)]]*Analisis_Diferecias[[#This Row],[Cantidad]]</f>
        <v>0</v>
      </c>
      <c r="P59" s="20">
        <f>+Analisis_Diferecias[[#This Row],[Valor Total Contado]]-Analisis_Diferecias[[#This Row],[Costo Total Sistema]]</f>
        <v>0</v>
      </c>
      <c r="Q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0" spans="1:17" x14ac:dyDescent="0.2">
      <c r="A60">
        <v>10347</v>
      </c>
      <c r="B60" t="s">
        <v>94</v>
      </c>
      <c r="C60" t="s">
        <v>95</v>
      </c>
      <c r="D60">
        <v>18</v>
      </c>
      <c r="E60" s="12">
        <f>SUMIFS('Consolidado conteo 1'!$F:$F,'Consolidado conteo 1'!$C:$C,Analisis_Diferecias[[#This Row],[ID]],'Consolidado conteo 1'!$I:$I,Analisis_Diferecias[[#Headers],[Primer Conteo]])</f>
        <v>0</v>
      </c>
      <c r="F60" s="12">
        <f>SUMIFS('Consolidado conteo 2'!$F:$F,'Consolidado conteo 2'!$C:$C,Analisis_Diferecias[[#This Row],[ID]],'Consolidado conteo 2'!$I:$I,Analisis_Diferecias[[#Headers],[Segundo Conteo]])</f>
        <v>0</v>
      </c>
      <c r="G60" s="12">
        <f>+Analisis_Diferecias[[#This Row],[Segundo Conteo]]-(Analisis_Diferecias[[#This Row],[Primer Conteo]])</f>
        <v>0</v>
      </c>
      <c r="H6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0" s="12">
        <f>SUMIFS(Analisis_Diferecias_Tercer_conteo[Tercer_conteo],Analisis_Diferecias_Tercer_conteo[ID],Analisis_Diferecias[[#This Row],[ID]])</f>
        <v>0</v>
      </c>
      <c r="J60" s="12">
        <f>IF(Analisis_Diferecias[[#This Row],[Tipo de incidencia]]="OK",Analisis_Diferecias[[#This Row],[Segundo Conteo]],Analisis_Diferecias[[#This Row],[Tercer Conteo]])</f>
        <v>0</v>
      </c>
      <c r="K60" s="12">
        <f>+(Analisis_Diferecias[[#This Row],[Cantidad Total de Conteos]]-(Analisis_Diferecias[[#This Row],[Cantidad]]))</f>
        <v>-18</v>
      </c>
      <c r="L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0" s="18"/>
      <c r="N60" s="18">
        <f>Analisis_Diferecias[[#This Row],[Costo Unitario($)]]*Analisis_Diferecias[[#This Row],[Cantidad Total de Conteos]]</f>
        <v>0</v>
      </c>
      <c r="O60" s="18">
        <f>Analisis_Diferecias[[#This Row],[Costo Unitario($)]]*Analisis_Diferecias[[#This Row],[Cantidad]]</f>
        <v>0</v>
      </c>
      <c r="P60" s="20">
        <f>+Analisis_Diferecias[[#This Row],[Valor Total Contado]]-Analisis_Diferecias[[#This Row],[Costo Total Sistema]]</f>
        <v>0</v>
      </c>
      <c r="Q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1" spans="1:17" x14ac:dyDescent="0.2">
      <c r="A61">
        <v>10374</v>
      </c>
      <c r="B61" t="s">
        <v>96</v>
      </c>
      <c r="C61" t="s">
        <v>97</v>
      </c>
      <c r="D61">
        <v>18</v>
      </c>
      <c r="E61" s="12">
        <f>SUMIFS('Consolidado conteo 1'!$F:$F,'Consolidado conteo 1'!$C:$C,Analisis_Diferecias[[#This Row],[ID]],'Consolidado conteo 1'!$I:$I,Analisis_Diferecias[[#Headers],[Primer Conteo]])</f>
        <v>0</v>
      </c>
      <c r="F61" s="12">
        <f>SUMIFS('Consolidado conteo 2'!$F:$F,'Consolidado conteo 2'!$C:$C,Analisis_Diferecias[[#This Row],[ID]],'Consolidado conteo 2'!$I:$I,Analisis_Diferecias[[#Headers],[Segundo Conteo]])</f>
        <v>0</v>
      </c>
      <c r="G61" s="12">
        <f>+Analisis_Diferecias[[#This Row],[Segundo Conteo]]-(Analisis_Diferecias[[#This Row],[Primer Conteo]])</f>
        <v>0</v>
      </c>
      <c r="H6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1" s="12">
        <f>SUMIFS(Analisis_Diferecias_Tercer_conteo[Tercer_conteo],Analisis_Diferecias_Tercer_conteo[ID],Analisis_Diferecias[[#This Row],[ID]])</f>
        <v>0</v>
      </c>
      <c r="J61" s="12">
        <f>IF(Analisis_Diferecias[[#This Row],[Tipo de incidencia]]="OK",Analisis_Diferecias[[#This Row],[Segundo Conteo]],Analisis_Diferecias[[#This Row],[Tercer Conteo]])</f>
        <v>0</v>
      </c>
      <c r="K61" s="12">
        <f>+(Analisis_Diferecias[[#This Row],[Cantidad Total de Conteos]]-(Analisis_Diferecias[[#This Row],[Cantidad]]))</f>
        <v>-18</v>
      </c>
      <c r="L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1" s="18"/>
      <c r="N61" s="18">
        <f>Analisis_Diferecias[[#This Row],[Costo Unitario($)]]*Analisis_Diferecias[[#This Row],[Cantidad Total de Conteos]]</f>
        <v>0</v>
      </c>
      <c r="O61" s="18">
        <f>Analisis_Diferecias[[#This Row],[Costo Unitario($)]]*Analisis_Diferecias[[#This Row],[Cantidad]]</f>
        <v>0</v>
      </c>
      <c r="P61" s="20">
        <f>+Analisis_Diferecias[[#This Row],[Valor Total Contado]]-Analisis_Diferecias[[#This Row],[Costo Total Sistema]]</f>
        <v>0</v>
      </c>
      <c r="Q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2" spans="1:17" x14ac:dyDescent="0.2">
      <c r="A62">
        <v>10431</v>
      </c>
      <c r="B62" t="s">
        <v>98</v>
      </c>
      <c r="C62" t="s">
        <v>99</v>
      </c>
      <c r="D62">
        <v>17</v>
      </c>
      <c r="E62" s="12">
        <f>SUMIFS('Consolidado conteo 1'!$F:$F,'Consolidado conteo 1'!$C:$C,Analisis_Diferecias[[#This Row],[ID]],'Consolidado conteo 1'!$I:$I,Analisis_Diferecias[[#Headers],[Primer Conteo]])</f>
        <v>0</v>
      </c>
      <c r="F62" s="12">
        <f>SUMIFS('Consolidado conteo 2'!$F:$F,'Consolidado conteo 2'!$C:$C,Analisis_Diferecias[[#This Row],[ID]],'Consolidado conteo 2'!$I:$I,Analisis_Diferecias[[#Headers],[Segundo Conteo]])</f>
        <v>0</v>
      </c>
      <c r="G62" s="12">
        <f>+Analisis_Diferecias[[#This Row],[Segundo Conteo]]-(Analisis_Diferecias[[#This Row],[Primer Conteo]])</f>
        <v>0</v>
      </c>
      <c r="H6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2" s="12">
        <f>SUMIFS(Analisis_Diferecias_Tercer_conteo[Tercer_conteo],Analisis_Diferecias_Tercer_conteo[ID],Analisis_Diferecias[[#This Row],[ID]])</f>
        <v>0</v>
      </c>
      <c r="J62" s="12">
        <f>IF(Analisis_Diferecias[[#This Row],[Tipo de incidencia]]="OK",Analisis_Diferecias[[#This Row],[Segundo Conteo]],Analisis_Diferecias[[#This Row],[Tercer Conteo]])</f>
        <v>0</v>
      </c>
      <c r="K62" s="12">
        <f>+(Analisis_Diferecias[[#This Row],[Cantidad Total de Conteos]]-(Analisis_Diferecias[[#This Row],[Cantidad]]))</f>
        <v>-17</v>
      </c>
      <c r="L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2" s="18"/>
      <c r="N62" s="18">
        <f>Analisis_Diferecias[[#This Row],[Costo Unitario($)]]*Analisis_Diferecias[[#This Row],[Cantidad Total de Conteos]]</f>
        <v>0</v>
      </c>
      <c r="O62" s="18">
        <f>Analisis_Diferecias[[#This Row],[Costo Unitario($)]]*Analisis_Diferecias[[#This Row],[Cantidad]]</f>
        <v>0</v>
      </c>
      <c r="P62" s="20">
        <f>+Analisis_Diferecias[[#This Row],[Valor Total Contado]]-Analisis_Diferecias[[#This Row],[Costo Total Sistema]]</f>
        <v>0</v>
      </c>
      <c r="Q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3" spans="1:17" x14ac:dyDescent="0.2">
      <c r="A63">
        <v>14041</v>
      </c>
      <c r="B63" t="s">
        <v>100</v>
      </c>
      <c r="C63" t="s">
        <v>101</v>
      </c>
      <c r="D63">
        <v>16</v>
      </c>
      <c r="E63" s="12">
        <f>SUMIFS('Consolidado conteo 1'!$F:$F,'Consolidado conteo 1'!$C:$C,Analisis_Diferecias[[#This Row],[ID]],'Consolidado conteo 1'!$I:$I,Analisis_Diferecias[[#Headers],[Primer Conteo]])</f>
        <v>0</v>
      </c>
      <c r="F63" s="12">
        <f>SUMIFS('Consolidado conteo 2'!$F:$F,'Consolidado conteo 2'!$C:$C,Analisis_Diferecias[[#This Row],[ID]],'Consolidado conteo 2'!$I:$I,Analisis_Diferecias[[#Headers],[Segundo Conteo]])</f>
        <v>0</v>
      </c>
      <c r="G63" s="12">
        <f>+Analisis_Diferecias[[#This Row],[Segundo Conteo]]-(Analisis_Diferecias[[#This Row],[Primer Conteo]])</f>
        <v>0</v>
      </c>
      <c r="H6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3" s="12">
        <f>SUMIFS(Analisis_Diferecias_Tercer_conteo[Tercer_conteo],Analisis_Diferecias_Tercer_conteo[ID],Analisis_Diferecias[[#This Row],[ID]])</f>
        <v>0</v>
      </c>
      <c r="J63" s="12">
        <f>IF(Analisis_Diferecias[[#This Row],[Tipo de incidencia]]="OK",Analisis_Diferecias[[#This Row],[Segundo Conteo]],Analisis_Diferecias[[#This Row],[Tercer Conteo]])</f>
        <v>0</v>
      </c>
      <c r="K63" s="12">
        <f>+(Analisis_Diferecias[[#This Row],[Cantidad Total de Conteos]]-(Analisis_Diferecias[[#This Row],[Cantidad]]))</f>
        <v>-16</v>
      </c>
      <c r="L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3" s="18"/>
      <c r="N63" s="18">
        <f>Analisis_Diferecias[[#This Row],[Costo Unitario($)]]*Analisis_Diferecias[[#This Row],[Cantidad Total de Conteos]]</f>
        <v>0</v>
      </c>
      <c r="O63" s="18">
        <f>Analisis_Diferecias[[#This Row],[Costo Unitario($)]]*Analisis_Diferecias[[#This Row],[Cantidad]]</f>
        <v>0</v>
      </c>
      <c r="P63" s="20">
        <f>+Analisis_Diferecias[[#This Row],[Valor Total Contado]]-Analisis_Diferecias[[#This Row],[Costo Total Sistema]]</f>
        <v>0</v>
      </c>
      <c r="Q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4" spans="1:17" x14ac:dyDescent="0.2">
      <c r="A64">
        <v>13506</v>
      </c>
      <c r="B64" t="s">
        <v>102</v>
      </c>
      <c r="C64" t="s">
        <v>103</v>
      </c>
      <c r="D64">
        <v>14</v>
      </c>
      <c r="E64" s="12">
        <f>SUMIFS('Consolidado conteo 1'!$F:$F,'Consolidado conteo 1'!$C:$C,Analisis_Diferecias[[#This Row],[ID]],'Consolidado conteo 1'!$I:$I,Analisis_Diferecias[[#Headers],[Primer Conteo]])</f>
        <v>0</v>
      </c>
      <c r="F64" s="12">
        <f>SUMIFS('Consolidado conteo 2'!$F:$F,'Consolidado conteo 2'!$C:$C,Analisis_Diferecias[[#This Row],[ID]],'Consolidado conteo 2'!$I:$I,Analisis_Diferecias[[#Headers],[Segundo Conteo]])</f>
        <v>0</v>
      </c>
      <c r="G64" s="12">
        <f>+Analisis_Diferecias[[#This Row],[Segundo Conteo]]-(Analisis_Diferecias[[#This Row],[Primer Conteo]])</f>
        <v>0</v>
      </c>
      <c r="H6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4" s="12">
        <f>SUMIFS(Analisis_Diferecias_Tercer_conteo[Tercer_conteo],Analisis_Diferecias_Tercer_conteo[ID],Analisis_Diferecias[[#This Row],[ID]])</f>
        <v>0</v>
      </c>
      <c r="J64" s="12">
        <f>IF(Analisis_Diferecias[[#This Row],[Tipo de incidencia]]="OK",Analisis_Diferecias[[#This Row],[Segundo Conteo]],Analisis_Diferecias[[#This Row],[Tercer Conteo]])</f>
        <v>0</v>
      </c>
      <c r="K64" s="12">
        <f>+(Analisis_Diferecias[[#This Row],[Cantidad Total de Conteos]]-(Analisis_Diferecias[[#This Row],[Cantidad]]))</f>
        <v>-14</v>
      </c>
      <c r="L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4" s="18"/>
      <c r="N64" s="18">
        <f>Analisis_Diferecias[[#This Row],[Costo Unitario($)]]*Analisis_Diferecias[[#This Row],[Cantidad Total de Conteos]]</f>
        <v>0</v>
      </c>
      <c r="O64" s="18">
        <f>Analisis_Diferecias[[#This Row],[Costo Unitario($)]]*Analisis_Diferecias[[#This Row],[Cantidad]]</f>
        <v>0</v>
      </c>
      <c r="P64" s="20">
        <f>+Analisis_Diferecias[[#This Row],[Valor Total Contado]]-Analisis_Diferecias[[#This Row],[Costo Total Sistema]]</f>
        <v>0</v>
      </c>
      <c r="Q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5" spans="1:17" x14ac:dyDescent="0.2">
      <c r="A65">
        <v>10202</v>
      </c>
      <c r="B65" t="s">
        <v>104</v>
      </c>
      <c r="C65" t="s">
        <v>105</v>
      </c>
      <c r="D65">
        <v>14</v>
      </c>
      <c r="E65" s="12">
        <f>SUMIFS('Consolidado conteo 1'!$F:$F,'Consolidado conteo 1'!$C:$C,Analisis_Diferecias[[#This Row],[ID]],'Consolidado conteo 1'!$I:$I,Analisis_Diferecias[[#Headers],[Primer Conteo]])</f>
        <v>0</v>
      </c>
      <c r="F65" s="12">
        <f>SUMIFS('Consolidado conteo 2'!$F:$F,'Consolidado conteo 2'!$C:$C,Analisis_Diferecias[[#This Row],[ID]],'Consolidado conteo 2'!$I:$I,Analisis_Diferecias[[#Headers],[Segundo Conteo]])</f>
        <v>0</v>
      </c>
      <c r="G65" s="12">
        <f>+Analisis_Diferecias[[#This Row],[Segundo Conteo]]-(Analisis_Diferecias[[#This Row],[Primer Conteo]])</f>
        <v>0</v>
      </c>
      <c r="H6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5" s="12">
        <f>SUMIFS(Analisis_Diferecias_Tercer_conteo[Tercer_conteo],Analisis_Diferecias_Tercer_conteo[ID],Analisis_Diferecias[[#This Row],[ID]])</f>
        <v>0</v>
      </c>
      <c r="J65" s="12">
        <f>IF(Analisis_Diferecias[[#This Row],[Tipo de incidencia]]="OK",Analisis_Diferecias[[#This Row],[Segundo Conteo]],Analisis_Diferecias[[#This Row],[Tercer Conteo]])</f>
        <v>0</v>
      </c>
      <c r="K65" s="12">
        <f>+(Analisis_Diferecias[[#This Row],[Cantidad Total de Conteos]]-(Analisis_Diferecias[[#This Row],[Cantidad]]))</f>
        <v>-14</v>
      </c>
      <c r="L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5" s="18"/>
      <c r="N65" s="18">
        <f>Analisis_Diferecias[[#This Row],[Costo Unitario($)]]*Analisis_Diferecias[[#This Row],[Cantidad Total de Conteos]]</f>
        <v>0</v>
      </c>
      <c r="O65" s="18">
        <f>Analisis_Diferecias[[#This Row],[Costo Unitario($)]]*Analisis_Diferecias[[#This Row],[Cantidad]]</f>
        <v>0</v>
      </c>
      <c r="P65" s="20">
        <f>+Analisis_Diferecias[[#This Row],[Valor Total Contado]]-Analisis_Diferecias[[#This Row],[Costo Total Sistema]]</f>
        <v>0</v>
      </c>
      <c r="Q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6" spans="1:17" x14ac:dyDescent="0.2">
      <c r="A66">
        <v>13981</v>
      </c>
      <c r="B66" t="s">
        <v>106</v>
      </c>
      <c r="C66" t="s">
        <v>107</v>
      </c>
      <c r="D66">
        <v>13</v>
      </c>
      <c r="E66" s="12">
        <f>SUMIFS('Consolidado conteo 1'!$F:$F,'Consolidado conteo 1'!$C:$C,Analisis_Diferecias[[#This Row],[ID]],'Consolidado conteo 1'!$I:$I,Analisis_Diferecias[[#Headers],[Primer Conteo]])</f>
        <v>0</v>
      </c>
      <c r="F66" s="12">
        <f>SUMIFS('Consolidado conteo 2'!$F:$F,'Consolidado conteo 2'!$C:$C,Analisis_Diferecias[[#This Row],[ID]],'Consolidado conteo 2'!$I:$I,Analisis_Diferecias[[#Headers],[Segundo Conteo]])</f>
        <v>0</v>
      </c>
      <c r="G66" s="12">
        <f>+Analisis_Diferecias[[#This Row],[Segundo Conteo]]-(Analisis_Diferecias[[#This Row],[Primer Conteo]])</f>
        <v>0</v>
      </c>
      <c r="H6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6" s="12">
        <f>SUMIFS(Analisis_Diferecias_Tercer_conteo[Tercer_conteo],Analisis_Diferecias_Tercer_conteo[ID],Analisis_Diferecias[[#This Row],[ID]])</f>
        <v>0</v>
      </c>
      <c r="J66" s="12">
        <f>IF(Analisis_Diferecias[[#This Row],[Tipo de incidencia]]="OK",Analisis_Diferecias[[#This Row],[Segundo Conteo]],Analisis_Diferecias[[#This Row],[Tercer Conteo]])</f>
        <v>0</v>
      </c>
      <c r="K66" s="12">
        <f>+(Analisis_Diferecias[[#This Row],[Cantidad Total de Conteos]]-(Analisis_Diferecias[[#This Row],[Cantidad]]))</f>
        <v>-13</v>
      </c>
      <c r="L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6" s="18"/>
      <c r="N66" s="18">
        <f>Analisis_Diferecias[[#This Row],[Costo Unitario($)]]*Analisis_Diferecias[[#This Row],[Cantidad Total de Conteos]]</f>
        <v>0</v>
      </c>
      <c r="O66" s="18">
        <f>Analisis_Diferecias[[#This Row],[Costo Unitario($)]]*Analisis_Diferecias[[#This Row],[Cantidad]]</f>
        <v>0</v>
      </c>
      <c r="P66" s="20">
        <f>+Analisis_Diferecias[[#This Row],[Valor Total Contado]]-Analisis_Diferecias[[#This Row],[Costo Total Sistema]]</f>
        <v>0</v>
      </c>
      <c r="Q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7" spans="1:17" x14ac:dyDescent="0.2">
      <c r="A67">
        <v>9873</v>
      </c>
      <c r="B67" t="s">
        <v>108</v>
      </c>
      <c r="C67" t="s">
        <v>109</v>
      </c>
      <c r="D67">
        <v>12</v>
      </c>
      <c r="E67" s="12">
        <f>SUMIFS('Consolidado conteo 1'!$F:$F,'Consolidado conteo 1'!$C:$C,Analisis_Diferecias[[#This Row],[ID]],'Consolidado conteo 1'!$I:$I,Analisis_Diferecias[[#Headers],[Primer Conteo]])</f>
        <v>0</v>
      </c>
      <c r="F67" s="12">
        <f>SUMIFS('Consolidado conteo 2'!$F:$F,'Consolidado conteo 2'!$C:$C,Analisis_Diferecias[[#This Row],[ID]],'Consolidado conteo 2'!$I:$I,Analisis_Diferecias[[#Headers],[Segundo Conteo]])</f>
        <v>0</v>
      </c>
      <c r="G67" s="12">
        <f>+Analisis_Diferecias[[#This Row],[Segundo Conteo]]-(Analisis_Diferecias[[#This Row],[Primer Conteo]])</f>
        <v>0</v>
      </c>
      <c r="H6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7" s="12">
        <f>SUMIFS(Analisis_Diferecias_Tercer_conteo[Tercer_conteo],Analisis_Diferecias_Tercer_conteo[ID],Analisis_Diferecias[[#This Row],[ID]])</f>
        <v>0</v>
      </c>
      <c r="J67" s="12">
        <f>IF(Analisis_Diferecias[[#This Row],[Tipo de incidencia]]="OK",Analisis_Diferecias[[#This Row],[Segundo Conteo]],Analisis_Diferecias[[#This Row],[Tercer Conteo]])</f>
        <v>0</v>
      </c>
      <c r="K67" s="12">
        <f>+(Analisis_Diferecias[[#This Row],[Cantidad Total de Conteos]]-(Analisis_Diferecias[[#This Row],[Cantidad]]))</f>
        <v>-12</v>
      </c>
      <c r="L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7" s="18"/>
      <c r="N67" s="18">
        <f>Analisis_Diferecias[[#This Row],[Costo Unitario($)]]*Analisis_Diferecias[[#This Row],[Cantidad Total de Conteos]]</f>
        <v>0</v>
      </c>
      <c r="O67" s="18">
        <f>Analisis_Diferecias[[#This Row],[Costo Unitario($)]]*Analisis_Diferecias[[#This Row],[Cantidad]]</f>
        <v>0</v>
      </c>
      <c r="P67" s="20">
        <f>+Analisis_Diferecias[[#This Row],[Valor Total Contado]]-Analisis_Diferecias[[#This Row],[Costo Total Sistema]]</f>
        <v>0</v>
      </c>
      <c r="Q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8" spans="1:17" x14ac:dyDescent="0.2">
      <c r="A68">
        <v>9235</v>
      </c>
      <c r="B68" t="s">
        <v>110</v>
      </c>
      <c r="C68" t="s">
        <v>111</v>
      </c>
      <c r="D68">
        <v>12</v>
      </c>
      <c r="E68" s="12">
        <f>SUMIFS('Consolidado conteo 1'!$F:$F,'Consolidado conteo 1'!$C:$C,Analisis_Diferecias[[#This Row],[ID]],'Consolidado conteo 1'!$I:$I,Analisis_Diferecias[[#Headers],[Primer Conteo]])</f>
        <v>0</v>
      </c>
      <c r="F68" s="12">
        <f>SUMIFS('Consolidado conteo 2'!$F:$F,'Consolidado conteo 2'!$C:$C,Analisis_Diferecias[[#This Row],[ID]],'Consolidado conteo 2'!$I:$I,Analisis_Diferecias[[#Headers],[Segundo Conteo]])</f>
        <v>0</v>
      </c>
      <c r="G68" s="12">
        <f>+Analisis_Diferecias[[#This Row],[Segundo Conteo]]-(Analisis_Diferecias[[#This Row],[Primer Conteo]])</f>
        <v>0</v>
      </c>
      <c r="H6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8" s="12">
        <f>SUMIFS(Analisis_Diferecias_Tercer_conteo[Tercer_conteo],Analisis_Diferecias_Tercer_conteo[ID],Analisis_Diferecias[[#This Row],[ID]])</f>
        <v>0</v>
      </c>
      <c r="J68" s="12">
        <f>IF(Analisis_Diferecias[[#This Row],[Tipo de incidencia]]="OK",Analisis_Diferecias[[#This Row],[Segundo Conteo]],Analisis_Diferecias[[#This Row],[Tercer Conteo]])</f>
        <v>0</v>
      </c>
      <c r="K68" s="12">
        <f>+(Analisis_Diferecias[[#This Row],[Cantidad Total de Conteos]]-(Analisis_Diferecias[[#This Row],[Cantidad]]))</f>
        <v>-12</v>
      </c>
      <c r="L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8" s="18"/>
      <c r="N68" s="18">
        <f>Analisis_Diferecias[[#This Row],[Costo Unitario($)]]*Analisis_Diferecias[[#This Row],[Cantidad Total de Conteos]]</f>
        <v>0</v>
      </c>
      <c r="O68" s="18">
        <f>Analisis_Diferecias[[#This Row],[Costo Unitario($)]]*Analisis_Diferecias[[#This Row],[Cantidad]]</f>
        <v>0</v>
      </c>
      <c r="P68" s="20">
        <f>+Analisis_Diferecias[[#This Row],[Valor Total Contado]]-Analisis_Diferecias[[#This Row],[Costo Total Sistema]]</f>
        <v>0</v>
      </c>
      <c r="Q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69" spans="1:17" x14ac:dyDescent="0.2">
      <c r="A69">
        <v>10434</v>
      </c>
      <c r="B69" t="s">
        <v>112</v>
      </c>
      <c r="C69" t="s">
        <v>113</v>
      </c>
      <c r="D69">
        <v>12</v>
      </c>
      <c r="E69" s="12">
        <f>SUMIFS('Consolidado conteo 1'!$F:$F,'Consolidado conteo 1'!$C:$C,Analisis_Diferecias[[#This Row],[ID]],'Consolidado conteo 1'!$I:$I,Analisis_Diferecias[[#Headers],[Primer Conteo]])</f>
        <v>0</v>
      </c>
      <c r="F69" s="12">
        <f>SUMIFS('Consolidado conteo 2'!$F:$F,'Consolidado conteo 2'!$C:$C,Analisis_Diferecias[[#This Row],[ID]],'Consolidado conteo 2'!$I:$I,Analisis_Diferecias[[#Headers],[Segundo Conteo]])</f>
        <v>0</v>
      </c>
      <c r="G69" s="12">
        <f>+Analisis_Diferecias[[#This Row],[Segundo Conteo]]-(Analisis_Diferecias[[#This Row],[Primer Conteo]])</f>
        <v>0</v>
      </c>
      <c r="H6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69" s="12">
        <f>SUMIFS(Analisis_Diferecias_Tercer_conteo[Tercer_conteo],Analisis_Diferecias_Tercer_conteo[ID],Analisis_Diferecias[[#This Row],[ID]])</f>
        <v>0</v>
      </c>
      <c r="J69" s="12">
        <f>IF(Analisis_Diferecias[[#This Row],[Tipo de incidencia]]="OK",Analisis_Diferecias[[#This Row],[Segundo Conteo]],Analisis_Diferecias[[#This Row],[Tercer Conteo]])</f>
        <v>0</v>
      </c>
      <c r="K69" s="12">
        <f>+(Analisis_Diferecias[[#This Row],[Cantidad Total de Conteos]]-(Analisis_Diferecias[[#This Row],[Cantidad]]))</f>
        <v>-12</v>
      </c>
      <c r="L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69" s="18"/>
      <c r="N69" s="18">
        <f>Analisis_Diferecias[[#This Row],[Costo Unitario($)]]*Analisis_Diferecias[[#This Row],[Cantidad Total de Conteos]]</f>
        <v>0</v>
      </c>
      <c r="O69" s="18">
        <f>Analisis_Diferecias[[#This Row],[Costo Unitario($)]]*Analisis_Diferecias[[#This Row],[Cantidad]]</f>
        <v>0</v>
      </c>
      <c r="P69" s="20">
        <f>+Analisis_Diferecias[[#This Row],[Valor Total Contado]]-Analisis_Diferecias[[#This Row],[Costo Total Sistema]]</f>
        <v>0</v>
      </c>
      <c r="Q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0" spans="1:17" x14ac:dyDescent="0.2">
      <c r="A70">
        <v>6774</v>
      </c>
      <c r="B70" t="s">
        <v>114</v>
      </c>
      <c r="C70" t="s">
        <v>115</v>
      </c>
      <c r="D70">
        <v>13</v>
      </c>
      <c r="E70" s="12">
        <f>SUMIFS('Consolidado conteo 1'!$F:$F,'Consolidado conteo 1'!$C:$C,Analisis_Diferecias[[#This Row],[ID]],'Consolidado conteo 1'!$I:$I,Analisis_Diferecias[[#Headers],[Primer Conteo]])</f>
        <v>0</v>
      </c>
      <c r="F70" s="12">
        <f>SUMIFS('Consolidado conteo 2'!$F:$F,'Consolidado conteo 2'!$C:$C,Analisis_Diferecias[[#This Row],[ID]],'Consolidado conteo 2'!$I:$I,Analisis_Diferecias[[#Headers],[Segundo Conteo]])</f>
        <v>0</v>
      </c>
      <c r="G70" s="12">
        <f>+Analisis_Diferecias[[#This Row],[Segundo Conteo]]-(Analisis_Diferecias[[#This Row],[Primer Conteo]])</f>
        <v>0</v>
      </c>
      <c r="H7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0" s="12">
        <f>SUMIFS(Analisis_Diferecias_Tercer_conteo[Tercer_conteo],Analisis_Diferecias_Tercer_conteo[ID],Analisis_Diferecias[[#This Row],[ID]])</f>
        <v>0</v>
      </c>
      <c r="J70" s="12">
        <f>IF(Analisis_Diferecias[[#This Row],[Tipo de incidencia]]="OK",Analisis_Diferecias[[#This Row],[Segundo Conteo]],Analisis_Diferecias[[#This Row],[Tercer Conteo]])</f>
        <v>0</v>
      </c>
      <c r="K70" s="12">
        <f>+(Analisis_Diferecias[[#This Row],[Cantidad Total de Conteos]]-(Analisis_Diferecias[[#This Row],[Cantidad]]))</f>
        <v>-13</v>
      </c>
      <c r="L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0" s="18"/>
      <c r="N70" s="18">
        <f>Analisis_Diferecias[[#This Row],[Costo Unitario($)]]*Analisis_Diferecias[[#This Row],[Cantidad Total de Conteos]]</f>
        <v>0</v>
      </c>
      <c r="O70" s="18">
        <f>Analisis_Diferecias[[#This Row],[Costo Unitario($)]]*Analisis_Diferecias[[#This Row],[Cantidad]]</f>
        <v>0</v>
      </c>
      <c r="P70" s="20">
        <f>+Analisis_Diferecias[[#This Row],[Valor Total Contado]]-Analisis_Diferecias[[#This Row],[Costo Total Sistema]]</f>
        <v>0</v>
      </c>
      <c r="Q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1" spans="1:17" x14ac:dyDescent="0.2">
      <c r="A71">
        <v>10840</v>
      </c>
      <c r="B71" t="s">
        <v>116</v>
      </c>
      <c r="C71" t="s">
        <v>117</v>
      </c>
      <c r="D71">
        <v>11</v>
      </c>
      <c r="E71" s="12">
        <f>SUMIFS('Consolidado conteo 1'!$F:$F,'Consolidado conteo 1'!$C:$C,Analisis_Diferecias[[#This Row],[ID]],'Consolidado conteo 1'!$I:$I,Analisis_Diferecias[[#Headers],[Primer Conteo]])</f>
        <v>0</v>
      </c>
      <c r="F71" s="12">
        <f>SUMIFS('Consolidado conteo 2'!$F:$F,'Consolidado conteo 2'!$C:$C,Analisis_Diferecias[[#This Row],[ID]],'Consolidado conteo 2'!$I:$I,Analisis_Diferecias[[#Headers],[Segundo Conteo]])</f>
        <v>0</v>
      </c>
      <c r="G71" s="12">
        <f>+Analisis_Diferecias[[#This Row],[Segundo Conteo]]-(Analisis_Diferecias[[#This Row],[Primer Conteo]])</f>
        <v>0</v>
      </c>
      <c r="H7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1" s="12">
        <f>SUMIFS(Analisis_Diferecias_Tercer_conteo[Tercer_conteo],Analisis_Diferecias_Tercer_conteo[ID],Analisis_Diferecias[[#This Row],[ID]])</f>
        <v>0</v>
      </c>
      <c r="J71" s="12">
        <f>IF(Analisis_Diferecias[[#This Row],[Tipo de incidencia]]="OK",Analisis_Diferecias[[#This Row],[Segundo Conteo]],Analisis_Diferecias[[#This Row],[Tercer Conteo]])</f>
        <v>0</v>
      </c>
      <c r="K71" s="12">
        <f>+(Analisis_Diferecias[[#This Row],[Cantidad Total de Conteos]]-(Analisis_Diferecias[[#This Row],[Cantidad]]))</f>
        <v>-11</v>
      </c>
      <c r="L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1" s="18"/>
      <c r="N71" s="18">
        <f>Analisis_Diferecias[[#This Row],[Costo Unitario($)]]*Analisis_Diferecias[[#This Row],[Cantidad Total de Conteos]]</f>
        <v>0</v>
      </c>
      <c r="O71" s="18">
        <f>Analisis_Diferecias[[#This Row],[Costo Unitario($)]]*Analisis_Diferecias[[#This Row],[Cantidad]]</f>
        <v>0</v>
      </c>
      <c r="P71" s="20">
        <f>+Analisis_Diferecias[[#This Row],[Valor Total Contado]]-Analisis_Diferecias[[#This Row],[Costo Total Sistema]]</f>
        <v>0</v>
      </c>
      <c r="Q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2" spans="1:17" x14ac:dyDescent="0.2">
      <c r="A72">
        <v>10503</v>
      </c>
      <c r="B72" t="s">
        <v>118</v>
      </c>
      <c r="C72" t="s">
        <v>119</v>
      </c>
      <c r="D72">
        <v>11</v>
      </c>
      <c r="E72" s="12">
        <f>SUMIFS('Consolidado conteo 1'!$F:$F,'Consolidado conteo 1'!$C:$C,Analisis_Diferecias[[#This Row],[ID]],'Consolidado conteo 1'!$I:$I,Analisis_Diferecias[[#Headers],[Primer Conteo]])</f>
        <v>0</v>
      </c>
      <c r="F72" s="12">
        <f>SUMIFS('Consolidado conteo 2'!$F:$F,'Consolidado conteo 2'!$C:$C,Analisis_Diferecias[[#This Row],[ID]],'Consolidado conteo 2'!$I:$I,Analisis_Diferecias[[#Headers],[Segundo Conteo]])</f>
        <v>0</v>
      </c>
      <c r="G72" s="12">
        <f>+Analisis_Diferecias[[#This Row],[Segundo Conteo]]-(Analisis_Diferecias[[#This Row],[Primer Conteo]])</f>
        <v>0</v>
      </c>
      <c r="H7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2" s="12">
        <f>SUMIFS(Analisis_Diferecias_Tercer_conteo[Tercer_conteo],Analisis_Diferecias_Tercer_conteo[ID],Analisis_Diferecias[[#This Row],[ID]])</f>
        <v>0</v>
      </c>
      <c r="J72" s="12">
        <f>IF(Analisis_Diferecias[[#This Row],[Tipo de incidencia]]="OK",Analisis_Diferecias[[#This Row],[Segundo Conteo]],Analisis_Diferecias[[#This Row],[Tercer Conteo]])</f>
        <v>0</v>
      </c>
      <c r="K72" s="12">
        <f>+(Analisis_Diferecias[[#This Row],[Cantidad Total de Conteos]]-(Analisis_Diferecias[[#This Row],[Cantidad]]))</f>
        <v>-11</v>
      </c>
      <c r="L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2" s="18"/>
      <c r="N72" s="18">
        <f>Analisis_Diferecias[[#This Row],[Costo Unitario($)]]*Analisis_Diferecias[[#This Row],[Cantidad Total de Conteos]]</f>
        <v>0</v>
      </c>
      <c r="O72" s="18">
        <f>Analisis_Diferecias[[#This Row],[Costo Unitario($)]]*Analisis_Diferecias[[#This Row],[Cantidad]]</f>
        <v>0</v>
      </c>
      <c r="P72" s="20">
        <f>+Analisis_Diferecias[[#This Row],[Valor Total Contado]]-Analisis_Diferecias[[#This Row],[Costo Total Sistema]]</f>
        <v>0</v>
      </c>
      <c r="Q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3" spans="1:17" x14ac:dyDescent="0.2">
      <c r="A73">
        <v>6760</v>
      </c>
      <c r="B73" t="s">
        <v>120</v>
      </c>
      <c r="C73" t="s">
        <v>121</v>
      </c>
      <c r="D73">
        <v>12</v>
      </c>
      <c r="E73" s="12">
        <f>SUMIFS('Consolidado conteo 1'!$F:$F,'Consolidado conteo 1'!$C:$C,Analisis_Diferecias[[#This Row],[ID]],'Consolidado conteo 1'!$I:$I,Analisis_Diferecias[[#Headers],[Primer Conteo]])</f>
        <v>0</v>
      </c>
      <c r="F73" s="12">
        <f>SUMIFS('Consolidado conteo 2'!$F:$F,'Consolidado conteo 2'!$C:$C,Analisis_Diferecias[[#This Row],[ID]],'Consolidado conteo 2'!$I:$I,Analisis_Diferecias[[#Headers],[Segundo Conteo]])</f>
        <v>0</v>
      </c>
      <c r="G73" s="12">
        <f>+Analisis_Diferecias[[#This Row],[Segundo Conteo]]-(Analisis_Diferecias[[#This Row],[Primer Conteo]])</f>
        <v>0</v>
      </c>
      <c r="H7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3" s="12">
        <f>SUMIFS(Analisis_Diferecias_Tercer_conteo[Tercer_conteo],Analisis_Diferecias_Tercer_conteo[ID],Analisis_Diferecias[[#This Row],[ID]])</f>
        <v>0</v>
      </c>
      <c r="J73" s="12">
        <f>IF(Analisis_Diferecias[[#This Row],[Tipo de incidencia]]="OK",Analisis_Diferecias[[#This Row],[Segundo Conteo]],Analisis_Diferecias[[#This Row],[Tercer Conteo]])</f>
        <v>0</v>
      </c>
      <c r="K73" s="12">
        <f>+(Analisis_Diferecias[[#This Row],[Cantidad Total de Conteos]]-(Analisis_Diferecias[[#This Row],[Cantidad]]))</f>
        <v>-12</v>
      </c>
      <c r="L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3" s="18"/>
      <c r="N73" s="18">
        <f>Analisis_Diferecias[[#This Row],[Costo Unitario($)]]*Analisis_Diferecias[[#This Row],[Cantidad Total de Conteos]]</f>
        <v>0</v>
      </c>
      <c r="O73" s="18">
        <f>Analisis_Diferecias[[#This Row],[Costo Unitario($)]]*Analisis_Diferecias[[#This Row],[Cantidad]]</f>
        <v>0</v>
      </c>
      <c r="P73" s="20">
        <f>+Analisis_Diferecias[[#This Row],[Valor Total Contado]]-Analisis_Diferecias[[#This Row],[Costo Total Sistema]]</f>
        <v>0</v>
      </c>
      <c r="Q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4" spans="1:17" x14ac:dyDescent="0.2">
      <c r="A74">
        <v>13505</v>
      </c>
      <c r="B74" t="s">
        <v>122</v>
      </c>
      <c r="C74" t="s">
        <v>123</v>
      </c>
      <c r="D74">
        <v>10</v>
      </c>
      <c r="E74" s="12">
        <f>SUMIFS('Consolidado conteo 1'!$F:$F,'Consolidado conteo 1'!$C:$C,Analisis_Diferecias[[#This Row],[ID]],'Consolidado conteo 1'!$I:$I,Analisis_Diferecias[[#Headers],[Primer Conteo]])</f>
        <v>0</v>
      </c>
      <c r="F74" s="12">
        <f>SUMIFS('Consolidado conteo 2'!$F:$F,'Consolidado conteo 2'!$C:$C,Analisis_Diferecias[[#This Row],[ID]],'Consolidado conteo 2'!$I:$I,Analisis_Diferecias[[#Headers],[Segundo Conteo]])</f>
        <v>0</v>
      </c>
      <c r="G74" s="12">
        <f>+Analisis_Diferecias[[#This Row],[Segundo Conteo]]-(Analisis_Diferecias[[#This Row],[Primer Conteo]])</f>
        <v>0</v>
      </c>
      <c r="H7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4" s="12">
        <f>SUMIFS(Analisis_Diferecias_Tercer_conteo[Tercer_conteo],Analisis_Diferecias_Tercer_conteo[ID],Analisis_Diferecias[[#This Row],[ID]])</f>
        <v>0</v>
      </c>
      <c r="J74" s="12">
        <f>IF(Analisis_Diferecias[[#This Row],[Tipo de incidencia]]="OK",Analisis_Diferecias[[#This Row],[Segundo Conteo]],Analisis_Diferecias[[#This Row],[Tercer Conteo]])</f>
        <v>0</v>
      </c>
      <c r="K74" s="12">
        <f>+(Analisis_Diferecias[[#This Row],[Cantidad Total de Conteos]]-(Analisis_Diferecias[[#This Row],[Cantidad]]))</f>
        <v>-10</v>
      </c>
      <c r="L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4" s="18"/>
      <c r="N74" s="18">
        <f>Analisis_Diferecias[[#This Row],[Costo Unitario($)]]*Analisis_Diferecias[[#This Row],[Cantidad Total de Conteos]]</f>
        <v>0</v>
      </c>
      <c r="O74" s="18">
        <f>Analisis_Diferecias[[#This Row],[Costo Unitario($)]]*Analisis_Diferecias[[#This Row],[Cantidad]]</f>
        <v>0</v>
      </c>
      <c r="P74" s="20">
        <f>+Analisis_Diferecias[[#This Row],[Valor Total Contado]]-Analisis_Diferecias[[#This Row],[Costo Total Sistema]]</f>
        <v>0</v>
      </c>
      <c r="Q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5" spans="1:17" x14ac:dyDescent="0.2">
      <c r="A75">
        <v>9548</v>
      </c>
      <c r="B75" t="s">
        <v>124</v>
      </c>
      <c r="C75" t="s">
        <v>125</v>
      </c>
      <c r="D75">
        <v>10</v>
      </c>
      <c r="E75" s="12">
        <f>SUMIFS('Consolidado conteo 1'!$F:$F,'Consolidado conteo 1'!$C:$C,Analisis_Diferecias[[#This Row],[ID]],'Consolidado conteo 1'!$I:$I,Analisis_Diferecias[[#Headers],[Primer Conteo]])</f>
        <v>0</v>
      </c>
      <c r="F75" s="12">
        <f>SUMIFS('Consolidado conteo 2'!$F:$F,'Consolidado conteo 2'!$C:$C,Analisis_Diferecias[[#This Row],[ID]],'Consolidado conteo 2'!$I:$I,Analisis_Diferecias[[#Headers],[Segundo Conteo]])</f>
        <v>0</v>
      </c>
      <c r="G75" s="12">
        <f>+Analisis_Diferecias[[#This Row],[Segundo Conteo]]-(Analisis_Diferecias[[#This Row],[Primer Conteo]])</f>
        <v>0</v>
      </c>
      <c r="H7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5" s="12">
        <f>SUMIFS(Analisis_Diferecias_Tercer_conteo[Tercer_conteo],Analisis_Diferecias_Tercer_conteo[ID],Analisis_Diferecias[[#This Row],[ID]])</f>
        <v>0</v>
      </c>
      <c r="J75" s="12">
        <f>IF(Analisis_Diferecias[[#This Row],[Tipo de incidencia]]="OK",Analisis_Diferecias[[#This Row],[Segundo Conteo]],Analisis_Diferecias[[#This Row],[Tercer Conteo]])</f>
        <v>0</v>
      </c>
      <c r="K75" s="12">
        <f>+(Analisis_Diferecias[[#This Row],[Cantidad Total de Conteos]]-(Analisis_Diferecias[[#This Row],[Cantidad]]))</f>
        <v>-10</v>
      </c>
      <c r="L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5" s="18"/>
      <c r="N75" s="18">
        <f>Analisis_Diferecias[[#This Row],[Costo Unitario($)]]*Analisis_Diferecias[[#This Row],[Cantidad Total de Conteos]]</f>
        <v>0</v>
      </c>
      <c r="O75" s="18">
        <f>Analisis_Diferecias[[#This Row],[Costo Unitario($)]]*Analisis_Diferecias[[#This Row],[Cantidad]]</f>
        <v>0</v>
      </c>
      <c r="P75" s="20">
        <f>+Analisis_Diferecias[[#This Row],[Valor Total Contado]]-Analisis_Diferecias[[#This Row],[Costo Total Sistema]]</f>
        <v>0</v>
      </c>
      <c r="Q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6" spans="1:17" x14ac:dyDescent="0.2">
      <c r="A76">
        <v>3332</v>
      </c>
      <c r="B76" t="s">
        <v>126</v>
      </c>
      <c r="C76" t="s">
        <v>127</v>
      </c>
      <c r="D76">
        <v>10</v>
      </c>
      <c r="E76" s="12">
        <f>SUMIFS('Consolidado conteo 1'!$F:$F,'Consolidado conteo 1'!$C:$C,Analisis_Diferecias[[#This Row],[ID]],'Consolidado conteo 1'!$I:$I,Analisis_Diferecias[[#Headers],[Primer Conteo]])</f>
        <v>0</v>
      </c>
      <c r="F76" s="12">
        <f>SUMIFS('Consolidado conteo 2'!$F:$F,'Consolidado conteo 2'!$C:$C,Analisis_Diferecias[[#This Row],[ID]],'Consolidado conteo 2'!$I:$I,Analisis_Diferecias[[#Headers],[Segundo Conteo]])</f>
        <v>0</v>
      </c>
      <c r="G76" s="12">
        <f>+Analisis_Diferecias[[#This Row],[Segundo Conteo]]-(Analisis_Diferecias[[#This Row],[Primer Conteo]])</f>
        <v>0</v>
      </c>
      <c r="H7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6" s="12">
        <f>SUMIFS(Analisis_Diferecias_Tercer_conteo[Tercer_conteo],Analisis_Diferecias_Tercer_conteo[ID],Analisis_Diferecias[[#This Row],[ID]])</f>
        <v>0</v>
      </c>
      <c r="J76" s="12">
        <f>IF(Analisis_Diferecias[[#This Row],[Tipo de incidencia]]="OK",Analisis_Diferecias[[#This Row],[Segundo Conteo]],Analisis_Diferecias[[#This Row],[Tercer Conteo]])</f>
        <v>0</v>
      </c>
      <c r="K76" s="12">
        <f>+(Analisis_Diferecias[[#This Row],[Cantidad Total de Conteos]]-(Analisis_Diferecias[[#This Row],[Cantidad]]))</f>
        <v>-10</v>
      </c>
      <c r="L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6" s="18"/>
      <c r="N76" s="18">
        <f>Analisis_Diferecias[[#This Row],[Costo Unitario($)]]*Analisis_Diferecias[[#This Row],[Cantidad Total de Conteos]]</f>
        <v>0</v>
      </c>
      <c r="O76" s="18">
        <f>Analisis_Diferecias[[#This Row],[Costo Unitario($)]]*Analisis_Diferecias[[#This Row],[Cantidad]]</f>
        <v>0</v>
      </c>
      <c r="P76" s="20">
        <f>+Analisis_Diferecias[[#This Row],[Valor Total Contado]]-Analisis_Diferecias[[#This Row],[Costo Total Sistema]]</f>
        <v>0</v>
      </c>
      <c r="Q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7" spans="1:17" x14ac:dyDescent="0.2">
      <c r="A77">
        <v>10429</v>
      </c>
      <c r="B77" t="s">
        <v>128</v>
      </c>
      <c r="C77" t="s">
        <v>129</v>
      </c>
      <c r="D77">
        <v>10</v>
      </c>
      <c r="E77" s="12">
        <f>SUMIFS('Consolidado conteo 1'!$F:$F,'Consolidado conteo 1'!$C:$C,Analisis_Diferecias[[#This Row],[ID]],'Consolidado conteo 1'!$I:$I,Analisis_Diferecias[[#Headers],[Primer Conteo]])</f>
        <v>0</v>
      </c>
      <c r="F77" s="12">
        <f>SUMIFS('Consolidado conteo 2'!$F:$F,'Consolidado conteo 2'!$C:$C,Analisis_Diferecias[[#This Row],[ID]],'Consolidado conteo 2'!$I:$I,Analisis_Diferecias[[#Headers],[Segundo Conteo]])</f>
        <v>0</v>
      </c>
      <c r="G77" s="12">
        <f>+Analisis_Diferecias[[#This Row],[Segundo Conteo]]-(Analisis_Diferecias[[#This Row],[Primer Conteo]])</f>
        <v>0</v>
      </c>
      <c r="H7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7" s="12">
        <f>SUMIFS(Analisis_Diferecias_Tercer_conteo[Tercer_conteo],Analisis_Diferecias_Tercer_conteo[ID],Analisis_Diferecias[[#This Row],[ID]])</f>
        <v>0</v>
      </c>
      <c r="J77" s="12">
        <f>IF(Analisis_Diferecias[[#This Row],[Tipo de incidencia]]="OK",Analisis_Diferecias[[#This Row],[Segundo Conteo]],Analisis_Diferecias[[#This Row],[Tercer Conteo]])</f>
        <v>0</v>
      </c>
      <c r="K77" s="12">
        <f>+(Analisis_Diferecias[[#This Row],[Cantidad Total de Conteos]]-(Analisis_Diferecias[[#This Row],[Cantidad]]))</f>
        <v>-10</v>
      </c>
      <c r="L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7" s="18"/>
      <c r="N77" s="18">
        <f>Analisis_Diferecias[[#This Row],[Costo Unitario($)]]*Analisis_Diferecias[[#This Row],[Cantidad Total de Conteos]]</f>
        <v>0</v>
      </c>
      <c r="O77" s="18">
        <f>Analisis_Diferecias[[#This Row],[Costo Unitario($)]]*Analisis_Diferecias[[#This Row],[Cantidad]]</f>
        <v>0</v>
      </c>
      <c r="P77" s="20">
        <f>+Analisis_Diferecias[[#This Row],[Valor Total Contado]]-Analisis_Diferecias[[#This Row],[Costo Total Sistema]]</f>
        <v>0</v>
      </c>
      <c r="Q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8" spans="1:17" x14ac:dyDescent="0.2">
      <c r="A78">
        <v>13501</v>
      </c>
      <c r="B78" t="s">
        <v>130</v>
      </c>
      <c r="C78" t="s">
        <v>131</v>
      </c>
      <c r="D78">
        <v>10</v>
      </c>
      <c r="E78" s="12">
        <f>SUMIFS('Consolidado conteo 1'!$F:$F,'Consolidado conteo 1'!$C:$C,Analisis_Diferecias[[#This Row],[ID]],'Consolidado conteo 1'!$I:$I,Analisis_Diferecias[[#Headers],[Primer Conteo]])</f>
        <v>0</v>
      </c>
      <c r="F78" s="12">
        <f>SUMIFS('Consolidado conteo 2'!$F:$F,'Consolidado conteo 2'!$C:$C,Analisis_Diferecias[[#This Row],[ID]],'Consolidado conteo 2'!$I:$I,Analisis_Diferecias[[#Headers],[Segundo Conteo]])</f>
        <v>0</v>
      </c>
      <c r="G78" s="12">
        <f>+Analisis_Diferecias[[#This Row],[Segundo Conteo]]-(Analisis_Diferecias[[#This Row],[Primer Conteo]])</f>
        <v>0</v>
      </c>
      <c r="H7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8" s="12">
        <f>SUMIFS(Analisis_Diferecias_Tercer_conteo[Tercer_conteo],Analisis_Diferecias_Tercer_conteo[ID],Analisis_Diferecias[[#This Row],[ID]])</f>
        <v>0</v>
      </c>
      <c r="J78" s="12">
        <f>IF(Analisis_Diferecias[[#This Row],[Tipo de incidencia]]="OK",Analisis_Diferecias[[#This Row],[Segundo Conteo]],Analisis_Diferecias[[#This Row],[Tercer Conteo]])</f>
        <v>0</v>
      </c>
      <c r="K78" s="12">
        <f>+(Analisis_Diferecias[[#This Row],[Cantidad Total de Conteos]]-(Analisis_Diferecias[[#This Row],[Cantidad]]))</f>
        <v>-10</v>
      </c>
      <c r="L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8" s="18"/>
      <c r="N78" s="18">
        <f>Analisis_Diferecias[[#This Row],[Costo Unitario($)]]*Analisis_Diferecias[[#This Row],[Cantidad Total de Conteos]]</f>
        <v>0</v>
      </c>
      <c r="O78" s="18">
        <f>Analisis_Diferecias[[#This Row],[Costo Unitario($)]]*Analisis_Diferecias[[#This Row],[Cantidad]]</f>
        <v>0</v>
      </c>
      <c r="P78" s="20">
        <f>+Analisis_Diferecias[[#This Row],[Valor Total Contado]]-Analisis_Diferecias[[#This Row],[Costo Total Sistema]]</f>
        <v>0</v>
      </c>
      <c r="Q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79" spans="1:17" x14ac:dyDescent="0.2">
      <c r="A79">
        <v>10460</v>
      </c>
      <c r="B79" t="s">
        <v>132</v>
      </c>
      <c r="C79" t="s">
        <v>133</v>
      </c>
      <c r="D79">
        <v>10</v>
      </c>
      <c r="E79" s="12">
        <f>SUMIFS('Consolidado conteo 1'!$F:$F,'Consolidado conteo 1'!$C:$C,Analisis_Diferecias[[#This Row],[ID]],'Consolidado conteo 1'!$I:$I,Analisis_Diferecias[[#Headers],[Primer Conteo]])</f>
        <v>0</v>
      </c>
      <c r="F79" s="12">
        <f>SUMIFS('Consolidado conteo 2'!$F:$F,'Consolidado conteo 2'!$C:$C,Analisis_Diferecias[[#This Row],[ID]],'Consolidado conteo 2'!$I:$I,Analisis_Diferecias[[#Headers],[Segundo Conteo]])</f>
        <v>0</v>
      </c>
      <c r="G79" s="12">
        <f>+Analisis_Diferecias[[#This Row],[Segundo Conteo]]-(Analisis_Diferecias[[#This Row],[Primer Conteo]])</f>
        <v>0</v>
      </c>
      <c r="H7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79" s="12">
        <f>SUMIFS(Analisis_Diferecias_Tercer_conteo[Tercer_conteo],Analisis_Diferecias_Tercer_conteo[ID],Analisis_Diferecias[[#This Row],[ID]])</f>
        <v>0</v>
      </c>
      <c r="J79" s="12">
        <f>IF(Analisis_Diferecias[[#This Row],[Tipo de incidencia]]="OK",Analisis_Diferecias[[#This Row],[Segundo Conteo]],Analisis_Diferecias[[#This Row],[Tercer Conteo]])</f>
        <v>0</v>
      </c>
      <c r="K79" s="12">
        <f>+(Analisis_Diferecias[[#This Row],[Cantidad Total de Conteos]]-(Analisis_Diferecias[[#This Row],[Cantidad]]))</f>
        <v>-10</v>
      </c>
      <c r="L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79" s="18"/>
      <c r="N79" s="18">
        <f>Analisis_Diferecias[[#This Row],[Costo Unitario($)]]*Analisis_Diferecias[[#This Row],[Cantidad Total de Conteos]]</f>
        <v>0</v>
      </c>
      <c r="O79" s="18">
        <f>Analisis_Diferecias[[#This Row],[Costo Unitario($)]]*Analisis_Diferecias[[#This Row],[Cantidad]]</f>
        <v>0</v>
      </c>
      <c r="P79" s="20">
        <f>+Analisis_Diferecias[[#This Row],[Valor Total Contado]]-Analisis_Diferecias[[#This Row],[Costo Total Sistema]]</f>
        <v>0</v>
      </c>
      <c r="Q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0" spans="1:17" x14ac:dyDescent="0.2">
      <c r="A80">
        <v>10461</v>
      </c>
      <c r="B80" t="s">
        <v>134</v>
      </c>
      <c r="C80" t="s">
        <v>135</v>
      </c>
      <c r="D80">
        <v>10</v>
      </c>
      <c r="E80" s="12">
        <f>SUMIFS('Consolidado conteo 1'!$F:$F,'Consolidado conteo 1'!$C:$C,Analisis_Diferecias[[#This Row],[ID]],'Consolidado conteo 1'!$I:$I,Analisis_Diferecias[[#Headers],[Primer Conteo]])</f>
        <v>0</v>
      </c>
      <c r="F80" s="12">
        <f>SUMIFS('Consolidado conteo 2'!$F:$F,'Consolidado conteo 2'!$C:$C,Analisis_Diferecias[[#This Row],[ID]],'Consolidado conteo 2'!$I:$I,Analisis_Diferecias[[#Headers],[Segundo Conteo]])</f>
        <v>0</v>
      </c>
      <c r="G80" s="12">
        <f>+Analisis_Diferecias[[#This Row],[Segundo Conteo]]-(Analisis_Diferecias[[#This Row],[Primer Conteo]])</f>
        <v>0</v>
      </c>
      <c r="H8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0" s="12">
        <f>SUMIFS(Analisis_Diferecias_Tercer_conteo[Tercer_conteo],Analisis_Diferecias_Tercer_conteo[ID],Analisis_Diferecias[[#This Row],[ID]])</f>
        <v>0</v>
      </c>
      <c r="J80" s="12">
        <f>IF(Analisis_Diferecias[[#This Row],[Tipo de incidencia]]="OK",Analisis_Diferecias[[#This Row],[Segundo Conteo]],Analisis_Diferecias[[#This Row],[Tercer Conteo]])</f>
        <v>0</v>
      </c>
      <c r="K80" s="12">
        <f>+(Analisis_Diferecias[[#This Row],[Cantidad Total de Conteos]]-(Analisis_Diferecias[[#This Row],[Cantidad]]))</f>
        <v>-10</v>
      </c>
      <c r="L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0" s="18"/>
      <c r="N80" s="18">
        <f>Analisis_Diferecias[[#This Row],[Costo Unitario($)]]*Analisis_Diferecias[[#This Row],[Cantidad Total de Conteos]]</f>
        <v>0</v>
      </c>
      <c r="O80" s="18">
        <f>Analisis_Diferecias[[#This Row],[Costo Unitario($)]]*Analisis_Diferecias[[#This Row],[Cantidad]]</f>
        <v>0</v>
      </c>
      <c r="P80" s="20">
        <f>+Analisis_Diferecias[[#This Row],[Valor Total Contado]]-Analisis_Diferecias[[#This Row],[Costo Total Sistema]]</f>
        <v>0</v>
      </c>
      <c r="Q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1" spans="1:17" x14ac:dyDescent="0.2">
      <c r="A81">
        <v>9221</v>
      </c>
      <c r="B81" t="s">
        <v>136</v>
      </c>
      <c r="C81" t="s">
        <v>137</v>
      </c>
      <c r="D81">
        <v>9</v>
      </c>
      <c r="E81" s="12">
        <f>SUMIFS('Consolidado conteo 1'!$F:$F,'Consolidado conteo 1'!$C:$C,Analisis_Diferecias[[#This Row],[ID]],'Consolidado conteo 1'!$I:$I,Analisis_Diferecias[[#Headers],[Primer Conteo]])</f>
        <v>0</v>
      </c>
      <c r="F81" s="12">
        <f>SUMIFS('Consolidado conteo 2'!$F:$F,'Consolidado conteo 2'!$C:$C,Analisis_Diferecias[[#This Row],[ID]],'Consolidado conteo 2'!$I:$I,Analisis_Diferecias[[#Headers],[Segundo Conteo]])</f>
        <v>0</v>
      </c>
      <c r="G81" s="12">
        <f>+Analisis_Diferecias[[#This Row],[Segundo Conteo]]-(Analisis_Diferecias[[#This Row],[Primer Conteo]])</f>
        <v>0</v>
      </c>
      <c r="H8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1" s="12">
        <f>SUMIFS(Analisis_Diferecias_Tercer_conteo[Tercer_conteo],Analisis_Diferecias_Tercer_conteo[ID],Analisis_Diferecias[[#This Row],[ID]])</f>
        <v>0</v>
      </c>
      <c r="J81" s="12">
        <f>IF(Analisis_Diferecias[[#This Row],[Tipo de incidencia]]="OK",Analisis_Diferecias[[#This Row],[Segundo Conteo]],Analisis_Diferecias[[#This Row],[Tercer Conteo]])</f>
        <v>0</v>
      </c>
      <c r="K81" s="12">
        <f>+(Analisis_Diferecias[[#This Row],[Cantidad Total de Conteos]]-(Analisis_Diferecias[[#This Row],[Cantidad]]))</f>
        <v>-9</v>
      </c>
      <c r="L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1" s="18"/>
      <c r="N81" s="18">
        <f>Analisis_Diferecias[[#This Row],[Costo Unitario($)]]*Analisis_Diferecias[[#This Row],[Cantidad Total de Conteos]]</f>
        <v>0</v>
      </c>
      <c r="O81" s="18">
        <f>Analisis_Diferecias[[#This Row],[Costo Unitario($)]]*Analisis_Diferecias[[#This Row],[Cantidad]]</f>
        <v>0</v>
      </c>
      <c r="P81" s="20">
        <f>+Analisis_Diferecias[[#This Row],[Valor Total Contado]]-Analisis_Diferecias[[#This Row],[Costo Total Sistema]]</f>
        <v>0</v>
      </c>
      <c r="Q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2" spans="1:17" x14ac:dyDescent="0.2">
      <c r="A82">
        <v>10364</v>
      </c>
      <c r="B82" t="s">
        <v>138</v>
      </c>
      <c r="C82" t="s">
        <v>139</v>
      </c>
      <c r="D82">
        <v>9</v>
      </c>
      <c r="E82" s="12">
        <f>SUMIFS('Consolidado conteo 1'!$F:$F,'Consolidado conteo 1'!$C:$C,Analisis_Diferecias[[#This Row],[ID]],'Consolidado conteo 1'!$I:$I,Analisis_Diferecias[[#Headers],[Primer Conteo]])</f>
        <v>0</v>
      </c>
      <c r="F82" s="12">
        <f>SUMIFS('Consolidado conteo 2'!$F:$F,'Consolidado conteo 2'!$C:$C,Analisis_Diferecias[[#This Row],[ID]],'Consolidado conteo 2'!$I:$I,Analisis_Diferecias[[#Headers],[Segundo Conteo]])</f>
        <v>0</v>
      </c>
      <c r="G82" s="12">
        <f>+Analisis_Diferecias[[#This Row],[Segundo Conteo]]-(Analisis_Diferecias[[#This Row],[Primer Conteo]])</f>
        <v>0</v>
      </c>
      <c r="H8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2" s="12">
        <f>SUMIFS(Analisis_Diferecias_Tercer_conteo[Tercer_conteo],Analisis_Diferecias_Tercer_conteo[ID],Analisis_Diferecias[[#This Row],[ID]])</f>
        <v>0</v>
      </c>
      <c r="J82" s="12">
        <f>IF(Analisis_Diferecias[[#This Row],[Tipo de incidencia]]="OK",Analisis_Diferecias[[#This Row],[Segundo Conteo]],Analisis_Diferecias[[#This Row],[Tercer Conteo]])</f>
        <v>0</v>
      </c>
      <c r="K82" s="12">
        <f>+(Analisis_Diferecias[[#This Row],[Cantidad Total de Conteos]]-(Analisis_Diferecias[[#This Row],[Cantidad]]))</f>
        <v>-9</v>
      </c>
      <c r="L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2" s="18"/>
      <c r="N82" s="18">
        <f>Analisis_Diferecias[[#This Row],[Costo Unitario($)]]*Analisis_Diferecias[[#This Row],[Cantidad Total de Conteos]]</f>
        <v>0</v>
      </c>
      <c r="O82" s="18">
        <f>Analisis_Diferecias[[#This Row],[Costo Unitario($)]]*Analisis_Diferecias[[#This Row],[Cantidad]]</f>
        <v>0</v>
      </c>
      <c r="P82" s="20">
        <f>+Analisis_Diferecias[[#This Row],[Valor Total Contado]]-Analisis_Diferecias[[#This Row],[Costo Total Sistema]]</f>
        <v>0</v>
      </c>
      <c r="Q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3" spans="1:17" x14ac:dyDescent="0.2">
      <c r="A83">
        <v>10385</v>
      </c>
      <c r="B83" t="s">
        <v>140</v>
      </c>
      <c r="C83" t="s">
        <v>141</v>
      </c>
      <c r="D83">
        <v>9</v>
      </c>
      <c r="E83" s="12">
        <f>SUMIFS('Consolidado conteo 1'!$F:$F,'Consolidado conteo 1'!$C:$C,Analisis_Diferecias[[#This Row],[ID]],'Consolidado conteo 1'!$I:$I,Analisis_Diferecias[[#Headers],[Primer Conteo]])</f>
        <v>0</v>
      </c>
      <c r="F83" s="12">
        <f>SUMIFS('Consolidado conteo 2'!$F:$F,'Consolidado conteo 2'!$C:$C,Analisis_Diferecias[[#This Row],[ID]],'Consolidado conteo 2'!$I:$I,Analisis_Diferecias[[#Headers],[Segundo Conteo]])</f>
        <v>0</v>
      </c>
      <c r="G83" s="12">
        <f>+Analisis_Diferecias[[#This Row],[Segundo Conteo]]-(Analisis_Diferecias[[#This Row],[Primer Conteo]])</f>
        <v>0</v>
      </c>
      <c r="H8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3" s="12">
        <f>SUMIFS(Analisis_Diferecias_Tercer_conteo[Tercer_conteo],Analisis_Diferecias_Tercer_conteo[ID],Analisis_Diferecias[[#This Row],[ID]])</f>
        <v>0</v>
      </c>
      <c r="J83" s="12">
        <f>IF(Analisis_Diferecias[[#This Row],[Tipo de incidencia]]="OK",Analisis_Diferecias[[#This Row],[Segundo Conteo]],Analisis_Diferecias[[#This Row],[Tercer Conteo]])</f>
        <v>0</v>
      </c>
      <c r="K83" s="12">
        <f>+(Analisis_Diferecias[[#This Row],[Cantidad Total de Conteos]]-(Analisis_Diferecias[[#This Row],[Cantidad]]))</f>
        <v>-9</v>
      </c>
      <c r="L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3" s="18"/>
      <c r="N83" s="18">
        <f>Analisis_Diferecias[[#This Row],[Costo Unitario($)]]*Analisis_Diferecias[[#This Row],[Cantidad Total de Conteos]]</f>
        <v>0</v>
      </c>
      <c r="O83" s="18">
        <f>Analisis_Diferecias[[#This Row],[Costo Unitario($)]]*Analisis_Diferecias[[#This Row],[Cantidad]]</f>
        <v>0</v>
      </c>
      <c r="P83" s="20">
        <f>+Analisis_Diferecias[[#This Row],[Valor Total Contado]]-Analisis_Diferecias[[#This Row],[Costo Total Sistema]]</f>
        <v>0</v>
      </c>
      <c r="Q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4" spans="1:17" x14ac:dyDescent="0.2">
      <c r="A84">
        <v>10376</v>
      </c>
      <c r="B84" t="s">
        <v>142</v>
      </c>
      <c r="C84" t="s">
        <v>143</v>
      </c>
      <c r="D84">
        <v>9</v>
      </c>
      <c r="E84" s="12">
        <f>SUMIFS('Consolidado conteo 1'!$F:$F,'Consolidado conteo 1'!$C:$C,Analisis_Diferecias[[#This Row],[ID]],'Consolidado conteo 1'!$I:$I,Analisis_Diferecias[[#Headers],[Primer Conteo]])</f>
        <v>0</v>
      </c>
      <c r="F84" s="12">
        <f>SUMIFS('Consolidado conteo 2'!$F:$F,'Consolidado conteo 2'!$C:$C,Analisis_Diferecias[[#This Row],[ID]],'Consolidado conteo 2'!$I:$I,Analisis_Diferecias[[#Headers],[Segundo Conteo]])</f>
        <v>0</v>
      </c>
      <c r="G84" s="12">
        <f>+Analisis_Diferecias[[#This Row],[Segundo Conteo]]-(Analisis_Diferecias[[#This Row],[Primer Conteo]])</f>
        <v>0</v>
      </c>
      <c r="H8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4" s="12">
        <f>SUMIFS(Analisis_Diferecias_Tercer_conteo[Tercer_conteo],Analisis_Diferecias_Tercer_conteo[ID],Analisis_Diferecias[[#This Row],[ID]])</f>
        <v>0</v>
      </c>
      <c r="J84" s="12">
        <f>IF(Analisis_Diferecias[[#This Row],[Tipo de incidencia]]="OK",Analisis_Diferecias[[#This Row],[Segundo Conteo]],Analisis_Diferecias[[#This Row],[Tercer Conteo]])</f>
        <v>0</v>
      </c>
      <c r="K84" s="12">
        <f>+(Analisis_Diferecias[[#This Row],[Cantidad Total de Conteos]]-(Analisis_Diferecias[[#This Row],[Cantidad]]))</f>
        <v>-9</v>
      </c>
      <c r="L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4" s="18"/>
      <c r="N84" s="18">
        <f>Analisis_Diferecias[[#This Row],[Costo Unitario($)]]*Analisis_Diferecias[[#This Row],[Cantidad Total de Conteos]]</f>
        <v>0</v>
      </c>
      <c r="O84" s="18">
        <f>Analisis_Diferecias[[#This Row],[Costo Unitario($)]]*Analisis_Diferecias[[#This Row],[Cantidad]]</f>
        <v>0</v>
      </c>
      <c r="P84" s="20">
        <f>+Analisis_Diferecias[[#This Row],[Valor Total Contado]]-Analisis_Diferecias[[#This Row],[Costo Total Sistema]]</f>
        <v>0</v>
      </c>
      <c r="Q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5" spans="1:17" x14ac:dyDescent="0.2">
      <c r="A85">
        <v>10455</v>
      </c>
      <c r="B85" t="s">
        <v>144</v>
      </c>
      <c r="C85" t="s">
        <v>145</v>
      </c>
      <c r="D85">
        <v>8</v>
      </c>
      <c r="E85" s="12">
        <f>SUMIFS('Consolidado conteo 1'!$F:$F,'Consolidado conteo 1'!$C:$C,Analisis_Diferecias[[#This Row],[ID]],'Consolidado conteo 1'!$I:$I,Analisis_Diferecias[[#Headers],[Primer Conteo]])</f>
        <v>0</v>
      </c>
      <c r="F85" s="12">
        <f>SUMIFS('Consolidado conteo 2'!$F:$F,'Consolidado conteo 2'!$C:$C,Analisis_Diferecias[[#This Row],[ID]],'Consolidado conteo 2'!$I:$I,Analisis_Diferecias[[#Headers],[Segundo Conteo]])</f>
        <v>0</v>
      </c>
      <c r="G85" s="12">
        <f>+Analisis_Diferecias[[#This Row],[Segundo Conteo]]-(Analisis_Diferecias[[#This Row],[Primer Conteo]])</f>
        <v>0</v>
      </c>
      <c r="H8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5" s="12">
        <f>SUMIFS(Analisis_Diferecias_Tercer_conteo[Tercer_conteo],Analisis_Diferecias_Tercer_conteo[ID],Analisis_Diferecias[[#This Row],[ID]])</f>
        <v>0</v>
      </c>
      <c r="J85" s="12">
        <f>IF(Analisis_Diferecias[[#This Row],[Tipo de incidencia]]="OK",Analisis_Diferecias[[#This Row],[Segundo Conteo]],Analisis_Diferecias[[#This Row],[Tercer Conteo]])</f>
        <v>0</v>
      </c>
      <c r="K85" s="12">
        <f>+(Analisis_Diferecias[[#This Row],[Cantidad Total de Conteos]]-(Analisis_Diferecias[[#This Row],[Cantidad]]))</f>
        <v>-8</v>
      </c>
      <c r="L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5" s="18"/>
      <c r="N85" s="18">
        <f>Analisis_Diferecias[[#This Row],[Costo Unitario($)]]*Analisis_Diferecias[[#This Row],[Cantidad Total de Conteos]]</f>
        <v>0</v>
      </c>
      <c r="O85" s="18">
        <f>Analisis_Diferecias[[#This Row],[Costo Unitario($)]]*Analisis_Diferecias[[#This Row],[Cantidad]]</f>
        <v>0</v>
      </c>
      <c r="P85" s="20">
        <f>+Analisis_Diferecias[[#This Row],[Valor Total Contado]]-Analisis_Diferecias[[#This Row],[Costo Total Sistema]]</f>
        <v>0</v>
      </c>
      <c r="Q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6" spans="1:17" x14ac:dyDescent="0.2">
      <c r="A86">
        <v>10425</v>
      </c>
      <c r="B86" t="s">
        <v>146</v>
      </c>
      <c r="C86" t="s">
        <v>147</v>
      </c>
      <c r="D86">
        <v>7</v>
      </c>
      <c r="E86" s="12">
        <f>SUMIFS('Consolidado conteo 1'!$F:$F,'Consolidado conteo 1'!$C:$C,Analisis_Diferecias[[#This Row],[ID]],'Consolidado conteo 1'!$I:$I,Analisis_Diferecias[[#Headers],[Primer Conteo]])</f>
        <v>0</v>
      </c>
      <c r="F86" s="12">
        <f>SUMIFS('Consolidado conteo 2'!$F:$F,'Consolidado conteo 2'!$C:$C,Analisis_Diferecias[[#This Row],[ID]],'Consolidado conteo 2'!$I:$I,Analisis_Diferecias[[#Headers],[Segundo Conteo]])</f>
        <v>0</v>
      </c>
      <c r="G86" s="12">
        <f>+Analisis_Diferecias[[#This Row],[Segundo Conteo]]-(Analisis_Diferecias[[#This Row],[Primer Conteo]])</f>
        <v>0</v>
      </c>
      <c r="H8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6" s="12">
        <f>SUMIFS(Analisis_Diferecias_Tercer_conteo[Tercer_conteo],Analisis_Diferecias_Tercer_conteo[ID],Analisis_Diferecias[[#This Row],[ID]])</f>
        <v>0</v>
      </c>
      <c r="J86" s="12">
        <f>IF(Analisis_Diferecias[[#This Row],[Tipo de incidencia]]="OK",Analisis_Diferecias[[#This Row],[Segundo Conteo]],Analisis_Diferecias[[#This Row],[Tercer Conteo]])</f>
        <v>0</v>
      </c>
      <c r="K86" s="12">
        <f>+(Analisis_Diferecias[[#This Row],[Cantidad Total de Conteos]]-(Analisis_Diferecias[[#This Row],[Cantidad]]))</f>
        <v>-7</v>
      </c>
      <c r="L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6" s="18"/>
      <c r="N86" s="18">
        <f>Analisis_Diferecias[[#This Row],[Costo Unitario($)]]*Analisis_Diferecias[[#This Row],[Cantidad Total de Conteos]]</f>
        <v>0</v>
      </c>
      <c r="O86" s="18">
        <f>Analisis_Diferecias[[#This Row],[Costo Unitario($)]]*Analisis_Diferecias[[#This Row],[Cantidad]]</f>
        <v>0</v>
      </c>
      <c r="P86" s="20">
        <f>+Analisis_Diferecias[[#This Row],[Valor Total Contado]]-Analisis_Diferecias[[#This Row],[Costo Total Sistema]]</f>
        <v>0</v>
      </c>
      <c r="Q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7" spans="1:17" x14ac:dyDescent="0.2">
      <c r="A87">
        <v>10382</v>
      </c>
      <c r="B87" t="s">
        <v>148</v>
      </c>
      <c r="C87" t="s">
        <v>149</v>
      </c>
      <c r="D87">
        <v>7</v>
      </c>
      <c r="E87" s="12">
        <f>SUMIFS('Consolidado conteo 1'!$F:$F,'Consolidado conteo 1'!$C:$C,Analisis_Diferecias[[#This Row],[ID]],'Consolidado conteo 1'!$I:$I,Analisis_Diferecias[[#Headers],[Primer Conteo]])</f>
        <v>0</v>
      </c>
      <c r="F87" s="12">
        <f>SUMIFS('Consolidado conteo 2'!$F:$F,'Consolidado conteo 2'!$C:$C,Analisis_Diferecias[[#This Row],[ID]],'Consolidado conteo 2'!$I:$I,Analisis_Diferecias[[#Headers],[Segundo Conteo]])</f>
        <v>0</v>
      </c>
      <c r="G87" s="12">
        <f>+Analisis_Diferecias[[#This Row],[Segundo Conteo]]-(Analisis_Diferecias[[#This Row],[Primer Conteo]])</f>
        <v>0</v>
      </c>
      <c r="H8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7" s="12">
        <f>SUMIFS(Analisis_Diferecias_Tercer_conteo[Tercer_conteo],Analisis_Diferecias_Tercer_conteo[ID],Analisis_Diferecias[[#This Row],[ID]])</f>
        <v>0</v>
      </c>
      <c r="J87" s="12">
        <f>IF(Analisis_Diferecias[[#This Row],[Tipo de incidencia]]="OK",Analisis_Diferecias[[#This Row],[Segundo Conteo]],Analisis_Diferecias[[#This Row],[Tercer Conteo]])</f>
        <v>0</v>
      </c>
      <c r="K87" s="12">
        <f>+(Analisis_Diferecias[[#This Row],[Cantidad Total de Conteos]]-(Analisis_Diferecias[[#This Row],[Cantidad]]))</f>
        <v>-7</v>
      </c>
      <c r="L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7" s="18"/>
      <c r="N87" s="18">
        <f>Analisis_Diferecias[[#This Row],[Costo Unitario($)]]*Analisis_Diferecias[[#This Row],[Cantidad Total de Conteos]]</f>
        <v>0</v>
      </c>
      <c r="O87" s="18">
        <f>Analisis_Diferecias[[#This Row],[Costo Unitario($)]]*Analisis_Diferecias[[#This Row],[Cantidad]]</f>
        <v>0</v>
      </c>
      <c r="P87" s="20">
        <f>+Analisis_Diferecias[[#This Row],[Valor Total Contado]]-Analisis_Diferecias[[#This Row],[Costo Total Sistema]]</f>
        <v>0</v>
      </c>
      <c r="Q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8" spans="1:17" x14ac:dyDescent="0.2">
      <c r="A88">
        <v>10373</v>
      </c>
      <c r="B88" t="s">
        <v>150</v>
      </c>
      <c r="C88" t="s">
        <v>151</v>
      </c>
      <c r="D88">
        <v>7</v>
      </c>
      <c r="E88" s="12">
        <f>SUMIFS('Consolidado conteo 1'!$F:$F,'Consolidado conteo 1'!$C:$C,Analisis_Diferecias[[#This Row],[ID]],'Consolidado conteo 1'!$I:$I,Analisis_Diferecias[[#Headers],[Primer Conteo]])</f>
        <v>0</v>
      </c>
      <c r="F88" s="12">
        <f>SUMIFS('Consolidado conteo 2'!$F:$F,'Consolidado conteo 2'!$C:$C,Analisis_Diferecias[[#This Row],[ID]],'Consolidado conteo 2'!$I:$I,Analisis_Diferecias[[#Headers],[Segundo Conteo]])</f>
        <v>0</v>
      </c>
      <c r="G88" s="12">
        <f>+Analisis_Diferecias[[#This Row],[Segundo Conteo]]-(Analisis_Diferecias[[#This Row],[Primer Conteo]])</f>
        <v>0</v>
      </c>
      <c r="H8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8" s="12">
        <f>SUMIFS(Analisis_Diferecias_Tercer_conteo[Tercer_conteo],Analisis_Diferecias_Tercer_conteo[ID],Analisis_Diferecias[[#This Row],[ID]])</f>
        <v>0</v>
      </c>
      <c r="J88" s="12">
        <f>IF(Analisis_Diferecias[[#This Row],[Tipo de incidencia]]="OK",Analisis_Diferecias[[#This Row],[Segundo Conteo]],Analisis_Diferecias[[#This Row],[Tercer Conteo]])</f>
        <v>0</v>
      </c>
      <c r="K88" s="12">
        <f>+(Analisis_Diferecias[[#This Row],[Cantidad Total de Conteos]]-(Analisis_Diferecias[[#This Row],[Cantidad]]))</f>
        <v>-7</v>
      </c>
      <c r="L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8" s="18"/>
      <c r="N88" s="18">
        <f>Analisis_Diferecias[[#This Row],[Costo Unitario($)]]*Analisis_Diferecias[[#This Row],[Cantidad Total de Conteos]]</f>
        <v>0</v>
      </c>
      <c r="O88" s="18">
        <f>Analisis_Diferecias[[#This Row],[Costo Unitario($)]]*Analisis_Diferecias[[#This Row],[Cantidad]]</f>
        <v>0</v>
      </c>
      <c r="P88" s="20">
        <f>+Analisis_Diferecias[[#This Row],[Valor Total Contado]]-Analisis_Diferecias[[#This Row],[Costo Total Sistema]]</f>
        <v>0</v>
      </c>
      <c r="Q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89" spans="1:17" x14ac:dyDescent="0.2">
      <c r="A89">
        <v>10205</v>
      </c>
      <c r="B89" t="s">
        <v>152</v>
      </c>
      <c r="C89" t="s">
        <v>153</v>
      </c>
      <c r="D89">
        <v>6</v>
      </c>
      <c r="E89" s="12">
        <f>SUMIFS('Consolidado conteo 1'!$F:$F,'Consolidado conteo 1'!$C:$C,Analisis_Diferecias[[#This Row],[ID]],'Consolidado conteo 1'!$I:$I,Analisis_Diferecias[[#Headers],[Primer Conteo]])</f>
        <v>0</v>
      </c>
      <c r="F89" s="12">
        <f>SUMIFS('Consolidado conteo 2'!$F:$F,'Consolidado conteo 2'!$C:$C,Analisis_Diferecias[[#This Row],[ID]],'Consolidado conteo 2'!$I:$I,Analisis_Diferecias[[#Headers],[Segundo Conteo]])</f>
        <v>0</v>
      </c>
      <c r="G89" s="12">
        <f>+Analisis_Diferecias[[#This Row],[Segundo Conteo]]-(Analisis_Diferecias[[#This Row],[Primer Conteo]])</f>
        <v>0</v>
      </c>
      <c r="H8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89" s="12">
        <f>SUMIFS(Analisis_Diferecias_Tercer_conteo[Tercer_conteo],Analisis_Diferecias_Tercer_conteo[ID],Analisis_Diferecias[[#This Row],[ID]])</f>
        <v>0</v>
      </c>
      <c r="J89" s="12">
        <f>IF(Analisis_Diferecias[[#This Row],[Tipo de incidencia]]="OK",Analisis_Diferecias[[#This Row],[Segundo Conteo]],Analisis_Diferecias[[#This Row],[Tercer Conteo]])</f>
        <v>0</v>
      </c>
      <c r="K89" s="12">
        <f>+(Analisis_Diferecias[[#This Row],[Cantidad Total de Conteos]]-(Analisis_Diferecias[[#This Row],[Cantidad]]))</f>
        <v>-6</v>
      </c>
      <c r="L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89" s="18"/>
      <c r="N89" s="18">
        <f>Analisis_Diferecias[[#This Row],[Costo Unitario($)]]*Analisis_Diferecias[[#This Row],[Cantidad Total de Conteos]]</f>
        <v>0</v>
      </c>
      <c r="O89" s="18">
        <f>Analisis_Diferecias[[#This Row],[Costo Unitario($)]]*Analisis_Diferecias[[#This Row],[Cantidad]]</f>
        <v>0</v>
      </c>
      <c r="P89" s="20">
        <f>+Analisis_Diferecias[[#This Row],[Valor Total Contado]]-Analisis_Diferecias[[#This Row],[Costo Total Sistema]]</f>
        <v>0</v>
      </c>
      <c r="Q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0" spans="1:17" x14ac:dyDescent="0.2">
      <c r="A90">
        <v>14050</v>
      </c>
      <c r="B90" t="s">
        <v>154</v>
      </c>
      <c r="C90" t="s">
        <v>155</v>
      </c>
      <c r="D90">
        <v>6</v>
      </c>
      <c r="E90" s="12">
        <f>SUMIFS('Consolidado conteo 1'!$F:$F,'Consolidado conteo 1'!$C:$C,Analisis_Diferecias[[#This Row],[ID]],'Consolidado conteo 1'!$I:$I,Analisis_Diferecias[[#Headers],[Primer Conteo]])</f>
        <v>0</v>
      </c>
      <c r="F90" s="12">
        <f>SUMIFS('Consolidado conteo 2'!$F:$F,'Consolidado conteo 2'!$C:$C,Analisis_Diferecias[[#This Row],[ID]],'Consolidado conteo 2'!$I:$I,Analisis_Diferecias[[#Headers],[Segundo Conteo]])</f>
        <v>0</v>
      </c>
      <c r="G90" s="12">
        <f>+Analisis_Diferecias[[#This Row],[Segundo Conteo]]-(Analisis_Diferecias[[#This Row],[Primer Conteo]])</f>
        <v>0</v>
      </c>
      <c r="H9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0" s="12">
        <f>SUMIFS(Analisis_Diferecias_Tercer_conteo[Tercer_conteo],Analisis_Diferecias_Tercer_conteo[ID],Analisis_Diferecias[[#This Row],[ID]])</f>
        <v>0</v>
      </c>
      <c r="J90" s="12">
        <f>IF(Analisis_Diferecias[[#This Row],[Tipo de incidencia]]="OK",Analisis_Diferecias[[#This Row],[Segundo Conteo]],Analisis_Diferecias[[#This Row],[Tercer Conteo]])</f>
        <v>0</v>
      </c>
      <c r="K90" s="12">
        <f>+(Analisis_Diferecias[[#This Row],[Cantidad Total de Conteos]]-(Analisis_Diferecias[[#This Row],[Cantidad]]))</f>
        <v>-6</v>
      </c>
      <c r="L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0" s="18"/>
      <c r="N90" s="18">
        <f>Analisis_Diferecias[[#This Row],[Costo Unitario($)]]*Analisis_Diferecias[[#This Row],[Cantidad Total de Conteos]]</f>
        <v>0</v>
      </c>
      <c r="O90" s="18">
        <f>Analisis_Diferecias[[#This Row],[Costo Unitario($)]]*Analisis_Diferecias[[#This Row],[Cantidad]]</f>
        <v>0</v>
      </c>
      <c r="P90" s="20">
        <f>+Analisis_Diferecias[[#This Row],[Valor Total Contado]]-Analisis_Diferecias[[#This Row],[Costo Total Sistema]]</f>
        <v>0</v>
      </c>
      <c r="Q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1" spans="1:17" x14ac:dyDescent="0.2">
      <c r="A91">
        <v>10450</v>
      </c>
      <c r="B91" t="s">
        <v>156</v>
      </c>
      <c r="C91" t="s">
        <v>157</v>
      </c>
      <c r="D91">
        <v>6</v>
      </c>
      <c r="E91" s="12">
        <f>SUMIFS('Consolidado conteo 1'!$F:$F,'Consolidado conteo 1'!$C:$C,Analisis_Diferecias[[#This Row],[ID]],'Consolidado conteo 1'!$I:$I,Analisis_Diferecias[[#Headers],[Primer Conteo]])</f>
        <v>0</v>
      </c>
      <c r="F91" s="12">
        <f>SUMIFS('Consolidado conteo 2'!$F:$F,'Consolidado conteo 2'!$C:$C,Analisis_Diferecias[[#This Row],[ID]],'Consolidado conteo 2'!$I:$I,Analisis_Diferecias[[#Headers],[Segundo Conteo]])</f>
        <v>0</v>
      </c>
      <c r="G91" s="12">
        <f>+Analisis_Diferecias[[#This Row],[Segundo Conteo]]-(Analisis_Diferecias[[#This Row],[Primer Conteo]])</f>
        <v>0</v>
      </c>
      <c r="H9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1" s="12">
        <f>SUMIFS(Analisis_Diferecias_Tercer_conteo[Tercer_conteo],Analisis_Diferecias_Tercer_conteo[ID],Analisis_Diferecias[[#This Row],[ID]])</f>
        <v>0</v>
      </c>
      <c r="J91" s="12">
        <f>IF(Analisis_Diferecias[[#This Row],[Tipo de incidencia]]="OK",Analisis_Diferecias[[#This Row],[Segundo Conteo]],Analisis_Diferecias[[#This Row],[Tercer Conteo]])</f>
        <v>0</v>
      </c>
      <c r="K91" s="12">
        <f>+(Analisis_Diferecias[[#This Row],[Cantidad Total de Conteos]]-(Analisis_Diferecias[[#This Row],[Cantidad]]))</f>
        <v>-6</v>
      </c>
      <c r="L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1" s="18"/>
      <c r="N91" s="18">
        <f>Analisis_Diferecias[[#This Row],[Costo Unitario($)]]*Analisis_Diferecias[[#This Row],[Cantidad Total de Conteos]]</f>
        <v>0</v>
      </c>
      <c r="O91" s="18">
        <f>Analisis_Diferecias[[#This Row],[Costo Unitario($)]]*Analisis_Diferecias[[#This Row],[Cantidad]]</f>
        <v>0</v>
      </c>
      <c r="P91" s="20">
        <f>+Analisis_Diferecias[[#This Row],[Valor Total Contado]]-Analisis_Diferecias[[#This Row],[Costo Total Sistema]]</f>
        <v>0</v>
      </c>
      <c r="Q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2" spans="1:17" x14ac:dyDescent="0.2">
      <c r="A92">
        <v>10446</v>
      </c>
      <c r="B92" t="s">
        <v>158</v>
      </c>
      <c r="C92" t="s">
        <v>159</v>
      </c>
      <c r="D92">
        <v>6</v>
      </c>
      <c r="E92" s="12">
        <f>SUMIFS('Consolidado conteo 1'!$F:$F,'Consolidado conteo 1'!$C:$C,Analisis_Diferecias[[#This Row],[ID]],'Consolidado conteo 1'!$I:$I,Analisis_Diferecias[[#Headers],[Primer Conteo]])</f>
        <v>0</v>
      </c>
      <c r="F92" s="12">
        <f>SUMIFS('Consolidado conteo 2'!$F:$F,'Consolidado conteo 2'!$C:$C,Analisis_Diferecias[[#This Row],[ID]],'Consolidado conteo 2'!$I:$I,Analisis_Diferecias[[#Headers],[Segundo Conteo]])</f>
        <v>0</v>
      </c>
      <c r="G92" s="12">
        <f>+Analisis_Diferecias[[#This Row],[Segundo Conteo]]-(Analisis_Diferecias[[#This Row],[Primer Conteo]])</f>
        <v>0</v>
      </c>
      <c r="H9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2" s="12">
        <f>SUMIFS(Analisis_Diferecias_Tercer_conteo[Tercer_conteo],Analisis_Diferecias_Tercer_conteo[ID],Analisis_Diferecias[[#This Row],[ID]])</f>
        <v>0</v>
      </c>
      <c r="J92" s="12">
        <f>IF(Analisis_Diferecias[[#This Row],[Tipo de incidencia]]="OK",Analisis_Diferecias[[#This Row],[Segundo Conteo]],Analisis_Diferecias[[#This Row],[Tercer Conteo]])</f>
        <v>0</v>
      </c>
      <c r="K92" s="12">
        <f>+(Analisis_Diferecias[[#This Row],[Cantidad Total de Conteos]]-(Analisis_Diferecias[[#This Row],[Cantidad]]))</f>
        <v>-6</v>
      </c>
      <c r="L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2" s="18"/>
      <c r="N92" s="18">
        <f>Analisis_Diferecias[[#This Row],[Costo Unitario($)]]*Analisis_Diferecias[[#This Row],[Cantidad Total de Conteos]]</f>
        <v>0</v>
      </c>
      <c r="O92" s="18">
        <f>Analisis_Diferecias[[#This Row],[Costo Unitario($)]]*Analisis_Diferecias[[#This Row],[Cantidad]]</f>
        <v>0</v>
      </c>
      <c r="P92" s="20">
        <f>+Analisis_Diferecias[[#This Row],[Valor Total Contado]]-Analisis_Diferecias[[#This Row],[Costo Total Sistema]]</f>
        <v>0</v>
      </c>
      <c r="Q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3" spans="1:17" x14ac:dyDescent="0.2">
      <c r="A93">
        <v>10453</v>
      </c>
      <c r="B93" t="s">
        <v>160</v>
      </c>
      <c r="C93" t="s">
        <v>161</v>
      </c>
      <c r="D93">
        <v>6</v>
      </c>
      <c r="E93" s="12">
        <f>SUMIFS('Consolidado conteo 1'!$F:$F,'Consolidado conteo 1'!$C:$C,Analisis_Diferecias[[#This Row],[ID]],'Consolidado conteo 1'!$I:$I,Analisis_Diferecias[[#Headers],[Primer Conteo]])</f>
        <v>0</v>
      </c>
      <c r="F93" s="12">
        <f>SUMIFS('Consolidado conteo 2'!$F:$F,'Consolidado conteo 2'!$C:$C,Analisis_Diferecias[[#This Row],[ID]],'Consolidado conteo 2'!$I:$I,Analisis_Diferecias[[#Headers],[Segundo Conteo]])</f>
        <v>0</v>
      </c>
      <c r="G93" s="12">
        <f>+Analisis_Diferecias[[#This Row],[Segundo Conteo]]-(Analisis_Diferecias[[#This Row],[Primer Conteo]])</f>
        <v>0</v>
      </c>
      <c r="H9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3" s="12">
        <f>SUMIFS(Analisis_Diferecias_Tercer_conteo[Tercer_conteo],Analisis_Diferecias_Tercer_conteo[ID],Analisis_Diferecias[[#This Row],[ID]])</f>
        <v>0</v>
      </c>
      <c r="J93" s="12">
        <f>IF(Analisis_Diferecias[[#This Row],[Tipo de incidencia]]="OK",Analisis_Diferecias[[#This Row],[Segundo Conteo]],Analisis_Diferecias[[#This Row],[Tercer Conteo]])</f>
        <v>0</v>
      </c>
      <c r="K93" s="12">
        <f>+(Analisis_Diferecias[[#This Row],[Cantidad Total de Conteos]]-(Analisis_Diferecias[[#This Row],[Cantidad]]))</f>
        <v>-6</v>
      </c>
      <c r="L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3" s="18"/>
      <c r="N93" s="18">
        <f>Analisis_Diferecias[[#This Row],[Costo Unitario($)]]*Analisis_Diferecias[[#This Row],[Cantidad Total de Conteos]]</f>
        <v>0</v>
      </c>
      <c r="O93" s="18">
        <f>Analisis_Diferecias[[#This Row],[Costo Unitario($)]]*Analisis_Diferecias[[#This Row],[Cantidad]]</f>
        <v>0</v>
      </c>
      <c r="P93" s="20">
        <f>+Analisis_Diferecias[[#This Row],[Valor Total Contado]]-Analisis_Diferecias[[#This Row],[Costo Total Sistema]]</f>
        <v>0</v>
      </c>
      <c r="Q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4" spans="1:17" x14ac:dyDescent="0.2">
      <c r="A94">
        <v>3554</v>
      </c>
      <c r="B94" t="s">
        <v>162</v>
      </c>
      <c r="C94" t="s">
        <v>163</v>
      </c>
      <c r="D94">
        <v>5</v>
      </c>
      <c r="E94" s="12">
        <f>SUMIFS('Consolidado conteo 1'!$F:$F,'Consolidado conteo 1'!$C:$C,Analisis_Diferecias[[#This Row],[ID]],'Consolidado conteo 1'!$I:$I,Analisis_Diferecias[[#Headers],[Primer Conteo]])</f>
        <v>0</v>
      </c>
      <c r="F94" s="12">
        <f>SUMIFS('Consolidado conteo 2'!$F:$F,'Consolidado conteo 2'!$C:$C,Analisis_Diferecias[[#This Row],[ID]],'Consolidado conteo 2'!$I:$I,Analisis_Diferecias[[#Headers],[Segundo Conteo]])</f>
        <v>0</v>
      </c>
      <c r="G94" s="12">
        <f>+Analisis_Diferecias[[#This Row],[Segundo Conteo]]-(Analisis_Diferecias[[#This Row],[Primer Conteo]])</f>
        <v>0</v>
      </c>
      <c r="H9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4" s="12">
        <f>SUMIFS(Analisis_Diferecias_Tercer_conteo[Tercer_conteo],Analisis_Diferecias_Tercer_conteo[ID],Analisis_Diferecias[[#This Row],[ID]])</f>
        <v>0</v>
      </c>
      <c r="J94" s="12">
        <f>IF(Analisis_Diferecias[[#This Row],[Tipo de incidencia]]="OK",Analisis_Diferecias[[#This Row],[Segundo Conteo]],Analisis_Diferecias[[#This Row],[Tercer Conteo]])</f>
        <v>0</v>
      </c>
      <c r="K94" s="12">
        <f>+(Analisis_Diferecias[[#This Row],[Cantidad Total de Conteos]]-(Analisis_Diferecias[[#This Row],[Cantidad]]))</f>
        <v>-5</v>
      </c>
      <c r="L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4" s="18"/>
      <c r="N94" s="18">
        <f>Analisis_Diferecias[[#This Row],[Costo Unitario($)]]*Analisis_Diferecias[[#This Row],[Cantidad Total de Conteos]]</f>
        <v>0</v>
      </c>
      <c r="O94" s="18">
        <f>Analisis_Diferecias[[#This Row],[Costo Unitario($)]]*Analisis_Diferecias[[#This Row],[Cantidad]]</f>
        <v>0</v>
      </c>
      <c r="P94" s="20">
        <f>+Analisis_Diferecias[[#This Row],[Valor Total Contado]]-Analisis_Diferecias[[#This Row],[Costo Total Sistema]]</f>
        <v>0</v>
      </c>
      <c r="Q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5" spans="1:17" x14ac:dyDescent="0.2">
      <c r="A95">
        <v>9116</v>
      </c>
      <c r="B95" t="s">
        <v>164</v>
      </c>
      <c r="C95" t="s">
        <v>165</v>
      </c>
      <c r="D95">
        <v>5</v>
      </c>
      <c r="E95" s="12">
        <f>SUMIFS('Consolidado conteo 1'!$F:$F,'Consolidado conteo 1'!$C:$C,Analisis_Diferecias[[#This Row],[ID]],'Consolidado conteo 1'!$I:$I,Analisis_Diferecias[[#Headers],[Primer Conteo]])</f>
        <v>0</v>
      </c>
      <c r="F95" s="12">
        <f>SUMIFS('Consolidado conteo 2'!$F:$F,'Consolidado conteo 2'!$C:$C,Analisis_Diferecias[[#This Row],[ID]],'Consolidado conteo 2'!$I:$I,Analisis_Diferecias[[#Headers],[Segundo Conteo]])</f>
        <v>0</v>
      </c>
      <c r="G95" s="12">
        <f>+Analisis_Diferecias[[#This Row],[Segundo Conteo]]-(Analisis_Diferecias[[#This Row],[Primer Conteo]])</f>
        <v>0</v>
      </c>
      <c r="H9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5" s="12">
        <f>SUMIFS(Analisis_Diferecias_Tercer_conteo[Tercer_conteo],Analisis_Diferecias_Tercer_conteo[ID],Analisis_Diferecias[[#This Row],[ID]])</f>
        <v>0</v>
      </c>
      <c r="J95" s="12">
        <f>IF(Analisis_Diferecias[[#This Row],[Tipo de incidencia]]="OK",Analisis_Diferecias[[#This Row],[Segundo Conteo]],Analisis_Diferecias[[#This Row],[Tercer Conteo]])</f>
        <v>0</v>
      </c>
      <c r="K95" s="12">
        <f>+(Analisis_Diferecias[[#This Row],[Cantidad Total de Conteos]]-(Analisis_Diferecias[[#This Row],[Cantidad]]))</f>
        <v>-5</v>
      </c>
      <c r="L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5" s="18"/>
      <c r="N95" s="18">
        <f>Analisis_Diferecias[[#This Row],[Costo Unitario($)]]*Analisis_Diferecias[[#This Row],[Cantidad Total de Conteos]]</f>
        <v>0</v>
      </c>
      <c r="O95" s="18">
        <f>Analisis_Diferecias[[#This Row],[Costo Unitario($)]]*Analisis_Diferecias[[#This Row],[Cantidad]]</f>
        <v>0</v>
      </c>
      <c r="P95" s="20">
        <f>+Analisis_Diferecias[[#This Row],[Valor Total Contado]]-Analisis_Diferecias[[#This Row],[Costo Total Sistema]]</f>
        <v>0</v>
      </c>
      <c r="Q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6" spans="1:17" x14ac:dyDescent="0.2">
      <c r="A96">
        <v>10371</v>
      </c>
      <c r="B96" t="s">
        <v>166</v>
      </c>
      <c r="C96" t="s">
        <v>167</v>
      </c>
      <c r="D96">
        <v>5</v>
      </c>
      <c r="E96" s="12">
        <f>SUMIFS('Consolidado conteo 1'!$F:$F,'Consolidado conteo 1'!$C:$C,Analisis_Diferecias[[#This Row],[ID]],'Consolidado conteo 1'!$I:$I,Analisis_Diferecias[[#Headers],[Primer Conteo]])</f>
        <v>0</v>
      </c>
      <c r="F96" s="12">
        <f>SUMIFS('Consolidado conteo 2'!$F:$F,'Consolidado conteo 2'!$C:$C,Analisis_Diferecias[[#This Row],[ID]],'Consolidado conteo 2'!$I:$I,Analisis_Diferecias[[#Headers],[Segundo Conteo]])</f>
        <v>0</v>
      </c>
      <c r="G96" s="12">
        <f>+Analisis_Diferecias[[#This Row],[Segundo Conteo]]-(Analisis_Diferecias[[#This Row],[Primer Conteo]])</f>
        <v>0</v>
      </c>
      <c r="H9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6" s="12">
        <f>SUMIFS(Analisis_Diferecias_Tercer_conteo[Tercer_conteo],Analisis_Diferecias_Tercer_conteo[ID],Analisis_Diferecias[[#This Row],[ID]])</f>
        <v>0</v>
      </c>
      <c r="J96" s="12">
        <f>IF(Analisis_Diferecias[[#This Row],[Tipo de incidencia]]="OK",Analisis_Diferecias[[#This Row],[Segundo Conteo]],Analisis_Diferecias[[#This Row],[Tercer Conteo]])</f>
        <v>0</v>
      </c>
      <c r="K96" s="12">
        <f>+(Analisis_Diferecias[[#This Row],[Cantidad Total de Conteos]]-(Analisis_Diferecias[[#This Row],[Cantidad]]))</f>
        <v>-5</v>
      </c>
      <c r="L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6" s="18"/>
      <c r="N96" s="18">
        <f>Analisis_Diferecias[[#This Row],[Costo Unitario($)]]*Analisis_Diferecias[[#This Row],[Cantidad Total de Conteos]]</f>
        <v>0</v>
      </c>
      <c r="O96" s="18">
        <f>Analisis_Diferecias[[#This Row],[Costo Unitario($)]]*Analisis_Diferecias[[#This Row],[Cantidad]]</f>
        <v>0</v>
      </c>
      <c r="P96" s="20">
        <f>+Analisis_Diferecias[[#This Row],[Valor Total Contado]]-Analisis_Diferecias[[#This Row],[Costo Total Sistema]]</f>
        <v>0</v>
      </c>
      <c r="Q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7" spans="1:17" x14ac:dyDescent="0.2">
      <c r="A97">
        <v>10424</v>
      </c>
      <c r="B97" t="s">
        <v>168</v>
      </c>
      <c r="C97" t="s">
        <v>169</v>
      </c>
      <c r="D97">
        <v>5</v>
      </c>
      <c r="E97" s="12">
        <f>SUMIFS('Consolidado conteo 1'!$F:$F,'Consolidado conteo 1'!$C:$C,Analisis_Diferecias[[#This Row],[ID]],'Consolidado conteo 1'!$I:$I,Analisis_Diferecias[[#Headers],[Primer Conteo]])</f>
        <v>0</v>
      </c>
      <c r="F97" s="12">
        <f>SUMIFS('Consolidado conteo 2'!$F:$F,'Consolidado conteo 2'!$C:$C,Analisis_Diferecias[[#This Row],[ID]],'Consolidado conteo 2'!$I:$I,Analisis_Diferecias[[#Headers],[Segundo Conteo]])</f>
        <v>0</v>
      </c>
      <c r="G97" s="12">
        <f>+Analisis_Diferecias[[#This Row],[Segundo Conteo]]-(Analisis_Diferecias[[#This Row],[Primer Conteo]])</f>
        <v>0</v>
      </c>
      <c r="H9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7" s="12">
        <f>SUMIFS(Analisis_Diferecias_Tercer_conteo[Tercer_conteo],Analisis_Diferecias_Tercer_conteo[ID],Analisis_Diferecias[[#This Row],[ID]])</f>
        <v>0</v>
      </c>
      <c r="J97" s="12">
        <f>IF(Analisis_Diferecias[[#This Row],[Tipo de incidencia]]="OK",Analisis_Diferecias[[#This Row],[Segundo Conteo]],Analisis_Diferecias[[#This Row],[Tercer Conteo]])</f>
        <v>0</v>
      </c>
      <c r="K97" s="12">
        <f>+(Analisis_Diferecias[[#This Row],[Cantidad Total de Conteos]]-(Analisis_Diferecias[[#This Row],[Cantidad]]))</f>
        <v>-5</v>
      </c>
      <c r="L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7" s="18"/>
      <c r="N97" s="18">
        <f>Analisis_Diferecias[[#This Row],[Costo Unitario($)]]*Analisis_Diferecias[[#This Row],[Cantidad Total de Conteos]]</f>
        <v>0</v>
      </c>
      <c r="O97" s="18">
        <f>Analisis_Diferecias[[#This Row],[Costo Unitario($)]]*Analisis_Diferecias[[#This Row],[Cantidad]]</f>
        <v>0</v>
      </c>
      <c r="P97" s="20">
        <f>+Analisis_Diferecias[[#This Row],[Valor Total Contado]]-Analisis_Diferecias[[#This Row],[Costo Total Sistema]]</f>
        <v>0</v>
      </c>
      <c r="Q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8" spans="1:17" x14ac:dyDescent="0.2">
      <c r="A98">
        <v>14048</v>
      </c>
      <c r="B98" t="s">
        <v>170</v>
      </c>
      <c r="C98" t="s">
        <v>171</v>
      </c>
      <c r="D98">
        <v>5</v>
      </c>
      <c r="E98" s="12">
        <f>SUMIFS('Consolidado conteo 1'!$F:$F,'Consolidado conteo 1'!$C:$C,Analisis_Diferecias[[#This Row],[ID]],'Consolidado conteo 1'!$I:$I,Analisis_Diferecias[[#Headers],[Primer Conteo]])</f>
        <v>0</v>
      </c>
      <c r="F98" s="12">
        <f>SUMIFS('Consolidado conteo 2'!$F:$F,'Consolidado conteo 2'!$C:$C,Analisis_Diferecias[[#This Row],[ID]],'Consolidado conteo 2'!$I:$I,Analisis_Diferecias[[#Headers],[Segundo Conteo]])</f>
        <v>0</v>
      </c>
      <c r="G98" s="12">
        <f>+Analisis_Diferecias[[#This Row],[Segundo Conteo]]-(Analisis_Diferecias[[#This Row],[Primer Conteo]])</f>
        <v>0</v>
      </c>
      <c r="H9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8" s="12">
        <f>SUMIFS(Analisis_Diferecias_Tercer_conteo[Tercer_conteo],Analisis_Diferecias_Tercer_conteo[ID],Analisis_Diferecias[[#This Row],[ID]])</f>
        <v>0</v>
      </c>
      <c r="J98" s="12">
        <f>IF(Analisis_Diferecias[[#This Row],[Tipo de incidencia]]="OK",Analisis_Diferecias[[#This Row],[Segundo Conteo]],Analisis_Diferecias[[#This Row],[Tercer Conteo]])</f>
        <v>0</v>
      </c>
      <c r="K98" s="12">
        <f>+(Analisis_Diferecias[[#This Row],[Cantidad Total de Conteos]]-(Analisis_Diferecias[[#This Row],[Cantidad]]))</f>
        <v>-5</v>
      </c>
      <c r="L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8" s="18"/>
      <c r="N98" s="18">
        <f>Analisis_Diferecias[[#This Row],[Costo Unitario($)]]*Analisis_Diferecias[[#This Row],[Cantidad Total de Conteos]]</f>
        <v>0</v>
      </c>
      <c r="O98" s="18">
        <f>Analisis_Diferecias[[#This Row],[Costo Unitario($)]]*Analisis_Diferecias[[#This Row],[Cantidad]]</f>
        <v>0</v>
      </c>
      <c r="P98" s="20">
        <f>+Analisis_Diferecias[[#This Row],[Valor Total Contado]]-Analisis_Diferecias[[#This Row],[Costo Total Sistema]]</f>
        <v>0</v>
      </c>
      <c r="Q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99" spans="1:17" x14ac:dyDescent="0.2">
      <c r="A99">
        <v>14049</v>
      </c>
      <c r="B99" t="s">
        <v>172</v>
      </c>
      <c r="C99" t="s">
        <v>173</v>
      </c>
      <c r="D99">
        <v>5</v>
      </c>
      <c r="E99" s="12">
        <f>SUMIFS('Consolidado conteo 1'!$F:$F,'Consolidado conteo 1'!$C:$C,Analisis_Diferecias[[#This Row],[ID]],'Consolidado conteo 1'!$I:$I,Analisis_Diferecias[[#Headers],[Primer Conteo]])</f>
        <v>0</v>
      </c>
      <c r="F99" s="12">
        <f>SUMIFS('Consolidado conteo 2'!$F:$F,'Consolidado conteo 2'!$C:$C,Analisis_Diferecias[[#This Row],[ID]],'Consolidado conteo 2'!$I:$I,Analisis_Diferecias[[#Headers],[Segundo Conteo]])</f>
        <v>0</v>
      </c>
      <c r="G99" s="12">
        <f>+Analisis_Diferecias[[#This Row],[Segundo Conteo]]-(Analisis_Diferecias[[#This Row],[Primer Conteo]])</f>
        <v>0</v>
      </c>
      <c r="H9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99" s="12">
        <f>SUMIFS(Analisis_Diferecias_Tercer_conteo[Tercer_conteo],Analisis_Diferecias_Tercer_conteo[ID],Analisis_Diferecias[[#This Row],[ID]])</f>
        <v>0</v>
      </c>
      <c r="J99" s="12">
        <f>IF(Analisis_Diferecias[[#This Row],[Tipo de incidencia]]="OK",Analisis_Diferecias[[#This Row],[Segundo Conteo]],Analisis_Diferecias[[#This Row],[Tercer Conteo]])</f>
        <v>0</v>
      </c>
      <c r="K99" s="12">
        <f>+(Analisis_Diferecias[[#This Row],[Cantidad Total de Conteos]]-(Analisis_Diferecias[[#This Row],[Cantidad]]))</f>
        <v>-5</v>
      </c>
      <c r="L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99" s="18"/>
      <c r="N99" s="18">
        <f>Analisis_Diferecias[[#This Row],[Costo Unitario($)]]*Analisis_Diferecias[[#This Row],[Cantidad Total de Conteos]]</f>
        <v>0</v>
      </c>
      <c r="O99" s="18">
        <f>Analisis_Diferecias[[#This Row],[Costo Unitario($)]]*Analisis_Diferecias[[#This Row],[Cantidad]]</f>
        <v>0</v>
      </c>
      <c r="P99" s="20">
        <f>+Analisis_Diferecias[[#This Row],[Valor Total Contado]]-Analisis_Diferecias[[#This Row],[Costo Total Sistema]]</f>
        <v>0</v>
      </c>
      <c r="Q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0" spans="1:17" x14ac:dyDescent="0.2">
      <c r="A100">
        <v>10357</v>
      </c>
      <c r="B100" t="s">
        <v>174</v>
      </c>
      <c r="C100" t="s">
        <v>175</v>
      </c>
      <c r="D100">
        <v>5</v>
      </c>
      <c r="E100" s="12">
        <f>SUMIFS('Consolidado conteo 1'!$F:$F,'Consolidado conteo 1'!$C:$C,Analisis_Diferecias[[#This Row],[ID]],'Consolidado conteo 1'!$I:$I,Analisis_Diferecias[[#Headers],[Primer Conteo]])</f>
        <v>0</v>
      </c>
      <c r="F100" s="12">
        <f>SUMIFS('Consolidado conteo 2'!$F:$F,'Consolidado conteo 2'!$C:$C,Analisis_Diferecias[[#This Row],[ID]],'Consolidado conteo 2'!$I:$I,Analisis_Diferecias[[#Headers],[Segundo Conteo]])</f>
        <v>0</v>
      </c>
      <c r="G100" s="12">
        <f>+Analisis_Diferecias[[#This Row],[Segundo Conteo]]-(Analisis_Diferecias[[#This Row],[Primer Conteo]])</f>
        <v>0</v>
      </c>
      <c r="H10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0" s="12">
        <f>SUMIFS(Analisis_Diferecias_Tercer_conteo[Tercer_conteo],Analisis_Diferecias_Tercer_conteo[ID],Analisis_Diferecias[[#This Row],[ID]])</f>
        <v>0</v>
      </c>
      <c r="J100" s="12">
        <f>IF(Analisis_Diferecias[[#This Row],[Tipo de incidencia]]="OK",Analisis_Diferecias[[#This Row],[Segundo Conteo]],Analisis_Diferecias[[#This Row],[Tercer Conteo]])</f>
        <v>0</v>
      </c>
      <c r="K100" s="12">
        <f>+(Analisis_Diferecias[[#This Row],[Cantidad Total de Conteos]]-(Analisis_Diferecias[[#This Row],[Cantidad]]))</f>
        <v>-5</v>
      </c>
      <c r="L1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0" s="18"/>
      <c r="N100" s="18">
        <f>Analisis_Diferecias[[#This Row],[Costo Unitario($)]]*Analisis_Diferecias[[#This Row],[Cantidad Total de Conteos]]</f>
        <v>0</v>
      </c>
      <c r="O100" s="18">
        <f>Analisis_Diferecias[[#This Row],[Costo Unitario($)]]*Analisis_Diferecias[[#This Row],[Cantidad]]</f>
        <v>0</v>
      </c>
      <c r="P100" s="20">
        <f>+Analisis_Diferecias[[#This Row],[Valor Total Contado]]-Analisis_Diferecias[[#This Row],[Costo Total Sistema]]</f>
        <v>0</v>
      </c>
      <c r="Q1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1" spans="1:17" x14ac:dyDescent="0.2">
      <c r="A101">
        <v>10451</v>
      </c>
      <c r="B101" t="s">
        <v>176</v>
      </c>
      <c r="C101" t="s">
        <v>177</v>
      </c>
      <c r="D101">
        <v>5</v>
      </c>
      <c r="E101" s="12">
        <f>SUMIFS('Consolidado conteo 1'!$F:$F,'Consolidado conteo 1'!$C:$C,Analisis_Diferecias[[#This Row],[ID]],'Consolidado conteo 1'!$I:$I,Analisis_Diferecias[[#Headers],[Primer Conteo]])</f>
        <v>0</v>
      </c>
      <c r="F101" s="12">
        <f>SUMIFS('Consolidado conteo 2'!$F:$F,'Consolidado conteo 2'!$C:$C,Analisis_Diferecias[[#This Row],[ID]],'Consolidado conteo 2'!$I:$I,Analisis_Diferecias[[#Headers],[Segundo Conteo]])</f>
        <v>0</v>
      </c>
      <c r="G101" s="12">
        <f>+Analisis_Diferecias[[#This Row],[Segundo Conteo]]-(Analisis_Diferecias[[#This Row],[Primer Conteo]])</f>
        <v>0</v>
      </c>
      <c r="H10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1" s="12">
        <f>SUMIFS(Analisis_Diferecias_Tercer_conteo[Tercer_conteo],Analisis_Diferecias_Tercer_conteo[ID],Analisis_Diferecias[[#This Row],[ID]])</f>
        <v>0</v>
      </c>
      <c r="J101" s="12">
        <f>IF(Analisis_Diferecias[[#This Row],[Tipo de incidencia]]="OK",Analisis_Diferecias[[#This Row],[Segundo Conteo]],Analisis_Diferecias[[#This Row],[Tercer Conteo]])</f>
        <v>0</v>
      </c>
      <c r="K101" s="12">
        <f>+(Analisis_Diferecias[[#This Row],[Cantidad Total de Conteos]]-(Analisis_Diferecias[[#This Row],[Cantidad]]))</f>
        <v>-5</v>
      </c>
      <c r="L1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1" s="18"/>
      <c r="N101" s="18">
        <f>Analisis_Diferecias[[#This Row],[Costo Unitario($)]]*Analisis_Diferecias[[#This Row],[Cantidad Total de Conteos]]</f>
        <v>0</v>
      </c>
      <c r="O101" s="18">
        <f>Analisis_Diferecias[[#This Row],[Costo Unitario($)]]*Analisis_Diferecias[[#This Row],[Cantidad]]</f>
        <v>0</v>
      </c>
      <c r="P101" s="20">
        <f>+Analisis_Diferecias[[#This Row],[Valor Total Contado]]-Analisis_Diferecias[[#This Row],[Costo Total Sistema]]</f>
        <v>0</v>
      </c>
      <c r="Q1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2" spans="1:17" x14ac:dyDescent="0.2">
      <c r="A102">
        <v>10447</v>
      </c>
      <c r="B102" t="s">
        <v>178</v>
      </c>
      <c r="C102" t="s">
        <v>179</v>
      </c>
      <c r="D102">
        <v>5</v>
      </c>
      <c r="E102" s="12">
        <f>SUMIFS('Consolidado conteo 1'!$F:$F,'Consolidado conteo 1'!$C:$C,Analisis_Diferecias[[#This Row],[ID]],'Consolidado conteo 1'!$I:$I,Analisis_Diferecias[[#Headers],[Primer Conteo]])</f>
        <v>0</v>
      </c>
      <c r="F102" s="12">
        <f>SUMIFS('Consolidado conteo 2'!$F:$F,'Consolidado conteo 2'!$C:$C,Analisis_Diferecias[[#This Row],[ID]],'Consolidado conteo 2'!$I:$I,Analisis_Diferecias[[#Headers],[Segundo Conteo]])</f>
        <v>0</v>
      </c>
      <c r="G102" s="12">
        <f>+Analisis_Diferecias[[#This Row],[Segundo Conteo]]-(Analisis_Diferecias[[#This Row],[Primer Conteo]])</f>
        <v>0</v>
      </c>
      <c r="H10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2" s="12">
        <f>SUMIFS(Analisis_Diferecias_Tercer_conteo[Tercer_conteo],Analisis_Diferecias_Tercer_conteo[ID],Analisis_Diferecias[[#This Row],[ID]])</f>
        <v>0</v>
      </c>
      <c r="J102" s="12">
        <f>IF(Analisis_Diferecias[[#This Row],[Tipo de incidencia]]="OK",Analisis_Diferecias[[#This Row],[Segundo Conteo]],Analisis_Diferecias[[#This Row],[Tercer Conteo]])</f>
        <v>0</v>
      </c>
      <c r="K102" s="12">
        <f>+(Analisis_Diferecias[[#This Row],[Cantidad Total de Conteos]]-(Analisis_Diferecias[[#This Row],[Cantidad]]))</f>
        <v>-5</v>
      </c>
      <c r="L1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2" s="18"/>
      <c r="N102" s="18">
        <f>Analisis_Diferecias[[#This Row],[Costo Unitario($)]]*Analisis_Diferecias[[#This Row],[Cantidad Total de Conteos]]</f>
        <v>0</v>
      </c>
      <c r="O102" s="18">
        <f>Analisis_Diferecias[[#This Row],[Costo Unitario($)]]*Analisis_Diferecias[[#This Row],[Cantidad]]</f>
        <v>0</v>
      </c>
      <c r="P102" s="20">
        <f>+Analisis_Diferecias[[#This Row],[Valor Total Contado]]-Analisis_Diferecias[[#This Row],[Costo Total Sistema]]</f>
        <v>0</v>
      </c>
      <c r="Q1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3" spans="1:17" x14ac:dyDescent="0.2">
      <c r="A103">
        <v>10449</v>
      </c>
      <c r="B103" t="s">
        <v>180</v>
      </c>
      <c r="C103" t="s">
        <v>181</v>
      </c>
      <c r="D103">
        <v>5</v>
      </c>
      <c r="E103" s="12">
        <f>SUMIFS('Consolidado conteo 1'!$F:$F,'Consolidado conteo 1'!$C:$C,Analisis_Diferecias[[#This Row],[ID]],'Consolidado conteo 1'!$I:$I,Analisis_Diferecias[[#Headers],[Primer Conteo]])</f>
        <v>0</v>
      </c>
      <c r="F103" s="12">
        <f>SUMIFS('Consolidado conteo 2'!$F:$F,'Consolidado conteo 2'!$C:$C,Analisis_Diferecias[[#This Row],[ID]],'Consolidado conteo 2'!$I:$I,Analisis_Diferecias[[#Headers],[Segundo Conteo]])</f>
        <v>0</v>
      </c>
      <c r="G103" s="12">
        <f>+Analisis_Diferecias[[#This Row],[Segundo Conteo]]-(Analisis_Diferecias[[#This Row],[Primer Conteo]])</f>
        <v>0</v>
      </c>
      <c r="H10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3" s="12">
        <f>SUMIFS(Analisis_Diferecias_Tercer_conteo[Tercer_conteo],Analisis_Diferecias_Tercer_conteo[ID],Analisis_Diferecias[[#This Row],[ID]])</f>
        <v>0</v>
      </c>
      <c r="J103" s="12">
        <f>IF(Analisis_Diferecias[[#This Row],[Tipo de incidencia]]="OK",Analisis_Diferecias[[#This Row],[Segundo Conteo]],Analisis_Diferecias[[#This Row],[Tercer Conteo]])</f>
        <v>0</v>
      </c>
      <c r="K103" s="12">
        <f>+(Analisis_Diferecias[[#This Row],[Cantidad Total de Conteos]]-(Analisis_Diferecias[[#This Row],[Cantidad]]))</f>
        <v>-5</v>
      </c>
      <c r="L1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3" s="18"/>
      <c r="N103" s="18">
        <f>Analisis_Diferecias[[#This Row],[Costo Unitario($)]]*Analisis_Diferecias[[#This Row],[Cantidad Total de Conteos]]</f>
        <v>0</v>
      </c>
      <c r="O103" s="18">
        <f>Analisis_Diferecias[[#This Row],[Costo Unitario($)]]*Analisis_Diferecias[[#This Row],[Cantidad]]</f>
        <v>0</v>
      </c>
      <c r="P103" s="20">
        <f>+Analisis_Diferecias[[#This Row],[Valor Total Contado]]-Analisis_Diferecias[[#This Row],[Costo Total Sistema]]</f>
        <v>0</v>
      </c>
      <c r="Q1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4" spans="1:17" x14ac:dyDescent="0.2">
      <c r="A104">
        <v>10444</v>
      </c>
      <c r="B104" t="s">
        <v>182</v>
      </c>
      <c r="C104" t="s">
        <v>183</v>
      </c>
      <c r="D104">
        <v>5</v>
      </c>
      <c r="E104" s="12">
        <f>SUMIFS('Consolidado conteo 1'!$F:$F,'Consolidado conteo 1'!$C:$C,Analisis_Diferecias[[#This Row],[ID]],'Consolidado conteo 1'!$I:$I,Analisis_Diferecias[[#Headers],[Primer Conteo]])</f>
        <v>0</v>
      </c>
      <c r="F104" s="12">
        <f>SUMIFS('Consolidado conteo 2'!$F:$F,'Consolidado conteo 2'!$C:$C,Analisis_Diferecias[[#This Row],[ID]],'Consolidado conteo 2'!$I:$I,Analisis_Diferecias[[#Headers],[Segundo Conteo]])</f>
        <v>0</v>
      </c>
      <c r="G104" s="12">
        <f>+Analisis_Diferecias[[#This Row],[Segundo Conteo]]-(Analisis_Diferecias[[#This Row],[Primer Conteo]])</f>
        <v>0</v>
      </c>
      <c r="H10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4" s="12">
        <f>SUMIFS(Analisis_Diferecias_Tercer_conteo[Tercer_conteo],Analisis_Diferecias_Tercer_conteo[ID],Analisis_Diferecias[[#This Row],[ID]])</f>
        <v>0</v>
      </c>
      <c r="J104" s="12">
        <f>IF(Analisis_Diferecias[[#This Row],[Tipo de incidencia]]="OK",Analisis_Diferecias[[#This Row],[Segundo Conteo]],Analisis_Diferecias[[#This Row],[Tercer Conteo]])</f>
        <v>0</v>
      </c>
      <c r="K104" s="12">
        <f>+(Analisis_Diferecias[[#This Row],[Cantidad Total de Conteos]]-(Analisis_Diferecias[[#This Row],[Cantidad]]))</f>
        <v>-5</v>
      </c>
      <c r="L1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4" s="18"/>
      <c r="N104" s="18">
        <f>Analisis_Diferecias[[#This Row],[Costo Unitario($)]]*Analisis_Diferecias[[#This Row],[Cantidad Total de Conteos]]</f>
        <v>0</v>
      </c>
      <c r="O104" s="18">
        <f>Analisis_Diferecias[[#This Row],[Costo Unitario($)]]*Analisis_Diferecias[[#This Row],[Cantidad]]</f>
        <v>0</v>
      </c>
      <c r="P104" s="20">
        <f>+Analisis_Diferecias[[#This Row],[Valor Total Contado]]-Analisis_Diferecias[[#This Row],[Costo Total Sistema]]</f>
        <v>0</v>
      </c>
      <c r="Q1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5" spans="1:17" x14ac:dyDescent="0.2">
      <c r="A105">
        <v>10441</v>
      </c>
      <c r="B105" t="s">
        <v>184</v>
      </c>
      <c r="C105" t="s">
        <v>185</v>
      </c>
      <c r="D105">
        <v>5</v>
      </c>
      <c r="E105" s="12">
        <f>SUMIFS('Consolidado conteo 1'!$F:$F,'Consolidado conteo 1'!$C:$C,Analisis_Diferecias[[#This Row],[ID]],'Consolidado conteo 1'!$I:$I,Analisis_Diferecias[[#Headers],[Primer Conteo]])</f>
        <v>0</v>
      </c>
      <c r="F105" s="12">
        <f>SUMIFS('Consolidado conteo 2'!$F:$F,'Consolidado conteo 2'!$C:$C,Analisis_Diferecias[[#This Row],[ID]],'Consolidado conteo 2'!$I:$I,Analisis_Diferecias[[#Headers],[Segundo Conteo]])</f>
        <v>0</v>
      </c>
      <c r="G105" s="12">
        <f>+Analisis_Diferecias[[#This Row],[Segundo Conteo]]-(Analisis_Diferecias[[#This Row],[Primer Conteo]])</f>
        <v>0</v>
      </c>
      <c r="H10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5" s="12">
        <f>SUMIFS(Analisis_Diferecias_Tercer_conteo[Tercer_conteo],Analisis_Diferecias_Tercer_conteo[ID],Analisis_Diferecias[[#This Row],[ID]])</f>
        <v>0</v>
      </c>
      <c r="J105" s="12">
        <f>IF(Analisis_Diferecias[[#This Row],[Tipo de incidencia]]="OK",Analisis_Diferecias[[#This Row],[Segundo Conteo]],Analisis_Diferecias[[#This Row],[Tercer Conteo]])</f>
        <v>0</v>
      </c>
      <c r="K105" s="12">
        <f>+(Analisis_Diferecias[[#This Row],[Cantidad Total de Conteos]]-(Analisis_Diferecias[[#This Row],[Cantidad]]))</f>
        <v>-5</v>
      </c>
      <c r="L1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5" s="18"/>
      <c r="N105" s="18">
        <f>Analisis_Diferecias[[#This Row],[Costo Unitario($)]]*Analisis_Diferecias[[#This Row],[Cantidad Total de Conteos]]</f>
        <v>0</v>
      </c>
      <c r="O105" s="18">
        <f>Analisis_Diferecias[[#This Row],[Costo Unitario($)]]*Analisis_Diferecias[[#This Row],[Cantidad]]</f>
        <v>0</v>
      </c>
      <c r="P105" s="20">
        <f>+Analisis_Diferecias[[#This Row],[Valor Total Contado]]-Analisis_Diferecias[[#This Row],[Costo Total Sistema]]</f>
        <v>0</v>
      </c>
      <c r="Q1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6" spans="1:17" x14ac:dyDescent="0.2">
      <c r="A106">
        <v>10443</v>
      </c>
      <c r="B106" t="s">
        <v>186</v>
      </c>
      <c r="C106" t="s">
        <v>187</v>
      </c>
      <c r="D106">
        <v>5</v>
      </c>
      <c r="E106" s="12">
        <f>SUMIFS('Consolidado conteo 1'!$F:$F,'Consolidado conteo 1'!$C:$C,Analisis_Diferecias[[#This Row],[ID]],'Consolidado conteo 1'!$I:$I,Analisis_Diferecias[[#Headers],[Primer Conteo]])</f>
        <v>0</v>
      </c>
      <c r="F106" s="12">
        <f>SUMIFS('Consolidado conteo 2'!$F:$F,'Consolidado conteo 2'!$C:$C,Analisis_Diferecias[[#This Row],[ID]],'Consolidado conteo 2'!$I:$I,Analisis_Diferecias[[#Headers],[Segundo Conteo]])</f>
        <v>0</v>
      </c>
      <c r="G106" s="12">
        <f>+Analisis_Diferecias[[#This Row],[Segundo Conteo]]-(Analisis_Diferecias[[#This Row],[Primer Conteo]])</f>
        <v>0</v>
      </c>
      <c r="H10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6" s="12">
        <f>SUMIFS(Analisis_Diferecias_Tercer_conteo[Tercer_conteo],Analisis_Diferecias_Tercer_conteo[ID],Analisis_Diferecias[[#This Row],[ID]])</f>
        <v>0</v>
      </c>
      <c r="J106" s="12">
        <f>IF(Analisis_Diferecias[[#This Row],[Tipo de incidencia]]="OK",Analisis_Diferecias[[#This Row],[Segundo Conteo]],Analisis_Diferecias[[#This Row],[Tercer Conteo]])</f>
        <v>0</v>
      </c>
      <c r="K106" s="12">
        <f>+(Analisis_Diferecias[[#This Row],[Cantidad Total de Conteos]]-(Analisis_Diferecias[[#This Row],[Cantidad]]))</f>
        <v>-5</v>
      </c>
      <c r="L1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6" s="18"/>
      <c r="N106" s="18">
        <f>Analisis_Diferecias[[#This Row],[Costo Unitario($)]]*Analisis_Diferecias[[#This Row],[Cantidad Total de Conteos]]</f>
        <v>0</v>
      </c>
      <c r="O106" s="18">
        <f>Analisis_Diferecias[[#This Row],[Costo Unitario($)]]*Analisis_Diferecias[[#This Row],[Cantidad]]</f>
        <v>0</v>
      </c>
      <c r="P106" s="20">
        <f>+Analisis_Diferecias[[#This Row],[Valor Total Contado]]-Analisis_Diferecias[[#This Row],[Costo Total Sistema]]</f>
        <v>0</v>
      </c>
      <c r="Q1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7" spans="1:17" x14ac:dyDescent="0.2">
      <c r="A107">
        <v>10415</v>
      </c>
      <c r="B107" t="s">
        <v>188</v>
      </c>
      <c r="C107" t="s">
        <v>189</v>
      </c>
      <c r="D107">
        <v>5</v>
      </c>
      <c r="E107" s="12">
        <f>SUMIFS('Consolidado conteo 1'!$F:$F,'Consolidado conteo 1'!$C:$C,Analisis_Diferecias[[#This Row],[ID]],'Consolidado conteo 1'!$I:$I,Analisis_Diferecias[[#Headers],[Primer Conteo]])</f>
        <v>0</v>
      </c>
      <c r="F107" s="12">
        <f>SUMIFS('Consolidado conteo 2'!$F:$F,'Consolidado conteo 2'!$C:$C,Analisis_Diferecias[[#This Row],[ID]],'Consolidado conteo 2'!$I:$I,Analisis_Diferecias[[#Headers],[Segundo Conteo]])</f>
        <v>0</v>
      </c>
      <c r="G107" s="12">
        <f>+Analisis_Diferecias[[#This Row],[Segundo Conteo]]-(Analisis_Diferecias[[#This Row],[Primer Conteo]])</f>
        <v>0</v>
      </c>
      <c r="H10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7" s="12">
        <f>SUMIFS(Analisis_Diferecias_Tercer_conteo[Tercer_conteo],Analisis_Diferecias_Tercer_conteo[ID],Analisis_Diferecias[[#This Row],[ID]])</f>
        <v>0</v>
      </c>
      <c r="J107" s="12">
        <f>IF(Analisis_Diferecias[[#This Row],[Tipo de incidencia]]="OK",Analisis_Diferecias[[#This Row],[Segundo Conteo]],Analisis_Diferecias[[#This Row],[Tercer Conteo]])</f>
        <v>0</v>
      </c>
      <c r="K107" s="12">
        <f>+(Analisis_Diferecias[[#This Row],[Cantidad Total de Conteos]]-(Analisis_Diferecias[[#This Row],[Cantidad]]))</f>
        <v>-5</v>
      </c>
      <c r="L1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7" s="18"/>
      <c r="N107" s="18">
        <f>Analisis_Diferecias[[#This Row],[Costo Unitario($)]]*Analisis_Diferecias[[#This Row],[Cantidad Total de Conteos]]</f>
        <v>0</v>
      </c>
      <c r="O107" s="18">
        <f>Analisis_Diferecias[[#This Row],[Costo Unitario($)]]*Analisis_Diferecias[[#This Row],[Cantidad]]</f>
        <v>0</v>
      </c>
      <c r="P107" s="20">
        <f>+Analisis_Diferecias[[#This Row],[Valor Total Contado]]-Analisis_Diferecias[[#This Row],[Costo Total Sistema]]</f>
        <v>0</v>
      </c>
      <c r="Q1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8" spans="1:17" x14ac:dyDescent="0.2">
      <c r="A108">
        <v>10435</v>
      </c>
      <c r="B108" t="s">
        <v>190</v>
      </c>
      <c r="C108" t="s">
        <v>191</v>
      </c>
      <c r="D108">
        <v>5</v>
      </c>
      <c r="E108" s="12">
        <f>SUMIFS('Consolidado conteo 1'!$F:$F,'Consolidado conteo 1'!$C:$C,Analisis_Diferecias[[#This Row],[ID]],'Consolidado conteo 1'!$I:$I,Analisis_Diferecias[[#Headers],[Primer Conteo]])</f>
        <v>0</v>
      </c>
      <c r="F108" s="12">
        <f>SUMIFS('Consolidado conteo 2'!$F:$F,'Consolidado conteo 2'!$C:$C,Analisis_Diferecias[[#This Row],[ID]],'Consolidado conteo 2'!$I:$I,Analisis_Diferecias[[#Headers],[Segundo Conteo]])</f>
        <v>0</v>
      </c>
      <c r="G108" s="12">
        <f>+Analisis_Diferecias[[#This Row],[Segundo Conteo]]-(Analisis_Diferecias[[#This Row],[Primer Conteo]])</f>
        <v>0</v>
      </c>
      <c r="H10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8" s="12">
        <f>SUMIFS(Analisis_Diferecias_Tercer_conteo[Tercer_conteo],Analisis_Diferecias_Tercer_conteo[ID],Analisis_Diferecias[[#This Row],[ID]])</f>
        <v>0</v>
      </c>
      <c r="J108" s="12">
        <f>IF(Analisis_Diferecias[[#This Row],[Tipo de incidencia]]="OK",Analisis_Diferecias[[#This Row],[Segundo Conteo]],Analisis_Diferecias[[#This Row],[Tercer Conteo]])</f>
        <v>0</v>
      </c>
      <c r="K108" s="12">
        <f>+(Analisis_Diferecias[[#This Row],[Cantidad Total de Conteos]]-(Analisis_Diferecias[[#This Row],[Cantidad]]))</f>
        <v>-5</v>
      </c>
      <c r="L1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8" s="18"/>
      <c r="N108" s="18">
        <f>Analisis_Diferecias[[#This Row],[Costo Unitario($)]]*Analisis_Diferecias[[#This Row],[Cantidad Total de Conteos]]</f>
        <v>0</v>
      </c>
      <c r="O108" s="18">
        <f>Analisis_Diferecias[[#This Row],[Costo Unitario($)]]*Analisis_Diferecias[[#This Row],[Cantidad]]</f>
        <v>0</v>
      </c>
      <c r="P108" s="20">
        <f>+Analisis_Diferecias[[#This Row],[Valor Total Contado]]-Analisis_Diferecias[[#This Row],[Costo Total Sistema]]</f>
        <v>0</v>
      </c>
      <c r="Q1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09" spans="1:17" x14ac:dyDescent="0.2">
      <c r="A109">
        <v>10391</v>
      </c>
      <c r="B109" t="s">
        <v>192</v>
      </c>
      <c r="C109" t="s">
        <v>193</v>
      </c>
      <c r="D109">
        <v>5</v>
      </c>
      <c r="E109" s="12">
        <f>SUMIFS('Consolidado conteo 1'!$F:$F,'Consolidado conteo 1'!$C:$C,Analisis_Diferecias[[#This Row],[ID]],'Consolidado conteo 1'!$I:$I,Analisis_Diferecias[[#Headers],[Primer Conteo]])</f>
        <v>0</v>
      </c>
      <c r="F109" s="12">
        <f>SUMIFS('Consolidado conteo 2'!$F:$F,'Consolidado conteo 2'!$C:$C,Analisis_Diferecias[[#This Row],[ID]],'Consolidado conteo 2'!$I:$I,Analisis_Diferecias[[#Headers],[Segundo Conteo]])</f>
        <v>0</v>
      </c>
      <c r="G109" s="12">
        <f>+Analisis_Diferecias[[#This Row],[Segundo Conteo]]-(Analisis_Diferecias[[#This Row],[Primer Conteo]])</f>
        <v>0</v>
      </c>
      <c r="H10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09" s="12">
        <f>SUMIFS(Analisis_Diferecias_Tercer_conteo[Tercer_conteo],Analisis_Diferecias_Tercer_conteo[ID],Analisis_Diferecias[[#This Row],[ID]])</f>
        <v>0</v>
      </c>
      <c r="J109" s="12">
        <f>IF(Analisis_Diferecias[[#This Row],[Tipo de incidencia]]="OK",Analisis_Diferecias[[#This Row],[Segundo Conteo]],Analisis_Diferecias[[#This Row],[Tercer Conteo]])</f>
        <v>0</v>
      </c>
      <c r="K109" s="12">
        <f>+(Analisis_Diferecias[[#This Row],[Cantidad Total de Conteos]]-(Analisis_Diferecias[[#This Row],[Cantidad]]))</f>
        <v>-5</v>
      </c>
      <c r="L1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09" s="18"/>
      <c r="N109" s="18">
        <f>Analisis_Diferecias[[#This Row],[Costo Unitario($)]]*Analisis_Diferecias[[#This Row],[Cantidad Total de Conteos]]</f>
        <v>0</v>
      </c>
      <c r="O109" s="18">
        <f>Analisis_Diferecias[[#This Row],[Costo Unitario($)]]*Analisis_Diferecias[[#This Row],[Cantidad]]</f>
        <v>0</v>
      </c>
      <c r="P109" s="20">
        <f>+Analisis_Diferecias[[#This Row],[Valor Total Contado]]-Analisis_Diferecias[[#This Row],[Costo Total Sistema]]</f>
        <v>0</v>
      </c>
      <c r="Q1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0" spans="1:17" x14ac:dyDescent="0.2">
      <c r="A110">
        <v>9335</v>
      </c>
      <c r="B110" t="s">
        <v>194</v>
      </c>
      <c r="C110" t="s">
        <v>195</v>
      </c>
      <c r="D110">
        <v>5</v>
      </c>
      <c r="E110" s="12">
        <f>SUMIFS('Consolidado conteo 1'!$F:$F,'Consolidado conteo 1'!$C:$C,Analisis_Diferecias[[#This Row],[ID]],'Consolidado conteo 1'!$I:$I,Analisis_Diferecias[[#Headers],[Primer Conteo]])</f>
        <v>0</v>
      </c>
      <c r="F110" s="12">
        <f>SUMIFS('Consolidado conteo 2'!$F:$F,'Consolidado conteo 2'!$C:$C,Analisis_Diferecias[[#This Row],[ID]],'Consolidado conteo 2'!$I:$I,Analisis_Diferecias[[#Headers],[Segundo Conteo]])</f>
        <v>0</v>
      </c>
      <c r="G110" s="12">
        <f>+Analisis_Diferecias[[#This Row],[Segundo Conteo]]-(Analisis_Diferecias[[#This Row],[Primer Conteo]])</f>
        <v>0</v>
      </c>
      <c r="H11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0" s="12">
        <f>SUMIFS(Analisis_Diferecias_Tercer_conteo[Tercer_conteo],Analisis_Diferecias_Tercer_conteo[ID],Analisis_Diferecias[[#This Row],[ID]])</f>
        <v>0</v>
      </c>
      <c r="J110" s="12">
        <f>IF(Analisis_Diferecias[[#This Row],[Tipo de incidencia]]="OK",Analisis_Diferecias[[#This Row],[Segundo Conteo]],Analisis_Diferecias[[#This Row],[Tercer Conteo]])</f>
        <v>0</v>
      </c>
      <c r="K110" s="12">
        <f>+(Analisis_Diferecias[[#This Row],[Cantidad Total de Conteos]]-(Analisis_Diferecias[[#This Row],[Cantidad]]))</f>
        <v>-5</v>
      </c>
      <c r="L1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0" s="18"/>
      <c r="N110" s="18">
        <f>Analisis_Diferecias[[#This Row],[Costo Unitario($)]]*Analisis_Diferecias[[#This Row],[Cantidad Total de Conteos]]</f>
        <v>0</v>
      </c>
      <c r="O110" s="18">
        <f>Analisis_Diferecias[[#This Row],[Costo Unitario($)]]*Analisis_Diferecias[[#This Row],[Cantidad]]</f>
        <v>0</v>
      </c>
      <c r="P110" s="20">
        <f>+Analisis_Diferecias[[#This Row],[Valor Total Contado]]-Analisis_Diferecias[[#This Row],[Costo Total Sistema]]</f>
        <v>0</v>
      </c>
      <c r="Q1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1" spans="1:17" x14ac:dyDescent="0.2">
      <c r="A111">
        <v>9329</v>
      </c>
      <c r="B111" t="s">
        <v>196</v>
      </c>
      <c r="C111" t="s">
        <v>197</v>
      </c>
      <c r="D111">
        <v>4</v>
      </c>
      <c r="E111" s="12">
        <f>SUMIFS('Consolidado conteo 1'!$F:$F,'Consolidado conteo 1'!$C:$C,Analisis_Diferecias[[#This Row],[ID]],'Consolidado conteo 1'!$I:$I,Analisis_Diferecias[[#Headers],[Primer Conteo]])</f>
        <v>0</v>
      </c>
      <c r="F111" s="12">
        <f>SUMIFS('Consolidado conteo 2'!$F:$F,'Consolidado conteo 2'!$C:$C,Analisis_Diferecias[[#This Row],[ID]],'Consolidado conteo 2'!$I:$I,Analisis_Diferecias[[#Headers],[Segundo Conteo]])</f>
        <v>0</v>
      </c>
      <c r="G111" s="12">
        <f>+Analisis_Diferecias[[#This Row],[Segundo Conteo]]-(Analisis_Diferecias[[#This Row],[Primer Conteo]])</f>
        <v>0</v>
      </c>
      <c r="H11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1" s="12">
        <f>SUMIFS(Analisis_Diferecias_Tercer_conteo[Tercer_conteo],Analisis_Diferecias_Tercer_conteo[ID],Analisis_Diferecias[[#This Row],[ID]])</f>
        <v>0</v>
      </c>
      <c r="J111" s="12">
        <f>IF(Analisis_Diferecias[[#This Row],[Tipo de incidencia]]="OK",Analisis_Diferecias[[#This Row],[Segundo Conteo]],Analisis_Diferecias[[#This Row],[Tercer Conteo]])</f>
        <v>0</v>
      </c>
      <c r="K111" s="12">
        <f>+(Analisis_Diferecias[[#This Row],[Cantidad Total de Conteos]]-(Analisis_Diferecias[[#This Row],[Cantidad]]))</f>
        <v>-4</v>
      </c>
      <c r="L1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1" s="18"/>
      <c r="N111" s="18">
        <f>Analisis_Diferecias[[#This Row],[Costo Unitario($)]]*Analisis_Diferecias[[#This Row],[Cantidad Total de Conteos]]</f>
        <v>0</v>
      </c>
      <c r="O111" s="18">
        <f>Analisis_Diferecias[[#This Row],[Costo Unitario($)]]*Analisis_Diferecias[[#This Row],[Cantidad]]</f>
        <v>0</v>
      </c>
      <c r="P111" s="20">
        <f>+Analisis_Diferecias[[#This Row],[Valor Total Contado]]-Analisis_Diferecias[[#This Row],[Costo Total Sistema]]</f>
        <v>0</v>
      </c>
      <c r="Q1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2" spans="1:17" x14ac:dyDescent="0.2">
      <c r="A112">
        <v>13504</v>
      </c>
      <c r="B112" t="s">
        <v>198</v>
      </c>
      <c r="C112" t="s">
        <v>199</v>
      </c>
      <c r="D112">
        <v>4</v>
      </c>
      <c r="E112" s="12">
        <f>SUMIFS('Consolidado conteo 1'!$F:$F,'Consolidado conteo 1'!$C:$C,Analisis_Diferecias[[#This Row],[ID]],'Consolidado conteo 1'!$I:$I,Analisis_Diferecias[[#Headers],[Primer Conteo]])</f>
        <v>0</v>
      </c>
      <c r="F112" s="12">
        <f>SUMIFS('Consolidado conteo 2'!$F:$F,'Consolidado conteo 2'!$C:$C,Analisis_Diferecias[[#This Row],[ID]],'Consolidado conteo 2'!$I:$I,Analisis_Diferecias[[#Headers],[Segundo Conteo]])</f>
        <v>0</v>
      </c>
      <c r="G112" s="12">
        <f>+Analisis_Diferecias[[#This Row],[Segundo Conteo]]-(Analisis_Diferecias[[#This Row],[Primer Conteo]])</f>
        <v>0</v>
      </c>
      <c r="H11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2" s="12">
        <f>SUMIFS(Analisis_Diferecias_Tercer_conteo[Tercer_conteo],Analisis_Diferecias_Tercer_conteo[ID],Analisis_Diferecias[[#This Row],[ID]])</f>
        <v>0</v>
      </c>
      <c r="J112" s="12">
        <f>IF(Analisis_Diferecias[[#This Row],[Tipo de incidencia]]="OK",Analisis_Diferecias[[#This Row],[Segundo Conteo]],Analisis_Diferecias[[#This Row],[Tercer Conteo]])</f>
        <v>0</v>
      </c>
      <c r="K112" s="12">
        <f>+(Analisis_Diferecias[[#This Row],[Cantidad Total de Conteos]]-(Analisis_Diferecias[[#This Row],[Cantidad]]))</f>
        <v>-4</v>
      </c>
      <c r="L1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2" s="18"/>
      <c r="N112" s="18">
        <f>Analisis_Diferecias[[#This Row],[Costo Unitario($)]]*Analisis_Diferecias[[#This Row],[Cantidad Total de Conteos]]</f>
        <v>0</v>
      </c>
      <c r="O112" s="18">
        <f>Analisis_Diferecias[[#This Row],[Costo Unitario($)]]*Analisis_Diferecias[[#This Row],[Cantidad]]</f>
        <v>0</v>
      </c>
      <c r="P112" s="20">
        <f>+Analisis_Diferecias[[#This Row],[Valor Total Contado]]-Analisis_Diferecias[[#This Row],[Costo Total Sistema]]</f>
        <v>0</v>
      </c>
      <c r="Q1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3" spans="1:17" x14ac:dyDescent="0.2">
      <c r="A113">
        <v>14051</v>
      </c>
      <c r="B113" t="s">
        <v>200</v>
      </c>
      <c r="C113" t="s">
        <v>201</v>
      </c>
      <c r="D113">
        <v>4</v>
      </c>
      <c r="E113" s="12">
        <f>SUMIFS('Consolidado conteo 1'!$F:$F,'Consolidado conteo 1'!$C:$C,Analisis_Diferecias[[#This Row],[ID]],'Consolidado conteo 1'!$I:$I,Analisis_Diferecias[[#Headers],[Primer Conteo]])</f>
        <v>0</v>
      </c>
      <c r="F113" s="12">
        <f>SUMIFS('Consolidado conteo 2'!$F:$F,'Consolidado conteo 2'!$C:$C,Analisis_Diferecias[[#This Row],[ID]],'Consolidado conteo 2'!$I:$I,Analisis_Diferecias[[#Headers],[Segundo Conteo]])</f>
        <v>0</v>
      </c>
      <c r="G113" s="12">
        <f>+Analisis_Diferecias[[#This Row],[Segundo Conteo]]-(Analisis_Diferecias[[#This Row],[Primer Conteo]])</f>
        <v>0</v>
      </c>
      <c r="H11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3" s="12">
        <f>SUMIFS(Analisis_Diferecias_Tercer_conteo[Tercer_conteo],Analisis_Diferecias_Tercer_conteo[ID],Analisis_Diferecias[[#This Row],[ID]])</f>
        <v>0</v>
      </c>
      <c r="J113" s="12">
        <f>IF(Analisis_Diferecias[[#This Row],[Tipo de incidencia]]="OK",Analisis_Diferecias[[#This Row],[Segundo Conteo]],Analisis_Diferecias[[#This Row],[Tercer Conteo]])</f>
        <v>0</v>
      </c>
      <c r="K113" s="12">
        <f>+(Analisis_Diferecias[[#This Row],[Cantidad Total de Conteos]]-(Analisis_Diferecias[[#This Row],[Cantidad]]))</f>
        <v>-4</v>
      </c>
      <c r="L1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3" s="18"/>
      <c r="N113" s="18">
        <f>Analisis_Diferecias[[#This Row],[Costo Unitario($)]]*Analisis_Diferecias[[#This Row],[Cantidad Total de Conteos]]</f>
        <v>0</v>
      </c>
      <c r="O113" s="18">
        <f>Analisis_Diferecias[[#This Row],[Costo Unitario($)]]*Analisis_Diferecias[[#This Row],[Cantidad]]</f>
        <v>0</v>
      </c>
      <c r="P113" s="20">
        <f>+Analisis_Diferecias[[#This Row],[Valor Total Contado]]-Analisis_Diferecias[[#This Row],[Costo Total Sistema]]</f>
        <v>0</v>
      </c>
      <c r="Q1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4" spans="1:17" x14ac:dyDescent="0.2">
      <c r="A114">
        <v>14053</v>
      </c>
      <c r="B114" t="s">
        <v>202</v>
      </c>
      <c r="C114" t="s">
        <v>203</v>
      </c>
      <c r="D114">
        <v>4</v>
      </c>
      <c r="E114" s="12">
        <f>SUMIFS('Consolidado conteo 1'!$F:$F,'Consolidado conteo 1'!$C:$C,Analisis_Diferecias[[#This Row],[ID]],'Consolidado conteo 1'!$I:$I,Analisis_Diferecias[[#Headers],[Primer Conteo]])</f>
        <v>0</v>
      </c>
      <c r="F114" s="12">
        <f>SUMIFS('Consolidado conteo 2'!$F:$F,'Consolidado conteo 2'!$C:$C,Analisis_Diferecias[[#This Row],[ID]],'Consolidado conteo 2'!$I:$I,Analisis_Diferecias[[#Headers],[Segundo Conteo]])</f>
        <v>0</v>
      </c>
      <c r="G114" s="12">
        <f>+Analisis_Diferecias[[#This Row],[Segundo Conteo]]-(Analisis_Diferecias[[#This Row],[Primer Conteo]])</f>
        <v>0</v>
      </c>
      <c r="H11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4" s="12">
        <f>SUMIFS(Analisis_Diferecias_Tercer_conteo[Tercer_conteo],Analisis_Diferecias_Tercer_conteo[ID],Analisis_Diferecias[[#This Row],[ID]])</f>
        <v>0</v>
      </c>
      <c r="J114" s="12">
        <f>IF(Analisis_Diferecias[[#This Row],[Tipo de incidencia]]="OK",Analisis_Diferecias[[#This Row],[Segundo Conteo]],Analisis_Diferecias[[#This Row],[Tercer Conteo]])</f>
        <v>0</v>
      </c>
      <c r="K114" s="12">
        <f>+(Analisis_Diferecias[[#This Row],[Cantidad Total de Conteos]]-(Analisis_Diferecias[[#This Row],[Cantidad]]))</f>
        <v>-4</v>
      </c>
      <c r="L1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4" s="18"/>
      <c r="N114" s="18">
        <f>Analisis_Diferecias[[#This Row],[Costo Unitario($)]]*Analisis_Diferecias[[#This Row],[Cantidad Total de Conteos]]</f>
        <v>0</v>
      </c>
      <c r="O114" s="18">
        <f>Analisis_Diferecias[[#This Row],[Costo Unitario($)]]*Analisis_Diferecias[[#This Row],[Cantidad]]</f>
        <v>0</v>
      </c>
      <c r="P114" s="20">
        <f>+Analisis_Diferecias[[#This Row],[Valor Total Contado]]-Analisis_Diferecias[[#This Row],[Costo Total Sistema]]</f>
        <v>0</v>
      </c>
      <c r="Q1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5" spans="1:17" x14ac:dyDescent="0.2">
      <c r="A115">
        <v>10402</v>
      </c>
      <c r="B115" t="s">
        <v>204</v>
      </c>
      <c r="C115" t="s">
        <v>205</v>
      </c>
      <c r="D115">
        <v>4</v>
      </c>
      <c r="E115" s="12">
        <f>SUMIFS('Consolidado conteo 1'!$F:$F,'Consolidado conteo 1'!$C:$C,Analisis_Diferecias[[#This Row],[ID]],'Consolidado conteo 1'!$I:$I,Analisis_Diferecias[[#Headers],[Primer Conteo]])</f>
        <v>0</v>
      </c>
      <c r="F115" s="12">
        <f>SUMIFS('Consolidado conteo 2'!$F:$F,'Consolidado conteo 2'!$C:$C,Analisis_Diferecias[[#This Row],[ID]],'Consolidado conteo 2'!$I:$I,Analisis_Diferecias[[#Headers],[Segundo Conteo]])</f>
        <v>0</v>
      </c>
      <c r="G115" s="12">
        <f>+Analisis_Diferecias[[#This Row],[Segundo Conteo]]-(Analisis_Diferecias[[#This Row],[Primer Conteo]])</f>
        <v>0</v>
      </c>
      <c r="H11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5" s="12">
        <f>SUMIFS(Analisis_Diferecias_Tercer_conteo[Tercer_conteo],Analisis_Diferecias_Tercer_conteo[ID],Analisis_Diferecias[[#This Row],[ID]])</f>
        <v>0</v>
      </c>
      <c r="J115" s="12">
        <f>IF(Analisis_Diferecias[[#This Row],[Tipo de incidencia]]="OK",Analisis_Diferecias[[#This Row],[Segundo Conteo]],Analisis_Diferecias[[#This Row],[Tercer Conteo]])</f>
        <v>0</v>
      </c>
      <c r="K115" s="12">
        <f>+(Analisis_Diferecias[[#This Row],[Cantidad Total de Conteos]]-(Analisis_Diferecias[[#This Row],[Cantidad]]))</f>
        <v>-4</v>
      </c>
      <c r="L1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5" s="18"/>
      <c r="N115" s="18">
        <f>Analisis_Diferecias[[#This Row],[Costo Unitario($)]]*Analisis_Diferecias[[#This Row],[Cantidad Total de Conteos]]</f>
        <v>0</v>
      </c>
      <c r="O115" s="18">
        <f>Analisis_Diferecias[[#This Row],[Costo Unitario($)]]*Analisis_Diferecias[[#This Row],[Cantidad]]</f>
        <v>0</v>
      </c>
      <c r="P115" s="20">
        <f>+Analisis_Diferecias[[#This Row],[Valor Total Contado]]-Analisis_Diferecias[[#This Row],[Costo Total Sistema]]</f>
        <v>0</v>
      </c>
      <c r="Q1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6" spans="1:17" x14ac:dyDescent="0.2">
      <c r="A116">
        <v>10452</v>
      </c>
      <c r="B116" t="s">
        <v>206</v>
      </c>
      <c r="C116" t="s">
        <v>207</v>
      </c>
      <c r="D116">
        <v>4</v>
      </c>
      <c r="E116" s="12">
        <f>SUMIFS('Consolidado conteo 1'!$F:$F,'Consolidado conteo 1'!$C:$C,Analisis_Diferecias[[#This Row],[ID]],'Consolidado conteo 1'!$I:$I,Analisis_Diferecias[[#Headers],[Primer Conteo]])</f>
        <v>0</v>
      </c>
      <c r="F116" s="12">
        <f>SUMIFS('Consolidado conteo 2'!$F:$F,'Consolidado conteo 2'!$C:$C,Analisis_Diferecias[[#This Row],[ID]],'Consolidado conteo 2'!$I:$I,Analisis_Diferecias[[#Headers],[Segundo Conteo]])</f>
        <v>0</v>
      </c>
      <c r="G116" s="12">
        <f>+Analisis_Diferecias[[#This Row],[Segundo Conteo]]-(Analisis_Diferecias[[#This Row],[Primer Conteo]])</f>
        <v>0</v>
      </c>
      <c r="H11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6" s="12">
        <f>SUMIFS(Analisis_Diferecias_Tercer_conteo[Tercer_conteo],Analisis_Diferecias_Tercer_conteo[ID],Analisis_Diferecias[[#This Row],[ID]])</f>
        <v>0</v>
      </c>
      <c r="J116" s="12">
        <f>IF(Analisis_Diferecias[[#This Row],[Tipo de incidencia]]="OK",Analisis_Diferecias[[#This Row],[Segundo Conteo]],Analisis_Diferecias[[#This Row],[Tercer Conteo]])</f>
        <v>0</v>
      </c>
      <c r="K116" s="12">
        <f>+(Analisis_Diferecias[[#This Row],[Cantidad Total de Conteos]]-(Analisis_Diferecias[[#This Row],[Cantidad]]))</f>
        <v>-4</v>
      </c>
      <c r="L1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6" s="18"/>
      <c r="N116" s="18">
        <f>Analisis_Diferecias[[#This Row],[Costo Unitario($)]]*Analisis_Diferecias[[#This Row],[Cantidad Total de Conteos]]</f>
        <v>0</v>
      </c>
      <c r="O116" s="18">
        <f>Analisis_Diferecias[[#This Row],[Costo Unitario($)]]*Analisis_Diferecias[[#This Row],[Cantidad]]</f>
        <v>0</v>
      </c>
      <c r="P116" s="20">
        <f>+Analisis_Diferecias[[#This Row],[Valor Total Contado]]-Analisis_Diferecias[[#This Row],[Costo Total Sistema]]</f>
        <v>0</v>
      </c>
      <c r="Q1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7" spans="1:17" x14ac:dyDescent="0.2">
      <c r="A117">
        <v>10442</v>
      </c>
      <c r="B117" t="s">
        <v>208</v>
      </c>
      <c r="C117" t="s">
        <v>209</v>
      </c>
      <c r="D117">
        <v>4</v>
      </c>
      <c r="E117" s="12">
        <f>SUMIFS('Consolidado conteo 1'!$F:$F,'Consolidado conteo 1'!$C:$C,Analisis_Diferecias[[#This Row],[ID]],'Consolidado conteo 1'!$I:$I,Analisis_Diferecias[[#Headers],[Primer Conteo]])</f>
        <v>0</v>
      </c>
      <c r="F117" s="12">
        <f>SUMIFS('Consolidado conteo 2'!$F:$F,'Consolidado conteo 2'!$C:$C,Analisis_Diferecias[[#This Row],[ID]],'Consolidado conteo 2'!$I:$I,Analisis_Diferecias[[#Headers],[Segundo Conteo]])</f>
        <v>0</v>
      </c>
      <c r="G117" s="12">
        <f>+Analisis_Diferecias[[#This Row],[Segundo Conteo]]-(Analisis_Diferecias[[#This Row],[Primer Conteo]])</f>
        <v>0</v>
      </c>
      <c r="H11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7" s="12">
        <f>SUMIFS(Analisis_Diferecias_Tercer_conteo[Tercer_conteo],Analisis_Diferecias_Tercer_conteo[ID],Analisis_Diferecias[[#This Row],[ID]])</f>
        <v>0</v>
      </c>
      <c r="J117" s="12">
        <f>IF(Analisis_Diferecias[[#This Row],[Tipo de incidencia]]="OK",Analisis_Diferecias[[#This Row],[Segundo Conteo]],Analisis_Diferecias[[#This Row],[Tercer Conteo]])</f>
        <v>0</v>
      </c>
      <c r="K117" s="12">
        <f>+(Analisis_Diferecias[[#This Row],[Cantidad Total de Conteos]]-(Analisis_Diferecias[[#This Row],[Cantidad]]))</f>
        <v>-4</v>
      </c>
      <c r="L1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7" s="18"/>
      <c r="N117" s="18">
        <f>Analisis_Diferecias[[#This Row],[Costo Unitario($)]]*Analisis_Diferecias[[#This Row],[Cantidad Total de Conteos]]</f>
        <v>0</v>
      </c>
      <c r="O117" s="18">
        <f>Analisis_Diferecias[[#This Row],[Costo Unitario($)]]*Analisis_Diferecias[[#This Row],[Cantidad]]</f>
        <v>0</v>
      </c>
      <c r="P117" s="20">
        <f>+Analisis_Diferecias[[#This Row],[Valor Total Contado]]-Analisis_Diferecias[[#This Row],[Costo Total Sistema]]</f>
        <v>0</v>
      </c>
      <c r="Q1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8" spans="1:17" x14ac:dyDescent="0.2">
      <c r="A118">
        <v>10454</v>
      </c>
      <c r="B118" t="s">
        <v>210</v>
      </c>
      <c r="C118" t="s">
        <v>211</v>
      </c>
      <c r="D118">
        <v>4</v>
      </c>
      <c r="E118" s="12">
        <f>SUMIFS('Consolidado conteo 1'!$F:$F,'Consolidado conteo 1'!$C:$C,Analisis_Diferecias[[#This Row],[ID]],'Consolidado conteo 1'!$I:$I,Analisis_Diferecias[[#Headers],[Primer Conteo]])</f>
        <v>0</v>
      </c>
      <c r="F118" s="12">
        <f>SUMIFS('Consolidado conteo 2'!$F:$F,'Consolidado conteo 2'!$C:$C,Analisis_Diferecias[[#This Row],[ID]],'Consolidado conteo 2'!$I:$I,Analisis_Diferecias[[#Headers],[Segundo Conteo]])</f>
        <v>0</v>
      </c>
      <c r="G118" s="12">
        <f>+Analisis_Diferecias[[#This Row],[Segundo Conteo]]-(Analisis_Diferecias[[#This Row],[Primer Conteo]])</f>
        <v>0</v>
      </c>
      <c r="H11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8" s="12">
        <f>SUMIFS(Analisis_Diferecias_Tercer_conteo[Tercer_conteo],Analisis_Diferecias_Tercer_conteo[ID],Analisis_Diferecias[[#This Row],[ID]])</f>
        <v>0</v>
      </c>
      <c r="J118" s="12">
        <f>IF(Analisis_Diferecias[[#This Row],[Tipo de incidencia]]="OK",Analisis_Diferecias[[#This Row],[Segundo Conteo]],Analisis_Diferecias[[#This Row],[Tercer Conteo]])</f>
        <v>0</v>
      </c>
      <c r="K118" s="12">
        <f>+(Analisis_Diferecias[[#This Row],[Cantidad Total de Conteos]]-(Analisis_Diferecias[[#This Row],[Cantidad]]))</f>
        <v>-4</v>
      </c>
      <c r="L1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8" s="18"/>
      <c r="N118" s="18">
        <f>Analisis_Diferecias[[#This Row],[Costo Unitario($)]]*Analisis_Diferecias[[#This Row],[Cantidad Total de Conteos]]</f>
        <v>0</v>
      </c>
      <c r="O118" s="18">
        <f>Analisis_Diferecias[[#This Row],[Costo Unitario($)]]*Analisis_Diferecias[[#This Row],[Cantidad]]</f>
        <v>0</v>
      </c>
      <c r="P118" s="20">
        <f>+Analisis_Diferecias[[#This Row],[Valor Total Contado]]-Analisis_Diferecias[[#This Row],[Costo Total Sistema]]</f>
        <v>0</v>
      </c>
      <c r="Q1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19" spans="1:17" x14ac:dyDescent="0.2">
      <c r="A119">
        <v>10462</v>
      </c>
      <c r="B119" t="s">
        <v>212</v>
      </c>
      <c r="C119" t="s">
        <v>213</v>
      </c>
      <c r="D119">
        <v>4</v>
      </c>
      <c r="E119" s="12">
        <f>SUMIFS('Consolidado conteo 1'!$F:$F,'Consolidado conteo 1'!$C:$C,Analisis_Diferecias[[#This Row],[ID]],'Consolidado conteo 1'!$I:$I,Analisis_Diferecias[[#Headers],[Primer Conteo]])</f>
        <v>0</v>
      </c>
      <c r="F119" s="12">
        <f>SUMIFS('Consolidado conteo 2'!$F:$F,'Consolidado conteo 2'!$C:$C,Analisis_Diferecias[[#This Row],[ID]],'Consolidado conteo 2'!$I:$I,Analisis_Diferecias[[#Headers],[Segundo Conteo]])</f>
        <v>0</v>
      </c>
      <c r="G119" s="12">
        <f>+Analisis_Diferecias[[#This Row],[Segundo Conteo]]-(Analisis_Diferecias[[#This Row],[Primer Conteo]])</f>
        <v>0</v>
      </c>
      <c r="H11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19" s="12">
        <f>SUMIFS(Analisis_Diferecias_Tercer_conteo[Tercer_conteo],Analisis_Diferecias_Tercer_conteo[ID],Analisis_Diferecias[[#This Row],[ID]])</f>
        <v>0</v>
      </c>
      <c r="J119" s="12">
        <f>IF(Analisis_Diferecias[[#This Row],[Tipo de incidencia]]="OK",Analisis_Diferecias[[#This Row],[Segundo Conteo]],Analisis_Diferecias[[#This Row],[Tercer Conteo]])</f>
        <v>0</v>
      </c>
      <c r="K119" s="12">
        <f>+(Analisis_Diferecias[[#This Row],[Cantidad Total de Conteos]]-(Analisis_Diferecias[[#This Row],[Cantidad]]))</f>
        <v>-4</v>
      </c>
      <c r="L1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19" s="18"/>
      <c r="N119" s="18">
        <f>Analisis_Diferecias[[#This Row],[Costo Unitario($)]]*Analisis_Diferecias[[#This Row],[Cantidad Total de Conteos]]</f>
        <v>0</v>
      </c>
      <c r="O119" s="18">
        <f>Analisis_Diferecias[[#This Row],[Costo Unitario($)]]*Analisis_Diferecias[[#This Row],[Cantidad]]</f>
        <v>0</v>
      </c>
      <c r="P119" s="20">
        <f>+Analisis_Diferecias[[#This Row],[Valor Total Contado]]-Analisis_Diferecias[[#This Row],[Costo Total Sistema]]</f>
        <v>0</v>
      </c>
      <c r="Q1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0" spans="1:17" x14ac:dyDescent="0.2">
      <c r="A120">
        <v>6547</v>
      </c>
      <c r="B120" t="s">
        <v>214</v>
      </c>
      <c r="C120" t="s">
        <v>215</v>
      </c>
      <c r="D120">
        <v>4</v>
      </c>
      <c r="E120" s="12">
        <f>SUMIFS('Consolidado conteo 1'!$F:$F,'Consolidado conteo 1'!$C:$C,Analisis_Diferecias[[#This Row],[ID]],'Consolidado conteo 1'!$I:$I,Analisis_Diferecias[[#Headers],[Primer Conteo]])</f>
        <v>0</v>
      </c>
      <c r="F120" s="12">
        <f>SUMIFS('Consolidado conteo 2'!$F:$F,'Consolidado conteo 2'!$C:$C,Analisis_Diferecias[[#This Row],[ID]],'Consolidado conteo 2'!$I:$I,Analisis_Diferecias[[#Headers],[Segundo Conteo]])</f>
        <v>0</v>
      </c>
      <c r="G120" s="12">
        <f>+Analisis_Diferecias[[#This Row],[Segundo Conteo]]-(Analisis_Diferecias[[#This Row],[Primer Conteo]])</f>
        <v>0</v>
      </c>
      <c r="H12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0" s="12">
        <f>SUMIFS(Analisis_Diferecias_Tercer_conteo[Tercer_conteo],Analisis_Diferecias_Tercer_conteo[ID],Analisis_Diferecias[[#This Row],[ID]])</f>
        <v>0</v>
      </c>
      <c r="J120" s="12">
        <f>IF(Analisis_Diferecias[[#This Row],[Tipo de incidencia]]="OK",Analisis_Diferecias[[#This Row],[Segundo Conteo]],Analisis_Diferecias[[#This Row],[Tercer Conteo]])</f>
        <v>0</v>
      </c>
      <c r="K120" s="12">
        <f>+(Analisis_Diferecias[[#This Row],[Cantidad Total de Conteos]]-(Analisis_Diferecias[[#This Row],[Cantidad]]))</f>
        <v>-4</v>
      </c>
      <c r="L1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0" s="18"/>
      <c r="N120" s="18">
        <f>Analisis_Diferecias[[#This Row],[Costo Unitario($)]]*Analisis_Diferecias[[#This Row],[Cantidad Total de Conteos]]</f>
        <v>0</v>
      </c>
      <c r="O120" s="18">
        <f>Analisis_Diferecias[[#This Row],[Costo Unitario($)]]*Analisis_Diferecias[[#This Row],[Cantidad]]</f>
        <v>0</v>
      </c>
      <c r="P120" s="20">
        <f>+Analisis_Diferecias[[#This Row],[Valor Total Contado]]-Analisis_Diferecias[[#This Row],[Costo Total Sistema]]</f>
        <v>0</v>
      </c>
      <c r="Q1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1" spans="1:17" x14ac:dyDescent="0.2">
      <c r="A121">
        <v>10664</v>
      </c>
      <c r="B121" t="s">
        <v>216</v>
      </c>
      <c r="C121" t="s">
        <v>7</v>
      </c>
      <c r="D121">
        <v>4</v>
      </c>
      <c r="E121" s="12">
        <f>SUMIFS('Consolidado conteo 1'!$F:$F,'Consolidado conteo 1'!$C:$C,Analisis_Diferecias[[#This Row],[ID]],'Consolidado conteo 1'!$I:$I,Analisis_Diferecias[[#Headers],[Primer Conteo]])</f>
        <v>0</v>
      </c>
      <c r="F121" s="12">
        <f>SUMIFS('Consolidado conteo 2'!$F:$F,'Consolidado conteo 2'!$C:$C,Analisis_Diferecias[[#This Row],[ID]],'Consolidado conteo 2'!$I:$I,Analisis_Diferecias[[#Headers],[Segundo Conteo]])</f>
        <v>0</v>
      </c>
      <c r="G121" s="12">
        <f>+Analisis_Diferecias[[#This Row],[Segundo Conteo]]-(Analisis_Diferecias[[#This Row],[Primer Conteo]])</f>
        <v>0</v>
      </c>
      <c r="H12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1" s="12">
        <f>SUMIFS(Analisis_Diferecias_Tercer_conteo[Tercer_conteo],Analisis_Diferecias_Tercer_conteo[ID],Analisis_Diferecias[[#This Row],[ID]])</f>
        <v>0</v>
      </c>
      <c r="J121" s="12">
        <f>IF(Analisis_Diferecias[[#This Row],[Tipo de incidencia]]="OK",Analisis_Diferecias[[#This Row],[Segundo Conteo]],Analisis_Diferecias[[#This Row],[Tercer Conteo]])</f>
        <v>0</v>
      </c>
      <c r="K121" s="12">
        <f>+(Analisis_Diferecias[[#This Row],[Cantidad Total de Conteos]]-(Analisis_Diferecias[[#This Row],[Cantidad]]))</f>
        <v>-4</v>
      </c>
      <c r="L1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1" s="18"/>
      <c r="N121" s="18">
        <f>Analisis_Diferecias[[#This Row],[Costo Unitario($)]]*Analisis_Diferecias[[#This Row],[Cantidad Total de Conteos]]</f>
        <v>0</v>
      </c>
      <c r="O121" s="18">
        <f>Analisis_Diferecias[[#This Row],[Costo Unitario($)]]*Analisis_Diferecias[[#This Row],[Cantidad]]</f>
        <v>0</v>
      </c>
      <c r="P121" s="20">
        <f>+Analisis_Diferecias[[#This Row],[Valor Total Contado]]-Analisis_Diferecias[[#This Row],[Costo Total Sistema]]</f>
        <v>0</v>
      </c>
      <c r="Q1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2" spans="1:17" x14ac:dyDescent="0.2">
      <c r="A122">
        <v>8685</v>
      </c>
      <c r="B122" t="s">
        <v>217</v>
      </c>
      <c r="C122" t="s">
        <v>218</v>
      </c>
      <c r="D122">
        <v>3</v>
      </c>
      <c r="E122" s="12">
        <f>SUMIFS('Consolidado conteo 1'!$F:$F,'Consolidado conteo 1'!$C:$C,Analisis_Diferecias[[#This Row],[ID]],'Consolidado conteo 1'!$I:$I,Analisis_Diferecias[[#Headers],[Primer Conteo]])</f>
        <v>0</v>
      </c>
      <c r="F122" s="12">
        <f>SUMIFS('Consolidado conteo 2'!$F:$F,'Consolidado conteo 2'!$C:$C,Analisis_Diferecias[[#This Row],[ID]],'Consolidado conteo 2'!$I:$I,Analisis_Diferecias[[#Headers],[Segundo Conteo]])</f>
        <v>0</v>
      </c>
      <c r="G122" s="12">
        <f>+Analisis_Diferecias[[#This Row],[Segundo Conteo]]-(Analisis_Diferecias[[#This Row],[Primer Conteo]])</f>
        <v>0</v>
      </c>
      <c r="H12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2" s="12">
        <f>SUMIFS(Analisis_Diferecias_Tercer_conteo[Tercer_conteo],Analisis_Diferecias_Tercer_conteo[ID],Analisis_Diferecias[[#This Row],[ID]])</f>
        <v>0</v>
      </c>
      <c r="J122" s="12">
        <f>IF(Analisis_Diferecias[[#This Row],[Tipo de incidencia]]="OK",Analisis_Diferecias[[#This Row],[Segundo Conteo]],Analisis_Diferecias[[#This Row],[Tercer Conteo]])</f>
        <v>0</v>
      </c>
      <c r="K122" s="12">
        <f>+(Analisis_Diferecias[[#This Row],[Cantidad Total de Conteos]]-(Analisis_Diferecias[[#This Row],[Cantidad]]))</f>
        <v>-3</v>
      </c>
      <c r="L1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2" s="18"/>
      <c r="N122" s="18">
        <f>Analisis_Diferecias[[#This Row],[Costo Unitario($)]]*Analisis_Diferecias[[#This Row],[Cantidad Total de Conteos]]</f>
        <v>0</v>
      </c>
      <c r="O122" s="18">
        <f>Analisis_Diferecias[[#This Row],[Costo Unitario($)]]*Analisis_Diferecias[[#This Row],[Cantidad]]</f>
        <v>0</v>
      </c>
      <c r="P122" s="20">
        <f>+Analisis_Diferecias[[#This Row],[Valor Total Contado]]-Analisis_Diferecias[[#This Row],[Costo Total Sistema]]</f>
        <v>0</v>
      </c>
      <c r="Q1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3" spans="1:17" x14ac:dyDescent="0.2">
      <c r="A123">
        <v>14052</v>
      </c>
      <c r="B123" t="s">
        <v>219</v>
      </c>
      <c r="C123" t="s">
        <v>220</v>
      </c>
      <c r="D123">
        <v>3</v>
      </c>
      <c r="E123" s="12">
        <f>SUMIFS('Consolidado conteo 1'!$F:$F,'Consolidado conteo 1'!$C:$C,Analisis_Diferecias[[#This Row],[ID]],'Consolidado conteo 1'!$I:$I,Analisis_Diferecias[[#Headers],[Primer Conteo]])</f>
        <v>0</v>
      </c>
      <c r="F123" s="12">
        <f>SUMIFS('Consolidado conteo 2'!$F:$F,'Consolidado conteo 2'!$C:$C,Analisis_Diferecias[[#This Row],[ID]],'Consolidado conteo 2'!$I:$I,Analisis_Diferecias[[#Headers],[Segundo Conteo]])</f>
        <v>0</v>
      </c>
      <c r="G123" s="12">
        <f>+Analisis_Diferecias[[#This Row],[Segundo Conteo]]-(Analisis_Diferecias[[#This Row],[Primer Conteo]])</f>
        <v>0</v>
      </c>
      <c r="H12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3" s="12">
        <f>SUMIFS(Analisis_Diferecias_Tercer_conteo[Tercer_conteo],Analisis_Diferecias_Tercer_conteo[ID],Analisis_Diferecias[[#This Row],[ID]])</f>
        <v>0</v>
      </c>
      <c r="J123" s="12">
        <f>IF(Analisis_Diferecias[[#This Row],[Tipo de incidencia]]="OK",Analisis_Diferecias[[#This Row],[Segundo Conteo]],Analisis_Diferecias[[#This Row],[Tercer Conteo]])</f>
        <v>0</v>
      </c>
      <c r="K123" s="12">
        <f>+(Analisis_Diferecias[[#This Row],[Cantidad Total de Conteos]]-(Analisis_Diferecias[[#This Row],[Cantidad]]))</f>
        <v>-3</v>
      </c>
      <c r="L1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3" s="18"/>
      <c r="N123" s="18">
        <f>Analisis_Diferecias[[#This Row],[Costo Unitario($)]]*Analisis_Diferecias[[#This Row],[Cantidad Total de Conteos]]</f>
        <v>0</v>
      </c>
      <c r="O123" s="18">
        <f>Analisis_Diferecias[[#This Row],[Costo Unitario($)]]*Analisis_Diferecias[[#This Row],[Cantidad]]</f>
        <v>0</v>
      </c>
      <c r="P123" s="20">
        <f>+Analisis_Diferecias[[#This Row],[Valor Total Contado]]-Analisis_Diferecias[[#This Row],[Costo Total Sistema]]</f>
        <v>0</v>
      </c>
      <c r="Q1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4" spans="1:17" x14ac:dyDescent="0.2">
      <c r="A124">
        <v>10413</v>
      </c>
      <c r="B124" t="s">
        <v>221</v>
      </c>
      <c r="C124" t="s">
        <v>222</v>
      </c>
      <c r="D124">
        <v>3</v>
      </c>
      <c r="E124" s="12">
        <f>SUMIFS('Consolidado conteo 1'!$F:$F,'Consolidado conteo 1'!$C:$C,Analisis_Diferecias[[#This Row],[ID]],'Consolidado conteo 1'!$I:$I,Analisis_Diferecias[[#Headers],[Primer Conteo]])</f>
        <v>0</v>
      </c>
      <c r="F124" s="12">
        <f>SUMIFS('Consolidado conteo 2'!$F:$F,'Consolidado conteo 2'!$C:$C,Analisis_Diferecias[[#This Row],[ID]],'Consolidado conteo 2'!$I:$I,Analisis_Diferecias[[#Headers],[Segundo Conteo]])</f>
        <v>0</v>
      </c>
      <c r="G124" s="12">
        <f>+Analisis_Diferecias[[#This Row],[Segundo Conteo]]-(Analisis_Diferecias[[#This Row],[Primer Conteo]])</f>
        <v>0</v>
      </c>
      <c r="H12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4" s="12">
        <f>SUMIFS(Analisis_Diferecias_Tercer_conteo[Tercer_conteo],Analisis_Diferecias_Tercer_conteo[ID],Analisis_Diferecias[[#This Row],[ID]])</f>
        <v>0</v>
      </c>
      <c r="J124" s="12">
        <f>IF(Analisis_Diferecias[[#This Row],[Tipo de incidencia]]="OK",Analisis_Diferecias[[#This Row],[Segundo Conteo]],Analisis_Diferecias[[#This Row],[Tercer Conteo]])</f>
        <v>0</v>
      </c>
      <c r="K124" s="12">
        <f>+(Analisis_Diferecias[[#This Row],[Cantidad Total de Conteos]]-(Analisis_Diferecias[[#This Row],[Cantidad]]))</f>
        <v>-3</v>
      </c>
      <c r="L1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4" s="18"/>
      <c r="N124" s="18">
        <f>Analisis_Diferecias[[#This Row],[Costo Unitario($)]]*Analisis_Diferecias[[#This Row],[Cantidad Total de Conteos]]</f>
        <v>0</v>
      </c>
      <c r="O124" s="18">
        <f>Analisis_Diferecias[[#This Row],[Costo Unitario($)]]*Analisis_Diferecias[[#This Row],[Cantidad]]</f>
        <v>0</v>
      </c>
      <c r="P124" s="20">
        <f>+Analisis_Diferecias[[#This Row],[Valor Total Contado]]-Analisis_Diferecias[[#This Row],[Costo Total Sistema]]</f>
        <v>0</v>
      </c>
      <c r="Q1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5" spans="1:17" x14ac:dyDescent="0.2">
      <c r="A125">
        <v>10411</v>
      </c>
      <c r="B125" t="s">
        <v>223</v>
      </c>
      <c r="C125" t="s">
        <v>224</v>
      </c>
      <c r="D125">
        <v>3</v>
      </c>
      <c r="E125" s="12">
        <f>SUMIFS('Consolidado conteo 1'!$F:$F,'Consolidado conteo 1'!$C:$C,Analisis_Diferecias[[#This Row],[ID]],'Consolidado conteo 1'!$I:$I,Analisis_Diferecias[[#Headers],[Primer Conteo]])</f>
        <v>0</v>
      </c>
      <c r="F125" s="12">
        <f>SUMIFS('Consolidado conteo 2'!$F:$F,'Consolidado conteo 2'!$C:$C,Analisis_Diferecias[[#This Row],[ID]],'Consolidado conteo 2'!$I:$I,Analisis_Diferecias[[#Headers],[Segundo Conteo]])</f>
        <v>0</v>
      </c>
      <c r="G125" s="12">
        <f>+Analisis_Diferecias[[#This Row],[Segundo Conteo]]-(Analisis_Diferecias[[#This Row],[Primer Conteo]])</f>
        <v>0</v>
      </c>
      <c r="H12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5" s="12">
        <f>SUMIFS(Analisis_Diferecias_Tercer_conteo[Tercer_conteo],Analisis_Diferecias_Tercer_conteo[ID],Analisis_Diferecias[[#This Row],[ID]])</f>
        <v>0</v>
      </c>
      <c r="J125" s="12">
        <f>IF(Analisis_Diferecias[[#This Row],[Tipo de incidencia]]="OK",Analisis_Diferecias[[#This Row],[Segundo Conteo]],Analisis_Diferecias[[#This Row],[Tercer Conteo]])</f>
        <v>0</v>
      </c>
      <c r="K125" s="12">
        <f>+(Analisis_Diferecias[[#This Row],[Cantidad Total de Conteos]]-(Analisis_Diferecias[[#This Row],[Cantidad]]))</f>
        <v>-3</v>
      </c>
      <c r="L1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5" s="18"/>
      <c r="N125" s="18">
        <f>Analisis_Diferecias[[#This Row],[Costo Unitario($)]]*Analisis_Diferecias[[#This Row],[Cantidad Total de Conteos]]</f>
        <v>0</v>
      </c>
      <c r="O125" s="18">
        <f>Analisis_Diferecias[[#This Row],[Costo Unitario($)]]*Analisis_Diferecias[[#This Row],[Cantidad]]</f>
        <v>0</v>
      </c>
      <c r="P125" s="20">
        <f>+Analisis_Diferecias[[#This Row],[Valor Total Contado]]-Analisis_Diferecias[[#This Row],[Costo Total Sistema]]</f>
        <v>0</v>
      </c>
      <c r="Q1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6" spans="1:17" x14ac:dyDescent="0.2">
      <c r="A126">
        <v>10456</v>
      </c>
      <c r="B126" t="s">
        <v>225</v>
      </c>
      <c r="C126" t="s">
        <v>226</v>
      </c>
      <c r="D126">
        <v>3</v>
      </c>
      <c r="E126" s="12">
        <f>SUMIFS('Consolidado conteo 1'!$F:$F,'Consolidado conteo 1'!$C:$C,Analisis_Diferecias[[#This Row],[ID]],'Consolidado conteo 1'!$I:$I,Analisis_Diferecias[[#Headers],[Primer Conteo]])</f>
        <v>0</v>
      </c>
      <c r="F126" s="12">
        <f>SUMIFS('Consolidado conteo 2'!$F:$F,'Consolidado conteo 2'!$C:$C,Analisis_Diferecias[[#This Row],[ID]],'Consolidado conteo 2'!$I:$I,Analisis_Diferecias[[#Headers],[Segundo Conteo]])</f>
        <v>0</v>
      </c>
      <c r="G126" s="12">
        <f>+Analisis_Diferecias[[#This Row],[Segundo Conteo]]-(Analisis_Diferecias[[#This Row],[Primer Conteo]])</f>
        <v>0</v>
      </c>
      <c r="H12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6" s="12">
        <f>SUMIFS(Analisis_Diferecias_Tercer_conteo[Tercer_conteo],Analisis_Diferecias_Tercer_conteo[ID],Analisis_Diferecias[[#This Row],[ID]])</f>
        <v>0</v>
      </c>
      <c r="J126" s="12">
        <f>IF(Analisis_Diferecias[[#This Row],[Tipo de incidencia]]="OK",Analisis_Diferecias[[#This Row],[Segundo Conteo]],Analisis_Diferecias[[#This Row],[Tercer Conteo]])</f>
        <v>0</v>
      </c>
      <c r="K126" s="12">
        <f>+(Analisis_Diferecias[[#This Row],[Cantidad Total de Conteos]]-(Analisis_Diferecias[[#This Row],[Cantidad]]))</f>
        <v>-3</v>
      </c>
      <c r="L1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6" s="18"/>
      <c r="N126" s="18">
        <f>Analisis_Diferecias[[#This Row],[Costo Unitario($)]]*Analisis_Diferecias[[#This Row],[Cantidad Total de Conteos]]</f>
        <v>0</v>
      </c>
      <c r="O126" s="18">
        <f>Analisis_Diferecias[[#This Row],[Costo Unitario($)]]*Analisis_Diferecias[[#This Row],[Cantidad]]</f>
        <v>0</v>
      </c>
      <c r="P126" s="20">
        <f>+Analisis_Diferecias[[#This Row],[Valor Total Contado]]-Analisis_Diferecias[[#This Row],[Costo Total Sistema]]</f>
        <v>0</v>
      </c>
      <c r="Q1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7" spans="1:17" x14ac:dyDescent="0.2">
      <c r="A127">
        <v>10417</v>
      </c>
      <c r="B127" t="s">
        <v>227</v>
      </c>
      <c r="C127" t="s">
        <v>228</v>
      </c>
      <c r="D127">
        <v>3</v>
      </c>
      <c r="E127" s="12">
        <f>SUMIFS('Consolidado conteo 1'!$F:$F,'Consolidado conteo 1'!$C:$C,Analisis_Diferecias[[#This Row],[ID]],'Consolidado conteo 1'!$I:$I,Analisis_Diferecias[[#Headers],[Primer Conteo]])</f>
        <v>0</v>
      </c>
      <c r="F127" s="12">
        <f>SUMIFS('Consolidado conteo 2'!$F:$F,'Consolidado conteo 2'!$C:$C,Analisis_Diferecias[[#This Row],[ID]],'Consolidado conteo 2'!$I:$I,Analisis_Diferecias[[#Headers],[Segundo Conteo]])</f>
        <v>0</v>
      </c>
      <c r="G127" s="12">
        <f>+Analisis_Diferecias[[#This Row],[Segundo Conteo]]-(Analisis_Diferecias[[#This Row],[Primer Conteo]])</f>
        <v>0</v>
      </c>
      <c r="H12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7" s="12">
        <f>SUMIFS(Analisis_Diferecias_Tercer_conteo[Tercer_conteo],Analisis_Diferecias_Tercer_conteo[ID],Analisis_Diferecias[[#This Row],[ID]])</f>
        <v>0</v>
      </c>
      <c r="J127" s="12">
        <f>IF(Analisis_Diferecias[[#This Row],[Tipo de incidencia]]="OK",Analisis_Diferecias[[#This Row],[Segundo Conteo]],Analisis_Diferecias[[#This Row],[Tercer Conteo]])</f>
        <v>0</v>
      </c>
      <c r="K127" s="12">
        <f>+(Analisis_Diferecias[[#This Row],[Cantidad Total de Conteos]]-(Analisis_Diferecias[[#This Row],[Cantidad]]))</f>
        <v>-3</v>
      </c>
      <c r="L1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7" s="18"/>
      <c r="N127" s="18">
        <f>Analisis_Diferecias[[#This Row],[Costo Unitario($)]]*Analisis_Diferecias[[#This Row],[Cantidad Total de Conteos]]</f>
        <v>0</v>
      </c>
      <c r="O127" s="18">
        <f>Analisis_Diferecias[[#This Row],[Costo Unitario($)]]*Analisis_Diferecias[[#This Row],[Cantidad]]</f>
        <v>0</v>
      </c>
      <c r="P127" s="20">
        <f>+Analisis_Diferecias[[#This Row],[Valor Total Contado]]-Analisis_Diferecias[[#This Row],[Costo Total Sistema]]</f>
        <v>0</v>
      </c>
      <c r="Q1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8" spans="1:17" x14ac:dyDescent="0.2">
      <c r="A128">
        <v>10419</v>
      </c>
      <c r="B128" t="s">
        <v>229</v>
      </c>
      <c r="C128" t="s">
        <v>230</v>
      </c>
      <c r="D128">
        <v>3</v>
      </c>
      <c r="E128" s="12">
        <f>SUMIFS('Consolidado conteo 1'!$F:$F,'Consolidado conteo 1'!$C:$C,Analisis_Diferecias[[#This Row],[ID]],'Consolidado conteo 1'!$I:$I,Analisis_Diferecias[[#Headers],[Primer Conteo]])</f>
        <v>0</v>
      </c>
      <c r="F128" s="12">
        <f>SUMIFS('Consolidado conteo 2'!$F:$F,'Consolidado conteo 2'!$C:$C,Analisis_Diferecias[[#This Row],[ID]],'Consolidado conteo 2'!$I:$I,Analisis_Diferecias[[#Headers],[Segundo Conteo]])</f>
        <v>0</v>
      </c>
      <c r="G128" s="12">
        <f>+Analisis_Diferecias[[#This Row],[Segundo Conteo]]-(Analisis_Diferecias[[#This Row],[Primer Conteo]])</f>
        <v>0</v>
      </c>
      <c r="H12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8" s="12">
        <f>SUMIFS(Analisis_Diferecias_Tercer_conteo[Tercer_conteo],Analisis_Diferecias_Tercer_conteo[ID],Analisis_Diferecias[[#This Row],[ID]])</f>
        <v>0</v>
      </c>
      <c r="J128" s="12">
        <f>IF(Analisis_Diferecias[[#This Row],[Tipo de incidencia]]="OK",Analisis_Diferecias[[#This Row],[Segundo Conteo]],Analisis_Diferecias[[#This Row],[Tercer Conteo]])</f>
        <v>0</v>
      </c>
      <c r="K128" s="12">
        <f>+(Analisis_Diferecias[[#This Row],[Cantidad Total de Conteos]]-(Analisis_Diferecias[[#This Row],[Cantidad]]))</f>
        <v>-3</v>
      </c>
      <c r="L1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8" s="18"/>
      <c r="N128" s="18">
        <f>Analisis_Diferecias[[#This Row],[Costo Unitario($)]]*Analisis_Diferecias[[#This Row],[Cantidad Total de Conteos]]</f>
        <v>0</v>
      </c>
      <c r="O128" s="18">
        <f>Analisis_Diferecias[[#This Row],[Costo Unitario($)]]*Analisis_Diferecias[[#This Row],[Cantidad]]</f>
        <v>0</v>
      </c>
      <c r="P128" s="20">
        <f>+Analisis_Diferecias[[#This Row],[Valor Total Contado]]-Analisis_Diferecias[[#This Row],[Costo Total Sistema]]</f>
        <v>0</v>
      </c>
      <c r="Q1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29" spans="1:17" x14ac:dyDescent="0.2">
      <c r="A129">
        <v>10392</v>
      </c>
      <c r="B129" t="s">
        <v>231</v>
      </c>
      <c r="C129" t="s">
        <v>232</v>
      </c>
      <c r="D129">
        <v>3</v>
      </c>
      <c r="E129" s="12">
        <f>SUMIFS('Consolidado conteo 1'!$F:$F,'Consolidado conteo 1'!$C:$C,Analisis_Diferecias[[#This Row],[ID]],'Consolidado conteo 1'!$I:$I,Analisis_Diferecias[[#Headers],[Primer Conteo]])</f>
        <v>0</v>
      </c>
      <c r="F129" s="12">
        <f>SUMIFS('Consolidado conteo 2'!$F:$F,'Consolidado conteo 2'!$C:$C,Analisis_Diferecias[[#This Row],[ID]],'Consolidado conteo 2'!$I:$I,Analisis_Diferecias[[#Headers],[Segundo Conteo]])</f>
        <v>0</v>
      </c>
      <c r="G129" s="12">
        <f>+Analisis_Diferecias[[#This Row],[Segundo Conteo]]-(Analisis_Diferecias[[#This Row],[Primer Conteo]])</f>
        <v>0</v>
      </c>
      <c r="H12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29" s="12">
        <f>SUMIFS(Analisis_Diferecias_Tercer_conteo[Tercer_conteo],Analisis_Diferecias_Tercer_conteo[ID],Analisis_Diferecias[[#This Row],[ID]])</f>
        <v>0</v>
      </c>
      <c r="J129" s="12">
        <f>IF(Analisis_Diferecias[[#This Row],[Tipo de incidencia]]="OK",Analisis_Diferecias[[#This Row],[Segundo Conteo]],Analisis_Diferecias[[#This Row],[Tercer Conteo]])</f>
        <v>0</v>
      </c>
      <c r="K129" s="12">
        <f>+(Analisis_Diferecias[[#This Row],[Cantidad Total de Conteos]]-(Analisis_Diferecias[[#This Row],[Cantidad]]))</f>
        <v>-3</v>
      </c>
      <c r="L1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29" s="18"/>
      <c r="N129" s="18">
        <f>Analisis_Diferecias[[#This Row],[Costo Unitario($)]]*Analisis_Diferecias[[#This Row],[Cantidad Total de Conteos]]</f>
        <v>0</v>
      </c>
      <c r="O129" s="18">
        <f>Analisis_Diferecias[[#This Row],[Costo Unitario($)]]*Analisis_Diferecias[[#This Row],[Cantidad]]</f>
        <v>0</v>
      </c>
      <c r="P129" s="20">
        <f>+Analisis_Diferecias[[#This Row],[Valor Total Contado]]-Analisis_Diferecias[[#This Row],[Costo Total Sistema]]</f>
        <v>0</v>
      </c>
      <c r="Q1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0" spans="1:17" x14ac:dyDescent="0.2">
      <c r="A130">
        <v>10394</v>
      </c>
      <c r="B130" t="s">
        <v>233</v>
      </c>
      <c r="C130" t="s">
        <v>234</v>
      </c>
      <c r="D130">
        <v>3</v>
      </c>
      <c r="E130" s="12">
        <f>SUMIFS('Consolidado conteo 1'!$F:$F,'Consolidado conteo 1'!$C:$C,Analisis_Diferecias[[#This Row],[ID]],'Consolidado conteo 1'!$I:$I,Analisis_Diferecias[[#Headers],[Primer Conteo]])</f>
        <v>0</v>
      </c>
      <c r="F130" s="12">
        <f>SUMIFS('Consolidado conteo 2'!$F:$F,'Consolidado conteo 2'!$C:$C,Analisis_Diferecias[[#This Row],[ID]],'Consolidado conteo 2'!$I:$I,Analisis_Diferecias[[#Headers],[Segundo Conteo]])</f>
        <v>0</v>
      </c>
      <c r="G130" s="12">
        <f>+Analisis_Diferecias[[#This Row],[Segundo Conteo]]-(Analisis_Diferecias[[#This Row],[Primer Conteo]])</f>
        <v>0</v>
      </c>
      <c r="H13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0" s="12">
        <f>SUMIFS(Analisis_Diferecias_Tercer_conteo[Tercer_conteo],Analisis_Diferecias_Tercer_conteo[ID],Analisis_Diferecias[[#This Row],[ID]])</f>
        <v>0</v>
      </c>
      <c r="J130" s="12">
        <f>IF(Analisis_Diferecias[[#This Row],[Tipo de incidencia]]="OK",Analisis_Diferecias[[#This Row],[Segundo Conteo]],Analisis_Diferecias[[#This Row],[Tercer Conteo]])</f>
        <v>0</v>
      </c>
      <c r="K130" s="12">
        <f>+(Analisis_Diferecias[[#This Row],[Cantidad Total de Conteos]]-(Analisis_Diferecias[[#This Row],[Cantidad]]))</f>
        <v>-3</v>
      </c>
      <c r="L1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0" s="18"/>
      <c r="N130" s="18">
        <f>Analisis_Diferecias[[#This Row],[Costo Unitario($)]]*Analisis_Diferecias[[#This Row],[Cantidad Total de Conteos]]</f>
        <v>0</v>
      </c>
      <c r="O130" s="18">
        <f>Analisis_Diferecias[[#This Row],[Costo Unitario($)]]*Analisis_Diferecias[[#This Row],[Cantidad]]</f>
        <v>0</v>
      </c>
      <c r="P130" s="20">
        <f>+Analisis_Diferecias[[#This Row],[Valor Total Contado]]-Analisis_Diferecias[[#This Row],[Costo Total Sistema]]</f>
        <v>0</v>
      </c>
      <c r="Q1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1" spans="1:17" x14ac:dyDescent="0.2">
      <c r="A131">
        <v>10380</v>
      </c>
      <c r="B131" t="s">
        <v>235</v>
      </c>
      <c r="C131" t="s">
        <v>236</v>
      </c>
      <c r="D131">
        <v>3</v>
      </c>
      <c r="E131" s="12">
        <f>SUMIFS('Consolidado conteo 1'!$F:$F,'Consolidado conteo 1'!$C:$C,Analisis_Diferecias[[#This Row],[ID]],'Consolidado conteo 1'!$I:$I,Analisis_Diferecias[[#Headers],[Primer Conteo]])</f>
        <v>0</v>
      </c>
      <c r="F131" s="12">
        <f>SUMIFS('Consolidado conteo 2'!$F:$F,'Consolidado conteo 2'!$C:$C,Analisis_Diferecias[[#This Row],[ID]],'Consolidado conteo 2'!$I:$I,Analisis_Diferecias[[#Headers],[Segundo Conteo]])</f>
        <v>0</v>
      </c>
      <c r="G131" s="12">
        <f>+Analisis_Diferecias[[#This Row],[Segundo Conteo]]-(Analisis_Diferecias[[#This Row],[Primer Conteo]])</f>
        <v>0</v>
      </c>
      <c r="H13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1" s="12">
        <f>SUMIFS(Analisis_Diferecias_Tercer_conteo[Tercer_conteo],Analisis_Diferecias_Tercer_conteo[ID],Analisis_Diferecias[[#This Row],[ID]])</f>
        <v>0</v>
      </c>
      <c r="J131" s="12">
        <f>IF(Analisis_Diferecias[[#This Row],[Tipo de incidencia]]="OK",Analisis_Diferecias[[#This Row],[Segundo Conteo]],Analisis_Diferecias[[#This Row],[Tercer Conteo]])</f>
        <v>0</v>
      </c>
      <c r="K131" s="12">
        <f>+(Analisis_Diferecias[[#This Row],[Cantidad Total de Conteos]]-(Analisis_Diferecias[[#This Row],[Cantidad]]))</f>
        <v>-3</v>
      </c>
      <c r="L1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1" s="18"/>
      <c r="N131" s="18">
        <f>Analisis_Diferecias[[#This Row],[Costo Unitario($)]]*Analisis_Diferecias[[#This Row],[Cantidad Total de Conteos]]</f>
        <v>0</v>
      </c>
      <c r="O131" s="18">
        <f>Analisis_Diferecias[[#This Row],[Costo Unitario($)]]*Analisis_Diferecias[[#This Row],[Cantidad]]</f>
        <v>0</v>
      </c>
      <c r="P131" s="20">
        <f>+Analisis_Diferecias[[#This Row],[Valor Total Contado]]-Analisis_Diferecias[[#This Row],[Costo Total Sistema]]</f>
        <v>0</v>
      </c>
      <c r="Q1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2" spans="1:17" x14ac:dyDescent="0.2">
      <c r="A132">
        <v>10381</v>
      </c>
      <c r="B132" t="s">
        <v>237</v>
      </c>
      <c r="C132" t="s">
        <v>238</v>
      </c>
      <c r="D132">
        <v>3</v>
      </c>
      <c r="E132" s="12">
        <f>SUMIFS('Consolidado conteo 1'!$F:$F,'Consolidado conteo 1'!$C:$C,Analisis_Diferecias[[#This Row],[ID]],'Consolidado conteo 1'!$I:$I,Analisis_Diferecias[[#Headers],[Primer Conteo]])</f>
        <v>0</v>
      </c>
      <c r="F132" s="12">
        <f>SUMIFS('Consolidado conteo 2'!$F:$F,'Consolidado conteo 2'!$C:$C,Analisis_Diferecias[[#This Row],[ID]],'Consolidado conteo 2'!$I:$I,Analisis_Diferecias[[#Headers],[Segundo Conteo]])</f>
        <v>0</v>
      </c>
      <c r="G132" s="12">
        <f>+Analisis_Diferecias[[#This Row],[Segundo Conteo]]-(Analisis_Diferecias[[#This Row],[Primer Conteo]])</f>
        <v>0</v>
      </c>
      <c r="H13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2" s="12">
        <f>SUMIFS(Analisis_Diferecias_Tercer_conteo[Tercer_conteo],Analisis_Diferecias_Tercer_conteo[ID],Analisis_Diferecias[[#This Row],[ID]])</f>
        <v>0</v>
      </c>
      <c r="J132" s="12">
        <f>IF(Analisis_Diferecias[[#This Row],[Tipo de incidencia]]="OK",Analisis_Diferecias[[#This Row],[Segundo Conteo]],Analisis_Diferecias[[#This Row],[Tercer Conteo]])</f>
        <v>0</v>
      </c>
      <c r="K132" s="12">
        <f>+(Analisis_Diferecias[[#This Row],[Cantidad Total de Conteos]]-(Analisis_Diferecias[[#This Row],[Cantidad]]))</f>
        <v>-3</v>
      </c>
      <c r="L1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2" s="18"/>
      <c r="N132" s="18">
        <f>Analisis_Diferecias[[#This Row],[Costo Unitario($)]]*Analisis_Diferecias[[#This Row],[Cantidad Total de Conteos]]</f>
        <v>0</v>
      </c>
      <c r="O132" s="18">
        <f>Analisis_Diferecias[[#This Row],[Costo Unitario($)]]*Analisis_Diferecias[[#This Row],[Cantidad]]</f>
        <v>0</v>
      </c>
      <c r="P132" s="20">
        <f>+Analisis_Diferecias[[#This Row],[Valor Total Contado]]-Analisis_Diferecias[[#This Row],[Costo Total Sistema]]</f>
        <v>0</v>
      </c>
      <c r="Q1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3" spans="1:17" x14ac:dyDescent="0.2">
      <c r="A133">
        <v>13770</v>
      </c>
      <c r="B133" t="s">
        <v>239</v>
      </c>
      <c r="C133" t="s">
        <v>240</v>
      </c>
      <c r="D133">
        <v>3</v>
      </c>
      <c r="E133" s="12">
        <f>SUMIFS('Consolidado conteo 1'!$F:$F,'Consolidado conteo 1'!$C:$C,Analisis_Diferecias[[#This Row],[ID]],'Consolidado conteo 1'!$I:$I,Analisis_Diferecias[[#Headers],[Primer Conteo]])</f>
        <v>0</v>
      </c>
      <c r="F133" s="12">
        <f>SUMIFS('Consolidado conteo 2'!$F:$F,'Consolidado conteo 2'!$C:$C,Analisis_Diferecias[[#This Row],[ID]],'Consolidado conteo 2'!$I:$I,Analisis_Diferecias[[#Headers],[Segundo Conteo]])</f>
        <v>0</v>
      </c>
      <c r="G133" s="12">
        <f>+Analisis_Diferecias[[#This Row],[Segundo Conteo]]-(Analisis_Diferecias[[#This Row],[Primer Conteo]])</f>
        <v>0</v>
      </c>
      <c r="H13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3" s="12">
        <f>SUMIFS(Analisis_Diferecias_Tercer_conteo[Tercer_conteo],Analisis_Diferecias_Tercer_conteo[ID],Analisis_Diferecias[[#This Row],[ID]])</f>
        <v>0</v>
      </c>
      <c r="J133" s="12">
        <f>IF(Analisis_Diferecias[[#This Row],[Tipo de incidencia]]="OK",Analisis_Diferecias[[#This Row],[Segundo Conteo]],Analisis_Diferecias[[#This Row],[Tercer Conteo]])</f>
        <v>0</v>
      </c>
      <c r="K133" s="12">
        <f>+(Analisis_Diferecias[[#This Row],[Cantidad Total de Conteos]]-(Analisis_Diferecias[[#This Row],[Cantidad]]))</f>
        <v>-3</v>
      </c>
      <c r="L1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3" s="18"/>
      <c r="N133" s="18">
        <f>Analisis_Diferecias[[#This Row],[Costo Unitario($)]]*Analisis_Diferecias[[#This Row],[Cantidad Total de Conteos]]</f>
        <v>0</v>
      </c>
      <c r="O133" s="18">
        <f>Analisis_Diferecias[[#This Row],[Costo Unitario($)]]*Analisis_Diferecias[[#This Row],[Cantidad]]</f>
        <v>0</v>
      </c>
      <c r="P133" s="20">
        <f>+Analisis_Diferecias[[#This Row],[Valor Total Contado]]-Analisis_Diferecias[[#This Row],[Costo Total Sistema]]</f>
        <v>0</v>
      </c>
      <c r="Q1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4" spans="1:17" x14ac:dyDescent="0.2">
      <c r="A134">
        <v>14056</v>
      </c>
      <c r="B134" t="s">
        <v>241</v>
      </c>
      <c r="C134" t="s">
        <v>242</v>
      </c>
      <c r="D134">
        <v>3</v>
      </c>
      <c r="E134" s="12">
        <f>SUMIFS('Consolidado conteo 1'!$F:$F,'Consolidado conteo 1'!$C:$C,Analisis_Diferecias[[#This Row],[ID]],'Consolidado conteo 1'!$I:$I,Analisis_Diferecias[[#Headers],[Primer Conteo]])</f>
        <v>0</v>
      </c>
      <c r="F134" s="12">
        <f>SUMIFS('Consolidado conteo 2'!$F:$F,'Consolidado conteo 2'!$C:$C,Analisis_Diferecias[[#This Row],[ID]],'Consolidado conteo 2'!$I:$I,Analisis_Diferecias[[#Headers],[Segundo Conteo]])</f>
        <v>0</v>
      </c>
      <c r="G134" s="12">
        <f>+Analisis_Diferecias[[#This Row],[Segundo Conteo]]-(Analisis_Diferecias[[#This Row],[Primer Conteo]])</f>
        <v>0</v>
      </c>
      <c r="H13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4" s="12">
        <f>SUMIFS(Analisis_Diferecias_Tercer_conteo[Tercer_conteo],Analisis_Diferecias_Tercer_conteo[ID],Analisis_Diferecias[[#This Row],[ID]])</f>
        <v>0</v>
      </c>
      <c r="J134" s="12">
        <f>IF(Analisis_Diferecias[[#This Row],[Tipo de incidencia]]="OK",Analisis_Diferecias[[#This Row],[Segundo Conteo]],Analisis_Diferecias[[#This Row],[Tercer Conteo]])</f>
        <v>0</v>
      </c>
      <c r="K134" s="12">
        <f>+(Analisis_Diferecias[[#This Row],[Cantidad Total de Conteos]]-(Analisis_Diferecias[[#This Row],[Cantidad]]))</f>
        <v>-3</v>
      </c>
      <c r="L1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4" s="18"/>
      <c r="N134" s="18">
        <f>Analisis_Diferecias[[#This Row],[Costo Unitario($)]]*Analisis_Diferecias[[#This Row],[Cantidad Total de Conteos]]</f>
        <v>0</v>
      </c>
      <c r="O134" s="18">
        <f>Analisis_Diferecias[[#This Row],[Costo Unitario($)]]*Analisis_Diferecias[[#This Row],[Cantidad]]</f>
        <v>0</v>
      </c>
      <c r="P134" s="20">
        <f>+Analisis_Diferecias[[#This Row],[Valor Total Contado]]-Analisis_Diferecias[[#This Row],[Costo Total Sistema]]</f>
        <v>0</v>
      </c>
      <c r="Q1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5" spans="1:17" x14ac:dyDescent="0.2">
      <c r="A135">
        <v>14055</v>
      </c>
      <c r="B135" t="s">
        <v>243</v>
      </c>
      <c r="C135" t="s">
        <v>244</v>
      </c>
      <c r="D135">
        <v>3</v>
      </c>
      <c r="E135" s="12">
        <f>SUMIFS('Consolidado conteo 1'!$F:$F,'Consolidado conteo 1'!$C:$C,Analisis_Diferecias[[#This Row],[ID]],'Consolidado conteo 1'!$I:$I,Analisis_Diferecias[[#Headers],[Primer Conteo]])</f>
        <v>0</v>
      </c>
      <c r="F135" s="12">
        <f>SUMIFS('Consolidado conteo 2'!$F:$F,'Consolidado conteo 2'!$C:$C,Analisis_Diferecias[[#This Row],[ID]],'Consolidado conteo 2'!$I:$I,Analisis_Diferecias[[#Headers],[Segundo Conteo]])</f>
        <v>0</v>
      </c>
      <c r="G135" s="12">
        <f>+Analisis_Diferecias[[#This Row],[Segundo Conteo]]-(Analisis_Diferecias[[#This Row],[Primer Conteo]])</f>
        <v>0</v>
      </c>
      <c r="H13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5" s="12">
        <f>SUMIFS(Analisis_Diferecias_Tercer_conteo[Tercer_conteo],Analisis_Diferecias_Tercer_conteo[ID],Analisis_Diferecias[[#This Row],[ID]])</f>
        <v>0</v>
      </c>
      <c r="J135" s="12">
        <f>IF(Analisis_Diferecias[[#This Row],[Tipo de incidencia]]="OK",Analisis_Diferecias[[#This Row],[Segundo Conteo]],Analisis_Diferecias[[#This Row],[Tercer Conteo]])</f>
        <v>0</v>
      </c>
      <c r="K135" s="12">
        <f>+(Analisis_Diferecias[[#This Row],[Cantidad Total de Conteos]]-(Analisis_Diferecias[[#This Row],[Cantidad]]))</f>
        <v>-3</v>
      </c>
      <c r="L1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5" s="18"/>
      <c r="N135" s="18">
        <f>Analisis_Diferecias[[#This Row],[Costo Unitario($)]]*Analisis_Diferecias[[#This Row],[Cantidad Total de Conteos]]</f>
        <v>0</v>
      </c>
      <c r="O135" s="18">
        <f>Analisis_Diferecias[[#This Row],[Costo Unitario($)]]*Analisis_Diferecias[[#This Row],[Cantidad]]</f>
        <v>0</v>
      </c>
      <c r="P135" s="20">
        <f>+Analisis_Diferecias[[#This Row],[Valor Total Contado]]-Analisis_Diferecias[[#This Row],[Costo Total Sistema]]</f>
        <v>0</v>
      </c>
      <c r="Q1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6" spans="1:17" x14ac:dyDescent="0.2">
      <c r="A136">
        <v>14082</v>
      </c>
      <c r="B136" t="s">
        <v>245</v>
      </c>
      <c r="C136" t="s">
        <v>246</v>
      </c>
      <c r="D136">
        <v>3</v>
      </c>
      <c r="E136" s="12">
        <f>SUMIFS('Consolidado conteo 1'!$F:$F,'Consolidado conteo 1'!$C:$C,Analisis_Diferecias[[#This Row],[ID]],'Consolidado conteo 1'!$I:$I,Analisis_Diferecias[[#Headers],[Primer Conteo]])</f>
        <v>0</v>
      </c>
      <c r="F136" s="12">
        <f>SUMIFS('Consolidado conteo 2'!$F:$F,'Consolidado conteo 2'!$C:$C,Analisis_Diferecias[[#This Row],[ID]],'Consolidado conteo 2'!$I:$I,Analisis_Diferecias[[#Headers],[Segundo Conteo]])</f>
        <v>0</v>
      </c>
      <c r="G136" s="12">
        <f>+Analisis_Diferecias[[#This Row],[Segundo Conteo]]-(Analisis_Diferecias[[#This Row],[Primer Conteo]])</f>
        <v>0</v>
      </c>
      <c r="H13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6" s="12">
        <f>SUMIFS(Analisis_Diferecias_Tercer_conteo[Tercer_conteo],Analisis_Diferecias_Tercer_conteo[ID],Analisis_Diferecias[[#This Row],[ID]])</f>
        <v>0</v>
      </c>
      <c r="J136" s="12">
        <f>IF(Analisis_Diferecias[[#This Row],[Tipo de incidencia]]="OK",Analisis_Diferecias[[#This Row],[Segundo Conteo]],Analisis_Diferecias[[#This Row],[Tercer Conteo]])</f>
        <v>0</v>
      </c>
      <c r="K136" s="12">
        <f>+(Analisis_Diferecias[[#This Row],[Cantidad Total de Conteos]]-(Analisis_Diferecias[[#This Row],[Cantidad]]))</f>
        <v>-3</v>
      </c>
      <c r="L1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6" s="18"/>
      <c r="N136" s="18">
        <f>Analisis_Diferecias[[#This Row],[Costo Unitario($)]]*Analisis_Diferecias[[#This Row],[Cantidad Total de Conteos]]</f>
        <v>0</v>
      </c>
      <c r="O136" s="18">
        <f>Analisis_Diferecias[[#This Row],[Costo Unitario($)]]*Analisis_Diferecias[[#This Row],[Cantidad]]</f>
        <v>0</v>
      </c>
      <c r="P136" s="20">
        <f>+Analisis_Diferecias[[#This Row],[Valor Total Contado]]-Analisis_Diferecias[[#This Row],[Costo Total Sistema]]</f>
        <v>0</v>
      </c>
      <c r="Q1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7" spans="1:17" x14ac:dyDescent="0.2">
      <c r="A137">
        <v>13719</v>
      </c>
      <c r="B137" t="s">
        <v>247</v>
      </c>
      <c r="C137" t="s">
        <v>248</v>
      </c>
      <c r="D137">
        <v>3</v>
      </c>
      <c r="E137" s="12">
        <f>SUMIFS('Consolidado conteo 1'!$F:$F,'Consolidado conteo 1'!$C:$C,Analisis_Diferecias[[#This Row],[ID]],'Consolidado conteo 1'!$I:$I,Analisis_Diferecias[[#Headers],[Primer Conteo]])</f>
        <v>0</v>
      </c>
      <c r="F137" s="12">
        <f>SUMIFS('Consolidado conteo 2'!$F:$F,'Consolidado conteo 2'!$C:$C,Analisis_Diferecias[[#This Row],[ID]],'Consolidado conteo 2'!$I:$I,Analisis_Diferecias[[#Headers],[Segundo Conteo]])</f>
        <v>0</v>
      </c>
      <c r="G137" s="12">
        <f>+Analisis_Diferecias[[#This Row],[Segundo Conteo]]-(Analisis_Diferecias[[#This Row],[Primer Conteo]])</f>
        <v>0</v>
      </c>
      <c r="H13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7" s="12">
        <f>SUMIFS(Analisis_Diferecias_Tercer_conteo[Tercer_conteo],Analisis_Diferecias_Tercer_conteo[ID],Analisis_Diferecias[[#This Row],[ID]])</f>
        <v>0</v>
      </c>
      <c r="J137" s="12">
        <f>IF(Analisis_Diferecias[[#This Row],[Tipo de incidencia]]="OK",Analisis_Diferecias[[#This Row],[Segundo Conteo]],Analisis_Diferecias[[#This Row],[Tercer Conteo]])</f>
        <v>0</v>
      </c>
      <c r="K137" s="12">
        <f>+(Analisis_Diferecias[[#This Row],[Cantidad Total de Conteos]]-(Analisis_Diferecias[[#This Row],[Cantidad]]))</f>
        <v>-3</v>
      </c>
      <c r="L1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7" s="18"/>
      <c r="N137" s="18">
        <f>Analisis_Diferecias[[#This Row],[Costo Unitario($)]]*Analisis_Diferecias[[#This Row],[Cantidad Total de Conteos]]</f>
        <v>0</v>
      </c>
      <c r="O137" s="18">
        <f>Analisis_Diferecias[[#This Row],[Costo Unitario($)]]*Analisis_Diferecias[[#This Row],[Cantidad]]</f>
        <v>0</v>
      </c>
      <c r="P137" s="20">
        <f>+Analisis_Diferecias[[#This Row],[Valor Total Contado]]-Analisis_Diferecias[[#This Row],[Costo Total Sistema]]</f>
        <v>0</v>
      </c>
      <c r="Q1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8" spans="1:17" x14ac:dyDescent="0.2">
      <c r="A138">
        <v>13651</v>
      </c>
      <c r="B138" t="s">
        <v>249</v>
      </c>
      <c r="C138" t="s">
        <v>250</v>
      </c>
      <c r="D138">
        <v>2</v>
      </c>
      <c r="E138" s="12">
        <f>SUMIFS('Consolidado conteo 1'!$F:$F,'Consolidado conteo 1'!$C:$C,Analisis_Diferecias[[#This Row],[ID]],'Consolidado conteo 1'!$I:$I,Analisis_Diferecias[[#Headers],[Primer Conteo]])</f>
        <v>0</v>
      </c>
      <c r="F138" s="12">
        <f>SUMIFS('Consolidado conteo 2'!$F:$F,'Consolidado conteo 2'!$C:$C,Analisis_Diferecias[[#This Row],[ID]],'Consolidado conteo 2'!$I:$I,Analisis_Diferecias[[#Headers],[Segundo Conteo]])</f>
        <v>0</v>
      </c>
      <c r="G138" s="12">
        <f>+Analisis_Diferecias[[#This Row],[Segundo Conteo]]-(Analisis_Diferecias[[#This Row],[Primer Conteo]])</f>
        <v>0</v>
      </c>
      <c r="H13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8" s="12">
        <f>SUMIFS(Analisis_Diferecias_Tercer_conteo[Tercer_conteo],Analisis_Diferecias_Tercer_conteo[ID],Analisis_Diferecias[[#This Row],[ID]])</f>
        <v>0</v>
      </c>
      <c r="J138" s="12">
        <f>IF(Analisis_Diferecias[[#This Row],[Tipo de incidencia]]="OK",Analisis_Diferecias[[#This Row],[Segundo Conteo]],Analisis_Diferecias[[#This Row],[Tercer Conteo]])</f>
        <v>0</v>
      </c>
      <c r="K138" s="12">
        <f>+(Analisis_Diferecias[[#This Row],[Cantidad Total de Conteos]]-(Analisis_Diferecias[[#This Row],[Cantidad]]))</f>
        <v>-2</v>
      </c>
      <c r="L1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8" s="18"/>
      <c r="N138" s="18">
        <f>Analisis_Diferecias[[#This Row],[Costo Unitario($)]]*Analisis_Diferecias[[#This Row],[Cantidad Total de Conteos]]</f>
        <v>0</v>
      </c>
      <c r="O138" s="18">
        <f>Analisis_Diferecias[[#This Row],[Costo Unitario($)]]*Analisis_Diferecias[[#This Row],[Cantidad]]</f>
        <v>0</v>
      </c>
      <c r="P138" s="20">
        <f>+Analisis_Diferecias[[#This Row],[Valor Total Contado]]-Analisis_Diferecias[[#This Row],[Costo Total Sistema]]</f>
        <v>0</v>
      </c>
      <c r="Q1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39" spans="1:17" x14ac:dyDescent="0.2">
      <c r="A139">
        <v>10359</v>
      </c>
      <c r="B139" t="s">
        <v>251</v>
      </c>
      <c r="C139" t="s">
        <v>252</v>
      </c>
      <c r="D139">
        <v>2</v>
      </c>
      <c r="E139" s="12">
        <f>SUMIFS('Consolidado conteo 1'!$F:$F,'Consolidado conteo 1'!$C:$C,Analisis_Diferecias[[#This Row],[ID]],'Consolidado conteo 1'!$I:$I,Analisis_Diferecias[[#Headers],[Primer Conteo]])</f>
        <v>0</v>
      </c>
      <c r="F139" s="12">
        <f>SUMIFS('Consolidado conteo 2'!$F:$F,'Consolidado conteo 2'!$C:$C,Analisis_Diferecias[[#This Row],[ID]],'Consolidado conteo 2'!$I:$I,Analisis_Diferecias[[#Headers],[Segundo Conteo]])</f>
        <v>0</v>
      </c>
      <c r="G139" s="12">
        <f>+Analisis_Diferecias[[#This Row],[Segundo Conteo]]-(Analisis_Diferecias[[#This Row],[Primer Conteo]])</f>
        <v>0</v>
      </c>
      <c r="H13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39" s="12">
        <f>SUMIFS(Analisis_Diferecias_Tercer_conteo[Tercer_conteo],Analisis_Diferecias_Tercer_conteo[ID],Analisis_Diferecias[[#This Row],[ID]])</f>
        <v>0</v>
      </c>
      <c r="J139" s="12">
        <f>IF(Analisis_Diferecias[[#This Row],[Tipo de incidencia]]="OK",Analisis_Diferecias[[#This Row],[Segundo Conteo]],Analisis_Diferecias[[#This Row],[Tercer Conteo]])</f>
        <v>0</v>
      </c>
      <c r="K139" s="12">
        <f>+(Analisis_Diferecias[[#This Row],[Cantidad Total de Conteos]]-(Analisis_Diferecias[[#This Row],[Cantidad]]))</f>
        <v>-2</v>
      </c>
      <c r="L1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39" s="18"/>
      <c r="N139" s="18">
        <f>Analisis_Diferecias[[#This Row],[Costo Unitario($)]]*Analisis_Diferecias[[#This Row],[Cantidad Total de Conteos]]</f>
        <v>0</v>
      </c>
      <c r="O139" s="18">
        <f>Analisis_Diferecias[[#This Row],[Costo Unitario($)]]*Analisis_Diferecias[[#This Row],[Cantidad]]</f>
        <v>0</v>
      </c>
      <c r="P139" s="20">
        <f>+Analisis_Diferecias[[#This Row],[Valor Total Contado]]-Analisis_Diferecias[[#This Row],[Costo Total Sistema]]</f>
        <v>0</v>
      </c>
      <c r="Q1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0" spans="1:17" x14ac:dyDescent="0.2">
      <c r="A140">
        <v>10361</v>
      </c>
      <c r="B140" t="s">
        <v>253</v>
      </c>
      <c r="C140" t="s">
        <v>254</v>
      </c>
      <c r="D140">
        <v>2</v>
      </c>
      <c r="E140" s="12">
        <f>SUMIFS('Consolidado conteo 1'!$F:$F,'Consolidado conteo 1'!$C:$C,Analisis_Diferecias[[#This Row],[ID]],'Consolidado conteo 1'!$I:$I,Analisis_Diferecias[[#Headers],[Primer Conteo]])</f>
        <v>0</v>
      </c>
      <c r="F140" s="12">
        <f>SUMIFS('Consolidado conteo 2'!$F:$F,'Consolidado conteo 2'!$C:$C,Analisis_Diferecias[[#This Row],[ID]],'Consolidado conteo 2'!$I:$I,Analisis_Diferecias[[#Headers],[Segundo Conteo]])</f>
        <v>0</v>
      </c>
      <c r="G140" s="12">
        <f>+Analisis_Diferecias[[#This Row],[Segundo Conteo]]-(Analisis_Diferecias[[#This Row],[Primer Conteo]])</f>
        <v>0</v>
      </c>
      <c r="H14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0" s="12">
        <f>SUMIFS(Analisis_Diferecias_Tercer_conteo[Tercer_conteo],Analisis_Diferecias_Tercer_conteo[ID],Analisis_Diferecias[[#This Row],[ID]])</f>
        <v>0</v>
      </c>
      <c r="J140" s="12">
        <f>IF(Analisis_Diferecias[[#This Row],[Tipo de incidencia]]="OK",Analisis_Diferecias[[#This Row],[Segundo Conteo]],Analisis_Diferecias[[#This Row],[Tercer Conteo]])</f>
        <v>0</v>
      </c>
      <c r="K140" s="12">
        <f>+(Analisis_Diferecias[[#This Row],[Cantidad Total de Conteos]]-(Analisis_Diferecias[[#This Row],[Cantidad]]))</f>
        <v>-2</v>
      </c>
      <c r="L1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0" s="18"/>
      <c r="N140" s="18">
        <f>Analisis_Diferecias[[#This Row],[Costo Unitario($)]]*Analisis_Diferecias[[#This Row],[Cantidad Total de Conteos]]</f>
        <v>0</v>
      </c>
      <c r="O140" s="18">
        <f>Analisis_Diferecias[[#This Row],[Costo Unitario($)]]*Analisis_Diferecias[[#This Row],[Cantidad]]</f>
        <v>0</v>
      </c>
      <c r="P140" s="20">
        <f>+Analisis_Diferecias[[#This Row],[Valor Total Contado]]-Analisis_Diferecias[[#This Row],[Costo Total Sistema]]</f>
        <v>0</v>
      </c>
      <c r="Q1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1" spans="1:17" x14ac:dyDescent="0.2">
      <c r="A141">
        <v>10363</v>
      </c>
      <c r="B141" t="s">
        <v>255</v>
      </c>
      <c r="C141" t="s">
        <v>256</v>
      </c>
      <c r="D141">
        <v>2</v>
      </c>
      <c r="E141" s="12">
        <f>SUMIFS('Consolidado conteo 1'!$F:$F,'Consolidado conteo 1'!$C:$C,Analisis_Diferecias[[#This Row],[ID]],'Consolidado conteo 1'!$I:$I,Analisis_Diferecias[[#Headers],[Primer Conteo]])</f>
        <v>0</v>
      </c>
      <c r="F141" s="12">
        <f>SUMIFS('Consolidado conteo 2'!$F:$F,'Consolidado conteo 2'!$C:$C,Analisis_Diferecias[[#This Row],[ID]],'Consolidado conteo 2'!$I:$I,Analisis_Diferecias[[#Headers],[Segundo Conteo]])</f>
        <v>0</v>
      </c>
      <c r="G141" s="12">
        <f>+Analisis_Diferecias[[#This Row],[Segundo Conteo]]-(Analisis_Diferecias[[#This Row],[Primer Conteo]])</f>
        <v>0</v>
      </c>
      <c r="H14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1" s="12">
        <f>SUMIFS(Analisis_Diferecias_Tercer_conteo[Tercer_conteo],Analisis_Diferecias_Tercer_conteo[ID],Analisis_Diferecias[[#This Row],[ID]])</f>
        <v>0</v>
      </c>
      <c r="J141" s="12">
        <f>IF(Analisis_Diferecias[[#This Row],[Tipo de incidencia]]="OK",Analisis_Diferecias[[#This Row],[Segundo Conteo]],Analisis_Diferecias[[#This Row],[Tercer Conteo]])</f>
        <v>0</v>
      </c>
      <c r="K141" s="12">
        <f>+(Analisis_Diferecias[[#This Row],[Cantidad Total de Conteos]]-(Analisis_Diferecias[[#This Row],[Cantidad]]))</f>
        <v>-2</v>
      </c>
      <c r="L1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1" s="18"/>
      <c r="N141" s="18">
        <f>Analisis_Diferecias[[#This Row],[Costo Unitario($)]]*Analisis_Diferecias[[#This Row],[Cantidad Total de Conteos]]</f>
        <v>0</v>
      </c>
      <c r="O141" s="18">
        <f>Analisis_Diferecias[[#This Row],[Costo Unitario($)]]*Analisis_Diferecias[[#This Row],[Cantidad]]</f>
        <v>0</v>
      </c>
      <c r="P141" s="20">
        <f>+Analisis_Diferecias[[#This Row],[Valor Total Contado]]-Analisis_Diferecias[[#This Row],[Costo Total Sistema]]</f>
        <v>0</v>
      </c>
      <c r="Q1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2" spans="1:17" x14ac:dyDescent="0.2">
      <c r="A142">
        <v>10383</v>
      </c>
      <c r="B142" t="s">
        <v>257</v>
      </c>
      <c r="C142" t="s">
        <v>258</v>
      </c>
      <c r="D142">
        <v>2</v>
      </c>
      <c r="E142" s="12">
        <f>SUMIFS('Consolidado conteo 1'!$F:$F,'Consolidado conteo 1'!$C:$C,Analisis_Diferecias[[#This Row],[ID]],'Consolidado conteo 1'!$I:$I,Analisis_Diferecias[[#Headers],[Primer Conteo]])</f>
        <v>0</v>
      </c>
      <c r="F142" s="12">
        <f>SUMIFS('Consolidado conteo 2'!$F:$F,'Consolidado conteo 2'!$C:$C,Analisis_Diferecias[[#This Row],[ID]],'Consolidado conteo 2'!$I:$I,Analisis_Diferecias[[#Headers],[Segundo Conteo]])</f>
        <v>0</v>
      </c>
      <c r="G142" s="12">
        <f>+Analisis_Diferecias[[#This Row],[Segundo Conteo]]-(Analisis_Diferecias[[#This Row],[Primer Conteo]])</f>
        <v>0</v>
      </c>
      <c r="H14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2" s="12">
        <f>SUMIFS(Analisis_Diferecias_Tercer_conteo[Tercer_conteo],Analisis_Diferecias_Tercer_conteo[ID],Analisis_Diferecias[[#This Row],[ID]])</f>
        <v>0</v>
      </c>
      <c r="J142" s="12">
        <f>IF(Analisis_Diferecias[[#This Row],[Tipo de incidencia]]="OK",Analisis_Diferecias[[#This Row],[Segundo Conteo]],Analisis_Diferecias[[#This Row],[Tercer Conteo]])</f>
        <v>0</v>
      </c>
      <c r="K142" s="12">
        <f>+(Analisis_Diferecias[[#This Row],[Cantidad Total de Conteos]]-(Analisis_Diferecias[[#This Row],[Cantidad]]))</f>
        <v>-2</v>
      </c>
      <c r="L1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2" s="18"/>
      <c r="N142" s="18">
        <f>Analisis_Diferecias[[#This Row],[Costo Unitario($)]]*Analisis_Diferecias[[#This Row],[Cantidad Total de Conteos]]</f>
        <v>0</v>
      </c>
      <c r="O142" s="18">
        <f>Analisis_Diferecias[[#This Row],[Costo Unitario($)]]*Analisis_Diferecias[[#This Row],[Cantidad]]</f>
        <v>0</v>
      </c>
      <c r="P142" s="20">
        <f>+Analisis_Diferecias[[#This Row],[Valor Total Contado]]-Analisis_Diferecias[[#This Row],[Costo Total Sistema]]</f>
        <v>0</v>
      </c>
      <c r="Q1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3" spans="1:17" x14ac:dyDescent="0.2">
      <c r="A143">
        <v>10384</v>
      </c>
      <c r="B143" t="s">
        <v>259</v>
      </c>
      <c r="C143" t="s">
        <v>260</v>
      </c>
      <c r="D143">
        <v>2</v>
      </c>
      <c r="E143" s="12">
        <f>SUMIFS('Consolidado conteo 1'!$F:$F,'Consolidado conteo 1'!$C:$C,Analisis_Diferecias[[#This Row],[ID]],'Consolidado conteo 1'!$I:$I,Analisis_Diferecias[[#Headers],[Primer Conteo]])</f>
        <v>0</v>
      </c>
      <c r="F143" s="12">
        <f>SUMIFS('Consolidado conteo 2'!$F:$F,'Consolidado conteo 2'!$C:$C,Analisis_Diferecias[[#This Row],[ID]],'Consolidado conteo 2'!$I:$I,Analisis_Diferecias[[#Headers],[Segundo Conteo]])</f>
        <v>0</v>
      </c>
      <c r="G143" s="12">
        <f>+Analisis_Diferecias[[#This Row],[Segundo Conteo]]-(Analisis_Diferecias[[#This Row],[Primer Conteo]])</f>
        <v>0</v>
      </c>
      <c r="H14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3" s="12">
        <f>SUMIFS(Analisis_Diferecias_Tercer_conteo[Tercer_conteo],Analisis_Diferecias_Tercer_conteo[ID],Analisis_Diferecias[[#This Row],[ID]])</f>
        <v>0</v>
      </c>
      <c r="J143" s="12">
        <f>IF(Analisis_Diferecias[[#This Row],[Tipo de incidencia]]="OK",Analisis_Diferecias[[#This Row],[Segundo Conteo]],Analisis_Diferecias[[#This Row],[Tercer Conteo]])</f>
        <v>0</v>
      </c>
      <c r="K143" s="12">
        <f>+(Analisis_Diferecias[[#This Row],[Cantidad Total de Conteos]]-(Analisis_Diferecias[[#This Row],[Cantidad]]))</f>
        <v>-2</v>
      </c>
      <c r="L1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3" s="18"/>
      <c r="N143" s="18">
        <f>Analisis_Diferecias[[#This Row],[Costo Unitario($)]]*Analisis_Diferecias[[#This Row],[Cantidad Total de Conteos]]</f>
        <v>0</v>
      </c>
      <c r="O143" s="18">
        <f>Analisis_Diferecias[[#This Row],[Costo Unitario($)]]*Analisis_Diferecias[[#This Row],[Cantidad]]</f>
        <v>0</v>
      </c>
      <c r="P143" s="20">
        <f>+Analisis_Diferecias[[#This Row],[Valor Total Contado]]-Analisis_Diferecias[[#This Row],[Costo Total Sistema]]</f>
        <v>0</v>
      </c>
      <c r="Q1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4" spans="1:17" x14ac:dyDescent="0.2">
      <c r="A144">
        <v>10186</v>
      </c>
      <c r="B144" t="s">
        <v>261</v>
      </c>
      <c r="C144" t="s">
        <v>262</v>
      </c>
      <c r="D144">
        <v>2</v>
      </c>
      <c r="E144" s="12">
        <f>SUMIFS('Consolidado conteo 1'!$F:$F,'Consolidado conteo 1'!$C:$C,Analisis_Diferecias[[#This Row],[ID]],'Consolidado conteo 1'!$I:$I,Analisis_Diferecias[[#Headers],[Primer Conteo]])</f>
        <v>0</v>
      </c>
      <c r="F144" s="12">
        <f>SUMIFS('Consolidado conteo 2'!$F:$F,'Consolidado conteo 2'!$C:$C,Analisis_Diferecias[[#This Row],[ID]],'Consolidado conteo 2'!$I:$I,Analisis_Diferecias[[#Headers],[Segundo Conteo]])</f>
        <v>0</v>
      </c>
      <c r="G144" s="12">
        <f>+Analisis_Diferecias[[#This Row],[Segundo Conteo]]-(Analisis_Diferecias[[#This Row],[Primer Conteo]])</f>
        <v>0</v>
      </c>
      <c r="H14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4" s="12">
        <f>SUMIFS(Analisis_Diferecias_Tercer_conteo[Tercer_conteo],Analisis_Diferecias_Tercer_conteo[ID],Analisis_Diferecias[[#This Row],[ID]])</f>
        <v>0</v>
      </c>
      <c r="J144" s="12">
        <f>IF(Analisis_Diferecias[[#This Row],[Tipo de incidencia]]="OK",Analisis_Diferecias[[#This Row],[Segundo Conteo]],Analisis_Diferecias[[#This Row],[Tercer Conteo]])</f>
        <v>0</v>
      </c>
      <c r="K144" s="12">
        <f>+(Analisis_Diferecias[[#This Row],[Cantidad Total de Conteos]]-(Analisis_Diferecias[[#This Row],[Cantidad]]))</f>
        <v>-2</v>
      </c>
      <c r="L1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4" s="18"/>
      <c r="N144" s="18">
        <f>Analisis_Diferecias[[#This Row],[Costo Unitario($)]]*Analisis_Diferecias[[#This Row],[Cantidad Total de Conteos]]</f>
        <v>0</v>
      </c>
      <c r="O144" s="18">
        <f>Analisis_Diferecias[[#This Row],[Costo Unitario($)]]*Analisis_Diferecias[[#This Row],[Cantidad]]</f>
        <v>0</v>
      </c>
      <c r="P144" s="20">
        <f>+Analisis_Diferecias[[#This Row],[Valor Total Contado]]-Analisis_Diferecias[[#This Row],[Costo Total Sistema]]</f>
        <v>0</v>
      </c>
      <c r="Q1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5" spans="1:17" x14ac:dyDescent="0.2">
      <c r="A145">
        <v>6805</v>
      </c>
      <c r="B145" t="s">
        <v>263</v>
      </c>
      <c r="C145" t="s">
        <v>264</v>
      </c>
      <c r="D145">
        <v>2</v>
      </c>
      <c r="E145" s="12">
        <f>SUMIFS('Consolidado conteo 1'!$F:$F,'Consolidado conteo 1'!$C:$C,Analisis_Diferecias[[#This Row],[ID]],'Consolidado conteo 1'!$I:$I,Analisis_Diferecias[[#Headers],[Primer Conteo]])</f>
        <v>0</v>
      </c>
      <c r="F145" s="12">
        <f>SUMIFS('Consolidado conteo 2'!$F:$F,'Consolidado conteo 2'!$C:$C,Analisis_Diferecias[[#This Row],[ID]],'Consolidado conteo 2'!$I:$I,Analisis_Diferecias[[#Headers],[Segundo Conteo]])</f>
        <v>0</v>
      </c>
      <c r="G145" s="12">
        <f>+Analisis_Diferecias[[#This Row],[Segundo Conteo]]-(Analisis_Diferecias[[#This Row],[Primer Conteo]])</f>
        <v>0</v>
      </c>
      <c r="H14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5" s="12">
        <f>SUMIFS(Analisis_Diferecias_Tercer_conteo[Tercer_conteo],Analisis_Diferecias_Tercer_conteo[ID],Analisis_Diferecias[[#This Row],[ID]])</f>
        <v>0</v>
      </c>
      <c r="J145" s="12">
        <f>IF(Analisis_Diferecias[[#This Row],[Tipo de incidencia]]="OK",Analisis_Diferecias[[#This Row],[Segundo Conteo]],Analisis_Diferecias[[#This Row],[Tercer Conteo]])</f>
        <v>0</v>
      </c>
      <c r="K145" s="12">
        <f>+(Analisis_Diferecias[[#This Row],[Cantidad Total de Conteos]]-(Analisis_Diferecias[[#This Row],[Cantidad]]))</f>
        <v>-2</v>
      </c>
      <c r="L1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5" s="18"/>
      <c r="N145" s="18">
        <f>Analisis_Diferecias[[#This Row],[Costo Unitario($)]]*Analisis_Diferecias[[#This Row],[Cantidad Total de Conteos]]</f>
        <v>0</v>
      </c>
      <c r="O145" s="18">
        <f>Analisis_Diferecias[[#This Row],[Costo Unitario($)]]*Analisis_Diferecias[[#This Row],[Cantidad]]</f>
        <v>0</v>
      </c>
      <c r="P145" s="20">
        <f>+Analisis_Diferecias[[#This Row],[Valor Total Contado]]-Analisis_Diferecias[[#This Row],[Costo Total Sistema]]</f>
        <v>0</v>
      </c>
      <c r="Q1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6" spans="1:17" x14ac:dyDescent="0.2">
      <c r="A146">
        <v>14185</v>
      </c>
      <c r="B146" t="s">
        <v>265</v>
      </c>
      <c r="C146" t="s">
        <v>266</v>
      </c>
      <c r="D146">
        <v>2</v>
      </c>
      <c r="E146" s="12">
        <f>SUMIFS('Consolidado conteo 1'!$F:$F,'Consolidado conteo 1'!$C:$C,Analisis_Diferecias[[#This Row],[ID]],'Consolidado conteo 1'!$I:$I,Analisis_Diferecias[[#Headers],[Primer Conteo]])</f>
        <v>0</v>
      </c>
      <c r="F146" s="12">
        <f>SUMIFS('Consolidado conteo 2'!$F:$F,'Consolidado conteo 2'!$C:$C,Analisis_Diferecias[[#This Row],[ID]],'Consolidado conteo 2'!$I:$I,Analisis_Diferecias[[#Headers],[Segundo Conteo]])</f>
        <v>0</v>
      </c>
      <c r="G146" s="12">
        <f>+Analisis_Diferecias[[#This Row],[Segundo Conteo]]-(Analisis_Diferecias[[#This Row],[Primer Conteo]])</f>
        <v>0</v>
      </c>
      <c r="H14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6" s="12">
        <f>SUMIFS(Analisis_Diferecias_Tercer_conteo[Tercer_conteo],Analisis_Diferecias_Tercer_conteo[ID],Analisis_Diferecias[[#This Row],[ID]])</f>
        <v>0</v>
      </c>
      <c r="J146" s="12">
        <f>IF(Analisis_Diferecias[[#This Row],[Tipo de incidencia]]="OK",Analisis_Diferecias[[#This Row],[Segundo Conteo]],Analisis_Diferecias[[#This Row],[Tercer Conteo]])</f>
        <v>0</v>
      </c>
      <c r="K146" s="12">
        <f>+(Analisis_Diferecias[[#This Row],[Cantidad Total de Conteos]]-(Analisis_Diferecias[[#This Row],[Cantidad]]))</f>
        <v>-2</v>
      </c>
      <c r="L1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6" s="18"/>
      <c r="N146" s="18">
        <f>Analisis_Diferecias[[#This Row],[Costo Unitario($)]]*Analisis_Diferecias[[#This Row],[Cantidad Total de Conteos]]</f>
        <v>0</v>
      </c>
      <c r="O146" s="18">
        <f>Analisis_Diferecias[[#This Row],[Costo Unitario($)]]*Analisis_Diferecias[[#This Row],[Cantidad]]</f>
        <v>0</v>
      </c>
      <c r="P146" s="20">
        <f>+Analisis_Diferecias[[#This Row],[Valor Total Contado]]-Analisis_Diferecias[[#This Row],[Costo Total Sistema]]</f>
        <v>0</v>
      </c>
      <c r="Q1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7" spans="1:17" x14ac:dyDescent="0.2">
      <c r="A147">
        <v>13767</v>
      </c>
      <c r="B147" t="s">
        <v>267</v>
      </c>
      <c r="C147" t="s">
        <v>268</v>
      </c>
      <c r="D147">
        <v>2</v>
      </c>
      <c r="E147" s="12">
        <f>SUMIFS('Consolidado conteo 1'!$F:$F,'Consolidado conteo 1'!$C:$C,Analisis_Diferecias[[#This Row],[ID]],'Consolidado conteo 1'!$I:$I,Analisis_Diferecias[[#Headers],[Primer Conteo]])</f>
        <v>0</v>
      </c>
      <c r="F147" s="12">
        <f>SUMIFS('Consolidado conteo 2'!$F:$F,'Consolidado conteo 2'!$C:$C,Analisis_Diferecias[[#This Row],[ID]],'Consolidado conteo 2'!$I:$I,Analisis_Diferecias[[#Headers],[Segundo Conteo]])</f>
        <v>0</v>
      </c>
      <c r="G147" s="12">
        <f>+Analisis_Diferecias[[#This Row],[Segundo Conteo]]-(Analisis_Diferecias[[#This Row],[Primer Conteo]])</f>
        <v>0</v>
      </c>
      <c r="H14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7" s="12">
        <f>SUMIFS(Analisis_Diferecias_Tercer_conteo[Tercer_conteo],Analisis_Diferecias_Tercer_conteo[ID],Analisis_Diferecias[[#This Row],[ID]])</f>
        <v>0</v>
      </c>
      <c r="J147" s="12">
        <f>IF(Analisis_Diferecias[[#This Row],[Tipo de incidencia]]="OK",Analisis_Diferecias[[#This Row],[Segundo Conteo]],Analisis_Diferecias[[#This Row],[Tercer Conteo]])</f>
        <v>0</v>
      </c>
      <c r="K147" s="12">
        <f>+(Analisis_Diferecias[[#This Row],[Cantidad Total de Conteos]]-(Analisis_Diferecias[[#This Row],[Cantidad]]))</f>
        <v>-2</v>
      </c>
      <c r="L1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7" s="18"/>
      <c r="N147" s="18">
        <f>Analisis_Diferecias[[#This Row],[Costo Unitario($)]]*Analisis_Diferecias[[#This Row],[Cantidad Total de Conteos]]</f>
        <v>0</v>
      </c>
      <c r="O147" s="18">
        <f>Analisis_Diferecias[[#This Row],[Costo Unitario($)]]*Analisis_Diferecias[[#This Row],[Cantidad]]</f>
        <v>0</v>
      </c>
      <c r="P147" s="20">
        <f>+Analisis_Diferecias[[#This Row],[Valor Total Contado]]-Analisis_Diferecias[[#This Row],[Costo Total Sistema]]</f>
        <v>0</v>
      </c>
      <c r="Q1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8" spans="1:17" x14ac:dyDescent="0.2">
      <c r="A148">
        <v>10204</v>
      </c>
      <c r="B148" t="s">
        <v>269</v>
      </c>
      <c r="C148" t="s">
        <v>270</v>
      </c>
      <c r="D148">
        <v>2</v>
      </c>
      <c r="E148" s="12">
        <f>SUMIFS('Consolidado conteo 1'!$F:$F,'Consolidado conteo 1'!$C:$C,Analisis_Diferecias[[#This Row],[ID]],'Consolidado conteo 1'!$I:$I,Analisis_Diferecias[[#Headers],[Primer Conteo]])</f>
        <v>0</v>
      </c>
      <c r="F148" s="12">
        <f>SUMIFS('Consolidado conteo 2'!$F:$F,'Consolidado conteo 2'!$C:$C,Analisis_Diferecias[[#This Row],[ID]],'Consolidado conteo 2'!$I:$I,Analisis_Diferecias[[#Headers],[Segundo Conteo]])</f>
        <v>0</v>
      </c>
      <c r="G148" s="12">
        <f>+Analisis_Diferecias[[#This Row],[Segundo Conteo]]-(Analisis_Diferecias[[#This Row],[Primer Conteo]])</f>
        <v>0</v>
      </c>
      <c r="H14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8" s="12">
        <f>SUMIFS(Analisis_Diferecias_Tercer_conteo[Tercer_conteo],Analisis_Diferecias_Tercer_conteo[ID],Analisis_Diferecias[[#This Row],[ID]])</f>
        <v>0</v>
      </c>
      <c r="J148" s="12">
        <f>IF(Analisis_Diferecias[[#This Row],[Tipo de incidencia]]="OK",Analisis_Diferecias[[#This Row],[Segundo Conteo]],Analisis_Diferecias[[#This Row],[Tercer Conteo]])</f>
        <v>0</v>
      </c>
      <c r="K148" s="12">
        <f>+(Analisis_Diferecias[[#This Row],[Cantidad Total de Conteos]]-(Analisis_Diferecias[[#This Row],[Cantidad]]))</f>
        <v>-2</v>
      </c>
      <c r="L1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8" s="18"/>
      <c r="N148" s="18">
        <f>Analisis_Diferecias[[#This Row],[Costo Unitario($)]]*Analisis_Diferecias[[#This Row],[Cantidad Total de Conteos]]</f>
        <v>0</v>
      </c>
      <c r="O148" s="18">
        <f>Analisis_Diferecias[[#This Row],[Costo Unitario($)]]*Analisis_Diferecias[[#This Row],[Cantidad]]</f>
        <v>0</v>
      </c>
      <c r="P148" s="20">
        <f>+Analisis_Diferecias[[#This Row],[Valor Total Contado]]-Analisis_Diferecias[[#This Row],[Costo Total Sistema]]</f>
        <v>0</v>
      </c>
      <c r="Q1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49" spans="1:17" x14ac:dyDescent="0.2">
      <c r="A149">
        <v>10597</v>
      </c>
      <c r="B149" t="s">
        <v>271</v>
      </c>
      <c r="C149" t="s">
        <v>272</v>
      </c>
      <c r="D149">
        <v>2</v>
      </c>
      <c r="E149" s="12">
        <f>SUMIFS('Consolidado conteo 1'!$F:$F,'Consolidado conteo 1'!$C:$C,Analisis_Diferecias[[#This Row],[ID]],'Consolidado conteo 1'!$I:$I,Analisis_Diferecias[[#Headers],[Primer Conteo]])</f>
        <v>0</v>
      </c>
      <c r="F149" s="12">
        <f>SUMIFS('Consolidado conteo 2'!$F:$F,'Consolidado conteo 2'!$C:$C,Analisis_Diferecias[[#This Row],[ID]],'Consolidado conteo 2'!$I:$I,Analisis_Diferecias[[#Headers],[Segundo Conteo]])</f>
        <v>0</v>
      </c>
      <c r="G149" s="12">
        <f>+Analisis_Diferecias[[#This Row],[Segundo Conteo]]-(Analisis_Diferecias[[#This Row],[Primer Conteo]])</f>
        <v>0</v>
      </c>
      <c r="H14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49" s="12">
        <f>SUMIFS(Analisis_Diferecias_Tercer_conteo[Tercer_conteo],Analisis_Diferecias_Tercer_conteo[ID],Analisis_Diferecias[[#This Row],[ID]])</f>
        <v>0</v>
      </c>
      <c r="J149" s="12">
        <f>IF(Analisis_Diferecias[[#This Row],[Tipo de incidencia]]="OK",Analisis_Diferecias[[#This Row],[Segundo Conteo]],Analisis_Diferecias[[#This Row],[Tercer Conteo]])</f>
        <v>0</v>
      </c>
      <c r="K149" s="12">
        <f>+(Analisis_Diferecias[[#This Row],[Cantidad Total de Conteos]]-(Analisis_Diferecias[[#This Row],[Cantidad]]))</f>
        <v>-2</v>
      </c>
      <c r="L1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49" s="18"/>
      <c r="N149" s="18">
        <f>Analisis_Diferecias[[#This Row],[Costo Unitario($)]]*Analisis_Diferecias[[#This Row],[Cantidad Total de Conteos]]</f>
        <v>0</v>
      </c>
      <c r="O149" s="18">
        <f>Analisis_Diferecias[[#This Row],[Costo Unitario($)]]*Analisis_Diferecias[[#This Row],[Cantidad]]</f>
        <v>0</v>
      </c>
      <c r="P149" s="20">
        <f>+Analisis_Diferecias[[#This Row],[Valor Total Contado]]-Analisis_Diferecias[[#This Row],[Costo Total Sistema]]</f>
        <v>0</v>
      </c>
      <c r="Q1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0" spans="1:17" x14ac:dyDescent="0.2">
      <c r="A150">
        <v>3331</v>
      </c>
      <c r="B150" t="s">
        <v>273</v>
      </c>
      <c r="C150" t="s">
        <v>274</v>
      </c>
      <c r="D150">
        <v>2</v>
      </c>
      <c r="E150" s="12">
        <f>SUMIFS('Consolidado conteo 1'!$F:$F,'Consolidado conteo 1'!$C:$C,Analisis_Diferecias[[#This Row],[ID]],'Consolidado conteo 1'!$I:$I,Analisis_Diferecias[[#Headers],[Primer Conteo]])</f>
        <v>0</v>
      </c>
      <c r="F150" s="12">
        <f>SUMIFS('Consolidado conteo 2'!$F:$F,'Consolidado conteo 2'!$C:$C,Analisis_Diferecias[[#This Row],[ID]],'Consolidado conteo 2'!$I:$I,Analisis_Diferecias[[#Headers],[Segundo Conteo]])</f>
        <v>0</v>
      </c>
      <c r="G150" s="12">
        <f>+Analisis_Diferecias[[#This Row],[Segundo Conteo]]-(Analisis_Diferecias[[#This Row],[Primer Conteo]])</f>
        <v>0</v>
      </c>
      <c r="H15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0" s="12">
        <f>SUMIFS(Analisis_Diferecias_Tercer_conteo[Tercer_conteo],Analisis_Diferecias_Tercer_conteo[ID],Analisis_Diferecias[[#This Row],[ID]])</f>
        <v>0</v>
      </c>
      <c r="J150" s="12">
        <f>IF(Analisis_Diferecias[[#This Row],[Tipo de incidencia]]="OK",Analisis_Diferecias[[#This Row],[Segundo Conteo]],Analisis_Diferecias[[#This Row],[Tercer Conteo]])</f>
        <v>0</v>
      </c>
      <c r="K150" s="12">
        <f>+(Analisis_Diferecias[[#This Row],[Cantidad Total de Conteos]]-(Analisis_Diferecias[[#This Row],[Cantidad]]))</f>
        <v>-2</v>
      </c>
      <c r="L1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0" s="18"/>
      <c r="N150" s="18">
        <f>Analisis_Diferecias[[#This Row],[Costo Unitario($)]]*Analisis_Diferecias[[#This Row],[Cantidad Total de Conteos]]</f>
        <v>0</v>
      </c>
      <c r="O150" s="18">
        <f>Analisis_Diferecias[[#This Row],[Costo Unitario($)]]*Analisis_Diferecias[[#This Row],[Cantidad]]</f>
        <v>0</v>
      </c>
      <c r="P150" s="20">
        <f>+Analisis_Diferecias[[#This Row],[Valor Total Contado]]-Analisis_Diferecias[[#This Row],[Costo Total Sistema]]</f>
        <v>0</v>
      </c>
      <c r="Q1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1" spans="1:17" x14ac:dyDescent="0.2">
      <c r="A151">
        <v>9521</v>
      </c>
      <c r="B151" t="s">
        <v>275</v>
      </c>
      <c r="C151" t="s">
        <v>276</v>
      </c>
      <c r="D151">
        <v>1</v>
      </c>
      <c r="E151" s="12">
        <f>SUMIFS('Consolidado conteo 1'!$F:$F,'Consolidado conteo 1'!$C:$C,Analisis_Diferecias[[#This Row],[ID]],'Consolidado conteo 1'!$I:$I,Analisis_Diferecias[[#Headers],[Primer Conteo]])</f>
        <v>0</v>
      </c>
      <c r="F151" s="12">
        <f>SUMIFS('Consolidado conteo 2'!$F:$F,'Consolidado conteo 2'!$C:$C,Analisis_Diferecias[[#This Row],[ID]],'Consolidado conteo 2'!$I:$I,Analisis_Diferecias[[#Headers],[Segundo Conteo]])</f>
        <v>0</v>
      </c>
      <c r="G151" s="12">
        <f>+Analisis_Diferecias[[#This Row],[Segundo Conteo]]-(Analisis_Diferecias[[#This Row],[Primer Conteo]])</f>
        <v>0</v>
      </c>
      <c r="H15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1" s="12">
        <f>SUMIFS(Analisis_Diferecias_Tercer_conteo[Tercer_conteo],Analisis_Diferecias_Tercer_conteo[ID],Analisis_Diferecias[[#This Row],[ID]])</f>
        <v>0</v>
      </c>
      <c r="J151" s="12">
        <f>IF(Analisis_Diferecias[[#This Row],[Tipo de incidencia]]="OK",Analisis_Diferecias[[#This Row],[Segundo Conteo]],Analisis_Diferecias[[#This Row],[Tercer Conteo]])</f>
        <v>0</v>
      </c>
      <c r="K151" s="12">
        <f>+(Analisis_Diferecias[[#This Row],[Cantidad Total de Conteos]]-(Analisis_Diferecias[[#This Row],[Cantidad]]))</f>
        <v>-1</v>
      </c>
      <c r="L1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1" s="18"/>
      <c r="N151" s="18">
        <f>Analisis_Diferecias[[#This Row],[Costo Unitario($)]]*Analisis_Diferecias[[#This Row],[Cantidad Total de Conteos]]</f>
        <v>0</v>
      </c>
      <c r="O151" s="18">
        <f>Analisis_Diferecias[[#This Row],[Costo Unitario($)]]*Analisis_Diferecias[[#This Row],[Cantidad]]</f>
        <v>0</v>
      </c>
      <c r="P151" s="20">
        <f>+Analisis_Diferecias[[#This Row],[Valor Total Contado]]-Analisis_Diferecias[[#This Row],[Costo Total Sistema]]</f>
        <v>0</v>
      </c>
      <c r="Q1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2" spans="1:17" x14ac:dyDescent="0.2">
      <c r="A152">
        <v>9007</v>
      </c>
      <c r="B152" t="s">
        <v>277</v>
      </c>
      <c r="C152" t="s">
        <v>278</v>
      </c>
      <c r="D152">
        <v>1</v>
      </c>
      <c r="E152" s="12">
        <f>SUMIFS('Consolidado conteo 1'!$F:$F,'Consolidado conteo 1'!$C:$C,Analisis_Diferecias[[#This Row],[ID]],'Consolidado conteo 1'!$I:$I,Analisis_Diferecias[[#Headers],[Primer Conteo]])</f>
        <v>0</v>
      </c>
      <c r="F152" s="12">
        <f>SUMIFS('Consolidado conteo 2'!$F:$F,'Consolidado conteo 2'!$C:$C,Analisis_Diferecias[[#This Row],[ID]],'Consolidado conteo 2'!$I:$I,Analisis_Diferecias[[#Headers],[Segundo Conteo]])</f>
        <v>0</v>
      </c>
      <c r="G152" s="12">
        <f>+Analisis_Diferecias[[#This Row],[Segundo Conteo]]-(Analisis_Diferecias[[#This Row],[Primer Conteo]])</f>
        <v>0</v>
      </c>
      <c r="H15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2" s="12">
        <f>SUMIFS(Analisis_Diferecias_Tercer_conteo[Tercer_conteo],Analisis_Diferecias_Tercer_conteo[ID],Analisis_Diferecias[[#This Row],[ID]])</f>
        <v>0</v>
      </c>
      <c r="J152" s="12">
        <f>IF(Analisis_Diferecias[[#This Row],[Tipo de incidencia]]="OK",Analisis_Diferecias[[#This Row],[Segundo Conteo]],Analisis_Diferecias[[#This Row],[Tercer Conteo]])</f>
        <v>0</v>
      </c>
      <c r="K152" s="12">
        <f>+(Analisis_Diferecias[[#This Row],[Cantidad Total de Conteos]]-(Analisis_Diferecias[[#This Row],[Cantidad]]))</f>
        <v>-1</v>
      </c>
      <c r="L1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2" s="18"/>
      <c r="N152" s="18">
        <f>Analisis_Diferecias[[#This Row],[Costo Unitario($)]]*Analisis_Diferecias[[#This Row],[Cantidad Total de Conteos]]</f>
        <v>0</v>
      </c>
      <c r="O152" s="18">
        <f>Analisis_Diferecias[[#This Row],[Costo Unitario($)]]*Analisis_Diferecias[[#This Row],[Cantidad]]</f>
        <v>0</v>
      </c>
      <c r="P152" s="20">
        <f>+Analisis_Diferecias[[#This Row],[Valor Total Contado]]-Analisis_Diferecias[[#This Row],[Costo Total Sistema]]</f>
        <v>0</v>
      </c>
      <c r="Q1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3" spans="1:17" x14ac:dyDescent="0.2">
      <c r="A153">
        <v>10642</v>
      </c>
      <c r="B153" t="s">
        <v>279</v>
      </c>
      <c r="C153" t="s">
        <v>280</v>
      </c>
      <c r="D153">
        <v>1</v>
      </c>
      <c r="E153" s="12">
        <f>SUMIFS('Consolidado conteo 1'!$F:$F,'Consolidado conteo 1'!$C:$C,Analisis_Diferecias[[#This Row],[ID]],'Consolidado conteo 1'!$I:$I,Analisis_Diferecias[[#Headers],[Primer Conteo]])</f>
        <v>0</v>
      </c>
      <c r="F153" s="12">
        <f>SUMIFS('Consolidado conteo 2'!$F:$F,'Consolidado conteo 2'!$C:$C,Analisis_Diferecias[[#This Row],[ID]],'Consolidado conteo 2'!$I:$I,Analisis_Diferecias[[#Headers],[Segundo Conteo]])</f>
        <v>0</v>
      </c>
      <c r="G153" s="12">
        <f>+Analisis_Diferecias[[#This Row],[Segundo Conteo]]-(Analisis_Diferecias[[#This Row],[Primer Conteo]])</f>
        <v>0</v>
      </c>
      <c r="H15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3" s="12">
        <f>SUMIFS(Analisis_Diferecias_Tercer_conteo[Tercer_conteo],Analisis_Diferecias_Tercer_conteo[ID],Analisis_Diferecias[[#This Row],[ID]])</f>
        <v>0</v>
      </c>
      <c r="J153" s="12">
        <f>IF(Analisis_Diferecias[[#This Row],[Tipo de incidencia]]="OK",Analisis_Diferecias[[#This Row],[Segundo Conteo]],Analisis_Diferecias[[#This Row],[Tercer Conteo]])</f>
        <v>0</v>
      </c>
      <c r="K153" s="12">
        <f>+(Analisis_Diferecias[[#This Row],[Cantidad Total de Conteos]]-(Analisis_Diferecias[[#This Row],[Cantidad]]))</f>
        <v>-1</v>
      </c>
      <c r="L1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3" s="18"/>
      <c r="N153" s="18">
        <f>Analisis_Diferecias[[#This Row],[Costo Unitario($)]]*Analisis_Diferecias[[#This Row],[Cantidad Total de Conteos]]</f>
        <v>0</v>
      </c>
      <c r="O153" s="18">
        <f>Analisis_Diferecias[[#This Row],[Costo Unitario($)]]*Analisis_Diferecias[[#This Row],[Cantidad]]</f>
        <v>0</v>
      </c>
      <c r="P153" s="20">
        <f>+Analisis_Diferecias[[#This Row],[Valor Total Contado]]-Analisis_Diferecias[[#This Row],[Costo Total Sistema]]</f>
        <v>0</v>
      </c>
      <c r="Q1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4" spans="1:17" x14ac:dyDescent="0.2">
      <c r="A154">
        <v>9535</v>
      </c>
      <c r="B154" t="s">
        <v>281</v>
      </c>
      <c r="C154" t="s">
        <v>282</v>
      </c>
      <c r="D154">
        <v>1</v>
      </c>
      <c r="E154" s="12">
        <f>SUMIFS('Consolidado conteo 1'!$F:$F,'Consolidado conteo 1'!$C:$C,Analisis_Diferecias[[#This Row],[ID]],'Consolidado conteo 1'!$I:$I,Analisis_Diferecias[[#Headers],[Primer Conteo]])</f>
        <v>0</v>
      </c>
      <c r="F154" s="12">
        <f>SUMIFS('Consolidado conteo 2'!$F:$F,'Consolidado conteo 2'!$C:$C,Analisis_Diferecias[[#This Row],[ID]],'Consolidado conteo 2'!$I:$I,Analisis_Diferecias[[#Headers],[Segundo Conteo]])</f>
        <v>0</v>
      </c>
      <c r="G154" s="12">
        <f>+Analisis_Diferecias[[#This Row],[Segundo Conteo]]-(Analisis_Diferecias[[#This Row],[Primer Conteo]])</f>
        <v>0</v>
      </c>
      <c r="H15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4" s="12">
        <f>SUMIFS(Analisis_Diferecias_Tercer_conteo[Tercer_conteo],Analisis_Diferecias_Tercer_conteo[ID],Analisis_Diferecias[[#This Row],[ID]])</f>
        <v>0</v>
      </c>
      <c r="J154" s="12">
        <f>IF(Analisis_Diferecias[[#This Row],[Tipo de incidencia]]="OK",Analisis_Diferecias[[#This Row],[Segundo Conteo]],Analisis_Diferecias[[#This Row],[Tercer Conteo]])</f>
        <v>0</v>
      </c>
      <c r="K154" s="12">
        <f>+(Analisis_Diferecias[[#This Row],[Cantidad Total de Conteos]]-(Analisis_Diferecias[[#This Row],[Cantidad]]))</f>
        <v>-1</v>
      </c>
      <c r="L1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4" s="18"/>
      <c r="N154" s="18">
        <f>Analisis_Diferecias[[#This Row],[Costo Unitario($)]]*Analisis_Diferecias[[#This Row],[Cantidad Total de Conteos]]</f>
        <v>0</v>
      </c>
      <c r="O154" s="18">
        <f>Analisis_Diferecias[[#This Row],[Costo Unitario($)]]*Analisis_Diferecias[[#This Row],[Cantidad]]</f>
        <v>0</v>
      </c>
      <c r="P154" s="20">
        <f>+Analisis_Diferecias[[#This Row],[Valor Total Contado]]-Analisis_Diferecias[[#This Row],[Costo Total Sistema]]</f>
        <v>0</v>
      </c>
      <c r="Q1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5" spans="1:17" x14ac:dyDescent="0.2">
      <c r="A155">
        <v>5029</v>
      </c>
      <c r="B155" t="s">
        <v>283</v>
      </c>
      <c r="C155" t="s">
        <v>284</v>
      </c>
      <c r="D155">
        <v>1</v>
      </c>
      <c r="E155" s="12">
        <f>SUMIFS('Consolidado conteo 1'!$F:$F,'Consolidado conteo 1'!$C:$C,Analisis_Diferecias[[#This Row],[ID]],'Consolidado conteo 1'!$I:$I,Analisis_Diferecias[[#Headers],[Primer Conteo]])</f>
        <v>0</v>
      </c>
      <c r="F155" s="12">
        <f>SUMIFS('Consolidado conteo 2'!$F:$F,'Consolidado conteo 2'!$C:$C,Analisis_Diferecias[[#This Row],[ID]],'Consolidado conteo 2'!$I:$I,Analisis_Diferecias[[#Headers],[Segundo Conteo]])</f>
        <v>0</v>
      </c>
      <c r="G155" s="12">
        <f>+Analisis_Diferecias[[#This Row],[Segundo Conteo]]-(Analisis_Diferecias[[#This Row],[Primer Conteo]])</f>
        <v>0</v>
      </c>
      <c r="H15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5" s="12">
        <f>SUMIFS(Analisis_Diferecias_Tercer_conteo[Tercer_conteo],Analisis_Diferecias_Tercer_conteo[ID],Analisis_Diferecias[[#This Row],[ID]])</f>
        <v>0</v>
      </c>
      <c r="J155" s="12">
        <f>IF(Analisis_Diferecias[[#This Row],[Tipo de incidencia]]="OK",Analisis_Diferecias[[#This Row],[Segundo Conteo]],Analisis_Diferecias[[#This Row],[Tercer Conteo]])</f>
        <v>0</v>
      </c>
      <c r="K155" s="12">
        <f>+(Analisis_Diferecias[[#This Row],[Cantidad Total de Conteos]]-(Analisis_Diferecias[[#This Row],[Cantidad]]))</f>
        <v>-1</v>
      </c>
      <c r="L1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5" s="18"/>
      <c r="N155" s="18">
        <f>Analisis_Diferecias[[#This Row],[Costo Unitario($)]]*Analisis_Diferecias[[#This Row],[Cantidad Total de Conteos]]</f>
        <v>0</v>
      </c>
      <c r="O155" s="18">
        <f>Analisis_Diferecias[[#This Row],[Costo Unitario($)]]*Analisis_Diferecias[[#This Row],[Cantidad]]</f>
        <v>0</v>
      </c>
      <c r="P155" s="20">
        <f>+Analisis_Diferecias[[#This Row],[Valor Total Contado]]-Analisis_Diferecias[[#This Row],[Costo Total Sistema]]</f>
        <v>0</v>
      </c>
      <c r="Q1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6" spans="1:17" x14ac:dyDescent="0.2">
      <c r="A156">
        <v>13645</v>
      </c>
      <c r="B156" t="s">
        <v>285</v>
      </c>
      <c r="C156" t="s">
        <v>286</v>
      </c>
      <c r="D156">
        <v>1</v>
      </c>
      <c r="E156" s="12">
        <f>SUMIFS('Consolidado conteo 1'!$F:$F,'Consolidado conteo 1'!$C:$C,Analisis_Diferecias[[#This Row],[ID]],'Consolidado conteo 1'!$I:$I,Analisis_Diferecias[[#Headers],[Primer Conteo]])</f>
        <v>0</v>
      </c>
      <c r="F156" s="12">
        <f>SUMIFS('Consolidado conteo 2'!$F:$F,'Consolidado conteo 2'!$C:$C,Analisis_Diferecias[[#This Row],[ID]],'Consolidado conteo 2'!$I:$I,Analisis_Diferecias[[#Headers],[Segundo Conteo]])</f>
        <v>0</v>
      </c>
      <c r="G156" s="12">
        <f>+Analisis_Diferecias[[#This Row],[Segundo Conteo]]-(Analisis_Diferecias[[#This Row],[Primer Conteo]])</f>
        <v>0</v>
      </c>
      <c r="H15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6" s="12">
        <f>SUMIFS(Analisis_Diferecias_Tercer_conteo[Tercer_conteo],Analisis_Diferecias_Tercer_conteo[ID],Analisis_Diferecias[[#This Row],[ID]])</f>
        <v>0</v>
      </c>
      <c r="J156" s="12">
        <f>IF(Analisis_Diferecias[[#This Row],[Tipo de incidencia]]="OK",Analisis_Diferecias[[#This Row],[Segundo Conteo]],Analisis_Diferecias[[#This Row],[Tercer Conteo]])</f>
        <v>0</v>
      </c>
      <c r="K156" s="12">
        <f>+(Analisis_Diferecias[[#This Row],[Cantidad Total de Conteos]]-(Analisis_Diferecias[[#This Row],[Cantidad]]))</f>
        <v>-1</v>
      </c>
      <c r="L1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6" s="18"/>
      <c r="N156" s="18">
        <f>Analisis_Diferecias[[#This Row],[Costo Unitario($)]]*Analisis_Diferecias[[#This Row],[Cantidad Total de Conteos]]</f>
        <v>0</v>
      </c>
      <c r="O156" s="18">
        <f>Analisis_Diferecias[[#This Row],[Costo Unitario($)]]*Analisis_Diferecias[[#This Row],[Cantidad]]</f>
        <v>0</v>
      </c>
      <c r="P156" s="20">
        <f>+Analisis_Diferecias[[#This Row],[Valor Total Contado]]-Analisis_Diferecias[[#This Row],[Costo Total Sistema]]</f>
        <v>0</v>
      </c>
      <c r="Q1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7" spans="1:17" x14ac:dyDescent="0.2">
      <c r="A157">
        <v>13756</v>
      </c>
      <c r="B157" t="s">
        <v>287</v>
      </c>
      <c r="C157" t="s">
        <v>288</v>
      </c>
      <c r="D157">
        <v>1</v>
      </c>
      <c r="E157" s="12">
        <f>SUMIFS('Consolidado conteo 1'!$F:$F,'Consolidado conteo 1'!$C:$C,Analisis_Diferecias[[#This Row],[ID]],'Consolidado conteo 1'!$I:$I,Analisis_Diferecias[[#Headers],[Primer Conteo]])</f>
        <v>0</v>
      </c>
      <c r="F157" s="12">
        <f>SUMIFS('Consolidado conteo 2'!$F:$F,'Consolidado conteo 2'!$C:$C,Analisis_Diferecias[[#This Row],[ID]],'Consolidado conteo 2'!$I:$I,Analisis_Diferecias[[#Headers],[Segundo Conteo]])</f>
        <v>0</v>
      </c>
      <c r="G157" s="12">
        <f>+Analisis_Diferecias[[#This Row],[Segundo Conteo]]-(Analisis_Diferecias[[#This Row],[Primer Conteo]])</f>
        <v>0</v>
      </c>
      <c r="H15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7" s="12">
        <f>SUMIFS(Analisis_Diferecias_Tercer_conteo[Tercer_conteo],Analisis_Diferecias_Tercer_conteo[ID],Analisis_Diferecias[[#This Row],[ID]])</f>
        <v>0</v>
      </c>
      <c r="J157" s="12">
        <f>IF(Analisis_Diferecias[[#This Row],[Tipo de incidencia]]="OK",Analisis_Diferecias[[#This Row],[Segundo Conteo]],Analisis_Diferecias[[#This Row],[Tercer Conteo]])</f>
        <v>0</v>
      </c>
      <c r="K157" s="12">
        <f>+(Analisis_Diferecias[[#This Row],[Cantidad Total de Conteos]]-(Analisis_Diferecias[[#This Row],[Cantidad]]))</f>
        <v>-1</v>
      </c>
      <c r="L1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7" s="18"/>
      <c r="N157" s="18">
        <f>Analisis_Diferecias[[#This Row],[Costo Unitario($)]]*Analisis_Diferecias[[#This Row],[Cantidad Total de Conteos]]</f>
        <v>0</v>
      </c>
      <c r="O157" s="18">
        <f>Analisis_Diferecias[[#This Row],[Costo Unitario($)]]*Analisis_Diferecias[[#This Row],[Cantidad]]</f>
        <v>0</v>
      </c>
      <c r="P157" s="20">
        <f>+Analisis_Diferecias[[#This Row],[Valor Total Contado]]-Analisis_Diferecias[[#This Row],[Costo Total Sistema]]</f>
        <v>0</v>
      </c>
      <c r="Q1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8" spans="1:17" x14ac:dyDescent="0.2">
      <c r="A158">
        <v>14118</v>
      </c>
      <c r="B158" t="s">
        <v>289</v>
      </c>
      <c r="C158" t="s">
        <v>290</v>
      </c>
      <c r="D158">
        <v>1</v>
      </c>
      <c r="E158" s="12">
        <f>SUMIFS('Consolidado conteo 1'!$F:$F,'Consolidado conteo 1'!$C:$C,Analisis_Diferecias[[#This Row],[ID]],'Consolidado conteo 1'!$I:$I,Analisis_Diferecias[[#Headers],[Primer Conteo]])</f>
        <v>0</v>
      </c>
      <c r="F158" s="12">
        <f>SUMIFS('Consolidado conteo 2'!$F:$F,'Consolidado conteo 2'!$C:$C,Analisis_Diferecias[[#This Row],[ID]],'Consolidado conteo 2'!$I:$I,Analisis_Diferecias[[#Headers],[Segundo Conteo]])</f>
        <v>0</v>
      </c>
      <c r="G158" s="12">
        <f>+Analisis_Diferecias[[#This Row],[Segundo Conteo]]-(Analisis_Diferecias[[#This Row],[Primer Conteo]])</f>
        <v>0</v>
      </c>
      <c r="H15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8" s="12">
        <f>SUMIFS(Analisis_Diferecias_Tercer_conteo[Tercer_conteo],Analisis_Diferecias_Tercer_conteo[ID],Analisis_Diferecias[[#This Row],[ID]])</f>
        <v>0</v>
      </c>
      <c r="J158" s="12">
        <f>IF(Analisis_Diferecias[[#This Row],[Tipo de incidencia]]="OK",Analisis_Diferecias[[#This Row],[Segundo Conteo]],Analisis_Diferecias[[#This Row],[Tercer Conteo]])</f>
        <v>0</v>
      </c>
      <c r="K158" s="12">
        <f>+(Analisis_Diferecias[[#This Row],[Cantidad Total de Conteos]]-(Analisis_Diferecias[[#This Row],[Cantidad]]))</f>
        <v>-1</v>
      </c>
      <c r="L1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8" s="18"/>
      <c r="N158" s="18">
        <f>Analisis_Diferecias[[#This Row],[Costo Unitario($)]]*Analisis_Diferecias[[#This Row],[Cantidad Total de Conteos]]</f>
        <v>0</v>
      </c>
      <c r="O158" s="18">
        <f>Analisis_Diferecias[[#This Row],[Costo Unitario($)]]*Analisis_Diferecias[[#This Row],[Cantidad]]</f>
        <v>0</v>
      </c>
      <c r="P158" s="20">
        <f>+Analisis_Diferecias[[#This Row],[Valor Total Contado]]-Analisis_Diferecias[[#This Row],[Costo Total Sistema]]</f>
        <v>0</v>
      </c>
      <c r="Q1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59" spans="1:17" x14ac:dyDescent="0.2">
      <c r="A159">
        <v>13652</v>
      </c>
      <c r="B159" t="s">
        <v>291</v>
      </c>
      <c r="C159" t="s">
        <v>292</v>
      </c>
      <c r="D159">
        <v>1</v>
      </c>
      <c r="E159" s="12">
        <f>SUMIFS('Consolidado conteo 1'!$F:$F,'Consolidado conteo 1'!$C:$C,Analisis_Diferecias[[#This Row],[ID]],'Consolidado conteo 1'!$I:$I,Analisis_Diferecias[[#Headers],[Primer Conteo]])</f>
        <v>0</v>
      </c>
      <c r="F159" s="12">
        <f>SUMIFS('Consolidado conteo 2'!$F:$F,'Consolidado conteo 2'!$C:$C,Analisis_Diferecias[[#This Row],[ID]],'Consolidado conteo 2'!$I:$I,Analisis_Diferecias[[#Headers],[Segundo Conteo]])</f>
        <v>0</v>
      </c>
      <c r="G159" s="12">
        <f>+Analisis_Diferecias[[#This Row],[Segundo Conteo]]-(Analisis_Diferecias[[#This Row],[Primer Conteo]])</f>
        <v>0</v>
      </c>
      <c r="H15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59" s="12">
        <f>SUMIFS(Analisis_Diferecias_Tercer_conteo[Tercer_conteo],Analisis_Diferecias_Tercer_conteo[ID],Analisis_Diferecias[[#This Row],[ID]])</f>
        <v>0</v>
      </c>
      <c r="J159" s="12">
        <f>IF(Analisis_Diferecias[[#This Row],[Tipo de incidencia]]="OK",Analisis_Diferecias[[#This Row],[Segundo Conteo]],Analisis_Diferecias[[#This Row],[Tercer Conteo]])</f>
        <v>0</v>
      </c>
      <c r="K159" s="12">
        <f>+(Analisis_Diferecias[[#This Row],[Cantidad Total de Conteos]]-(Analisis_Diferecias[[#This Row],[Cantidad]]))</f>
        <v>-1</v>
      </c>
      <c r="L1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59" s="18"/>
      <c r="N159" s="18">
        <f>Analisis_Diferecias[[#This Row],[Costo Unitario($)]]*Analisis_Diferecias[[#This Row],[Cantidad Total de Conteos]]</f>
        <v>0</v>
      </c>
      <c r="O159" s="18">
        <f>Analisis_Diferecias[[#This Row],[Costo Unitario($)]]*Analisis_Diferecias[[#This Row],[Cantidad]]</f>
        <v>0</v>
      </c>
      <c r="P159" s="20">
        <f>+Analisis_Diferecias[[#This Row],[Valor Total Contado]]-Analisis_Diferecias[[#This Row],[Costo Total Sistema]]</f>
        <v>0</v>
      </c>
      <c r="Q1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0" spans="1:17" x14ac:dyDescent="0.2">
      <c r="A160">
        <v>630</v>
      </c>
      <c r="B160" t="s">
        <v>293</v>
      </c>
      <c r="C160" t="s">
        <v>294</v>
      </c>
      <c r="D160">
        <v>1</v>
      </c>
      <c r="E160" s="12">
        <f>SUMIFS('Consolidado conteo 1'!$F:$F,'Consolidado conteo 1'!$C:$C,Analisis_Diferecias[[#This Row],[ID]],'Consolidado conteo 1'!$I:$I,Analisis_Diferecias[[#Headers],[Primer Conteo]])</f>
        <v>0</v>
      </c>
      <c r="F160" s="12">
        <f>SUMIFS('Consolidado conteo 2'!$F:$F,'Consolidado conteo 2'!$C:$C,Analisis_Diferecias[[#This Row],[ID]],'Consolidado conteo 2'!$I:$I,Analisis_Diferecias[[#Headers],[Segundo Conteo]])</f>
        <v>0</v>
      </c>
      <c r="G160" s="12">
        <f>+Analisis_Diferecias[[#This Row],[Segundo Conteo]]-(Analisis_Diferecias[[#This Row],[Primer Conteo]])</f>
        <v>0</v>
      </c>
      <c r="H16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0" s="12">
        <f>SUMIFS(Analisis_Diferecias_Tercer_conteo[Tercer_conteo],Analisis_Diferecias_Tercer_conteo[ID],Analisis_Diferecias[[#This Row],[ID]])</f>
        <v>0</v>
      </c>
      <c r="J160" s="12">
        <f>IF(Analisis_Diferecias[[#This Row],[Tipo de incidencia]]="OK",Analisis_Diferecias[[#This Row],[Segundo Conteo]],Analisis_Diferecias[[#This Row],[Tercer Conteo]])</f>
        <v>0</v>
      </c>
      <c r="K160" s="12">
        <f>+(Analisis_Diferecias[[#This Row],[Cantidad Total de Conteos]]-(Analisis_Diferecias[[#This Row],[Cantidad]]))</f>
        <v>-1</v>
      </c>
      <c r="L1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0" s="18"/>
      <c r="N160" s="18">
        <f>Analisis_Diferecias[[#This Row],[Costo Unitario($)]]*Analisis_Diferecias[[#This Row],[Cantidad Total de Conteos]]</f>
        <v>0</v>
      </c>
      <c r="O160" s="18">
        <f>Analisis_Diferecias[[#This Row],[Costo Unitario($)]]*Analisis_Diferecias[[#This Row],[Cantidad]]</f>
        <v>0</v>
      </c>
      <c r="P160" s="20">
        <f>+Analisis_Diferecias[[#This Row],[Valor Total Contado]]-Analisis_Diferecias[[#This Row],[Costo Total Sistema]]</f>
        <v>0</v>
      </c>
      <c r="Q1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1" spans="1:17" x14ac:dyDescent="0.2">
      <c r="A161">
        <v>14028</v>
      </c>
      <c r="B161" t="s">
        <v>295</v>
      </c>
      <c r="C161" t="s">
        <v>296</v>
      </c>
      <c r="D161">
        <v>1</v>
      </c>
      <c r="E161" s="12">
        <f>SUMIFS('Consolidado conteo 1'!$F:$F,'Consolidado conteo 1'!$C:$C,Analisis_Diferecias[[#This Row],[ID]],'Consolidado conteo 1'!$I:$I,Analisis_Diferecias[[#Headers],[Primer Conteo]])</f>
        <v>0</v>
      </c>
      <c r="F161" s="12">
        <f>SUMIFS('Consolidado conteo 2'!$F:$F,'Consolidado conteo 2'!$C:$C,Analisis_Diferecias[[#This Row],[ID]],'Consolidado conteo 2'!$I:$I,Analisis_Diferecias[[#Headers],[Segundo Conteo]])</f>
        <v>0</v>
      </c>
      <c r="G161" s="12">
        <f>+Analisis_Diferecias[[#This Row],[Segundo Conteo]]-(Analisis_Diferecias[[#This Row],[Primer Conteo]])</f>
        <v>0</v>
      </c>
      <c r="H16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1" s="12">
        <f>SUMIFS(Analisis_Diferecias_Tercer_conteo[Tercer_conteo],Analisis_Diferecias_Tercer_conteo[ID],Analisis_Diferecias[[#This Row],[ID]])</f>
        <v>0</v>
      </c>
      <c r="J161" s="12">
        <f>IF(Analisis_Diferecias[[#This Row],[Tipo de incidencia]]="OK",Analisis_Diferecias[[#This Row],[Segundo Conteo]],Analisis_Diferecias[[#This Row],[Tercer Conteo]])</f>
        <v>0</v>
      </c>
      <c r="K161" s="12">
        <f>+(Analisis_Diferecias[[#This Row],[Cantidad Total de Conteos]]-(Analisis_Diferecias[[#This Row],[Cantidad]]))</f>
        <v>-1</v>
      </c>
      <c r="L1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1" s="18"/>
      <c r="N161" s="18">
        <f>Analisis_Diferecias[[#This Row],[Costo Unitario($)]]*Analisis_Diferecias[[#This Row],[Cantidad Total de Conteos]]</f>
        <v>0</v>
      </c>
      <c r="O161" s="18">
        <f>Analisis_Diferecias[[#This Row],[Costo Unitario($)]]*Analisis_Diferecias[[#This Row],[Cantidad]]</f>
        <v>0</v>
      </c>
      <c r="P161" s="20">
        <f>+Analisis_Diferecias[[#This Row],[Valor Total Contado]]-Analisis_Diferecias[[#This Row],[Costo Total Sistema]]</f>
        <v>0</v>
      </c>
      <c r="Q1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2" spans="1:17" x14ac:dyDescent="0.2">
      <c r="A162">
        <v>14029</v>
      </c>
      <c r="B162" t="s">
        <v>297</v>
      </c>
      <c r="C162" t="s">
        <v>298</v>
      </c>
      <c r="D162">
        <v>1</v>
      </c>
      <c r="E162" s="12">
        <f>SUMIFS('Consolidado conteo 1'!$F:$F,'Consolidado conteo 1'!$C:$C,Analisis_Diferecias[[#This Row],[ID]],'Consolidado conteo 1'!$I:$I,Analisis_Diferecias[[#Headers],[Primer Conteo]])</f>
        <v>0</v>
      </c>
      <c r="F162" s="12">
        <f>SUMIFS('Consolidado conteo 2'!$F:$F,'Consolidado conteo 2'!$C:$C,Analisis_Diferecias[[#This Row],[ID]],'Consolidado conteo 2'!$I:$I,Analisis_Diferecias[[#Headers],[Segundo Conteo]])</f>
        <v>0</v>
      </c>
      <c r="G162" s="12">
        <f>+Analisis_Diferecias[[#This Row],[Segundo Conteo]]-(Analisis_Diferecias[[#This Row],[Primer Conteo]])</f>
        <v>0</v>
      </c>
      <c r="H16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2" s="12">
        <f>SUMIFS(Analisis_Diferecias_Tercer_conteo[Tercer_conteo],Analisis_Diferecias_Tercer_conteo[ID],Analisis_Diferecias[[#This Row],[ID]])</f>
        <v>0</v>
      </c>
      <c r="J162" s="12">
        <f>IF(Analisis_Diferecias[[#This Row],[Tipo de incidencia]]="OK",Analisis_Diferecias[[#This Row],[Segundo Conteo]],Analisis_Diferecias[[#This Row],[Tercer Conteo]])</f>
        <v>0</v>
      </c>
      <c r="K162" s="12">
        <f>+(Analisis_Diferecias[[#This Row],[Cantidad Total de Conteos]]-(Analisis_Diferecias[[#This Row],[Cantidad]]))</f>
        <v>-1</v>
      </c>
      <c r="L1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2" s="18"/>
      <c r="N162" s="18">
        <f>Analisis_Diferecias[[#This Row],[Costo Unitario($)]]*Analisis_Diferecias[[#This Row],[Cantidad Total de Conteos]]</f>
        <v>0</v>
      </c>
      <c r="O162" s="18">
        <f>Analisis_Diferecias[[#This Row],[Costo Unitario($)]]*Analisis_Diferecias[[#This Row],[Cantidad]]</f>
        <v>0</v>
      </c>
      <c r="P162" s="20">
        <f>+Analisis_Diferecias[[#This Row],[Valor Total Contado]]-Analisis_Diferecias[[#This Row],[Costo Total Sistema]]</f>
        <v>0</v>
      </c>
      <c r="Q1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3" spans="1:17" x14ac:dyDescent="0.2">
      <c r="A163">
        <v>10360</v>
      </c>
      <c r="B163" t="s">
        <v>299</v>
      </c>
      <c r="C163" t="s">
        <v>300</v>
      </c>
      <c r="D163">
        <v>1</v>
      </c>
      <c r="E163" s="12">
        <f>SUMIFS('Consolidado conteo 1'!$F:$F,'Consolidado conteo 1'!$C:$C,Analisis_Diferecias[[#This Row],[ID]],'Consolidado conteo 1'!$I:$I,Analisis_Diferecias[[#Headers],[Primer Conteo]])</f>
        <v>0</v>
      </c>
      <c r="F163" s="12">
        <f>SUMIFS('Consolidado conteo 2'!$F:$F,'Consolidado conteo 2'!$C:$C,Analisis_Diferecias[[#This Row],[ID]],'Consolidado conteo 2'!$I:$I,Analisis_Diferecias[[#Headers],[Segundo Conteo]])</f>
        <v>0</v>
      </c>
      <c r="G163" s="12">
        <f>+Analisis_Diferecias[[#This Row],[Segundo Conteo]]-(Analisis_Diferecias[[#This Row],[Primer Conteo]])</f>
        <v>0</v>
      </c>
      <c r="H16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3" s="12">
        <f>SUMIFS(Analisis_Diferecias_Tercer_conteo[Tercer_conteo],Analisis_Diferecias_Tercer_conteo[ID],Analisis_Diferecias[[#This Row],[ID]])</f>
        <v>0</v>
      </c>
      <c r="J163" s="12">
        <f>IF(Analisis_Diferecias[[#This Row],[Tipo de incidencia]]="OK",Analisis_Diferecias[[#This Row],[Segundo Conteo]],Analisis_Diferecias[[#This Row],[Tercer Conteo]])</f>
        <v>0</v>
      </c>
      <c r="K163" s="12">
        <f>+(Analisis_Diferecias[[#This Row],[Cantidad Total de Conteos]]-(Analisis_Diferecias[[#This Row],[Cantidad]]))</f>
        <v>-1</v>
      </c>
      <c r="L1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3" s="18"/>
      <c r="N163" s="18">
        <f>Analisis_Diferecias[[#This Row],[Costo Unitario($)]]*Analisis_Diferecias[[#This Row],[Cantidad Total de Conteos]]</f>
        <v>0</v>
      </c>
      <c r="O163" s="18">
        <f>Analisis_Diferecias[[#This Row],[Costo Unitario($)]]*Analisis_Diferecias[[#This Row],[Cantidad]]</f>
        <v>0</v>
      </c>
      <c r="P163" s="20">
        <f>+Analisis_Diferecias[[#This Row],[Valor Total Contado]]-Analisis_Diferecias[[#This Row],[Costo Total Sistema]]</f>
        <v>0</v>
      </c>
      <c r="Q1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4" spans="1:17" x14ac:dyDescent="0.2">
      <c r="A164">
        <v>10410</v>
      </c>
      <c r="B164" t="s">
        <v>301</v>
      </c>
      <c r="C164" t="s">
        <v>302</v>
      </c>
      <c r="D164">
        <v>1</v>
      </c>
      <c r="E164" s="12">
        <f>SUMIFS('Consolidado conteo 1'!$F:$F,'Consolidado conteo 1'!$C:$C,Analisis_Diferecias[[#This Row],[ID]],'Consolidado conteo 1'!$I:$I,Analisis_Diferecias[[#Headers],[Primer Conteo]])</f>
        <v>0</v>
      </c>
      <c r="F164" s="12">
        <f>SUMIFS('Consolidado conteo 2'!$F:$F,'Consolidado conteo 2'!$C:$C,Analisis_Diferecias[[#This Row],[ID]],'Consolidado conteo 2'!$I:$I,Analisis_Diferecias[[#Headers],[Segundo Conteo]])</f>
        <v>0</v>
      </c>
      <c r="G164" s="12">
        <f>+Analisis_Diferecias[[#This Row],[Segundo Conteo]]-(Analisis_Diferecias[[#This Row],[Primer Conteo]])</f>
        <v>0</v>
      </c>
      <c r="H16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4" s="12">
        <f>SUMIFS(Analisis_Diferecias_Tercer_conteo[Tercer_conteo],Analisis_Diferecias_Tercer_conteo[ID],Analisis_Diferecias[[#This Row],[ID]])</f>
        <v>0</v>
      </c>
      <c r="J164" s="12">
        <f>IF(Analisis_Diferecias[[#This Row],[Tipo de incidencia]]="OK",Analisis_Diferecias[[#This Row],[Segundo Conteo]],Analisis_Diferecias[[#This Row],[Tercer Conteo]])</f>
        <v>0</v>
      </c>
      <c r="K164" s="12">
        <f>+(Analisis_Diferecias[[#This Row],[Cantidad Total de Conteos]]-(Analisis_Diferecias[[#This Row],[Cantidad]]))</f>
        <v>-1</v>
      </c>
      <c r="L1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4" s="18"/>
      <c r="N164" s="18">
        <f>Analisis_Diferecias[[#This Row],[Costo Unitario($)]]*Analisis_Diferecias[[#This Row],[Cantidad Total de Conteos]]</f>
        <v>0</v>
      </c>
      <c r="O164" s="18">
        <f>Analisis_Diferecias[[#This Row],[Costo Unitario($)]]*Analisis_Diferecias[[#This Row],[Cantidad]]</f>
        <v>0</v>
      </c>
      <c r="P164" s="20">
        <f>+Analisis_Diferecias[[#This Row],[Valor Total Contado]]-Analisis_Diferecias[[#This Row],[Costo Total Sistema]]</f>
        <v>0</v>
      </c>
      <c r="Q1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5" spans="1:17" x14ac:dyDescent="0.2">
      <c r="A165">
        <v>10430</v>
      </c>
      <c r="B165" t="s">
        <v>303</v>
      </c>
      <c r="C165" t="s">
        <v>304</v>
      </c>
      <c r="D165">
        <v>1</v>
      </c>
      <c r="E165" s="12">
        <f>SUMIFS('Consolidado conteo 1'!$F:$F,'Consolidado conteo 1'!$C:$C,Analisis_Diferecias[[#This Row],[ID]],'Consolidado conteo 1'!$I:$I,Analisis_Diferecias[[#Headers],[Primer Conteo]])</f>
        <v>0</v>
      </c>
      <c r="F165" s="12">
        <f>SUMIFS('Consolidado conteo 2'!$F:$F,'Consolidado conteo 2'!$C:$C,Analisis_Diferecias[[#This Row],[ID]],'Consolidado conteo 2'!$I:$I,Analisis_Diferecias[[#Headers],[Segundo Conteo]])</f>
        <v>0</v>
      </c>
      <c r="G165" s="12">
        <f>+Analisis_Diferecias[[#This Row],[Segundo Conteo]]-(Analisis_Diferecias[[#This Row],[Primer Conteo]])</f>
        <v>0</v>
      </c>
      <c r="H16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5" s="12">
        <f>SUMIFS(Analisis_Diferecias_Tercer_conteo[Tercer_conteo],Analisis_Diferecias_Tercer_conteo[ID],Analisis_Diferecias[[#This Row],[ID]])</f>
        <v>0</v>
      </c>
      <c r="J165" s="12">
        <f>IF(Analisis_Diferecias[[#This Row],[Tipo de incidencia]]="OK",Analisis_Diferecias[[#This Row],[Segundo Conteo]],Analisis_Diferecias[[#This Row],[Tercer Conteo]])</f>
        <v>0</v>
      </c>
      <c r="K165" s="12">
        <f>+(Analisis_Diferecias[[#This Row],[Cantidad Total de Conteos]]-(Analisis_Diferecias[[#This Row],[Cantidad]]))</f>
        <v>-1</v>
      </c>
      <c r="L1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5" s="18"/>
      <c r="N165" s="18">
        <f>Analisis_Diferecias[[#This Row],[Costo Unitario($)]]*Analisis_Diferecias[[#This Row],[Cantidad Total de Conteos]]</f>
        <v>0</v>
      </c>
      <c r="O165" s="18">
        <f>Analisis_Diferecias[[#This Row],[Costo Unitario($)]]*Analisis_Diferecias[[#This Row],[Cantidad]]</f>
        <v>0</v>
      </c>
      <c r="P165" s="20">
        <f>+Analisis_Diferecias[[#This Row],[Valor Total Contado]]-Analisis_Diferecias[[#This Row],[Costo Total Sistema]]</f>
        <v>0</v>
      </c>
      <c r="Q1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6" spans="1:17" x14ac:dyDescent="0.2">
      <c r="A166">
        <v>10448</v>
      </c>
      <c r="B166" t="s">
        <v>305</v>
      </c>
      <c r="C166" t="s">
        <v>306</v>
      </c>
      <c r="D166">
        <v>1</v>
      </c>
      <c r="E166" s="12">
        <f>SUMIFS('Consolidado conteo 1'!$F:$F,'Consolidado conteo 1'!$C:$C,Analisis_Diferecias[[#This Row],[ID]],'Consolidado conteo 1'!$I:$I,Analisis_Diferecias[[#Headers],[Primer Conteo]])</f>
        <v>0</v>
      </c>
      <c r="F166" s="12">
        <f>SUMIFS('Consolidado conteo 2'!$F:$F,'Consolidado conteo 2'!$C:$C,Analisis_Diferecias[[#This Row],[ID]],'Consolidado conteo 2'!$I:$I,Analisis_Diferecias[[#Headers],[Segundo Conteo]])</f>
        <v>0</v>
      </c>
      <c r="G166" s="12">
        <f>+Analisis_Diferecias[[#This Row],[Segundo Conteo]]-(Analisis_Diferecias[[#This Row],[Primer Conteo]])</f>
        <v>0</v>
      </c>
      <c r="H16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6" s="12">
        <f>SUMIFS(Analisis_Diferecias_Tercer_conteo[Tercer_conteo],Analisis_Diferecias_Tercer_conteo[ID],Analisis_Diferecias[[#This Row],[ID]])</f>
        <v>0</v>
      </c>
      <c r="J166" s="12">
        <f>IF(Analisis_Diferecias[[#This Row],[Tipo de incidencia]]="OK",Analisis_Diferecias[[#This Row],[Segundo Conteo]],Analisis_Diferecias[[#This Row],[Tercer Conteo]])</f>
        <v>0</v>
      </c>
      <c r="K166" s="12">
        <f>+(Analisis_Diferecias[[#This Row],[Cantidad Total de Conteos]]-(Analisis_Diferecias[[#This Row],[Cantidad]]))</f>
        <v>-1</v>
      </c>
      <c r="L1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6" s="18"/>
      <c r="N166" s="18">
        <f>Analisis_Diferecias[[#This Row],[Costo Unitario($)]]*Analisis_Diferecias[[#This Row],[Cantidad Total de Conteos]]</f>
        <v>0</v>
      </c>
      <c r="O166" s="18">
        <f>Analisis_Diferecias[[#This Row],[Costo Unitario($)]]*Analisis_Diferecias[[#This Row],[Cantidad]]</f>
        <v>0</v>
      </c>
      <c r="P166" s="20">
        <f>+Analisis_Diferecias[[#This Row],[Valor Total Contado]]-Analisis_Diferecias[[#This Row],[Costo Total Sistema]]</f>
        <v>0</v>
      </c>
      <c r="Q1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7" spans="1:17" x14ac:dyDescent="0.2">
      <c r="A167">
        <v>10438</v>
      </c>
      <c r="B167" t="s">
        <v>307</v>
      </c>
      <c r="C167" t="s">
        <v>308</v>
      </c>
      <c r="D167">
        <v>1</v>
      </c>
      <c r="E167" s="12">
        <f>SUMIFS('Consolidado conteo 1'!$F:$F,'Consolidado conteo 1'!$C:$C,Analisis_Diferecias[[#This Row],[ID]],'Consolidado conteo 1'!$I:$I,Analisis_Diferecias[[#Headers],[Primer Conteo]])</f>
        <v>0</v>
      </c>
      <c r="F167" s="12">
        <f>SUMIFS('Consolidado conteo 2'!$F:$F,'Consolidado conteo 2'!$C:$C,Analisis_Diferecias[[#This Row],[ID]],'Consolidado conteo 2'!$I:$I,Analisis_Diferecias[[#Headers],[Segundo Conteo]])</f>
        <v>0</v>
      </c>
      <c r="G167" s="12">
        <f>+Analisis_Diferecias[[#This Row],[Segundo Conteo]]-(Analisis_Diferecias[[#This Row],[Primer Conteo]])</f>
        <v>0</v>
      </c>
      <c r="H16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7" s="12">
        <f>SUMIFS(Analisis_Diferecias_Tercer_conteo[Tercer_conteo],Analisis_Diferecias_Tercer_conteo[ID],Analisis_Diferecias[[#This Row],[ID]])</f>
        <v>0</v>
      </c>
      <c r="J167" s="12">
        <f>IF(Analisis_Diferecias[[#This Row],[Tipo de incidencia]]="OK",Analisis_Diferecias[[#This Row],[Segundo Conteo]],Analisis_Diferecias[[#This Row],[Tercer Conteo]])</f>
        <v>0</v>
      </c>
      <c r="K167" s="12">
        <f>+(Analisis_Diferecias[[#This Row],[Cantidad Total de Conteos]]-(Analisis_Diferecias[[#This Row],[Cantidad]]))</f>
        <v>-1</v>
      </c>
      <c r="L1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7" s="18"/>
      <c r="N167" s="18">
        <f>Analisis_Diferecias[[#This Row],[Costo Unitario($)]]*Analisis_Diferecias[[#This Row],[Cantidad Total de Conteos]]</f>
        <v>0</v>
      </c>
      <c r="O167" s="18">
        <f>Analisis_Diferecias[[#This Row],[Costo Unitario($)]]*Analisis_Diferecias[[#This Row],[Cantidad]]</f>
        <v>0</v>
      </c>
      <c r="P167" s="20">
        <f>+Analisis_Diferecias[[#This Row],[Valor Total Contado]]-Analisis_Diferecias[[#This Row],[Costo Total Sistema]]</f>
        <v>0</v>
      </c>
      <c r="Q1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8" spans="1:17" x14ac:dyDescent="0.2">
      <c r="A168">
        <v>14036</v>
      </c>
      <c r="B168" t="s">
        <v>309</v>
      </c>
      <c r="C168" t="s">
        <v>310</v>
      </c>
      <c r="D168">
        <v>1</v>
      </c>
      <c r="E168" s="12">
        <f>SUMIFS('Consolidado conteo 1'!$F:$F,'Consolidado conteo 1'!$C:$C,Analisis_Diferecias[[#This Row],[ID]],'Consolidado conteo 1'!$I:$I,Analisis_Diferecias[[#Headers],[Primer Conteo]])</f>
        <v>0</v>
      </c>
      <c r="F168" s="12">
        <f>SUMIFS('Consolidado conteo 2'!$F:$F,'Consolidado conteo 2'!$C:$C,Analisis_Diferecias[[#This Row],[ID]],'Consolidado conteo 2'!$I:$I,Analisis_Diferecias[[#Headers],[Segundo Conteo]])</f>
        <v>0</v>
      </c>
      <c r="G168" s="12">
        <f>+Analisis_Diferecias[[#This Row],[Segundo Conteo]]-(Analisis_Diferecias[[#This Row],[Primer Conteo]])</f>
        <v>0</v>
      </c>
      <c r="H16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8" s="12">
        <f>SUMIFS(Analisis_Diferecias_Tercer_conteo[Tercer_conteo],Analisis_Diferecias_Tercer_conteo[ID],Analisis_Diferecias[[#This Row],[ID]])</f>
        <v>0</v>
      </c>
      <c r="J168" s="12">
        <f>IF(Analisis_Diferecias[[#This Row],[Tipo de incidencia]]="OK",Analisis_Diferecias[[#This Row],[Segundo Conteo]],Analisis_Diferecias[[#This Row],[Tercer Conteo]])</f>
        <v>0</v>
      </c>
      <c r="K168" s="12">
        <f>+(Analisis_Diferecias[[#This Row],[Cantidad Total de Conteos]]-(Analisis_Diferecias[[#This Row],[Cantidad]]))</f>
        <v>-1</v>
      </c>
      <c r="L1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8" s="18"/>
      <c r="N168" s="18">
        <f>Analisis_Diferecias[[#This Row],[Costo Unitario($)]]*Analisis_Diferecias[[#This Row],[Cantidad Total de Conteos]]</f>
        <v>0</v>
      </c>
      <c r="O168" s="18">
        <f>Analisis_Diferecias[[#This Row],[Costo Unitario($)]]*Analisis_Diferecias[[#This Row],[Cantidad]]</f>
        <v>0</v>
      </c>
      <c r="P168" s="20">
        <f>+Analisis_Diferecias[[#This Row],[Valor Total Contado]]-Analisis_Diferecias[[#This Row],[Costo Total Sistema]]</f>
        <v>0</v>
      </c>
      <c r="Q1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69" spans="1:17" x14ac:dyDescent="0.2">
      <c r="A169">
        <v>14037</v>
      </c>
      <c r="B169" t="s">
        <v>311</v>
      </c>
      <c r="C169" t="s">
        <v>312</v>
      </c>
      <c r="D169">
        <v>1</v>
      </c>
      <c r="E169" s="12">
        <f>SUMIFS('Consolidado conteo 1'!$F:$F,'Consolidado conteo 1'!$C:$C,Analisis_Diferecias[[#This Row],[ID]],'Consolidado conteo 1'!$I:$I,Analisis_Diferecias[[#Headers],[Primer Conteo]])</f>
        <v>0</v>
      </c>
      <c r="F169" s="12">
        <f>SUMIFS('Consolidado conteo 2'!$F:$F,'Consolidado conteo 2'!$C:$C,Analisis_Diferecias[[#This Row],[ID]],'Consolidado conteo 2'!$I:$I,Analisis_Diferecias[[#Headers],[Segundo Conteo]])</f>
        <v>0</v>
      </c>
      <c r="G169" s="12">
        <f>+Analisis_Diferecias[[#This Row],[Segundo Conteo]]-(Analisis_Diferecias[[#This Row],[Primer Conteo]])</f>
        <v>0</v>
      </c>
      <c r="H16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69" s="12">
        <f>SUMIFS(Analisis_Diferecias_Tercer_conteo[Tercer_conteo],Analisis_Diferecias_Tercer_conteo[ID],Analisis_Diferecias[[#This Row],[ID]])</f>
        <v>0</v>
      </c>
      <c r="J169" s="12">
        <f>IF(Analisis_Diferecias[[#This Row],[Tipo de incidencia]]="OK",Analisis_Diferecias[[#This Row],[Segundo Conteo]],Analisis_Diferecias[[#This Row],[Tercer Conteo]])</f>
        <v>0</v>
      </c>
      <c r="K169" s="12">
        <f>+(Analisis_Diferecias[[#This Row],[Cantidad Total de Conteos]]-(Analisis_Diferecias[[#This Row],[Cantidad]]))</f>
        <v>-1</v>
      </c>
      <c r="L1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69" s="18"/>
      <c r="N169" s="18">
        <f>Analisis_Diferecias[[#This Row],[Costo Unitario($)]]*Analisis_Diferecias[[#This Row],[Cantidad Total de Conteos]]</f>
        <v>0</v>
      </c>
      <c r="O169" s="18">
        <f>Analisis_Diferecias[[#This Row],[Costo Unitario($)]]*Analisis_Diferecias[[#This Row],[Cantidad]]</f>
        <v>0</v>
      </c>
      <c r="P169" s="20">
        <f>+Analisis_Diferecias[[#This Row],[Valor Total Contado]]-Analisis_Diferecias[[#This Row],[Costo Total Sistema]]</f>
        <v>0</v>
      </c>
      <c r="Q1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0" spans="1:17" x14ac:dyDescent="0.2">
      <c r="A170">
        <v>14038</v>
      </c>
      <c r="B170" t="s">
        <v>313</v>
      </c>
      <c r="C170" t="s">
        <v>314</v>
      </c>
      <c r="D170">
        <v>1</v>
      </c>
      <c r="E170" s="12">
        <f>SUMIFS('Consolidado conteo 1'!$F:$F,'Consolidado conteo 1'!$C:$C,Analisis_Diferecias[[#This Row],[ID]],'Consolidado conteo 1'!$I:$I,Analisis_Diferecias[[#Headers],[Primer Conteo]])</f>
        <v>0</v>
      </c>
      <c r="F170" s="12">
        <f>SUMIFS('Consolidado conteo 2'!$F:$F,'Consolidado conteo 2'!$C:$C,Analisis_Diferecias[[#This Row],[ID]],'Consolidado conteo 2'!$I:$I,Analisis_Diferecias[[#Headers],[Segundo Conteo]])</f>
        <v>0</v>
      </c>
      <c r="G170" s="12">
        <f>+Analisis_Diferecias[[#This Row],[Segundo Conteo]]-(Analisis_Diferecias[[#This Row],[Primer Conteo]])</f>
        <v>0</v>
      </c>
      <c r="H17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0" s="12">
        <f>SUMIFS(Analisis_Diferecias_Tercer_conteo[Tercer_conteo],Analisis_Diferecias_Tercer_conteo[ID],Analisis_Diferecias[[#This Row],[ID]])</f>
        <v>0</v>
      </c>
      <c r="J170" s="12">
        <f>IF(Analisis_Diferecias[[#This Row],[Tipo de incidencia]]="OK",Analisis_Diferecias[[#This Row],[Segundo Conteo]],Analisis_Diferecias[[#This Row],[Tercer Conteo]])</f>
        <v>0</v>
      </c>
      <c r="K170" s="12">
        <f>+(Analisis_Diferecias[[#This Row],[Cantidad Total de Conteos]]-(Analisis_Diferecias[[#This Row],[Cantidad]]))</f>
        <v>-1</v>
      </c>
      <c r="L1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0" s="18"/>
      <c r="N170" s="18">
        <f>Analisis_Diferecias[[#This Row],[Costo Unitario($)]]*Analisis_Diferecias[[#This Row],[Cantidad Total de Conteos]]</f>
        <v>0</v>
      </c>
      <c r="O170" s="18">
        <f>Analisis_Diferecias[[#This Row],[Costo Unitario($)]]*Analisis_Diferecias[[#This Row],[Cantidad]]</f>
        <v>0</v>
      </c>
      <c r="P170" s="20">
        <f>+Analisis_Diferecias[[#This Row],[Valor Total Contado]]-Analisis_Diferecias[[#This Row],[Costo Total Sistema]]</f>
        <v>0</v>
      </c>
      <c r="Q1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1" spans="1:17" x14ac:dyDescent="0.2">
      <c r="A171">
        <v>13604</v>
      </c>
      <c r="B171" t="s">
        <v>315</v>
      </c>
      <c r="C171" t="s">
        <v>316</v>
      </c>
      <c r="D171">
        <v>1</v>
      </c>
      <c r="E171" s="12">
        <f>SUMIFS('Consolidado conteo 1'!$F:$F,'Consolidado conteo 1'!$C:$C,Analisis_Diferecias[[#This Row],[ID]],'Consolidado conteo 1'!$I:$I,Analisis_Diferecias[[#Headers],[Primer Conteo]])</f>
        <v>0</v>
      </c>
      <c r="F171" s="12">
        <f>SUMIFS('Consolidado conteo 2'!$F:$F,'Consolidado conteo 2'!$C:$C,Analisis_Diferecias[[#This Row],[ID]],'Consolidado conteo 2'!$I:$I,Analisis_Diferecias[[#Headers],[Segundo Conteo]])</f>
        <v>0</v>
      </c>
      <c r="G171" s="12">
        <f>+Analisis_Diferecias[[#This Row],[Segundo Conteo]]-(Analisis_Diferecias[[#This Row],[Primer Conteo]])</f>
        <v>0</v>
      </c>
      <c r="H17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1" s="12">
        <f>SUMIFS(Analisis_Diferecias_Tercer_conteo[Tercer_conteo],Analisis_Diferecias_Tercer_conteo[ID],Analisis_Diferecias[[#This Row],[ID]])</f>
        <v>0</v>
      </c>
      <c r="J171" s="12">
        <f>IF(Analisis_Diferecias[[#This Row],[Tipo de incidencia]]="OK",Analisis_Diferecias[[#This Row],[Segundo Conteo]],Analisis_Diferecias[[#This Row],[Tercer Conteo]])</f>
        <v>0</v>
      </c>
      <c r="K171" s="12">
        <f>+(Analisis_Diferecias[[#This Row],[Cantidad Total de Conteos]]-(Analisis_Diferecias[[#This Row],[Cantidad]]))</f>
        <v>-1</v>
      </c>
      <c r="L1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1" s="18"/>
      <c r="N171" s="18">
        <f>Analisis_Diferecias[[#This Row],[Costo Unitario($)]]*Analisis_Diferecias[[#This Row],[Cantidad Total de Conteos]]</f>
        <v>0</v>
      </c>
      <c r="O171" s="18">
        <f>Analisis_Diferecias[[#This Row],[Costo Unitario($)]]*Analisis_Diferecias[[#This Row],[Cantidad]]</f>
        <v>0</v>
      </c>
      <c r="P171" s="20">
        <f>+Analisis_Diferecias[[#This Row],[Valor Total Contado]]-Analisis_Diferecias[[#This Row],[Costo Total Sistema]]</f>
        <v>0</v>
      </c>
      <c r="Q1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2" spans="1:17" x14ac:dyDescent="0.2">
      <c r="A172">
        <v>14088</v>
      </c>
      <c r="B172" t="s">
        <v>317</v>
      </c>
      <c r="C172" t="s">
        <v>318</v>
      </c>
      <c r="D172">
        <v>1</v>
      </c>
      <c r="E172" s="12">
        <f>SUMIFS('Consolidado conteo 1'!$F:$F,'Consolidado conteo 1'!$C:$C,Analisis_Diferecias[[#This Row],[ID]],'Consolidado conteo 1'!$I:$I,Analisis_Diferecias[[#Headers],[Primer Conteo]])</f>
        <v>0</v>
      </c>
      <c r="F172" s="12">
        <f>SUMIFS('Consolidado conteo 2'!$F:$F,'Consolidado conteo 2'!$C:$C,Analisis_Diferecias[[#This Row],[ID]],'Consolidado conteo 2'!$I:$I,Analisis_Diferecias[[#Headers],[Segundo Conteo]])</f>
        <v>0</v>
      </c>
      <c r="G172" s="12">
        <f>+Analisis_Diferecias[[#This Row],[Segundo Conteo]]-(Analisis_Diferecias[[#This Row],[Primer Conteo]])</f>
        <v>0</v>
      </c>
      <c r="H17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2" s="12">
        <f>SUMIFS(Analisis_Diferecias_Tercer_conteo[Tercer_conteo],Analisis_Diferecias_Tercer_conteo[ID],Analisis_Diferecias[[#This Row],[ID]])</f>
        <v>0</v>
      </c>
      <c r="J172" s="12">
        <f>IF(Analisis_Diferecias[[#This Row],[Tipo de incidencia]]="OK",Analisis_Diferecias[[#This Row],[Segundo Conteo]],Analisis_Diferecias[[#This Row],[Tercer Conteo]])</f>
        <v>0</v>
      </c>
      <c r="K172" s="12">
        <f>+(Analisis_Diferecias[[#This Row],[Cantidad Total de Conteos]]-(Analisis_Diferecias[[#This Row],[Cantidad]]))</f>
        <v>-1</v>
      </c>
      <c r="L1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2" s="18"/>
      <c r="N172" s="18">
        <f>Analisis_Diferecias[[#This Row],[Costo Unitario($)]]*Analisis_Diferecias[[#This Row],[Cantidad Total de Conteos]]</f>
        <v>0</v>
      </c>
      <c r="O172" s="18">
        <f>Analisis_Diferecias[[#This Row],[Costo Unitario($)]]*Analisis_Diferecias[[#This Row],[Cantidad]]</f>
        <v>0</v>
      </c>
      <c r="P172" s="20">
        <f>+Analisis_Diferecias[[#This Row],[Valor Total Contado]]-Analisis_Diferecias[[#This Row],[Costo Total Sistema]]</f>
        <v>0</v>
      </c>
      <c r="Q1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3" spans="1:17" x14ac:dyDescent="0.2">
      <c r="A173">
        <v>9582</v>
      </c>
      <c r="B173" t="s">
        <v>319</v>
      </c>
      <c r="C173" t="s">
        <v>320</v>
      </c>
      <c r="D173">
        <v>1</v>
      </c>
      <c r="E173" s="12">
        <f>SUMIFS('Consolidado conteo 1'!$F:$F,'Consolidado conteo 1'!$C:$C,Analisis_Diferecias[[#This Row],[ID]],'Consolidado conteo 1'!$I:$I,Analisis_Diferecias[[#Headers],[Primer Conteo]])</f>
        <v>0</v>
      </c>
      <c r="F173" s="12">
        <f>SUMIFS('Consolidado conteo 2'!$F:$F,'Consolidado conteo 2'!$C:$C,Analisis_Diferecias[[#This Row],[ID]],'Consolidado conteo 2'!$I:$I,Analisis_Diferecias[[#Headers],[Segundo Conteo]])</f>
        <v>0</v>
      </c>
      <c r="G173" s="12">
        <f>+Analisis_Diferecias[[#This Row],[Segundo Conteo]]-(Analisis_Diferecias[[#This Row],[Primer Conteo]])</f>
        <v>0</v>
      </c>
      <c r="H17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3" s="12">
        <f>SUMIFS(Analisis_Diferecias_Tercer_conteo[Tercer_conteo],Analisis_Diferecias_Tercer_conteo[ID],Analisis_Diferecias[[#This Row],[ID]])</f>
        <v>0</v>
      </c>
      <c r="J173" s="12">
        <f>IF(Analisis_Diferecias[[#This Row],[Tipo de incidencia]]="OK",Analisis_Diferecias[[#This Row],[Segundo Conteo]],Analisis_Diferecias[[#This Row],[Tercer Conteo]])</f>
        <v>0</v>
      </c>
      <c r="K173" s="12">
        <f>+(Analisis_Diferecias[[#This Row],[Cantidad Total de Conteos]]-(Analisis_Diferecias[[#This Row],[Cantidad]]))</f>
        <v>-1</v>
      </c>
      <c r="L1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3" s="18"/>
      <c r="N173" s="18">
        <f>Analisis_Diferecias[[#This Row],[Costo Unitario($)]]*Analisis_Diferecias[[#This Row],[Cantidad Total de Conteos]]</f>
        <v>0</v>
      </c>
      <c r="O173" s="18">
        <f>Analisis_Diferecias[[#This Row],[Costo Unitario($)]]*Analisis_Diferecias[[#This Row],[Cantidad]]</f>
        <v>0</v>
      </c>
      <c r="P173" s="20">
        <f>+Analisis_Diferecias[[#This Row],[Valor Total Contado]]-Analisis_Diferecias[[#This Row],[Costo Total Sistema]]</f>
        <v>0</v>
      </c>
      <c r="Q1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4" spans="1:17" x14ac:dyDescent="0.2">
      <c r="A174">
        <v>14057</v>
      </c>
      <c r="B174" t="s">
        <v>321</v>
      </c>
      <c r="C174" t="s">
        <v>322</v>
      </c>
      <c r="D174">
        <v>1</v>
      </c>
      <c r="E174" s="12">
        <f>SUMIFS('Consolidado conteo 1'!$F:$F,'Consolidado conteo 1'!$C:$C,Analisis_Diferecias[[#This Row],[ID]],'Consolidado conteo 1'!$I:$I,Analisis_Diferecias[[#Headers],[Primer Conteo]])</f>
        <v>0</v>
      </c>
      <c r="F174" s="12">
        <f>SUMIFS('Consolidado conteo 2'!$F:$F,'Consolidado conteo 2'!$C:$C,Analisis_Diferecias[[#This Row],[ID]],'Consolidado conteo 2'!$I:$I,Analisis_Diferecias[[#Headers],[Segundo Conteo]])</f>
        <v>0</v>
      </c>
      <c r="G174" s="12">
        <f>+Analisis_Diferecias[[#This Row],[Segundo Conteo]]-(Analisis_Diferecias[[#This Row],[Primer Conteo]])</f>
        <v>0</v>
      </c>
      <c r="H17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4" s="12">
        <f>SUMIFS(Analisis_Diferecias_Tercer_conteo[Tercer_conteo],Analisis_Diferecias_Tercer_conteo[ID],Analisis_Diferecias[[#This Row],[ID]])</f>
        <v>0</v>
      </c>
      <c r="J174" s="12">
        <f>IF(Analisis_Diferecias[[#This Row],[Tipo de incidencia]]="OK",Analisis_Diferecias[[#This Row],[Segundo Conteo]],Analisis_Diferecias[[#This Row],[Tercer Conteo]])</f>
        <v>0</v>
      </c>
      <c r="K174" s="12">
        <f>+(Analisis_Diferecias[[#This Row],[Cantidad Total de Conteos]]-(Analisis_Diferecias[[#This Row],[Cantidad]]))</f>
        <v>-1</v>
      </c>
      <c r="L1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4" s="18"/>
      <c r="N174" s="18">
        <f>Analisis_Diferecias[[#This Row],[Costo Unitario($)]]*Analisis_Diferecias[[#This Row],[Cantidad Total de Conteos]]</f>
        <v>0</v>
      </c>
      <c r="O174" s="18">
        <f>Analisis_Diferecias[[#This Row],[Costo Unitario($)]]*Analisis_Diferecias[[#This Row],[Cantidad]]</f>
        <v>0</v>
      </c>
      <c r="P174" s="20">
        <f>+Analisis_Diferecias[[#This Row],[Valor Total Contado]]-Analisis_Diferecias[[#This Row],[Costo Total Sistema]]</f>
        <v>0</v>
      </c>
      <c r="Q1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5" spans="1:17" x14ac:dyDescent="0.2">
      <c r="A175">
        <v>10561</v>
      </c>
      <c r="B175" t="s">
        <v>323</v>
      </c>
      <c r="C175" t="s">
        <v>324</v>
      </c>
      <c r="D175">
        <v>1</v>
      </c>
      <c r="E175" s="12">
        <f>SUMIFS('Consolidado conteo 1'!$F:$F,'Consolidado conteo 1'!$C:$C,Analisis_Diferecias[[#This Row],[ID]],'Consolidado conteo 1'!$I:$I,Analisis_Diferecias[[#Headers],[Primer Conteo]])</f>
        <v>0</v>
      </c>
      <c r="F175" s="12">
        <f>SUMIFS('Consolidado conteo 2'!$F:$F,'Consolidado conteo 2'!$C:$C,Analisis_Diferecias[[#This Row],[ID]],'Consolidado conteo 2'!$I:$I,Analisis_Diferecias[[#Headers],[Segundo Conteo]])</f>
        <v>0</v>
      </c>
      <c r="G175" s="12">
        <f>+Analisis_Diferecias[[#This Row],[Segundo Conteo]]-(Analisis_Diferecias[[#This Row],[Primer Conteo]])</f>
        <v>0</v>
      </c>
      <c r="H17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5" s="12">
        <f>SUMIFS(Analisis_Diferecias_Tercer_conteo[Tercer_conteo],Analisis_Diferecias_Tercer_conteo[ID],Analisis_Diferecias[[#This Row],[ID]])</f>
        <v>0</v>
      </c>
      <c r="J175" s="12">
        <f>IF(Analisis_Diferecias[[#This Row],[Tipo de incidencia]]="OK",Analisis_Diferecias[[#This Row],[Segundo Conteo]],Analisis_Diferecias[[#This Row],[Tercer Conteo]])</f>
        <v>0</v>
      </c>
      <c r="K175" s="12">
        <f>+(Analisis_Diferecias[[#This Row],[Cantidad Total de Conteos]]-(Analisis_Diferecias[[#This Row],[Cantidad]]))</f>
        <v>-1</v>
      </c>
      <c r="L1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5" s="18"/>
      <c r="N175" s="18">
        <f>Analisis_Diferecias[[#This Row],[Costo Unitario($)]]*Analisis_Diferecias[[#This Row],[Cantidad Total de Conteos]]</f>
        <v>0</v>
      </c>
      <c r="O175" s="18">
        <f>Analisis_Diferecias[[#This Row],[Costo Unitario($)]]*Analisis_Diferecias[[#This Row],[Cantidad]]</f>
        <v>0</v>
      </c>
      <c r="P175" s="20">
        <f>+Analisis_Diferecias[[#This Row],[Valor Total Contado]]-Analisis_Diferecias[[#This Row],[Costo Total Sistema]]</f>
        <v>0</v>
      </c>
      <c r="Q1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6" spans="1:17" x14ac:dyDescent="0.2">
      <c r="A176">
        <v>13908</v>
      </c>
      <c r="B176" t="s">
        <v>325</v>
      </c>
      <c r="C176" t="s">
        <v>326</v>
      </c>
      <c r="D176">
        <v>1</v>
      </c>
      <c r="E176" s="12">
        <f>SUMIFS('Consolidado conteo 1'!$F:$F,'Consolidado conteo 1'!$C:$C,Analisis_Diferecias[[#This Row],[ID]],'Consolidado conteo 1'!$I:$I,Analisis_Diferecias[[#Headers],[Primer Conteo]])</f>
        <v>0</v>
      </c>
      <c r="F176" s="12">
        <f>SUMIFS('Consolidado conteo 2'!$F:$F,'Consolidado conteo 2'!$C:$C,Analisis_Diferecias[[#This Row],[ID]],'Consolidado conteo 2'!$I:$I,Analisis_Diferecias[[#Headers],[Segundo Conteo]])</f>
        <v>0</v>
      </c>
      <c r="G176" s="12">
        <f>+Analisis_Diferecias[[#This Row],[Segundo Conteo]]-(Analisis_Diferecias[[#This Row],[Primer Conteo]])</f>
        <v>0</v>
      </c>
      <c r="H17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6" s="12">
        <f>SUMIFS(Analisis_Diferecias_Tercer_conteo[Tercer_conteo],Analisis_Diferecias_Tercer_conteo[ID],Analisis_Diferecias[[#This Row],[ID]])</f>
        <v>0</v>
      </c>
      <c r="J176" s="12">
        <f>IF(Analisis_Diferecias[[#This Row],[Tipo de incidencia]]="OK",Analisis_Diferecias[[#This Row],[Segundo Conteo]],Analisis_Diferecias[[#This Row],[Tercer Conteo]])</f>
        <v>0</v>
      </c>
      <c r="K176" s="12">
        <f>+(Analisis_Diferecias[[#This Row],[Cantidad Total de Conteos]]-(Analisis_Diferecias[[#This Row],[Cantidad]]))</f>
        <v>-1</v>
      </c>
      <c r="L1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6" s="18"/>
      <c r="N176" s="18">
        <f>Analisis_Diferecias[[#This Row],[Costo Unitario($)]]*Analisis_Diferecias[[#This Row],[Cantidad Total de Conteos]]</f>
        <v>0</v>
      </c>
      <c r="O176" s="18">
        <f>Analisis_Diferecias[[#This Row],[Costo Unitario($)]]*Analisis_Diferecias[[#This Row],[Cantidad]]</f>
        <v>0</v>
      </c>
      <c r="P176" s="20">
        <f>+Analisis_Diferecias[[#This Row],[Valor Total Contado]]-Analisis_Diferecias[[#This Row],[Costo Total Sistema]]</f>
        <v>0</v>
      </c>
      <c r="Q1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7" spans="1:17" x14ac:dyDescent="0.2">
      <c r="A177">
        <v>11112</v>
      </c>
      <c r="B177" t="s">
        <v>327</v>
      </c>
      <c r="C177" t="s">
        <v>328</v>
      </c>
      <c r="D177">
        <v>1</v>
      </c>
      <c r="E177" s="12">
        <f>SUMIFS('Consolidado conteo 1'!$F:$F,'Consolidado conteo 1'!$C:$C,Analisis_Diferecias[[#This Row],[ID]],'Consolidado conteo 1'!$I:$I,Analisis_Diferecias[[#Headers],[Primer Conteo]])</f>
        <v>0</v>
      </c>
      <c r="F177" s="12">
        <f>SUMIFS('Consolidado conteo 2'!$F:$F,'Consolidado conteo 2'!$C:$C,Analisis_Diferecias[[#This Row],[ID]],'Consolidado conteo 2'!$I:$I,Analisis_Diferecias[[#Headers],[Segundo Conteo]])</f>
        <v>0</v>
      </c>
      <c r="G177" s="12">
        <f>+Analisis_Diferecias[[#This Row],[Segundo Conteo]]-(Analisis_Diferecias[[#This Row],[Primer Conteo]])</f>
        <v>0</v>
      </c>
      <c r="H17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7" s="12">
        <f>SUMIFS(Analisis_Diferecias_Tercer_conteo[Tercer_conteo],Analisis_Diferecias_Tercer_conteo[ID],Analisis_Diferecias[[#This Row],[ID]])</f>
        <v>0</v>
      </c>
      <c r="J177" s="12">
        <f>IF(Analisis_Diferecias[[#This Row],[Tipo de incidencia]]="OK",Analisis_Diferecias[[#This Row],[Segundo Conteo]],Analisis_Diferecias[[#This Row],[Tercer Conteo]])</f>
        <v>0</v>
      </c>
      <c r="K177" s="12">
        <f>+(Analisis_Diferecias[[#This Row],[Cantidad Total de Conteos]]-(Analisis_Diferecias[[#This Row],[Cantidad]]))</f>
        <v>-1</v>
      </c>
      <c r="L1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7" s="18"/>
      <c r="N177" s="18">
        <f>Analisis_Diferecias[[#This Row],[Costo Unitario($)]]*Analisis_Diferecias[[#This Row],[Cantidad Total de Conteos]]</f>
        <v>0</v>
      </c>
      <c r="O177" s="18">
        <f>Analisis_Diferecias[[#This Row],[Costo Unitario($)]]*Analisis_Diferecias[[#This Row],[Cantidad]]</f>
        <v>0</v>
      </c>
      <c r="P177" s="20">
        <f>+Analisis_Diferecias[[#This Row],[Valor Total Contado]]-Analisis_Diferecias[[#This Row],[Costo Total Sistema]]</f>
        <v>0</v>
      </c>
      <c r="Q1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8" spans="1:17" x14ac:dyDescent="0.2">
      <c r="A178">
        <v>7418</v>
      </c>
      <c r="B178" t="s">
        <v>329</v>
      </c>
      <c r="C178" t="s">
        <v>330</v>
      </c>
      <c r="D178">
        <v>1</v>
      </c>
      <c r="E178" s="12">
        <f>SUMIFS('Consolidado conteo 1'!$F:$F,'Consolidado conteo 1'!$C:$C,Analisis_Diferecias[[#This Row],[ID]],'Consolidado conteo 1'!$I:$I,Analisis_Diferecias[[#Headers],[Primer Conteo]])</f>
        <v>0</v>
      </c>
      <c r="F178" s="12">
        <f>SUMIFS('Consolidado conteo 2'!$F:$F,'Consolidado conteo 2'!$C:$C,Analisis_Diferecias[[#This Row],[ID]],'Consolidado conteo 2'!$I:$I,Analisis_Diferecias[[#Headers],[Segundo Conteo]])</f>
        <v>0</v>
      </c>
      <c r="G178" s="12">
        <f>+Analisis_Diferecias[[#This Row],[Segundo Conteo]]-(Analisis_Diferecias[[#This Row],[Primer Conteo]])</f>
        <v>0</v>
      </c>
      <c r="H17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8" s="12">
        <f>SUMIFS(Analisis_Diferecias_Tercer_conteo[Tercer_conteo],Analisis_Diferecias_Tercer_conteo[ID],Analisis_Diferecias[[#This Row],[ID]])</f>
        <v>0</v>
      </c>
      <c r="J178" s="12">
        <f>IF(Analisis_Diferecias[[#This Row],[Tipo de incidencia]]="OK",Analisis_Diferecias[[#This Row],[Segundo Conteo]],Analisis_Diferecias[[#This Row],[Tercer Conteo]])</f>
        <v>0</v>
      </c>
      <c r="K178" s="12">
        <f>+(Analisis_Diferecias[[#This Row],[Cantidad Total de Conteos]]-(Analisis_Diferecias[[#This Row],[Cantidad]]))</f>
        <v>-1</v>
      </c>
      <c r="L1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8" s="18"/>
      <c r="N178" s="18">
        <f>Analisis_Diferecias[[#This Row],[Costo Unitario($)]]*Analisis_Diferecias[[#This Row],[Cantidad Total de Conteos]]</f>
        <v>0</v>
      </c>
      <c r="O178" s="18">
        <f>Analisis_Diferecias[[#This Row],[Costo Unitario($)]]*Analisis_Diferecias[[#This Row],[Cantidad]]</f>
        <v>0</v>
      </c>
      <c r="P178" s="20">
        <f>+Analisis_Diferecias[[#This Row],[Valor Total Contado]]-Analisis_Diferecias[[#This Row],[Costo Total Sistema]]</f>
        <v>0</v>
      </c>
      <c r="Q1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79" spans="1:17" x14ac:dyDescent="0.2">
      <c r="A179">
        <v>7403</v>
      </c>
      <c r="B179" t="s">
        <v>331</v>
      </c>
      <c r="C179" t="s">
        <v>332</v>
      </c>
      <c r="D179">
        <v>1</v>
      </c>
      <c r="E179" s="12">
        <f>SUMIFS('Consolidado conteo 1'!$F:$F,'Consolidado conteo 1'!$C:$C,Analisis_Diferecias[[#This Row],[ID]],'Consolidado conteo 1'!$I:$I,Analisis_Diferecias[[#Headers],[Primer Conteo]])</f>
        <v>0</v>
      </c>
      <c r="F179" s="12">
        <f>SUMIFS('Consolidado conteo 2'!$F:$F,'Consolidado conteo 2'!$C:$C,Analisis_Diferecias[[#This Row],[ID]],'Consolidado conteo 2'!$I:$I,Analisis_Diferecias[[#Headers],[Segundo Conteo]])</f>
        <v>0</v>
      </c>
      <c r="G179" s="12">
        <f>+Analisis_Diferecias[[#This Row],[Segundo Conteo]]-(Analisis_Diferecias[[#This Row],[Primer Conteo]])</f>
        <v>0</v>
      </c>
      <c r="H17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79" s="12">
        <f>SUMIFS(Analisis_Diferecias_Tercer_conteo[Tercer_conteo],Analisis_Diferecias_Tercer_conteo[ID],Analisis_Diferecias[[#This Row],[ID]])</f>
        <v>0</v>
      </c>
      <c r="J179" s="12">
        <f>IF(Analisis_Diferecias[[#This Row],[Tipo de incidencia]]="OK",Analisis_Diferecias[[#This Row],[Segundo Conteo]],Analisis_Diferecias[[#This Row],[Tercer Conteo]])</f>
        <v>0</v>
      </c>
      <c r="K179" s="12">
        <f>+(Analisis_Diferecias[[#This Row],[Cantidad Total de Conteos]]-(Analisis_Diferecias[[#This Row],[Cantidad]]))</f>
        <v>-1</v>
      </c>
      <c r="L1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79" s="18"/>
      <c r="N179" s="18">
        <f>Analisis_Diferecias[[#This Row],[Costo Unitario($)]]*Analisis_Diferecias[[#This Row],[Cantidad Total de Conteos]]</f>
        <v>0</v>
      </c>
      <c r="O179" s="18">
        <f>Analisis_Diferecias[[#This Row],[Costo Unitario($)]]*Analisis_Diferecias[[#This Row],[Cantidad]]</f>
        <v>0</v>
      </c>
      <c r="P179" s="20">
        <f>+Analisis_Diferecias[[#This Row],[Valor Total Contado]]-Analisis_Diferecias[[#This Row],[Costo Total Sistema]]</f>
        <v>0</v>
      </c>
      <c r="Q1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0" spans="1:17" x14ac:dyDescent="0.2">
      <c r="A180">
        <v>3317</v>
      </c>
      <c r="B180" t="s">
        <v>333</v>
      </c>
      <c r="C180" t="s">
        <v>334</v>
      </c>
      <c r="D180">
        <v>1</v>
      </c>
      <c r="E180" s="12">
        <f>SUMIFS('Consolidado conteo 1'!$F:$F,'Consolidado conteo 1'!$C:$C,Analisis_Diferecias[[#This Row],[ID]],'Consolidado conteo 1'!$I:$I,Analisis_Diferecias[[#Headers],[Primer Conteo]])</f>
        <v>0</v>
      </c>
      <c r="F180" s="12">
        <f>SUMIFS('Consolidado conteo 2'!$F:$F,'Consolidado conteo 2'!$C:$C,Analisis_Diferecias[[#This Row],[ID]],'Consolidado conteo 2'!$I:$I,Analisis_Diferecias[[#Headers],[Segundo Conteo]])</f>
        <v>0</v>
      </c>
      <c r="G180" s="12">
        <f>+Analisis_Diferecias[[#This Row],[Segundo Conteo]]-(Analisis_Diferecias[[#This Row],[Primer Conteo]])</f>
        <v>0</v>
      </c>
      <c r="H18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0" s="12">
        <f>SUMIFS(Analisis_Diferecias_Tercer_conteo[Tercer_conteo],Analisis_Diferecias_Tercer_conteo[ID],Analisis_Diferecias[[#This Row],[ID]])</f>
        <v>0</v>
      </c>
      <c r="J180" s="12">
        <f>IF(Analisis_Diferecias[[#This Row],[Tipo de incidencia]]="OK",Analisis_Diferecias[[#This Row],[Segundo Conteo]],Analisis_Diferecias[[#This Row],[Tercer Conteo]])</f>
        <v>0</v>
      </c>
      <c r="K180" s="12">
        <f>+(Analisis_Diferecias[[#This Row],[Cantidad Total de Conteos]]-(Analisis_Diferecias[[#This Row],[Cantidad]]))</f>
        <v>-1</v>
      </c>
      <c r="L1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0" s="18"/>
      <c r="N180" s="18">
        <f>Analisis_Diferecias[[#This Row],[Costo Unitario($)]]*Analisis_Diferecias[[#This Row],[Cantidad Total de Conteos]]</f>
        <v>0</v>
      </c>
      <c r="O180" s="18">
        <f>Analisis_Diferecias[[#This Row],[Costo Unitario($)]]*Analisis_Diferecias[[#This Row],[Cantidad]]</f>
        <v>0</v>
      </c>
      <c r="P180" s="20">
        <f>+Analisis_Diferecias[[#This Row],[Valor Total Contado]]-Analisis_Diferecias[[#This Row],[Costo Total Sistema]]</f>
        <v>0</v>
      </c>
      <c r="Q1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1" spans="1:17" x14ac:dyDescent="0.2">
      <c r="A181">
        <v>13722</v>
      </c>
      <c r="B181" t="s">
        <v>335</v>
      </c>
      <c r="C181" t="s">
        <v>336</v>
      </c>
      <c r="D181">
        <v>1</v>
      </c>
      <c r="E181" s="12">
        <f>SUMIFS('Consolidado conteo 1'!$F:$F,'Consolidado conteo 1'!$C:$C,Analisis_Diferecias[[#This Row],[ID]],'Consolidado conteo 1'!$I:$I,Analisis_Diferecias[[#Headers],[Primer Conteo]])</f>
        <v>0</v>
      </c>
      <c r="F181" s="12">
        <f>SUMIFS('Consolidado conteo 2'!$F:$F,'Consolidado conteo 2'!$C:$C,Analisis_Diferecias[[#This Row],[ID]],'Consolidado conteo 2'!$I:$I,Analisis_Diferecias[[#Headers],[Segundo Conteo]])</f>
        <v>0</v>
      </c>
      <c r="G181" s="12">
        <f>+Analisis_Diferecias[[#This Row],[Segundo Conteo]]-(Analisis_Diferecias[[#This Row],[Primer Conteo]])</f>
        <v>0</v>
      </c>
      <c r="H18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1" s="12">
        <f>SUMIFS(Analisis_Diferecias_Tercer_conteo[Tercer_conteo],Analisis_Diferecias_Tercer_conteo[ID],Analisis_Diferecias[[#This Row],[ID]])</f>
        <v>0</v>
      </c>
      <c r="J181" s="12">
        <f>IF(Analisis_Diferecias[[#This Row],[Tipo de incidencia]]="OK",Analisis_Diferecias[[#This Row],[Segundo Conteo]],Analisis_Diferecias[[#This Row],[Tercer Conteo]])</f>
        <v>0</v>
      </c>
      <c r="K181" s="12">
        <f>+(Analisis_Diferecias[[#This Row],[Cantidad Total de Conteos]]-(Analisis_Diferecias[[#This Row],[Cantidad]]))</f>
        <v>-1</v>
      </c>
      <c r="L1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1" s="18"/>
      <c r="N181" s="18">
        <f>Analisis_Diferecias[[#This Row],[Costo Unitario($)]]*Analisis_Diferecias[[#This Row],[Cantidad Total de Conteos]]</f>
        <v>0</v>
      </c>
      <c r="O181" s="18">
        <f>Analisis_Diferecias[[#This Row],[Costo Unitario($)]]*Analisis_Diferecias[[#This Row],[Cantidad]]</f>
        <v>0</v>
      </c>
      <c r="P181" s="20">
        <f>+Analisis_Diferecias[[#This Row],[Valor Total Contado]]-Analisis_Diferecias[[#This Row],[Costo Total Sistema]]</f>
        <v>0</v>
      </c>
      <c r="Q1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2" spans="1:17" x14ac:dyDescent="0.2">
      <c r="A182">
        <v>6811</v>
      </c>
      <c r="B182" t="s">
        <v>337</v>
      </c>
      <c r="C182" t="s">
        <v>338</v>
      </c>
      <c r="D182">
        <v>1</v>
      </c>
      <c r="E182" s="12">
        <f>SUMIFS('Consolidado conteo 1'!$F:$F,'Consolidado conteo 1'!$C:$C,Analisis_Diferecias[[#This Row],[ID]],'Consolidado conteo 1'!$I:$I,Analisis_Diferecias[[#Headers],[Primer Conteo]])</f>
        <v>0</v>
      </c>
      <c r="F182" s="12">
        <f>SUMIFS('Consolidado conteo 2'!$F:$F,'Consolidado conteo 2'!$C:$C,Analisis_Diferecias[[#This Row],[ID]],'Consolidado conteo 2'!$I:$I,Analisis_Diferecias[[#Headers],[Segundo Conteo]])</f>
        <v>0</v>
      </c>
      <c r="G182" s="12">
        <f>+Analisis_Diferecias[[#This Row],[Segundo Conteo]]-(Analisis_Diferecias[[#This Row],[Primer Conteo]])</f>
        <v>0</v>
      </c>
      <c r="H18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2" s="12">
        <f>SUMIFS(Analisis_Diferecias_Tercer_conteo[Tercer_conteo],Analisis_Diferecias_Tercer_conteo[ID],Analisis_Diferecias[[#This Row],[ID]])</f>
        <v>0</v>
      </c>
      <c r="J182" s="12">
        <f>IF(Analisis_Diferecias[[#This Row],[Tipo de incidencia]]="OK",Analisis_Diferecias[[#This Row],[Segundo Conteo]],Analisis_Diferecias[[#This Row],[Tercer Conteo]])</f>
        <v>0</v>
      </c>
      <c r="K182" s="12">
        <f>+(Analisis_Diferecias[[#This Row],[Cantidad Total de Conteos]]-(Analisis_Diferecias[[#This Row],[Cantidad]]))</f>
        <v>-1</v>
      </c>
      <c r="L1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2" s="18"/>
      <c r="N182" s="18">
        <f>Analisis_Diferecias[[#This Row],[Costo Unitario($)]]*Analisis_Diferecias[[#This Row],[Cantidad Total de Conteos]]</f>
        <v>0</v>
      </c>
      <c r="O182" s="18">
        <f>Analisis_Diferecias[[#This Row],[Costo Unitario($)]]*Analisis_Diferecias[[#This Row],[Cantidad]]</f>
        <v>0</v>
      </c>
      <c r="P182" s="20">
        <f>+Analisis_Diferecias[[#This Row],[Valor Total Contado]]-Analisis_Diferecias[[#This Row],[Costo Total Sistema]]</f>
        <v>0</v>
      </c>
      <c r="Q1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3" spans="1:17" x14ac:dyDescent="0.2">
      <c r="A183">
        <v>9888</v>
      </c>
      <c r="B183" t="s">
        <v>339</v>
      </c>
      <c r="C183" t="s">
        <v>340</v>
      </c>
      <c r="D183">
        <v>1</v>
      </c>
      <c r="E183" s="12">
        <f>SUMIFS('Consolidado conteo 1'!$F:$F,'Consolidado conteo 1'!$C:$C,Analisis_Diferecias[[#This Row],[ID]],'Consolidado conteo 1'!$I:$I,Analisis_Diferecias[[#Headers],[Primer Conteo]])</f>
        <v>0</v>
      </c>
      <c r="F183" s="12">
        <f>SUMIFS('Consolidado conteo 2'!$F:$F,'Consolidado conteo 2'!$C:$C,Analisis_Diferecias[[#This Row],[ID]],'Consolidado conteo 2'!$I:$I,Analisis_Diferecias[[#Headers],[Segundo Conteo]])</f>
        <v>0</v>
      </c>
      <c r="G183" s="12">
        <f>+Analisis_Diferecias[[#This Row],[Segundo Conteo]]-(Analisis_Diferecias[[#This Row],[Primer Conteo]])</f>
        <v>0</v>
      </c>
      <c r="H18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3" s="12">
        <f>SUMIFS(Analisis_Diferecias_Tercer_conteo[Tercer_conteo],Analisis_Diferecias_Tercer_conteo[ID],Analisis_Diferecias[[#This Row],[ID]])</f>
        <v>0</v>
      </c>
      <c r="J183" s="12">
        <f>IF(Analisis_Diferecias[[#This Row],[Tipo de incidencia]]="OK",Analisis_Diferecias[[#This Row],[Segundo Conteo]],Analisis_Diferecias[[#This Row],[Tercer Conteo]])</f>
        <v>0</v>
      </c>
      <c r="K183" s="12">
        <f>+(Analisis_Diferecias[[#This Row],[Cantidad Total de Conteos]]-(Analisis_Diferecias[[#This Row],[Cantidad]]))</f>
        <v>-1</v>
      </c>
      <c r="L1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3" s="18"/>
      <c r="N183" s="18">
        <f>Analisis_Diferecias[[#This Row],[Costo Unitario($)]]*Analisis_Diferecias[[#This Row],[Cantidad Total de Conteos]]</f>
        <v>0</v>
      </c>
      <c r="O183" s="18">
        <f>Analisis_Diferecias[[#This Row],[Costo Unitario($)]]*Analisis_Diferecias[[#This Row],[Cantidad]]</f>
        <v>0</v>
      </c>
      <c r="P183" s="20">
        <f>+Analisis_Diferecias[[#This Row],[Valor Total Contado]]-Analisis_Diferecias[[#This Row],[Costo Total Sistema]]</f>
        <v>0</v>
      </c>
      <c r="Q1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4" spans="1:17" x14ac:dyDescent="0.2">
      <c r="A184">
        <v>14359</v>
      </c>
      <c r="B184" t="s">
        <v>341</v>
      </c>
      <c r="C184" t="s">
        <v>342</v>
      </c>
      <c r="D184">
        <v>1</v>
      </c>
      <c r="E184" s="12">
        <f>SUMIFS('Consolidado conteo 1'!$F:$F,'Consolidado conteo 1'!$C:$C,Analisis_Diferecias[[#This Row],[ID]],'Consolidado conteo 1'!$I:$I,Analisis_Diferecias[[#Headers],[Primer Conteo]])</f>
        <v>0</v>
      </c>
      <c r="F184" s="12">
        <f>SUMIFS('Consolidado conteo 2'!$F:$F,'Consolidado conteo 2'!$C:$C,Analisis_Diferecias[[#This Row],[ID]],'Consolidado conteo 2'!$I:$I,Analisis_Diferecias[[#Headers],[Segundo Conteo]])</f>
        <v>0</v>
      </c>
      <c r="G184" s="12">
        <f>+Analisis_Diferecias[[#This Row],[Segundo Conteo]]-(Analisis_Diferecias[[#This Row],[Primer Conteo]])</f>
        <v>0</v>
      </c>
      <c r="H18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4" s="12">
        <f>SUMIFS(Analisis_Diferecias_Tercer_conteo[Tercer_conteo],Analisis_Diferecias_Tercer_conteo[ID],Analisis_Diferecias[[#This Row],[ID]])</f>
        <v>0</v>
      </c>
      <c r="J184" s="12">
        <f>IF(Analisis_Diferecias[[#This Row],[Tipo de incidencia]]="OK",Analisis_Diferecias[[#This Row],[Segundo Conteo]],Analisis_Diferecias[[#This Row],[Tercer Conteo]])</f>
        <v>0</v>
      </c>
      <c r="K184" s="12">
        <f>+(Analisis_Diferecias[[#This Row],[Cantidad Total de Conteos]]-(Analisis_Diferecias[[#This Row],[Cantidad]]))</f>
        <v>-1</v>
      </c>
      <c r="L1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4" s="18"/>
      <c r="N184" s="18">
        <f>Analisis_Diferecias[[#This Row],[Costo Unitario($)]]*Analisis_Diferecias[[#This Row],[Cantidad Total de Conteos]]</f>
        <v>0</v>
      </c>
      <c r="O184" s="18">
        <f>Analisis_Diferecias[[#This Row],[Costo Unitario($)]]*Analisis_Diferecias[[#This Row],[Cantidad]]</f>
        <v>0</v>
      </c>
      <c r="P184" s="20">
        <f>+Analisis_Diferecias[[#This Row],[Valor Total Contado]]-Analisis_Diferecias[[#This Row],[Costo Total Sistema]]</f>
        <v>0</v>
      </c>
      <c r="Q1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5" spans="1:17" x14ac:dyDescent="0.2">
      <c r="A185">
        <v>13906</v>
      </c>
      <c r="B185" t="s">
        <v>343</v>
      </c>
      <c r="C185" t="s">
        <v>344</v>
      </c>
      <c r="D185">
        <v>1</v>
      </c>
      <c r="E185" s="12">
        <f>SUMIFS('Consolidado conteo 1'!$F:$F,'Consolidado conteo 1'!$C:$C,Analisis_Diferecias[[#This Row],[ID]],'Consolidado conteo 1'!$I:$I,Analisis_Diferecias[[#Headers],[Primer Conteo]])</f>
        <v>0</v>
      </c>
      <c r="F185" s="12">
        <f>SUMIFS('Consolidado conteo 2'!$F:$F,'Consolidado conteo 2'!$C:$C,Analisis_Diferecias[[#This Row],[ID]],'Consolidado conteo 2'!$I:$I,Analisis_Diferecias[[#Headers],[Segundo Conteo]])</f>
        <v>0</v>
      </c>
      <c r="G185" s="12">
        <f>+Analisis_Diferecias[[#This Row],[Segundo Conteo]]-(Analisis_Diferecias[[#This Row],[Primer Conteo]])</f>
        <v>0</v>
      </c>
      <c r="H18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5" s="12">
        <f>SUMIFS(Analisis_Diferecias_Tercer_conteo[Tercer_conteo],Analisis_Diferecias_Tercer_conteo[ID],Analisis_Diferecias[[#This Row],[ID]])</f>
        <v>0</v>
      </c>
      <c r="J185" s="12">
        <f>IF(Analisis_Diferecias[[#This Row],[Tipo de incidencia]]="OK",Analisis_Diferecias[[#This Row],[Segundo Conteo]],Analisis_Diferecias[[#This Row],[Tercer Conteo]])</f>
        <v>0</v>
      </c>
      <c r="K185" s="12">
        <f>+(Analisis_Diferecias[[#This Row],[Cantidad Total de Conteos]]-(Analisis_Diferecias[[#This Row],[Cantidad]]))</f>
        <v>-1</v>
      </c>
      <c r="L1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5" s="18"/>
      <c r="N185" s="18">
        <f>Analisis_Diferecias[[#This Row],[Costo Unitario($)]]*Analisis_Diferecias[[#This Row],[Cantidad Total de Conteos]]</f>
        <v>0</v>
      </c>
      <c r="O185" s="18">
        <f>Analisis_Diferecias[[#This Row],[Costo Unitario($)]]*Analisis_Diferecias[[#This Row],[Cantidad]]</f>
        <v>0</v>
      </c>
      <c r="P185" s="20">
        <f>+Analisis_Diferecias[[#This Row],[Valor Total Contado]]-Analisis_Diferecias[[#This Row],[Costo Total Sistema]]</f>
        <v>0</v>
      </c>
      <c r="Q1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6" spans="1:17" x14ac:dyDescent="0.2">
      <c r="A186">
        <v>13907</v>
      </c>
      <c r="B186" t="s">
        <v>345</v>
      </c>
      <c r="C186" t="s">
        <v>346</v>
      </c>
      <c r="D186">
        <v>1</v>
      </c>
      <c r="E186" s="12">
        <f>SUMIFS('Consolidado conteo 1'!$F:$F,'Consolidado conteo 1'!$C:$C,Analisis_Diferecias[[#This Row],[ID]],'Consolidado conteo 1'!$I:$I,Analisis_Diferecias[[#Headers],[Primer Conteo]])</f>
        <v>0</v>
      </c>
      <c r="F186" s="12">
        <f>SUMIFS('Consolidado conteo 2'!$F:$F,'Consolidado conteo 2'!$C:$C,Analisis_Diferecias[[#This Row],[ID]],'Consolidado conteo 2'!$I:$I,Analisis_Diferecias[[#Headers],[Segundo Conteo]])</f>
        <v>0</v>
      </c>
      <c r="G186" s="12">
        <f>+Analisis_Diferecias[[#This Row],[Segundo Conteo]]-(Analisis_Diferecias[[#This Row],[Primer Conteo]])</f>
        <v>0</v>
      </c>
      <c r="H18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6" s="12">
        <f>SUMIFS(Analisis_Diferecias_Tercer_conteo[Tercer_conteo],Analisis_Diferecias_Tercer_conteo[ID],Analisis_Diferecias[[#This Row],[ID]])</f>
        <v>0</v>
      </c>
      <c r="J186" s="12">
        <f>IF(Analisis_Diferecias[[#This Row],[Tipo de incidencia]]="OK",Analisis_Diferecias[[#This Row],[Segundo Conteo]],Analisis_Diferecias[[#This Row],[Tercer Conteo]])</f>
        <v>0</v>
      </c>
      <c r="K186" s="12">
        <f>+(Analisis_Diferecias[[#This Row],[Cantidad Total de Conteos]]-(Analisis_Diferecias[[#This Row],[Cantidad]]))</f>
        <v>-1</v>
      </c>
      <c r="L1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6" s="18"/>
      <c r="N186" s="18">
        <f>Analisis_Diferecias[[#This Row],[Costo Unitario($)]]*Analisis_Diferecias[[#This Row],[Cantidad Total de Conteos]]</f>
        <v>0</v>
      </c>
      <c r="O186" s="18">
        <f>Analisis_Diferecias[[#This Row],[Costo Unitario($)]]*Analisis_Diferecias[[#This Row],[Cantidad]]</f>
        <v>0</v>
      </c>
      <c r="P186" s="20">
        <f>+Analisis_Diferecias[[#This Row],[Valor Total Contado]]-Analisis_Diferecias[[#This Row],[Costo Total Sistema]]</f>
        <v>0</v>
      </c>
      <c r="Q1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7" spans="1:17" x14ac:dyDescent="0.2">
      <c r="A187">
        <v>2526</v>
      </c>
      <c r="B187" t="s">
        <v>347</v>
      </c>
      <c r="C187" t="s">
        <v>348</v>
      </c>
      <c r="D187">
        <v>1</v>
      </c>
      <c r="E187" s="12">
        <f>SUMIFS('Consolidado conteo 1'!$F:$F,'Consolidado conteo 1'!$C:$C,Analisis_Diferecias[[#This Row],[ID]],'Consolidado conteo 1'!$I:$I,Analisis_Diferecias[[#Headers],[Primer Conteo]])</f>
        <v>0</v>
      </c>
      <c r="F187" s="12">
        <f>SUMIFS('Consolidado conteo 2'!$F:$F,'Consolidado conteo 2'!$C:$C,Analisis_Diferecias[[#This Row],[ID]],'Consolidado conteo 2'!$I:$I,Analisis_Diferecias[[#Headers],[Segundo Conteo]])</f>
        <v>0</v>
      </c>
      <c r="G187" s="12">
        <f>+Analisis_Diferecias[[#This Row],[Segundo Conteo]]-(Analisis_Diferecias[[#This Row],[Primer Conteo]])</f>
        <v>0</v>
      </c>
      <c r="H18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7" s="12">
        <f>SUMIFS(Analisis_Diferecias_Tercer_conteo[Tercer_conteo],Analisis_Diferecias_Tercer_conteo[ID],Analisis_Diferecias[[#This Row],[ID]])</f>
        <v>0</v>
      </c>
      <c r="J187" s="12">
        <f>IF(Analisis_Diferecias[[#This Row],[Tipo de incidencia]]="OK",Analisis_Diferecias[[#This Row],[Segundo Conteo]],Analisis_Diferecias[[#This Row],[Tercer Conteo]])</f>
        <v>0</v>
      </c>
      <c r="K187" s="12">
        <f>+(Analisis_Diferecias[[#This Row],[Cantidad Total de Conteos]]-(Analisis_Diferecias[[#This Row],[Cantidad]]))</f>
        <v>-1</v>
      </c>
      <c r="L1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7" s="18"/>
      <c r="N187" s="18">
        <f>Analisis_Diferecias[[#This Row],[Costo Unitario($)]]*Analisis_Diferecias[[#This Row],[Cantidad Total de Conteos]]</f>
        <v>0</v>
      </c>
      <c r="O187" s="18">
        <f>Analisis_Diferecias[[#This Row],[Costo Unitario($)]]*Analisis_Diferecias[[#This Row],[Cantidad]]</f>
        <v>0</v>
      </c>
      <c r="P187" s="20">
        <f>+Analisis_Diferecias[[#This Row],[Valor Total Contado]]-Analisis_Diferecias[[#This Row],[Costo Total Sistema]]</f>
        <v>0</v>
      </c>
      <c r="Q1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8" spans="1:17" x14ac:dyDescent="0.2">
      <c r="A188">
        <v>2525</v>
      </c>
      <c r="B188" t="s">
        <v>349</v>
      </c>
      <c r="C188" t="s">
        <v>350</v>
      </c>
      <c r="D188">
        <v>1</v>
      </c>
      <c r="E188" s="12">
        <f>SUMIFS('Consolidado conteo 1'!$F:$F,'Consolidado conteo 1'!$C:$C,Analisis_Diferecias[[#This Row],[ID]],'Consolidado conteo 1'!$I:$I,Analisis_Diferecias[[#Headers],[Primer Conteo]])</f>
        <v>0</v>
      </c>
      <c r="F188" s="12">
        <f>SUMIFS('Consolidado conteo 2'!$F:$F,'Consolidado conteo 2'!$C:$C,Analisis_Diferecias[[#This Row],[ID]],'Consolidado conteo 2'!$I:$I,Analisis_Diferecias[[#Headers],[Segundo Conteo]])</f>
        <v>0</v>
      </c>
      <c r="G188" s="12">
        <f>+Analisis_Diferecias[[#This Row],[Segundo Conteo]]-(Analisis_Diferecias[[#This Row],[Primer Conteo]])</f>
        <v>0</v>
      </c>
      <c r="H18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8" s="12">
        <f>SUMIFS(Analisis_Diferecias_Tercer_conteo[Tercer_conteo],Analisis_Diferecias_Tercer_conteo[ID],Analisis_Diferecias[[#This Row],[ID]])</f>
        <v>0</v>
      </c>
      <c r="J188" s="12">
        <f>IF(Analisis_Diferecias[[#This Row],[Tipo de incidencia]]="OK",Analisis_Diferecias[[#This Row],[Segundo Conteo]],Analisis_Diferecias[[#This Row],[Tercer Conteo]])</f>
        <v>0</v>
      </c>
      <c r="K188" s="12">
        <f>+(Analisis_Diferecias[[#This Row],[Cantidad Total de Conteos]]-(Analisis_Diferecias[[#This Row],[Cantidad]]))</f>
        <v>-1</v>
      </c>
      <c r="L1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8" s="18"/>
      <c r="N188" s="18">
        <f>Analisis_Diferecias[[#This Row],[Costo Unitario($)]]*Analisis_Diferecias[[#This Row],[Cantidad Total de Conteos]]</f>
        <v>0</v>
      </c>
      <c r="O188" s="18">
        <f>Analisis_Diferecias[[#This Row],[Costo Unitario($)]]*Analisis_Diferecias[[#This Row],[Cantidad]]</f>
        <v>0</v>
      </c>
      <c r="P188" s="20">
        <f>+Analisis_Diferecias[[#This Row],[Valor Total Contado]]-Analisis_Diferecias[[#This Row],[Costo Total Sistema]]</f>
        <v>0</v>
      </c>
      <c r="Q1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89" spans="1:17" x14ac:dyDescent="0.2">
      <c r="A189">
        <v>9585</v>
      </c>
      <c r="B189" t="s">
        <v>351</v>
      </c>
      <c r="C189" t="s">
        <v>352</v>
      </c>
      <c r="D189">
        <v>1</v>
      </c>
      <c r="E189" s="12">
        <f>SUMIFS('Consolidado conteo 1'!$F:$F,'Consolidado conteo 1'!$C:$C,Analisis_Diferecias[[#This Row],[ID]],'Consolidado conteo 1'!$I:$I,Analisis_Diferecias[[#Headers],[Primer Conteo]])</f>
        <v>0</v>
      </c>
      <c r="F189" s="12">
        <f>SUMIFS('Consolidado conteo 2'!$F:$F,'Consolidado conteo 2'!$C:$C,Analisis_Diferecias[[#This Row],[ID]],'Consolidado conteo 2'!$I:$I,Analisis_Diferecias[[#Headers],[Segundo Conteo]])</f>
        <v>0</v>
      </c>
      <c r="G189" s="12">
        <f>+Analisis_Diferecias[[#This Row],[Segundo Conteo]]-(Analisis_Diferecias[[#This Row],[Primer Conteo]])</f>
        <v>0</v>
      </c>
      <c r="H18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89" s="12">
        <f>SUMIFS(Analisis_Diferecias_Tercer_conteo[Tercer_conteo],Analisis_Diferecias_Tercer_conteo[ID],Analisis_Diferecias[[#This Row],[ID]])</f>
        <v>0</v>
      </c>
      <c r="J189" s="12">
        <f>IF(Analisis_Diferecias[[#This Row],[Tipo de incidencia]]="OK",Analisis_Diferecias[[#This Row],[Segundo Conteo]],Analisis_Diferecias[[#This Row],[Tercer Conteo]])</f>
        <v>0</v>
      </c>
      <c r="K189" s="12">
        <f>+(Analisis_Diferecias[[#This Row],[Cantidad Total de Conteos]]-(Analisis_Diferecias[[#This Row],[Cantidad]]))</f>
        <v>-1</v>
      </c>
      <c r="L1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89" s="18"/>
      <c r="N189" s="18">
        <f>Analisis_Diferecias[[#This Row],[Costo Unitario($)]]*Analisis_Diferecias[[#This Row],[Cantidad Total de Conteos]]</f>
        <v>0</v>
      </c>
      <c r="O189" s="18">
        <f>Analisis_Diferecias[[#This Row],[Costo Unitario($)]]*Analisis_Diferecias[[#This Row],[Cantidad]]</f>
        <v>0</v>
      </c>
      <c r="P189" s="20">
        <f>+Analisis_Diferecias[[#This Row],[Valor Total Contado]]-Analisis_Diferecias[[#This Row],[Costo Total Sistema]]</f>
        <v>0</v>
      </c>
      <c r="Q1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0" spans="1:17" x14ac:dyDescent="0.2">
      <c r="A190">
        <v>9584</v>
      </c>
      <c r="B190" t="s">
        <v>353</v>
      </c>
      <c r="C190" t="s">
        <v>354</v>
      </c>
      <c r="D190">
        <v>1</v>
      </c>
      <c r="E190" s="12">
        <f>SUMIFS('Consolidado conteo 1'!$F:$F,'Consolidado conteo 1'!$C:$C,Analisis_Diferecias[[#This Row],[ID]],'Consolidado conteo 1'!$I:$I,Analisis_Diferecias[[#Headers],[Primer Conteo]])</f>
        <v>0</v>
      </c>
      <c r="F190" s="12">
        <f>SUMIFS('Consolidado conteo 2'!$F:$F,'Consolidado conteo 2'!$C:$C,Analisis_Diferecias[[#This Row],[ID]],'Consolidado conteo 2'!$I:$I,Analisis_Diferecias[[#Headers],[Segundo Conteo]])</f>
        <v>0</v>
      </c>
      <c r="G190" s="12">
        <f>+Analisis_Diferecias[[#This Row],[Segundo Conteo]]-(Analisis_Diferecias[[#This Row],[Primer Conteo]])</f>
        <v>0</v>
      </c>
      <c r="H19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0" s="12">
        <f>SUMIFS(Analisis_Diferecias_Tercer_conteo[Tercer_conteo],Analisis_Diferecias_Tercer_conteo[ID],Analisis_Diferecias[[#This Row],[ID]])</f>
        <v>0</v>
      </c>
      <c r="J190" s="12">
        <f>IF(Analisis_Diferecias[[#This Row],[Tipo de incidencia]]="OK",Analisis_Diferecias[[#This Row],[Segundo Conteo]],Analisis_Diferecias[[#This Row],[Tercer Conteo]])</f>
        <v>0</v>
      </c>
      <c r="K190" s="12">
        <f>+(Analisis_Diferecias[[#This Row],[Cantidad Total de Conteos]]-(Analisis_Diferecias[[#This Row],[Cantidad]]))</f>
        <v>-1</v>
      </c>
      <c r="L1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90" s="18"/>
      <c r="N190" s="18">
        <f>Analisis_Diferecias[[#This Row],[Costo Unitario($)]]*Analisis_Diferecias[[#This Row],[Cantidad Total de Conteos]]</f>
        <v>0</v>
      </c>
      <c r="O190" s="18">
        <f>Analisis_Diferecias[[#This Row],[Costo Unitario($)]]*Analisis_Diferecias[[#This Row],[Cantidad]]</f>
        <v>0</v>
      </c>
      <c r="P190" s="20">
        <f>+Analisis_Diferecias[[#This Row],[Valor Total Contado]]-Analisis_Diferecias[[#This Row],[Costo Total Sistema]]</f>
        <v>0</v>
      </c>
      <c r="Q1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1" spans="1:17" x14ac:dyDescent="0.2">
      <c r="A191">
        <v>8933</v>
      </c>
      <c r="B191" t="s">
        <v>355</v>
      </c>
      <c r="C191" t="s">
        <v>356</v>
      </c>
      <c r="D191">
        <v>1</v>
      </c>
      <c r="E191" s="12">
        <f>SUMIFS('Consolidado conteo 1'!$F:$F,'Consolidado conteo 1'!$C:$C,Analisis_Diferecias[[#This Row],[ID]],'Consolidado conteo 1'!$I:$I,Analisis_Diferecias[[#Headers],[Primer Conteo]])</f>
        <v>0</v>
      </c>
      <c r="F191" s="12">
        <f>SUMIFS('Consolidado conteo 2'!$F:$F,'Consolidado conteo 2'!$C:$C,Analisis_Diferecias[[#This Row],[ID]],'Consolidado conteo 2'!$I:$I,Analisis_Diferecias[[#Headers],[Segundo Conteo]])</f>
        <v>0</v>
      </c>
      <c r="G191" s="12">
        <f>+Analisis_Diferecias[[#This Row],[Segundo Conteo]]-(Analisis_Diferecias[[#This Row],[Primer Conteo]])</f>
        <v>0</v>
      </c>
      <c r="H19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1" s="12">
        <f>SUMIFS(Analisis_Diferecias_Tercer_conteo[Tercer_conteo],Analisis_Diferecias_Tercer_conteo[ID],Analisis_Diferecias[[#This Row],[ID]])</f>
        <v>0</v>
      </c>
      <c r="J191" s="12">
        <f>IF(Analisis_Diferecias[[#This Row],[Tipo de incidencia]]="OK",Analisis_Diferecias[[#This Row],[Segundo Conteo]],Analisis_Diferecias[[#This Row],[Tercer Conteo]])</f>
        <v>0</v>
      </c>
      <c r="K191" s="12">
        <f>+(Analisis_Diferecias[[#This Row],[Cantidad Total de Conteos]]-(Analisis_Diferecias[[#This Row],[Cantidad]]))</f>
        <v>-1</v>
      </c>
      <c r="L1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91" s="18"/>
      <c r="N191" s="18">
        <f>Analisis_Diferecias[[#This Row],[Costo Unitario($)]]*Analisis_Diferecias[[#This Row],[Cantidad Total de Conteos]]</f>
        <v>0</v>
      </c>
      <c r="O191" s="18">
        <f>Analisis_Diferecias[[#This Row],[Costo Unitario($)]]*Analisis_Diferecias[[#This Row],[Cantidad]]</f>
        <v>0</v>
      </c>
      <c r="P191" s="20">
        <f>+Analisis_Diferecias[[#This Row],[Valor Total Contado]]-Analisis_Diferecias[[#This Row],[Costo Total Sistema]]</f>
        <v>0</v>
      </c>
      <c r="Q1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2" spans="1:17" x14ac:dyDescent="0.2">
      <c r="A192">
        <v>8936</v>
      </c>
      <c r="B192" t="s">
        <v>357</v>
      </c>
      <c r="C192" t="s">
        <v>358</v>
      </c>
      <c r="D192">
        <v>1</v>
      </c>
      <c r="E192" s="12">
        <f>SUMIFS('Consolidado conteo 1'!$F:$F,'Consolidado conteo 1'!$C:$C,Analisis_Diferecias[[#This Row],[ID]],'Consolidado conteo 1'!$I:$I,Analisis_Diferecias[[#Headers],[Primer Conteo]])</f>
        <v>0</v>
      </c>
      <c r="F192" s="12">
        <f>SUMIFS('Consolidado conteo 2'!$F:$F,'Consolidado conteo 2'!$C:$C,Analisis_Diferecias[[#This Row],[ID]],'Consolidado conteo 2'!$I:$I,Analisis_Diferecias[[#Headers],[Segundo Conteo]])</f>
        <v>0</v>
      </c>
      <c r="G192" s="12">
        <f>+Analisis_Diferecias[[#This Row],[Segundo Conteo]]-(Analisis_Diferecias[[#This Row],[Primer Conteo]])</f>
        <v>0</v>
      </c>
      <c r="H19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2" s="12">
        <f>SUMIFS(Analisis_Diferecias_Tercer_conteo[Tercer_conteo],Analisis_Diferecias_Tercer_conteo[ID],Analisis_Diferecias[[#This Row],[ID]])</f>
        <v>0</v>
      </c>
      <c r="J192" s="12">
        <f>IF(Analisis_Diferecias[[#This Row],[Tipo de incidencia]]="OK",Analisis_Diferecias[[#This Row],[Segundo Conteo]],Analisis_Diferecias[[#This Row],[Tercer Conteo]])</f>
        <v>0</v>
      </c>
      <c r="K192" s="12">
        <f>+(Analisis_Diferecias[[#This Row],[Cantidad Total de Conteos]]-(Analisis_Diferecias[[#This Row],[Cantidad]]))</f>
        <v>-1</v>
      </c>
      <c r="L1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92" s="18"/>
      <c r="N192" s="18">
        <f>Analisis_Diferecias[[#This Row],[Costo Unitario($)]]*Analisis_Diferecias[[#This Row],[Cantidad Total de Conteos]]</f>
        <v>0</v>
      </c>
      <c r="O192" s="18">
        <f>Analisis_Diferecias[[#This Row],[Costo Unitario($)]]*Analisis_Diferecias[[#This Row],[Cantidad]]</f>
        <v>0</v>
      </c>
      <c r="P192" s="20">
        <f>+Analisis_Diferecias[[#This Row],[Valor Total Contado]]-Analisis_Diferecias[[#This Row],[Costo Total Sistema]]</f>
        <v>0</v>
      </c>
      <c r="Q1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3" spans="1:17" x14ac:dyDescent="0.2">
      <c r="A193">
        <v>8934</v>
      </c>
      <c r="B193" t="s">
        <v>359</v>
      </c>
      <c r="C193" t="s">
        <v>360</v>
      </c>
      <c r="D193">
        <v>1</v>
      </c>
      <c r="E193" s="12">
        <f>SUMIFS('Consolidado conteo 1'!$F:$F,'Consolidado conteo 1'!$C:$C,Analisis_Diferecias[[#This Row],[ID]],'Consolidado conteo 1'!$I:$I,Analisis_Diferecias[[#Headers],[Primer Conteo]])</f>
        <v>0</v>
      </c>
      <c r="F193" s="12">
        <f>SUMIFS('Consolidado conteo 2'!$F:$F,'Consolidado conteo 2'!$C:$C,Analisis_Diferecias[[#This Row],[ID]],'Consolidado conteo 2'!$I:$I,Analisis_Diferecias[[#Headers],[Segundo Conteo]])</f>
        <v>0</v>
      </c>
      <c r="G193" s="12">
        <f>+Analisis_Diferecias[[#This Row],[Segundo Conteo]]-(Analisis_Diferecias[[#This Row],[Primer Conteo]])</f>
        <v>0</v>
      </c>
      <c r="H19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3" s="12">
        <f>SUMIFS(Analisis_Diferecias_Tercer_conteo[Tercer_conteo],Analisis_Diferecias_Tercer_conteo[ID],Analisis_Diferecias[[#This Row],[ID]])</f>
        <v>0</v>
      </c>
      <c r="J193" s="12">
        <f>IF(Analisis_Diferecias[[#This Row],[Tipo de incidencia]]="OK",Analisis_Diferecias[[#This Row],[Segundo Conteo]],Analisis_Diferecias[[#This Row],[Tercer Conteo]])</f>
        <v>0</v>
      </c>
      <c r="K193" s="12">
        <f>+(Analisis_Diferecias[[#This Row],[Cantidad Total de Conteos]]-(Analisis_Diferecias[[#This Row],[Cantidad]]))</f>
        <v>-1</v>
      </c>
      <c r="L1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193" s="18"/>
      <c r="N193" s="18">
        <f>Analisis_Diferecias[[#This Row],[Costo Unitario($)]]*Analisis_Diferecias[[#This Row],[Cantidad Total de Conteos]]</f>
        <v>0</v>
      </c>
      <c r="O193" s="18">
        <f>Analisis_Diferecias[[#This Row],[Costo Unitario($)]]*Analisis_Diferecias[[#This Row],[Cantidad]]</f>
        <v>0</v>
      </c>
      <c r="P193" s="20">
        <f>+Analisis_Diferecias[[#This Row],[Valor Total Contado]]-Analisis_Diferecias[[#This Row],[Costo Total Sistema]]</f>
        <v>0</v>
      </c>
      <c r="Q1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194" spans="1:17" x14ac:dyDescent="0.2">
      <c r="A194">
        <v>4127</v>
      </c>
      <c r="B194" t="s">
        <v>361</v>
      </c>
      <c r="C194" t="s">
        <v>361</v>
      </c>
      <c r="D194">
        <v>-1</v>
      </c>
      <c r="E194" s="12">
        <f>SUMIFS('Consolidado conteo 1'!$F:$F,'Consolidado conteo 1'!$C:$C,Analisis_Diferecias[[#This Row],[ID]],'Consolidado conteo 1'!$I:$I,Analisis_Diferecias[[#Headers],[Primer Conteo]])</f>
        <v>0</v>
      </c>
      <c r="F194" s="12">
        <f>SUMIFS('Consolidado conteo 2'!$F:$F,'Consolidado conteo 2'!$C:$C,Analisis_Diferecias[[#This Row],[ID]],'Consolidado conteo 2'!$I:$I,Analisis_Diferecias[[#Headers],[Segundo Conteo]])</f>
        <v>0</v>
      </c>
      <c r="G194" s="12">
        <f>+Analisis_Diferecias[[#This Row],[Segundo Conteo]]-(Analisis_Diferecias[[#This Row],[Primer Conteo]])</f>
        <v>0</v>
      </c>
      <c r="H19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4" s="12">
        <f>SUMIFS(Analisis_Diferecias_Tercer_conteo[Tercer_conteo],Analisis_Diferecias_Tercer_conteo[ID],Analisis_Diferecias[[#This Row],[ID]])</f>
        <v>0</v>
      </c>
      <c r="J194" s="12">
        <f>IF(Analisis_Diferecias[[#This Row],[Tipo de incidencia]]="OK",Analisis_Diferecias[[#This Row],[Segundo Conteo]],Analisis_Diferecias[[#This Row],[Tercer Conteo]])</f>
        <v>0</v>
      </c>
      <c r="K194" s="12">
        <f>+(Analisis_Diferecias[[#This Row],[Cantidad Total de Conteos]]-(Analisis_Diferecias[[#This Row],[Cantidad]]))</f>
        <v>1</v>
      </c>
      <c r="L1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4" s="18"/>
      <c r="N194" s="18">
        <f>Analisis_Diferecias[[#This Row],[Costo Unitario($)]]*Analisis_Diferecias[[#This Row],[Cantidad Total de Conteos]]</f>
        <v>0</v>
      </c>
      <c r="O194" s="18">
        <f>Analisis_Diferecias[[#This Row],[Costo Unitario($)]]*Analisis_Diferecias[[#This Row],[Cantidad]]</f>
        <v>0</v>
      </c>
      <c r="P194" s="20">
        <f>+Analisis_Diferecias[[#This Row],[Valor Total Contado]]-Analisis_Diferecias[[#This Row],[Costo Total Sistema]]</f>
        <v>0</v>
      </c>
      <c r="Q1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195" spans="1:17" x14ac:dyDescent="0.2">
      <c r="A195">
        <v>10432</v>
      </c>
      <c r="B195" t="s">
        <v>362</v>
      </c>
      <c r="C195" t="s">
        <v>363</v>
      </c>
      <c r="D195">
        <v>-1</v>
      </c>
      <c r="E195" s="12">
        <f>SUMIFS('Consolidado conteo 1'!$F:$F,'Consolidado conteo 1'!$C:$C,Analisis_Diferecias[[#This Row],[ID]],'Consolidado conteo 1'!$I:$I,Analisis_Diferecias[[#Headers],[Primer Conteo]])</f>
        <v>0</v>
      </c>
      <c r="F195" s="12">
        <f>SUMIFS('Consolidado conteo 2'!$F:$F,'Consolidado conteo 2'!$C:$C,Analisis_Diferecias[[#This Row],[ID]],'Consolidado conteo 2'!$I:$I,Analisis_Diferecias[[#Headers],[Segundo Conteo]])</f>
        <v>0</v>
      </c>
      <c r="G195" s="12">
        <f>+Analisis_Diferecias[[#This Row],[Segundo Conteo]]-(Analisis_Diferecias[[#This Row],[Primer Conteo]])</f>
        <v>0</v>
      </c>
      <c r="H19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5" s="12">
        <f>SUMIFS(Analisis_Diferecias_Tercer_conteo[Tercer_conteo],Analisis_Diferecias_Tercer_conteo[ID],Analisis_Diferecias[[#This Row],[ID]])</f>
        <v>0</v>
      </c>
      <c r="J195" s="12">
        <f>IF(Analisis_Diferecias[[#This Row],[Tipo de incidencia]]="OK",Analisis_Diferecias[[#This Row],[Segundo Conteo]],Analisis_Diferecias[[#This Row],[Tercer Conteo]])</f>
        <v>0</v>
      </c>
      <c r="K195" s="12">
        <f>+(Analisis_Diferecias[[#This Row],[Cantidad Total de Conteos]]-(Analisis_Diferecias[[#This Row],[Cantidad]]))</f>
        <v>1</v>
      </c>
      <c r="L1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5" s="18"/>
      <c r="N195" s="18">
        <f>Analisis_Diferecias[[#This Row],[Costo Unitario($)]]*Analisis_Diferecias[[#This Row],[Cantidad Total de Conteos]]</f>
        <v>0</v>
      </c>
      <c r="O195" s="18">
        <f>Analisis_Diferecias[[#This Row],[Costo Unitario($)]]*Analisis_Diferecias[[#This Row],[Cantidad]]</f>
        <v>0</v>
      </c>
      <c r="P195" s="20">
        <f>+Analisis_Diferecias[[#This Row],[Valor Total Contado]]-Analisis_Diferecias[[#This Row],[Costo Total Sistema]]</f>
        <v>0</v>
      </c>
      <c r="Q1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196" spans="1:17" x14ac:dyDescent="0.2">
      <c r="A196">
        <v>9285</v>
      </c>
      <c r="B196" t="s">
        <v>364</v>
      </c>
      <c r="C196" t="s">
        <v>365</v>
      </c>
      <c r="D196">
        <v>-1</v>
      </c>
      <c r="E196" s="12">
        <f>SUMIFS('Consolidado conteo 1'!$F:$F,'Consolidado conteo 1'!$C:$C,Analisis_Diferecias[[#This Row],[ID]],'Consolidado conteo 1'!$I:$I,Analisis_Diferecias[[#Headers],[Primer Conteo]])</f>
        <v>0</v>
      </c>
      <c r="F196" s="12">
        <f>SUMIFS('Consolidado conteo 2'!$F:$F,'Consolidado conteo 2'!$C:$C,Analisis_Diferecias[[#This Row],[ID]],'Consolidado conteo 2'!$I:$I,Analisis_Diferecias[[#Headers],[Segundo Conteo]])</f>
        <v>0</v>
      </c>
      <c r="G196" s="12">
        <f>+Analisis_Diferecias[[#This Row],[Segundo Conteo]]-(Analisis_Diferecias[[#This Row],[Primer Conteo]])</f>
        <v>0</v>
      </c>
      <c r="H19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6" s="12">
        <f>SUMIFS(Analisis_Diferecias_Tercer_conteo[Tercer_conteo],Analisis_Diferecias_Tercer_conteo[ID],Analisis_Diferecias[[#This Row],[ID]])</f>
        <v>0</v>
      </c>
      <c r="J196" s="12">
        <f>IF(Analisis_Diferecias[[#This Row],[Tipo de incidencia]]="OK",Analisis_Diferecias[[#This Row],[Segundo Conteo]],Analisis_Diferecias[[#This Row],[Tercer Conteo]])</f>
        <v>0</v>
      </c>
      <c r="K196" s="12">
        <f>+(Analisis_Diferecias[[#This Row],[Cantidad Total de Conteos]]-(Analisis_Diferecias[[#This Row],[Cantidad]]))</f>
        <v>1</v>
      </c>
      <c r="L1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6" s="18"/>
      <c r="N196" s="18">
        <f>Analisis_Diferecias[[#This Row],[Costo Unitario($)]]*Analisis_Diferecias[[#This Row],[Cantidad Total de Conteos]]</f>
        <v>0</v>
      </c>
      <c r="O196" s="18">
        <f>Analisis_Diferecias[[#This Row],[Costo Unitario($)]]*Analisis_Diferecias[[#This Row],[Cantidad]]</f>
        <v>0</v>
      </c>
      <c r="P196" s="20">
        <f>+Analisis_Diferecias[[#This Row],[Valor Total Contado]]-Analisis_Diferecias[[#This Row],[Costo Total Sistema]]</f>
        <v>0</v>
      </c>
      <c r="Q1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197" spans="1:17" x14ac:dyDescent="0.2">
      <c r="A197">
        <v>6666</v>
      </c>
      <c r="B197" t="s">
        <v>366</v>
      </c>
      <c r="C197" t="s">
        <v>367</v>
      </c>
      <c r="D197">
        <v>-2</v>
      </c>
      <c r="E197" s="12">
        <f>SUMIFS('Consolidado conteo 1'!$F:$F,'Consolidado conteo 1'!$C:$C,Analisis_Diferecias[[#This Row],[ID]],'Consolidado conteo 1'!$I:$I,Analisis_Diferecias[[#Headers],[Primer Conteo]])</f>
        <v>0</v>
      </c>
      <c r="F197" s="12">
        <f>SUMIFS('Consolidado conteo 2'!$F:$F,'Consolidado conteo 2'!$C:$C,Analisis_Diferecias[[#This Row],[ID]],'Consolidado conteo 2'!$I:$I,Analisis_Diferecias[[#Headers],[Segundo Conteo]])</f>
        <v>0</v>
      </c>
      <c r="G197" s="12">
        <f>+Analisis_Diferecias[[#This Row],[Segundo Conteo]]-(Analisis_Diferecias[[#This Row],[Primer Conteo]])</f>
        <v>0</v>
      </c>
      <c r="H19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7" s="12">
        <f>SUMIFS(Analisis_Diferecias_Tercer_conteo[Tercer_conteo],Analisis_Diferecias_Tercer_conteo[ID],Analisis_Diferecias[[#This Row],[ID]])</f>
        <v>0</v>
      </c>
      <c r="J197" s="12">
        <f>IF(Analisis_Diferecias[[#This Row],[Tipo de incidencia]]="OK",Analisis_Diferecias[[#This Row],[Segundo Conteo]],Analisis_Diferecias[[#This Row],[Tercer Conteo]])</f>
        <v>0</v>
      </c>
      <c r="K197" s="12">
        <f>+(Analisis_Diferecias[[#This Row],[Cantidad Total de Conteos]]-(Analisis_Diferecias[[#This Row],[Cantidad]]))</f>
        <v>2</v>
      </c>
      <c r="L1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7" s="18"/>
      <c r="N197" s="18">
        <f>Analisis_Diferecias[[#This Row],[Costo Unitario($)]]*Analisis_Diferecias[[#This Row],[Cantidad Total de Conteos]]</f>
        <v>0</v>
      </c>
      <c r="O197" s="18">
        <f>Analisis_Diferecias[[#This Row],[Costo Unitario($)]]*Analisis_Diferecias[[#This Row],[Cantidad]]</f>
        <v>0</v>
      </c>
      <c r="P197" s="20">
        <f>+Analisis_Diferecias[[#This Row],[Valor Total Contado]]-Analisis_Diferecias[[#This Row],[Costo Total Sistema]]</f>
        <v>0</v>
      </c>
      <c r="Q1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198" spans="1:17" x14ac:dyDescent="0.2">
      <c r="A198">
        <v>7489</v>
      </c>
      <c r="B198" t="s">
        <v>368</v>
      </c>
      <c r="C198" t="s">
        <v>369</v>
      </c>
      <c r="D198">
        <v>-3</v>
      </c>
      <c r="E198" s="12">
        <f>SUMIFS('Consolidado conteo 1'!$F:$F,'Consolidado conteo 1'!$C:$C,Analisis_Diferecias[[#This Row],[ID]],'Consolidado conteo 1'!$I:$I,Analisis_Diferecias[[#Headers],[Primer Conteo]])</f>
        <v>0</v>
      </c>
      <c r="F198" s="12">
        <f>SUMIFS('Consolidado conteo 2'!$F:$F,'Consolidado conteo 2'!$C:$C,Analisis_Diferecias[[#This Row],[ID]],'Consolidado conteo 2'!$I:$I,Analisis_Diferecias[[#Headers],[Segundo Conteo]])</f>
        <v>0</v>
      </c>
      <c r="G198" s="12">
        <f>+Analisis_Diferecias[[#This Row],[Segundo Conteo]]-(Analisis_Diferecias[[#This Row],[Primer Conteo]])</f>
        <v>0</v>
      </c>
      <c r="H19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8" s="12">
        <f>SUMIFS(Analisis_Diferecias_Tercer_conteo[Tercer_conteo],Analisis_Diferecias_Tercer_conteo[ID],Analisis_Diferecias[[#This Row],[ID]])</f>
        <v>0</v>
      </c>
      <c r="J198" s="12">
        <f>IF(Analisis_Diferecias[[#This Row],[Tipo de incidencia]]="OK",Analisis_Diferecias[[#This Row],[Segundo Conteo]],Analisis_Diferecias[[#This Row],[Tercer Conteo]])</f>
        <v>0</v>
      </c>
      <c r="K198" s="12">
        <f>+(Analisis_Diferecias[[#This Row],[Cantidad Total de Conteos]]-(Analisis_Diferecias[[#This Row],[Cantidad]]))</f>
        <v>3</v>
      </c>
      <c r="L1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8" s="18"/>
      <c r="N198" s="18">
        <f>Analisis_Diferecias[[#This Row],[Costo Unitario($)]]*Analisis_Diferecias[[#This Row],[Cantidad Total de Conteos]]</f>
        <v>0</v>
      </c>
      <c r="O198" s="18">
        <f>Analisis_Diferecias[[#This Row],[Costo Unitario($)]]*Analisis_Diferecias[[#This Row],[Cantidad]]</f>
        <v>0</v>
      </c>
      <c r="P198" s="20">
        <f>+Analisis_Diferecias[[#This Row],[Valor Total Contado]]-Analisis_Diferecias[[#This Row],[Costo Total Sistema]]</f>
        <v>0</v>
      </c>
      <c r="Q1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199" spans="1:17" x14ac:dyDescent="0.2">
      <c r="A199">
        <v>10164</v>
      </c>
      <c r="B199" t="s">
        <v>370</v>
      </c>
      <c r="C199" t="s">
        <v>371</v>
      </c>
      <c r="D199">
        <v>-3</v>
      </c>
      <c r="E199" s="12">
        <f>SUMIFS('Consolidado conteo 1'!$F:$F,'Consolidado conteo 1'!$C:$C,Analisis_Diferecias[[#This Row],[ID]],'Consolidado conteo 1'!$I:$I,Analisis_Diferecias[[#Headers],[Primer Conteo]])</f>
        <v>0</v>
      </c>
      <c r="F199" s="12">
        <f>SUMIFS('Consolidado conteo 2'!$F:$F,'Consolidado conteo 2'!$C:$C,Analisis_Diferecias[[#This Row],[ID]],'Consolidado conteo 2'!$I:$I,Analisis_Diferecias[[#Headers],[Segundo Conteo]])</f>
        <v>0</v>
      </c>
      <c r="G199" s="12">
        <f>+Analisis_Diferecias[[#This Row],[Segundo Conteo]]-(Analisis_Diferecias[[#This Row],[Primer Conteo]])</f>
        <v>0</v>
      </c>
      <c r="H19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199" s="12">
        <f>SUMIFS(Analisis_Diferecias_Tercer_conteo[Tercer_conteo],Analisis_Diferecias_Tercer_conteo[ID],Analisis_Diferecias[[#This Row],[ID]])</f>
        <v>0</v>
      </c>
      <c r="J199" s="12">
        <f>IF(Analisis_Diferecias[[#This Row],[Tipo de incidencia]]="OK",Analisis_Diferecias[[#This Row],[Segundo Conteo]],Analisis_Diferecias[[#This Row],[Tercer Conteo]])</f>
        <v>0</v>
      </c>
      <c r="K199" s="12">
        <f>+(Analisis_Diferecias[[#This Row],[Cantidad Total de Conteos]]-(Analisis_Diferecias[[#This Row],[Cantidad]]))</f>
        <v>3</v>
      </c>
      <c r="L1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199" s="18"/>
      <c r="N199" s="18">
        <f>Analisis_Diferecias[[#This Row],[Costo Unitario($)]]*Analisis_Diferecias[[#This Row],[Cantidad Total de Conteos]]</f>
        <v>0</v>
      </c>
      <c r="O199" s="18">
        <f>Analisis_Diferecias[[#This Row],[Costo Unitario($)]]*Analisis_Diferecias[[#This Row],[Cantidad]]</f>
        <v>0</v>
      </c>
      <c r="P199" s="20">
        <f>+Analisis_Diferecias[[#This Row],[Valor Total Contado]]-Analisis_Diferecias[[#This Row],[Costo Total Sistema]]</f>
        <v>0</v>
      </c>
      <c r="Q1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0" spans="1:17" x14ac:dyDescent="0.2">
      <c r="A200">
        <v>14302</v>
      </c>
      <c r="B200" t="s">
        <v>372</v>
      </c>
      <c r="C200" t="s">
        <v>373</v>
      </c>
      <c r="D200">
        <v>-3</v>
      </c>
      <c r="E200" s="12">
        <f>SUMIFS('Consolidado conteo 1'!$F:$F,'Consolidado conteo 1'!$C:$C,Analisis_Diferecias[[#This Row],[ID]],'Consolidado conteo 1'!$I:$I,Analisis_Diferecias[[#Headers],[Primer Conteo]])</f>
        <v>0</v>
      </c>
      <c r="F200" s="12">
        <f>SUMIFS('Consolidado conteo 2'!$F:$F,'Consolidado conteo 2'!$C:$C,Analisis_Diferecias[[#This Row],[ID]],'Consolidado conteo 2'!$I:$I,Analisis_Diferecias[[#Headers],[Segundo Conteo]])</f>
        <v>0</v>
      </c>
      <c r="G200" s="12">
        <f>+Analisis_Diferecias[[#This Row],[Segundo Conteo]]-(Analisis_Diferecias[[#This Row],[Primer Conteo]])</f>
        <v>0</v>
      </c>
      <c r="H20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0" s="12">
        <f>SUMIFS(Analisis_Diferecias_Tercer_conteo[Tercer_conteo],Analisis_Diferecias_Tercer_conteo[ID],Analisis_Diferecias[[#This Row],[ID]])</f>
        <v>0</v>
      </c>
      <c r="J200" s="12">
        <f>IF(Analisis_Diferecias[[#This Row],[Tipo de incidencia]]="OK",Analisis_Diferecias[[#This Row],[Segundo Conteo]],Analisis_Diferecias[[#This Row],[Tercer Conteo]])</f>
        <v>0</v>
      </c>
      <c r="K200" s="12">
        <f>+(Analisis_Diferecias[[#This Row],[Cantidad Total de Conteos]]-(Analisis_Diferecias[[#This Row],[Cantidad]]))</f>
        <v>3</v>
      </c>
      <c r="L2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0" s="18"/>
      <c r="N200" s="18">
        <f>Analisis_Diferecias[[#This Row],[Costo Unitario($)]]*Analisis_Diferecias[[#This Row],[Cantidad Total de Conteos]]</f>
        <v>0</v>
      </c>
      <c r="O200" s="18">
        <f>Analisis_Diferecias[[#This Row],[Costo Unitario($)]]*Analisis_Diferecias[[#This Row],[Cantidad]]</f>
        <v>0</v>
      </c>
      <c r="P200" s="20">
        <f>+Analisis_Diferecias[[#This Row],[Valor Total Contado]]-Analisis_Diferecias[[#This Row],[Costo Total Sistema]]</f>
        <v>0</v>
      </c>
      <c r="Q2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1" spans="1:17" x14ac:dyDescent="0.2">
      <c r="A201">
        <v>14638</v>
      </c>
      <c r="B201" t="s">
        <v>374</v>
      </c>
      <c r="C201" t="s">
        <v>375</v>
      </c>
      <c r="D201">
        <v>-4</v>
      </c>
      <c r="E201" s="12">
        <f>SUMIFS('Consolidado conteo 1'!$F:$F,'Consolidado conteo 1'!$C:$C,Analisis_Diferecias[[#This Row],[ID]],'Consolidado conteo 1'!$I:$I,Analisis_Diferecias[[#Headers],[Primer Conteo]])</f>
        <v>0</v>
      </c>
      <c r="F201" s="12">
        <f>SUMIFS('Consolidado conteo 2'!$F:$F,'Consolidado conteo 2'!$C:$C,Analisis_Diferecias[[#This Row],[ID]],'Consolidado conteo 2'!$I:$I,Analisis_Diferecias[[#Headers],[Segundo Conteo]])</f>
        <v>0</v>
      </c>
      <c r="G201" s="12">
        <f>+Analisis_Diferecias[[#This Row],[Segundo Conteo]]-(Analisis_Diferecias[[#This Row],[Primer Conteo]])</f>
        <v>0</v>
      </c>
      <c r="H20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1" s="12">
        <f>SUMIFS(Analisis_Diferecias_Tercer_conteo[Tercer_conteo],Analisis_Diferecias_Tercer_conteo[ID],Analisis_Diferecias[[#This Row],[ID]])</f>
        <v>0</v>
      </c>
      <c r="J201" s="12">
        <f>IF(Analisis_Diferecias[[#This Row],[Tipo de incidencia]]="OK",Analisis_Diferecias[[#This Row],[Segundo Conteo]],Analisis_Diferecias[[#This Row],[Tercer Conteo]])</f>
        <v>0</v>
      </c>
      <c r="K201" s="12">
        <f>+(Analisis_Diferecias[[#This Row],[Cantidad Total de Conteos]]-(Analisis_Diferecias[[#This Row],[Cantidad]]))</f>
        <v>4</v>
      </c>
      <c r="L2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1" s="18"/>
      <c r="N201" s="18">
        <f>Analisis_Diferecias[[#This Row],[Costo Unitario($)]]*Analisis_Diferecias[[#This Row],[Cantidad Total de Conteos]]</f>
        <v>0</v>
      </c>
      <c r="O201" s="18">
        <f>Analisis_Diferecias[[#This Row],[Costo Unitario($)]]*Analisis_Diferecias[[#This Row],[Cantidad]]</f>
        <v>0</v>
      </c>
      <c r="P201" s="20">
        <f>+Analisis_Diferecias[[#This Row],[Valor Total Contado]]-Analisis_Diferecias[[#This Row],[Costo Total Sistema]]</f>
        <v>0</v>
      </c>
      <c r="Q2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2" spans="1:17" x14ac:dyDescent="0.2">
      <c r="A202">
        <v>14248</v>
      </c>
      <c r="B202" t="s">
        <v>376</v>
      </c>
      <c r="C202" t="s">
        <v>377</v>
      </c>
      <c r="D202">
        <v>-5</v>
      </c>
      <c r="E202" s="12">
        <f>SUMIFS('Consolidado conteo 1'!$F:$F,'Consolidado conteo 1'!$C:$C,Analisis_Diferecias[[#This Row],[ID]],'Consolidado conteo 1'!$I:$I,Analisis_Diferecias[[#Headers],[Primer Conteo]])</f>
        <v>0</v>
      </c>
      <c r="F202" s="12">
        <f>SUMIFS('Consolidado conteo 2'!$F:$F,'Consolidado conteo 2'!$C:$C,Analisis_Diferecias[[#This Row],[ID]],'Consolidado conteo 2'!$I:$I,Analisis_Diferecias[[#Headers],[Segundo Conteo]])</f>
        <v>0</v>
      </c>
      <c r="G202" s="12">
        <f>+Analisis_Diferecias[[#This Row],[Segundo Conteo]]-(Analisis_Diferecias[[#This Row],[Primer Conteo]])</f>
        <v>0</v>
      </c>
      <c r="H20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2" s="12">
        <f>SUMIFS(Analisis_Diferecias_Tercer_conteo[Tercer_conteo],Analisis_Diferecias_Tercer_conteo[ID],Analisis_Diferecias[[#This Row],[ID]])</f>
        <v>0</v>
      </c>
      <c r="J202" s="12">
        <f>IF(Analisis_Diferecias[[#This Row],[Tipo de incidencia]]="OK",Analisis_Diferecias[[#This Row],[Segundo Conteo]],Analisis_Diferecias[[#This Row],[Tercer Conteo]])</f>
        <v>0</v>
      </c>
      <c r="K202" s="12">
        <f>+(Analisis_Diferecias[[#This Row],[Cantidad Total de Conteos]]-(Analisis_Diferecias[[#This Row],[Cantidad]]))</f>
        <v>5</v>
      </c>
      <c r="L2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2" s="18"/>
      <c r="N202" s="18">
        <f>Analisis_Diferecias[[#This Row],[Costo Unitario($)]]*Analisis_Diferecias[[#This Row],[Cantidad Total de Conteos]]</f>
        <v>0</v>
      </c>
      <c r="O202" s="18">
        <f>Analisis_Diferecias[[#This Row],[Costo Unitario($)]]*Analisis_Diferecias[[#This Row],[Cantidad]]</f>
        <v>0</v>
      </c>
      <c r="P202" s="20">
        <f>+Analisis_Diferecias[[#This Row],[Valor Total Contado]]-Analisis_Diferecias[[#This Row],[Costo Total Sistema]]</f>
        <v>0</v>
      </c>
      <c r="Q2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3" spans="1:17" x14ac:dyDescent="0.2">
      <c r="A203">
        <v>11029</v>
      </c>
      <c r="B203" t="s">
        <v>378</v>
      </c>
      <c r="C203" t="s">
        <v>379</v>
      </c>
      <c r="D203">
        <v>-6</v>
      </c>
      <c r="E203" s="12">
        <f>SUMIFS('Consolidado conteo 1'!$F:$F,'Consolidado conteo 1'!$C:$C,Analisis_Diferecias[[#This Row],[ID]],'Consolidado conteo 1'!$I:$I,Analisis_Diferecias[[#Headers],[Primer Conteo]])</f>
        <v>0</v>
      </c>
      <c r="F203" s="12">
        <f>SUMIFS('Consolidado conteo 2'!$F:$F,'Consolidado conteo 2'!$C:$C,Analisis_Diferecias[[#This Row],[ID]],'Consolidado conteo 2'!$I:$I,Analisis_Diferecias[[#Headers],[Segundo Conteo]])</f>
        <v>0</v>
      </c>
      <c r="G203" s="12">
        <f>+Analisis_Diferecias[[#This Row],[Segundo Conteo]]-(Analisis_Diferecias[[#This Row],[Primer Conteo]])</f>
        <v>0</v>
      </c>
      <c r="H20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3" s="12">
        <f>SUMIFS(Analisis_Diferecias_Tercer_conteo[Tercer_conteo],Analisis_Diferecias_Tercer_conteo[ID],Analisis_Diferecias[[#This Row],[ID]])</f>
        <v>0</v>
      </c>
      <c r="J203" s="12">
        <f>IF(Analisis_Diferecias[[#This Row],[Tipo de incidencia]]="OK",Analisis_Diferecias[[#This Row],[Segundo Conteo]],Analisis_Diferecias[[#This Row],[Tercer Conteo]])</f>
        <v>0</v>
      </c>
      <c r="K203" s="12">
        <f>+(Analisis_Diferecias[[#This Row],[Cantidad Total de Conteos]]-(Analisis_Diferecias[[#This Row],[Cantidad]]))</f>
        <v>6</v>
      </c>
      <c r="L2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3" s="18"/>
      <c r="N203" s="18">
        <f>Analisis_Diferecias[[#This Row],[Costo Unitario($)]]*Analisis_Diferecias[[#This Row],[Cantidad Total de Conteos]]</f>
        <v>0</v>
      </c>
      <c r="O203" s="18">
        <f>Analisis_Diferecias[[#This Row],[Costo Unitario($)]]*Analisis_Diferecias[[#This Row],[Cantidad]]</f>
        <v>0</v>
      </c>
      <c r="P203" s="20">
        <f>+Analisis_Diferecias[[#This Row],[Valor Total Contado]]-Analisis_Diferecias[[#This Row],[Costo Total Sistema]]</f>
        <v>0</v>
      </c>
      <c r="Q2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4" spans="1:17" x14ac:dyDescent="0.2">
      <c r="A204">
        <v>632</v>
      </c>
      <c r="B204" t="s">
        <v>380</v>
      </c>
      <c r="C204" t="s">
        <v>381</v>
      </c>
      <c r="D204">
        <v>-7</v>
      </c>
      <c r="E204" s="12">
        <f>SUMIFS('Consolidado conteo 1'!$F:$F,'Consolidado conteo 1'!$C:$C,Analisis_Diferecias[[#This Row],[ID]],'Consolidado conteo 1'!$I:$I,Analisis_Diferecias[[#Headers],[Primer Conteo]])</f>
        <v>0</v>
      </c>
      <c r="F204" s="12">
        <f>SUMIFS('Consolidado conteo 2'!$F:$F,'Consolidado conteo 2'!$C:$C,Analisis_Diferecias[[#This Row],[ID]],'Consolidado conteo 2'!$I:$I,Analisis_Diferecias[[#Headers],[Segundo Conteo]])</f>
        <v>0</v>
      </c>
      <c r="G204" s="12">
        <f>+Analisis_Diferecias[[#This Row],[Segundo Conteo]]-(Analisis_Diferecias[[#This Row],[Primer Conteo]])</f>
        <v>0</v>
      </c>
      <c r="H20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4" s="12">
        <f>SUMIFS(Analisis_Diferecias_Tercer_conteo[Tercer_conteo],Analisis_Diferecias_Tercer_conteo[ID],Analisis_Diferecias[[#This Row],[ID]])</f>
        <v>0</v>
      </c>
      <c r="J204" s="12">
        <f>IF(Analisis_Diferecias[[#This Row],[Tipo de incidencia]]="OK",Analisis_Diferecias[[#This Row],[Segundo Conteo]],Analisis_Diferecias[[#This Row],[Tercer Conteo]])</f>
        <v>0</v>
      </c>
      <c r="K204" s="12">
        <f>+(Analisis_Diferecias[[#This Row],[Cantidad Total de Conteos]]-(Analisis_Diferecias[[#This Row],[Cantidad]]))</f>
        <v>7</v>
      </c>
      <c r="L2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4" s="18"/>
      <c r="N204" s="18">
        <f>Analisis_Diferecias[[#This Row],[Costo Unitario($)]]*Analisis_Diferecias[[#This Row],[Cantidad Total de Conteos]]</f>
        <v>0</v>
      </c>
      <c r="O204" s="18">
        <f>Analisis_Diferecias[[#This Row],[Costo Unitario($)]]*Analisis_Diferecias[[#This Row],[Cantidad]]</f>
        <v>0</v>
      </c>
      <c r="P204" s="20">
        <f>+Analisis_Diferecias[[#This Row],[Valor Total Contado]]-Analisis_Diferecias[[#This Row],[Costo Total Sistema]]</f>
        <v>0</v>
      </c>
      <c r="Q2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5" spans="1:17" x14ac:dyDescent="0.2">
      <c r="A205">
        <v>10514</v>
      </c>
      <c r="B205" t="s">
        <v>382</v>
      </c>
      <c r="C205" t="s">
        <v>383</v>
      </c>
      <c r="D205">
        <v>-22</v>
      </c>
      <c r="E205" s="12">
        <f>SUMIFS('Consolidado conteo 1'!$F:$F,'Consolidado conteo 1'!$C:$C,Analisis_Diferecias[[#This Row],[ID]],'Consolidado conteo 1'!$I:$I,Analisis_Diferecias[[#Headers],[Primer Conteo]])</f>
        <v>0</v>
      </c>
      <c r="F205" s="12">
        <f>SUMIFS('Consolidado conteo 2'!$F:$F,'Consolidado conteo 2'!$C:$C,Analisis_Diferecias[[#This Row],[ID]],'Consolidado conteo 2'!$I:$I,Analisis_Diferecias[[#Headers],[Segundo Conteo]])</f>
        <v>0</v>
      </c>
      <c r="G205" s="12">
        <f>+Analisis_Diferecias[[#This Row],[Segundo Conteo]]-(Analisis_Diferecias[[#This Row],[Primer Conteo]])</f>
        <v>0</v>
      </c>
      <c r="H20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5" s="12">
        <f>SUMIFS(Analisis_Diferecias_Tercer_conteo[Tercer_conteo],Analisis_Diferecias_Tercer_conteo[ID],Analisis_Diferecias[[#This Row],[ID]])</f>
        <v>0</v>
      </c>
      <c r="J205" s="12">
        <f>IF(Analisis_Diferecias[[#This Row],[Tipo de incidencia]]="OK",Analisis_Diferecias[[#This Row],[Segundo Conteo]],Analisis_Diferecias[[#This Row],[Tercer Conteo]])</f>
        <v>0</v>
      </c>
      <c r="K205" s="12">
        <f>+(Analisis_Diferecias[[#This Row],[Cantidad Total de Conteos]]-(Analisis_Diferecias[[#This Row],[Cantidad]]))</f>
        <v>22</v>
      </c>
      <c r="L2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5" s="18"/>
      <c r="N205" s="18">
        <f>Analisis_Diferecias[[#This Row],[Costo Unitario($)]]*Analisis_Diferecias[[#This Row],[Cantidad Total de Conteos]]</f>
        <v>0</v>
      </c>
      <c r="O205" s="18">
        <f>Analisis_Diferecias[[#This Row],[Costo Unitario($)]]*Analisis_Diferecias[[#This Row],[Cantidad]]</f>
        <v>0</v>
      </c>
      <c r="P205" s="20">
        <f>+Analisis_Diferecias[[#This Row],[Valor Total Contado]]-Analisis_Diferecias[[#This Row],[Costo Total Sistema]]</f>
        <v>0</v>
      </c>
      <c r="Q2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6" spans="1:17" x14ac:dyDescent="0.2">
      <c r="A206">
        <v>14032</v>
      </c>
      <c r="B206" t="s">
        <v>384</v>
      </c>
      <c r="C206" t="s">
        <v>385</v>
      </c>
      <c r="D206">
        <v>-29</v>
      </c>
      <c r="E206" s="12">
        <f>SUMIFS('Consolidado conteo 1'!$F:$F,'Consolidado conteo 1'!$C:$C,Analisis_Diferecias[[#This Row],[ID]],'Consolidado conteo 1'!$I:$I,Analisis_Diferecias[[#Headers],[Primer Conteo]])</f>
        <v>0</v>
      </c>
      <c r="F206" s="12">
        <f>SUMIFS('Consolidado conteo 2'!$F:$F,'Consolidado conteo 2'!$C:$C,Analisis_Diferecias[[#This Row],[ID]],'Consolidado conteo 2'!$I:$I,Analisis_Diferecias[[#Headers],[Segundo Conteo]])</f>
        <v>0</v>
      </c>
      <c r="G206" s="12">
        <f>+Analisis_Diferecias[[#This Row],[Segundo Conteo]]-(Analisis_Diferecias[[#This Row],[Primer Conteo]])</f>
        <v>0</v>
      </c>
      <c r="H20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6" s="12">
        <f>SUMIFS(Analisis_Diferecias_Tercer_conteo[Tercer_conteo],Analisis_Diferecias_Tercer_conteo[ID],Analisis_Diferecias[[#This Row],[ID]])</f>
        <v>0</v>
      </c>
      <c r="J206" s="12">
        <f>IF(Analisis_Diferecias[[#This Row],[Tipo de incidencia]]="OK",Analisis_Diferecias[[#This Row],[Segundo Conteo]],Analisis_Diferecias[[#This Row],[Tercer Conteo]])</f>
        <v>0</v>
      </c>
      <c r="K206" s="12">
        <f>+(Analisis_Diferecias[[#This Row],[Cantidad Total de Conteos]]-(Analisis_Diferecias[[#This Row],[Cantidad]]))</f>
        <v>29</v>
      </c>
      <c r="L2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6" s="18"/>
      <c r="N206" s="18">
        <f>Analisis_Diferecias[[#This Row],[Costo Unitario($)]]*Analisis_Diferecias[[#This Row],[Cantidad Total de Conteos]]</f>
        <v>0</v>
      </c>
      <c r="O206" s="18">
        <f>Analisis_Diferecias[[#This Row],[Costo Unitario($)]]*Analisis_Diferecias[[#This Row],[Cantidad]]</f>
        <v>0</v>
      </c>
      <c r="P206" s="20">
        <f>+Analisis_Diferecias[[#This Row],[Valor Total Contado]]-Analisis_Diferecias[[#This Row],[Costo Total Sistema]]</f>
        <v>0</v>
      </c>
      <c r="Q2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7" spans="1:17" x14ac:dyDescent="0.2">
      <c r="A207">
        <v>13717</v>
      </c>
      <c r="B207" t="s">
        <v>386</v>
      </c>
      <c r="C207" t="s">
        <v>387</v>
      </c>
      <c r="D207">
        <v>-40</v>
      </c>
      <c r="E207" s="12">
        <f>SUMIFS('Consolidado conteo 1'!$F:$F,'Consolidado conteo 1'!$C:$C,Analisis_Diferecias[[#This Row],[ID]],'Consolidado conteo 1'!$I:$I,Analisis_Diferecias[[#Headers],[Primer Conteo]])</f>
        <v>0</v>
      </c>
      <c r="F207" s="12">
        <f>SUMIFS('Consolidado conteo 2'!$F:$F,'Consolidado conteo 2'!$C:$C,Analisis_Diferecias[[#This Row],[ID]],'Consolidado conteo 2'!$I:$I,Analisis_Diferecias[[#Headers],[Segundo Conteo]])</f>
        <v>0</v>
      </c>
      <c r="G207" s="12">
        <f>+Analisis_Diferecias[[#This Row],[Segundo Conteo]]-(Analisis_Diferecias[[#This Row],[Primer Conteo]])</f>
        <v>0</v>
      </c>
      <c r="H20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7" s="12">
        <f>SUMIFS(Analisis_Diferecias_Tercer_conteo[Tercer_conteo],Analisis_Diferecias_Tercer_conteo[ID],Analisis_Diferecias[[#This Row],[ID]])</f>
        <v>0</v>
      </c>
      <c r="J207" s="12">
        <f>IF(Analisis_Diferecias[[#This Row],[Tipo de incidencia]]="OK",Analisis_Diferecias[[#This Row],[Segundo Conteo]],Analisis_Diferecias[[#This Row],[Tercer Conteo]])</f>
        <v>0</v>
      </c>
      <c r="K207" s="12">
        <f>+(Analisis_Diferecias[[#This Row],[Cantidad Total de Conteos]]-(Analisis_Diferecias[[#This Row],[Cantidad]]))</f>
        <v>40</v>
      </c>
      <c r="L2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7" s="18"/>
      <c r="N207" s="18">
        <f>Analisis_Diferecias[[#This Row],[Costo Unitario($)]]*Analisis_Diferecias[[#This Row],[Cantidad Total de Conteos]]</f>
        <v>0</v>
      </c>
      <c r="O207" s="18">
        <f>Analisis_Diferecias[[#This Row],[Costo Unitario($)]]*Analisis_Diferecias[[#This Row],[Cantidad]]</f>
        <v>0</v>
      </c>
      <c r="P207" s="20">
        <f>+Analisis_Diferecias[[#This Row],[Valor Total Contado]]-Analisis_Diferecias[[#This Row],[Costo Total Sistema]]</f>
        <v>0</v>
      </c>
      <c r="Q2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08" spans="1:17" x14ac:dyDescent="0.2">
      <c r="A208">
        <v>545</v>
      </c>
      <c r="B208" t="s">
        <v>388</v>
      </c>
      <c r="C208" t="s">
        <v>389</v>
      </c>
      <c r="D208">
        <v>1226</v>
      </c>
      <c r="E208" s="12">
        <f>SUMIFS('Consolidado conteo 1'!$F:$F,'Consolidado conteo 1'!$C:$C,Analisis_Diferecias[[#This Row],[ID]],'Consolidado conteo 1'!$I:$I,Analisis_Diferecias[[#Headers],[Primer Conteo]])</f>
        <v>0</v>
      </c>
      <c r="F208" s="12">
        <f>SUMIFS('Consolidado conteo 2'!$F:$F,'Consolidado conteo 2'!$C:$C,Analisis_Diferecias[[#This Row],[ID]],'Consolidado conteo 2'!$I:$I,Analisis_Diferecias[[#Headers],[Segundo Conteo]])</f>
        <v>0</v>
      </c>
      <c r="G208" s="12">
        <f>+Analisis_Diferecias[[#This Row],[Segundo Conteo]]-(Analisis_Diferecias[[#This Row],[Primer Conteo]])</f>
        <v>0</v>
      </c>
      <c r="H20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8" s="12">
        <f>SUMIFS(Analisis_Diferecias_Tercer_conteo[Tercer_conteo],Analisis_Diferecias_Tercer_conteo[ID],Analisis_Diferecias[[#This Row],[ID]])</f>
        <v>0</v>
      </c>
      <c r="J208" s="12">
        <f>IF(Analisis_Diferecias[[#This Row],[Tipo de incidencia]]="OK",Analisis_Diferecias[[#This Row],[Segundo Conteo]],Analisis_Diferecias[[#This Row],[Tercer Conteo]])</f>
        <v>0</v>
      </c>
      <c r="K208" s="12">
        <f>+(Analisis_Diferecias[[#This Row],[Cantidad Total de Conteos]]-(Analisis_Diferecias[[#This Row],[Cantidad]]))</f>
        <v>-1226</v>
      </c>
      <c r="L2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08" s="18"/>
      <c r="N208" s="18">
        <f>Analisis_Diferecias[[#This Row],[Costo Unitario($)]]*Analisis_Diferecias[[#This Row],[Cantidad Total de Conteos]]</f>
        <v>0</v>
      </c>
      <c r="O208" s="18">
        <f>Analisis_Diferecias[[#This Row],[Costo Unitario($)]]*Analisis_Diferecias[[#This Row],[Cantidad]]</f>
        <v>0</v>
      </c>
      <c r="P208" s="20">
        <f>+Analisis_Diferecias[[#This Row],[Valor Total Contado]]-Analisis_Diferecias[[#This Row],[Costo Total Sistema]]</f>
        <v>0</v>
      </c>
      <c r="Q2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09" spans="1:17" x14ac:dyDescent="0.2">
      <c r="A209">
        <v>11108</v>
      </c>
      <c r="B209" t="s">
        <v>390</v>
      </c>
      <c r="C209" t="s">
        <v>391</v>
      </c>
      <c r="D209">
        <v>-81</v>
      </c>
      <c r="E209" s="12">
        <f>SUMIFS('Consolidado conteo 1'!$F:$F,'Consolidado conteo 1'!$C:$C,Analisis_Diferecias[[#This Row],[ID]],'Consolidado conteo 1'!$I:$I,Analisis_Diferecias[[#Headers],[Primer Conteo]])</f>
        <v>0</v>
      </c>
      <c r="F209" s="12">
        <f>SUMIFS('Consolidado conteo 2'!$F:$F,'Consolidado conteo 2'!$C:$C,Analisis_Diferecias[[#This Row],[ID]],'Consolidado conteo 2'!$I:$I,Analisis_Diferecias[[#Headers],[Segundo Conteo]])</f>
        <v>0</v>
      </c>
      <c r="G209" s="12">
        <f>+Analisis_Diferecias[[#This Row],[Segundo Conteo]]-(Analisis_Diferecias[[#This Row],[Primer Conteo]])</f>
        <v>0</v>
      </c>
      <c r="H20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09" s="12">
        <f>SUMIFS(Analisis_Diferecias_Tercer_conteo[Tercer_conteo],Analisis_Diferecias_Tercer_conteo[ID],Analisis_Diferecias[[#This Row],[ID]])</f>
        <v>0</v>
      </c>
      <c r="J209" s="12">
        <f>IF(Analisis_Diferecias[[#This Row],[Tipo de incidencia]]="OK",Analisis_Diferecias[[#This Row],[Segundo Conteo]],Analisis_Diferecias[[#This Row],[Tercer Conteo]])</f>
        <v>0</v>
      </c>
      <c r="K209" s="12">
        <f>+(Analisis_Diferecias[[#This Row],[Cantidad Total de Conteos]]-(Analisis_Diferecias[[#This Row],[Cantidad]]))</f>
        <v>81</v>
      </c>
      <c r="L2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209" s="18"/>
      <c r="N209" s="18">
        <f>Analisis_Diferecias[[#This Row],[Costo Unitario($)]]*Analisis_Diferecias[[#This Row],[Cantidad Total de Conteos]]</f>
        <v>0</v>
      </c>
      <c r="O209" s="18">
        <f>Analisis_Diferecias[[#This Row],[Costo Unitario($)]]*Analisis_Diferecias[[#This Row],[Cantidad]]</f>
        <v>0</v>
      </c>
      <c r="P209" s="20">
        <f>+Analisis_Diferecias[[#This Row],[Valor Total Contado]]-Analisis_Diferecias[[#This Row],[Costo Total Sistema]]</f>
        <v>0</v>
      </c>
      <c r="Q2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210" spans="1:17" x14ac:dyDescent="0.2">
      <c r="A210">
        <v>9547</v>
      </c>
      <c r="B210" t="s">
        <v>392</v>
      </c>
      <c r="C210" t="s">
        <v>393</v>
      </c>
      <c r="D210">
        <v>1792</v>
      </c>
      <c r="E210" s="12">
        <f>SUMIFS('Consolidado conteo 1'!$F:$F,'Consolidado conteo 1'!$C:$C,Analisis_Diferecias[[#This Row],[ID]],'Consolidado conteo 1'!$I:$I,Analisis_Diferecias[[#Headers],[Primer Conteo]])</f>
        <v>0</v>
      </c>
      <c r="F210" s="12">
        <f>SUMIFS('Consolidado conteo 2'!$F:$F,'Consolidado conteo 2'!$C:$C,Analisis_Diferecias[[#This Row],[ID]],'Consolidado conteo 2'!$I:$I,Analisis_Diferecias[[#Headers],[Segundo Conteo]])</f>
        <v>0</v>
      </c>
      <c r="G210" s="12">
        <f>+Analisis_Diferecias[[#This Row],[Segundo Conteo]]-(Analisis_Diferecias[[#This Row],[Primer Conteo]])</f>
        <v>0</v>
      </c>
      <c r="H21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0" s="12">
        <f>SUMIFS(Analisis_Diferecias_Tercer_conteo[Tercer_conteo],Analisis_Diferecias_Tercer_conteo[ID],Analisis_Diferecias[[#This Row],[ID]])</f>
        <v>0</v>
      </c>
      <c r="J210" s="12">
        <f>IF(Analisis_Diferecias[[#This Row],[Tipo de incidencia]]="OK",Analisis_Diferecias[[#This Row],[Segundo Conteo]],Analisis_Diferecias[[#This Row],[Tercer Conteo]])</f>
        <v>0</v>
      </c>
      <c r="K210" s="12">
        <f>+(Analisis_Diferecias[[#This Row],[Cantidad Total de Conteos]]-(Analisis_Diferecias[[#This Row],[Cantidad]]))</f>
        <v>-1792</v>
      </c>
      <c r="L2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0" s="18"/>
      <c r="N210" s="18">
        <f>Analisis_Diferecias[[#This Row],[Costo Unitario($)]]*Analisis_Diferecias[[#This Row],[Cantidad Total de Conteos]]</f>
        <v>0</v>
      </c>
      <c r="O210" s="18">
        <f>Analisis_Diferecias[[#This Row],[Costo Unitario($)]]*Analisis_Diferecias[[#This Row],[Cantidad]]</f>
        <v>0</v>
      </c>
      <c r="P210" s="20">
        <f>+Analisis_Diferecias[[#This Row],[Valor Total Contado]]-Analisis_Diferecias[[#This Row],[Costo Total Sistema]]</f>
        <v>0</v>
      </c>
      <c r="Q2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1" spans="1:17" x14ac:dyDescent="0.2">
      <c r="A211">
        <v>10337</v>
      </c>
      <c r="B211" t="s">
        <v>394</v>
      </c>
      <c r="C211" t="s">
        <v>395</v>
      </c>
      <c r="D211">
        <v>1035</v>
      </c>
      <c r="E211" s="12">
        <f>SUMIFS('Consolidado conteo 1'!$F:$F,'Consolidado conteo 1'!$C:$C,Analisis_Diferecias[[#This Row],[ID]],'Consolidado conteo 1'!$I:$I,Analisis_Diferecias[[#Headers],[Primer Conteo]])</f>
        <v>0</v>
      </c>
      <c r="F211" s="12">
        <f>SUMIFS('Consolidado conteo 2'!$F:$F,'Consolidado conteo 2'!$C:$C,Analisis_Diferecias[[#This Row],[ID]],'Consolidado conteo 2'!$I:$I,Analisis_Diferecias[[#Headers],[Segundo Conteo]])</f>
        <v>0</v>
      </c>
      <c r="G211" s="12">
        <f>+Analisis_Diferecias[[#This Row],[Segundo Conteo]]-(Analisis_Diferecias[[#This Row],[Primer Conteo]])</f>
        <v>0</v>
      </c>
      <c r="H21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1" s="12">
        <f>SUMIFS(Analisis_Diferecias_Tercer_conteo[Tercer_conteo],Analisis_Diferecias_Tercer_conteo[ID],Analisis_Diferecias[[#This Row],[ID]])</f>
        <v>0</v>
      </c>
      <c r="J211" s="12">
        <f>IF(Analisis_Diferecias[[#This Row],[Tipo de incidencia]]="OK",Analisis_Diferecias[[#This Row],[Segundo Conteo]],Analisis_Diferecias[[#This Row],[Tercer Conteo]])</f>
        <v>0</v>
      </c>
      <c r="K211" s="12">
        <f>+(Analisis_Diferecias[[#This Row],[Cantidad Total de Conteos]]-(Analisis_Diferecias[[#This Row],[Cantidad]]))</f>
        <v>-1035</v>
      </c>
      <c r="L2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1" s="18"/>
      <c r="N211" s="18">
        <f>Analisis_Diferecias[[#This Row],[Costo Unitario($)]]*Analisis_Diferecias[[#This Row],[Cantidad Total de Conteos]]</f>
        <v>0</v>
      </c>
      <c r="O211" s="18">
        <f>Analisis_Diferecias[[#This Row],[Costo Unitario($)]]*Analisis_Diferecias[[#This Row],[Cantidad]]</f>
        <v>0</v>
      </c>
      <c r="P211" s="20">
        <f>+Analisis_Diferecias[[#This Row],[Valor Total Contado]]-Analisis_Diferecias[[#This Row],[Costo Total Sistema]]</f>
        <v>0</v>
      </c>
      <c r="Q2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2" spans="1:17" x14ac:dyDescent="0.2">
      <c r="A212">
        <v>8955</v>
      </c>
      <c r="B212" t="s">
        <v>396</v>
      </c>
      <c r="C212" t="s">
        <v>397</v>
      </c>
      <c r="D212">
        <v>752</v>
      </c>
      <c r="E212" s="12">
        <f>SUMIFS('Consolidado conteo 1'!$F:$F,'Consolidado conteo 1'!$C:$C,Analisis_Diferecias[[#This Row],[ID]],'Consolidado conteo 1'!$I:$I,Analisis_Diferecias[[#Headers],[Primer Conteo]])</f>
        <v>0</v>
      </c>
      <c r="F212" s="12">
        <f>SUMIFS('Consolidado conteo 2'!$F:$F,'Consolidado conteo 2'!$C:$C,Analisis_Diferecias[[#This Row],[ID]],'Consolidado conteo 2'!$I:$I,Analisis_Diferecias[[#Headers],[Segundo Conteo]])</f>
        <v>0</v>
      </c>
      <c r="G212" s="12">
        <f>+Analisis_Diferecias[[#This Row],[Segundo Conteo]]-(Analisis_Diferecias[[#This Row],[Primer Conteo]])</f>
        <v>0</v>
      </c>
      <c r="H21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2" s="12">
        <f>SUMIFS(Analisis_Diferecias_Tercer_conteo[Tercer_conteo],Analisis_Diferecias_Tercer_conteo[ID],Analisis_Diferecias[[#This Row],[ID]])</f>
        <v>0</v>
      </c>
      <c r="J212" s="12">
        <f>IF(Analisis_Diferecias[[#This Row],[Tipo de incidencia]]="OK",Analisis_Diferecias[[#This Row],[Segundo Conteo]],Analisis_Diferecias[[#This Row],[Tercer Conteo]])</f>
        <v>0</v>
      </c>
      <c r="K212" s="12">
        <f>+(Analisis_Diferecias[[#This Row],[Cantidad Total de Conteos]]-(Analisis_Diferecias[[#This Row],[Cantidad]]))</f>
        <v>-752</v>
      </c>
      <c r="L2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2" s="18"/>
      <c r="N212" s="18">
        <f>Analisis_Diferecias[[#This Row],[Costo Unitario($)]]*Analisis_Diferecias[[#This Row],[Cantidad Total de Conteos]]</f>
        <v>0</v>
      </c>
      <c r="O212" s="18">
        <f>Analisis_Diferecias[[#This Row],[Costo Unitario($)]]*Analisis_Diferecias[[#This Row],[Cantidad]]</f>
        <v>0</v>
      </c>
      <c r="P212" s="20">
        <f>+Analisis_Diferecias[[#This Row],[Valor Total Contado]]-Analisis_Diferecias[[#This Row],[Costo Total Sistema]]</f>
        <v>0</v>
      </c>
      <c r="Q2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3" spans="1:17" x14ac:dyDescent="0.2">
      <c r="A213">
        <v>9346</v>
      </c>
      <c r="B213" t="s">
        <v>398</v>
      </c>
      <c r="C213" t="s">
        <v>399</v>
      </c>
      <c r="D213">
        <v>200</v>
      </c>
      <c r="E213" s="12">
        <f>SUMIFS('Consolidado conteo 1'!$F:$F,'Consolidado conteo 1'!$C:$C,Analisis_Diferecias[[#This Row],[ID]],'Consolidado conteo 1'!$I:$I,Analisis_Diferecias[[#Headers],[Primer Conteo]])</f>
        <v>0</v>
      </c>
      <c r="F213" s="12">
        <f>SUMIFS('Consolidado conteo 2'!$F:$F,'Consolidado conteo 2'!$C:$C,Analisis_Diferecias[[#This Row],[ID]],'Consolidado conteo 2'!$I:$I,Analisis_Diferecias[[#Headers],[Segundo Conteo]])</f>
        <v>0</v>
      </c>
      <c r="G213" s="12">
        <f>+Analisis_Diferecias[[#This Row],[Segundo Conteo]]-(Analisis_Diferecias[[#This Row],[Primer Conteo]])</f>
        <v>0</v>
      </c>
      <c r="H21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3" s="12">
        <f>SUMIFS(Analisis_Diferecias_Tercer_conteo[Tercer_conteo],Analisis_Diferecias_Tercer_conteo[ID],Analisis_Diferecias[[#This Row],[ID]])</f>
        <v>0</v>
      </c>
      <c r="J213" s="12">
        <f>IF(Analisis_Diferecias[[#This Row],[Tipo de incidencia]]="OK",Analisis_Diferecias[[#This Row],[Segundo Conteo]],Analisis_Diferecias[[#This Row],[Tercer Conteo]])</f>
        <v>0</v>
      </c>
      <c r="K213" s="12">
        <f>+(Analisis_Diferecias[[#This Row],[Cantidad Total de Conteos]]-(Analisis_Diferecias[[#This Row],[Cantidad]]))</f>
        <v>-200</v>
      </c>
      <c r="L2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3" s="18"/>
      <c r="N213" s="18">
        <f>Analisis_Diferecias[[#This Row],[Costo Unitario($)]]*Analisis_Diferecias[[#This Row],[Cantidad Total de Conteos]]</f>
        <v>0</v>
      </c>
      <c r="O213" s="18">
        <f>Analisis_Diferecias[[#This Row],[Costo Unitario($)]]*Analisis_Diferecias[[#This Row],[Cantidad]]</f>
        <v>0</v>
      </c>
      <c r="P213" s="20">
        <f>+Analisis_Diferecias[[#This Row],[Valor Total Contado]]-Analisis_Diferecias[[#This Row],[Costo Total Sistema]]</f>
        <v>0</v>
      </c>
      <c r="Q2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4" spans="1:17" x14ac:dyDescent="0.2">
      <c r="A214">
        <v>8844</v>
      </c>
      <c r="B214" t="s">
        <v>400</v>
      </c>
      <c r="C214" t="s">
        <v>401</v>
      </c>
      <c r="D214">
        <v>50</v>
      </c>
      <c r="E214" s="12">
        <f>SUMIFS('Consolidado conteo 1'!$F:$F,'Consolidado conteo 1'!$C:$C,Analisis_Diferecias[[#This Row],[ID]],'Consolidado conteo 1'!$I:$I,Analisis_Diferecias[[#Headers],[Primer Conteo]])</f>
        <v>0</v>
      </c>
      <c r="F214" s="12">
        <f>SUMIFS('Consolidado conteo 2'!$F:$F,'Consolidado conteo 2'!$C:$C,Analisis_Diferecias[[#This Row],[ID]],'Consolidado conteo 2'!$I:$I,Analisis_Diferecias[[#Headers],[Segundo Conteo]])</f>
        <v>0</v>
      </c>
      <c r="G214" s="12">
        <f>+Analisis_Diferecias[[#This Row],[Segundo Conteo]]-(Analisis_Diferecias[[#This Row],[Primer Conteo]])</f>
        <v>0</v>
      </c>
      <c r="H21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4" s="12">
        <f>SUMIFS(Analisis_Diferecias_Tercer_conteo[Tercer_conteo],Analisis_Diferecias_Tercer_conteo[ID],Analisis_Diferecias[[#This Row],[ID]])</f>
        <v>0</v>
      </c>
      <c r="J214" s="12">
        <f>IF(Analisis_Diferecias[[#This Row],[Tipo de incidencia]]="OK",Analisis_Diferecias[[#This Row],[Segundo Conteo]],Analisis_Diferecias[[#This Row],[Tercer Conteo]])</f>
        <v>0</v>
      </c>
      <c r="K214" s="12">
        <f>+(Analisis_Diferecias[[#This Row],[Cantidad Total de Conteos]]-(Analisis_Diferecias[[#This Row],[Cantidad]]))</f>
        <v>-50</v>
      </c>
      <c r="L2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4" s="18"/>
      <c r="N214" s="18">
        <f>Analisis_Diferecias[[#This Row],[Costo Unitario($)]]*Analisis_Diferecias[[#This Row],[Cantidad Total de Conteos]]</f>
        <v>0</v>
      </c>
      <c r="O214" s="18">
        <f>Analisis_Diferecias[[#This Row],[Costo Unitario($)]]*Analisis_Diferecias[[#This Row],[Cantidad]]</f>
        <v>0</v>
      </c>
      <c r="P214" s="20">
        <f>+Analisis_Diferecias[[#This Row],[Valor Total Contado]]-Analisis_Diferecias[[#This Row],[Costo Total Sistema]]</f>
        <v>0</v>
      </c>
      <c r="Q2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5" spans="1:17" x14ac:dyDescent="0.2">
      <c r="A215">
        <v>14054</v>
      </c>
      <c r="B215" t="s">
        <v>402</v>
      </c>
      <c r="C215" t="s">
        <v>403</v>
      </c>
      <c r="D215">
        <v>50</v>
      </c>
      <c r="E215" s="12">
        <f>SUMIFS('Consolidado conteo 1'!$F:$F,'Consolidado conteo 1'!$C:$C,Analisis_Diferecias[[#This Row],[ID]],'Consolidado conteo 1'!$I:$I,Analisis_Diferecias[[#Headers],[Primer Conteo]])</f>
        <v>0</v>
      </c>
      <c r="F215" s="12">
        <f>SUMIFS('Consolidado conteo 2'!$F:$F,'Consolidado conteo 2'!$C:$C,Analisis_Diferecias[[#This Row],[ID]],'Consolidado conteo 2'!$I:$I,Analisis_Diferecias[[#Headers],[Segundo Conteo]])</f>
        <v>0</v>
      </c>
      <c r="G215" s="12">
        <f>+Analisis_Diferecias[[#This Row],[Segundo Conteo]]-(Analisis_Diferecias[[#This Row],[Primer Conteo]])</f>
        <v>0</v>
      </c>
      <c r="H21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5" s="12">
        <f>SUMIFS(Analisis_Diferecias_Tercer_conteo[Tercer_conteo],Analisis_Diferecias_Tercer_conteo[ID],Analisis_Diferecias[[#This Row],[ID]])</f>
        <v>0</v>
      </c>
      <c r="J215" s="12">
        <f>IF(Analisis_Diferecias[[#This Row],[Tipo de incidencia]]="OK",Analisis_Diferecias[[#This Row],[Segundo Conteo]],Analisis_Diferecias[[#This Row],[Tercer Conteo]])</f>
        <v>0</v>
      </c>
      <c r="K215" s="12">
        <f>+(Analisis_Diferecias[[#This Row],[Cantidad Total de Conteos]]-(Analisis_Diferecias[[#This Row],[Cantidad]]))</f>
        <v>-50</v>
      </c>
      <c r="L2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5" s="18"/>
      <c r="N215" s="18">
        <f>Analisis_Diferecias[[#This Row],[Costo Unitario($)]]*Analisis_Diferecias[[#This Row],[Cantidad Total de Conteos]]</f>
        <v>0</v>
      </c>
      <c r="O215" s="18">
        <f>Analisis_Diferecias[[#This Row],[Costo Unitario($)]]*Analisis_Diferecias[[#This Row],[Cantidad]]</f>
        <v>0</v>
      </c>
      <c r="P215" s="20">
        <f>+Analisis_Diferecias[[#This Row],[Valor Total Contado]]-Analisis_Diferecias[[#This Row],[Costo Total Sistema]]</f>
        <v>0</v>
      </c>
      <c r="Q2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6" spans="1:17" x14ac:dyDescent="0.2">
      <c r="A216">
        <v>8788</v>
      </c>
      <c r="B216" t="s">
        <v>404</v>
      </c>
      <c r="C216" t="s">
        <v>405</v>
      </c>
      <c r="D216">
        <v>50</v>
      </c>
      <c r="E216" s="12">
        <f>SUMIFS('Consolidado conteo 1'!$F:$F,'Consolidado conteo 1'!$C:$C,Analisis_Diferecias[[#This Row],[ID]],'Consolidado conteo 1'!$I:$I,Analisis_Diferecias[[#Headers],[Primer Conteo]])</f>
        <v>0</v>
      </c>
      <c r="F216" s="12">
        <f>SUMIFS('Consolidado conteo 2'!$F:$F,'Consolidado conteo 2'!$C:$C,Analisis_Diferecias[[#This Row],[ID]],'Consolidado conteo 2'!$I:$I,Analisis_Diferecias[[#Headers],[Segundo Conteo]])</f>
        <v>0</v>
      </c>
      <c r="G216" s="12">
        <f>+Analisis_Diferecias[[#This Row],[Segundo Conteo]]-(Analisis_Diferecias[[#This Row],[Primer Conteo]])</f>
        <v>0</v>
      </c>
      <c r="H21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6" s="12">
        <f>SUMIFS(Analisis_Diferecias_Tercer_conteo[Tercer_conteo],Analisis_Diferecias_Tercer_conteo[ID],Analisis_Diferecias[[#This Row],[ID]])</f>
        <v>0</v>
      </c>
      <c r="J216" s="12">
        <f>IF(Analisis_Diferecias[[#This Row],[Tipo de incidencia]]="OK",Analisis_Diferecias[[#This Row],[Segundo Conteo]],Analisis_Diferecias[[#This Row],[Tercer Conteo]])</f>
        <v>0</v>
      </c>
      <c r="K216" s="12">
        <f>+(Analisis_Diferecias[[#This Row],[Cantidad Total de Conteos]]-(Analisis_Diferecias[[#This Row],[Cantidad]]))</f>
        <v>-50</v>
      </c>
      <c r="L2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6" s="18"/>
      <c r="N216" s="18">
        <f>Analisis_Diferecias[[#This Row],[Costo Unitario($)]]*Analisis_Diferecias[[#This Row],[Cantidad Total de Conteos]]</f>
        <v>0</v>
      </c>
      <c r="O216" s="18">
        <f>Analisis_Diferecias[[#This Row],[Costo Unitario($)]]*Analisis_Diferecias[[#This Row],[Cantidad]]</f>
        <v>0</v>
      </c>
      <c r="P216" s="20">
        <f>+Analisis_Diferecias[[#This Row],[Valor Total Contado]]-Analisis_Diferecias[[#This Row],[Costo Total Sistema]]</f>
        <v>0</v>
      </c>
      <c r="Q2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7" spans="1:17" x14ac:dyDescent="0.2">
      <c r="A217">
        <v>11251</v>
      </c>
      <c r="B217" t="s">
        <v>406</v>
      </c>
      <c r="C217" t="s">
        <v>407</v>
      </c>
      <c r="D217">
        <v>50</v>
      </c>
      <c r="E217" s="12">
        <f>SUMIFS('Consolidado conteo 1'!$F:$F,'Consolidado conteo 1'!$C:$C,Analisis_Diferecias[[#This Row],[ID]],'Consolidado conteo 1'!$I:$I,Analisis_Diferecias[[#Headers],[Primer Conteo]])</f>
        <v>0</v>
      </c>
      <c r="F217" s="12">
        <f>SUMIFS('Consolidado conteo 2'!$F:$F,'Consolidado conteo 2'!$C:$C,Analisis_Diferecias[[#This Row],[ID]],'Consolidado conteo 2'!$I:$I,Analisis_Diferecias[[#Headers],[Segundo Conteo]])</f>
        <v>0</v>
      </c>
      <c r="G217" s="12">
        <f>+Analisis_Diferecias[[#This Row],[Segundo Conteo]]-(Analisis_Diferecias[[#This Row],[Primer Conteo]])</f>
        <v>0</v>
      </c>
      <c r="H21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7" s="12">
        <f>SUMIFS(Analisis_Diferecias_Tercer_conteo[Tercer_conteo],Analisis_Diferecias_Tercer_conteo[ID],Analisis_Diferecias[[#This Row],[ID]])</f>
        <v>0</v>
      </c>
      <c r="J217" s="12">
        <f>IF(Analisis_Diferecias[[#This Row],[Tipo de incidencia]]="OK",Analisis_Diferecias[[#This Row],[Segundo Conteo]],Analisis_Diferecias[[#This Row],[Tercer Conteo]])</f>
        <v>0</v>
      </c>
      <c r="K217" s="12">
        <f>+(Analisis_Diferecias[[#This Row],[Cantidad Total de Conteos]]-(Analisis_Diferecias[[#This Row],[Cantidad]]))</f>
        <v>-50</v>
      </c>
      <c r="L2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7" s="18"/>
      <c r="N217" s="18">
        <f>Analisis_Diferecias[[#This Row],[Costo Unitario($)]]*Analisis_Diferecias[[#This Row],[Cantidad Total de Conteos]]</f>
        <v>0</v>
      </c>
      <c r="O217" s="18">
        <f>Analisis_Diferecias[[#This Row],[Costo Unitario($)]]*Analisis_Diferecias[[#This Row],[Cantidad]]</f>
        <v>0</v>
      </c>
      <c r="P217" s="20">
        <f>+Analisis_Diferecias[[#This Row],[Valor Total Contado]]-Analisis_Diferecias[[#This Row],[Costo Total Sistema]]</f>
        <v>0</v>
      </c>
      <c r="Q2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8" spans="1:17" x14ac:dyDescent="0.2">
      <c r="A218">
        <v>13539</v>
      </c>
      <c r="B218" t="s">
        <v>408</v>
      </c>
      <c r="C218" t="s">
        <v>409</v>
      </c>
      <c r="D218">
        <v>5</v>
      </c>
      <c r="E218" s="12">
        <f>SUMIFS('Consolidado conteo 1'!$F:$F,'Consolidado conteo 1'!$C:$C,Analisis_Diferecias[[#This Row],[ID]],'Consolidado conteo 1'!$I:$I,Analisis_Diferecias[[#Headers],[Primer Conteo]])</f>
        <v>0</v>
      </c>
      <c r="F218" s="12">
        <f>SUMIFS('Consolidado conteo 2'!$F:$F,'Consolidado conteo 2'!$C:$C,Analisis_Diferecias[[#This Row],[ID]],'Consolidado conteo 2'!$I:$I,Analisis_Diferecias[[#Headers],[Segundo Conteo]])</f>
        <v>0</v>
      </c>
      <c r="G218" s="12">
        <f>+Analisis_Diferecias[[#This Row],[Segundo Conteo]]-(Analisis_Diferecias[[#This Row],[Primer Conteo]])</f>
        <v>0</v>
      </c>
      <c r="H21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8" s="12">
        <f>SUMIFS(Analisis_Diferecias_Tercer_conteo[Tercer_conteo],Analisis_Diferecias_Tercer_conteo[ID],Analisis_Diferecias[[#This Row],[ID]])</f>
        <v>0</v>
      </c>
      <c r="J218" s="12">
        <f>IF(Analisis_Diferecias[[#This Row],[Tipo de incidencia]]="OK",Analisis_Diferecias[[#This Row],[Segundo Conteo]],Analisis_Diferecias[[#This Row],[Tercer Conteo]])</f>
        <v>0</v>
      </c>
      <c r="K218" s="12">
        <f>+(Analisis_Diferecias[[#This Row],[Cantidad Total de Conteos]]-(Analisis_Diferecias[[#This Row],[Cantidad]]))</f>
        <v>-5</v>
      </c>
      <c r="L2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8" s="18"/>
      <c r="N218" s="18">
        <f>Analisis_Diferecias[[#This Row],[Costo Unitario($)]]*Analisis_Diferecias[[#This Row],[Cantidad Total de Conteos]]</f>
        <v>0</v>
      </c>
      <c r="O218" s="18">
        <f>Analisis_Diferecias[[#This Row],[Costo Unitario($)]]*Analisis_Diferecias[[#This Row],[Cantidad]]</f>
        <v>0</v>
      </c>
      <c r="P218" s="20">
        <f>+Analisis_Diferecias[[#This Row],[Valor Total Contado]]-Analisis_Diferecias[[#This Row],[Costo Total Sistema]]</f>
        <v>0</v>
      </c>
      <c r="Q2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19" spans="1:17" x14ac:dyDescent="0.2">
      <c r="A219">
        <v>6768</v>
      </c>
      <c r="B219" t="s">
        <v>410</v>
      </c>
      <c r="C219" t="s">
        <v>411</v>
      </c>
      <c r="D219">
        <v>2</v>
      </c>
      <c r="E219" s="12">
        <f>SUMIFS('Consolidado conteo 1'!$F:$F,'Consolidado conteo 1'!$C:$C,Analisis_Diferecias[[#This Row],[ID]],'Consolidado conteo 1'!$I:$I,Analisis_Diferecias[[#Headers],[Primer Conteo]])</f>
        <v>0</v>
      </c>
      <c r="F219" s="12">
        <f>SUMIFS('Consolidado conteo 2'!$F:$F,'Consolidado conteo 2'!$C:$C,Analisis_Diferecias[[#This Row],[ID]],'Consolidado conteo 2'!$I:$I,Analisis_Diferecias[[#Headers],[Segundo Conteo]])</f>
        <v>0</v>
      </c>
      <c r="G219" s="12">
        <f>+Analisis_Diferecias[[#This Row],[Segundo Conteo]]-(Analisis_Diferecias[[#This Row],[Primer Conteo]])</f>
        <v>0</v>
      </c>
      <c r="H21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19" s="12">
        <f>SUMIFS(Analisis_Diferecias_Tercer_conteo[Tercer_conteo],Analisis_Diferecias_Tercer_conteo[ID],Analisis_Diferecias[[#This Row],[ID]])</f>
        <v>0</v>
      </c>
      <c r="J219" s="12">
        <f>IF(Analisis_Diferecias[[#This Row],[Tipo de incidencia]]="OK",Analisis_Diferecias[[#This Row],[Segundo Conteo]],Analisis_Diferecias[[#This Row],[Tercer Conteo]])</f>
        <v>0</v>
      </c>
      <c r="K219" s="12">
        <f>+(Analisis_Diferecias[[#This Row],[Cantidad Total de Conteos]]-(Analisis_Diferecias[[#This Row],[Cantidad]]))</f>
        <v>-2</v>
      </c>
      <c r="L2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19" s="18"/>
      <c r="N219" s="18">
        <f>Analisis_Diferecias[[#This Row],[Costo Unitario($)]]*Analisis_Diferecias[[#This Row],[Cantidad Total de Conteos]]</f>
        <v>0</v>
      </c>
      <c r="O219" s="18">
        <f>Analisis_Diferecias[[#This Row],[Costo Unitario($)]]*Analisis_Diferecias[[#This Row],[Cantidad]]</f>
        <v>0</v>
      </c>
      <c r="P219" s="20">
        <f>+Analisis_Diferecias[[#This Row],[Valor Total Contado]]-Analisis_Diferecias[[#This Row],[Costo Total Sistema]]</f>
        <v>0</v>
      </c>
      <c r="Q2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0" spans="1:17" x14ac:dyDescent="0.2">
      <c r="A220">
        <v>3333</v>
      </c>
      <c r="B220" t="s">
        <v>412</v>
      </c>
      <c r="C220" t="s">
        <v>413</v>
      </c>
      <c r="D220">
        <v>1</v>
      </c>
      <c r="E220" s="12">
        <f>SUMIFS('Consolidado conteo 1'!$F:$F,'Consolidado conteo 1'!$C:$C,Analisis_Diferecias[[#This Row],[ID]],'Consolidado conteo 1'!$I:$I,Analisis_Diferecias[[#Headers],[Primer Conteo]])</f>
        <v>0</v>
      </c>
      <c r="F220" s="12">
        <f>SUMIFS('Consolidado conteo 2'!$F:$F,'Consolidado conteo 2'!$C:$C,Analisis_Diferecias[[#This Row],[ID]],'Consolidado conteo 2'!$I:$I,Analisis_Diferecias[[#Headers],[Segundo Conteo]])</f>
        <v>0</v>
      </c>
      <c r="G220" s="12">
        <f>+Analisis_Diferecias[[#This Row],[Segundo Conteo]]-(Analisis_Diferecias[[#This Row],[Primer Conteo]])</f>
        <v>0</v>
      </c>
      <c r="H22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0" s="12">
        <f>SUMIFS(Analisis_Diferecias_Tercer_conteo[Tercer_conteo],Analisis_Diferecias_Tercer_conteo[ID],Analisis_Diferecias[[#This Row],[ID]])</f>
        <v>0</v>
      </c>
      <c r="J220" s="12">
        <f>IF(Analisis_Diferecias[[#This Row],[Tipo de incidencia]]="OK",Analisis_Diferecias[[#This Row],[Segundo Conteo]],Analisis_Diferecias[[#This Row],[Tercer Conteo]])</f>
        <v>0</v>
      </c>
      <c r="K220" s="12">
        <f>+(Analisis_Diferecias[[#This Row],[Cantidad Total de Conteos]]-(Analisis_Diferecias[[#This Row],[Cantidad]]))</f>
        <v>-1</v>
      </c>
      <c r="L2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0" s="18"/>
      <c r="N220" s="18">
        <f>Analisis_Diferecias[[#This Row],[Costo Unitario($)]]*Analisis_Diferecias[[#This Row],[Cantidad Total de Conteos]]</f>
        <v>0</v>
      </c>
      <c r="O220" s="18">
        <f>Analisis_Diferecias[[#This Row],[Costo Unitario($)]]*Analisis_Diferecias[[#This Row],[Cantidad]]</f>
        <v>0</v>
      </c>
      <c r="P220" s="20">
        <f>+Analisis_Diferecias[[#This Row],[Valor Total Contado]]-Analisis_Diferecias[[#This Row],[Costo Total Sistema]]</f>
        <v>0</v>
      </c>
      <c r="Q2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1" spans="1:17" x14ac:dyDescent="0.2">
      <c r="A221">
        <v>6772</v>
      </c>
      <c r="B221" t="s">
        <v>414</v>
      </c>
      <c r="C221" t="s">
        <v>415</v>
      </c>
      <c r="D221">
        <v>1</v>
      </c>
      <c r="E221" s="12">
        <f>SUMIFS('Consolidado conteo 1'!$F:$F,'Consolidado conteo 1'!$C:$C,Analisis_Diferecias[[#This Row],[ID]],'Consolidado conteo 1'!$I:$I,Analisis_Diferecias[[#Headers],[Primer Conteo]])</f>
        <v>0</v>
      </c>
      <c r="F221" s="12">
        <f>SUMIFS('Consolidado conteo 2'!$F:$F,'Consolidado conteo 2'!$C:$C,Analisis_Diferecias[[#This Row],[ID]],'Consolidado conteo 2'!$I:$I,Analisis_Diferecias[[#Headers],[Segundo Conteo]])</f>
        <v>0</v>
      </c>
      <c r="G221" s="12">
        <f>+Analisis_Diferecias[[#This Row],[Segundo Conteo]]-(Analisis_Diferecias[[#This Row],[Primer Conteo]])</f>
        <v>0</v>
      </c>
      <c r="H22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1" s="12">
        <f>SUMIFS(Analisis_Diferecias_Tercer_conteo[Tercer_conteo],Analisis_Diferecias_Tercer_conteo[ID],Analisis_Diferecias[[#This Row],[ID]])</f>
        <v>0</v>
      </c>
      <c r="J221" s="12">
        <f>IF(Analisis_Diferecias[[#This Row],[Tipo de incidencia]]="OK",Analisis_Diferecias[[#This Row],[Segundo Conteo]],Analisis_Diferecias[[#This Row],[Tercer Conteo]])</f>
        <v>0</v>
      </c>
      <c r="K221" s="12">
        <f>+(Analisis_Diferecias[[#This Row],[Cantidad Total de Conteos]]-(Analisis_Diferecias[[#This Row],[Cantidad]]))</f>
        <v>-1</v>
      </c>
      <c r="L2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1" s="18"/>
      <c r="N221" s="18">
        <f>Analisis_Diferecias[[#This Row],[Costo Unitario($)]]*Analisis_Diferecias[[#This Row],[Cantidad Total de Conteos]]</f>
        <v>0</v>
      </c>
      <c r="O221" s="18">
        <f>Analisis_Diferecias[[#This Row],[Costo Unitario($)]]*Analisis_Diferecias[[#This Row],[Cantidad]]</f>
        <v>0</v>
      </c>
      <c r="P221" s="20">
        <f>+Analisis_Diferecias[[#This Row],[Valor Total Contado]]-Analisis_Diferecias[[#This Row],[Costo Total Sistema]]</f>
        <v>0</v>
      </c>
      <c r="Q2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2" spans="1:17" x14ac:dyDescent="0.2">
      <c r="A222" s="9">
        <v>183</v>
      </c>
      <c r="B222" s="9" t="s">
        <v>418</v>
      </c>
      <c r="C222" s="9" t="s">
        <v>417</v>
      </c>
      <c r="D222" s="9">
        <v>4000</v>
      </c>
      <c r="E222" s="12">
        <f>SUMIFS('Consolidado conteo 1'!$F:$F,'Consolidado conteo 1'!$C:$C,Analisis_Diferecias[[#This Row],[ID]],'Consolidado conteo 1'!$I:$I,Analisis_Diferecias[[#Headers],[Primer Conteo]])</f>
        <v>0</v>
      </c>
      <c r="F222" s="12">
        <f>SUMIFS('Consolidado conteo 2'!$F:$F,'Consolidado conteo 2'!$C:$C,Analisis_Diferecias[[#This Row],[ID]],'Consolidado conteo 2'!$I:$I,Analisis_Diferecias[[#Headers],[Segundo Conteo]])</f>
        <v>0</v>
      </c>
      <c r="G222" s="12">
        <f>+Analisis_Diferecias[[#This Row],[Segundo Conteo]]-(Analisis_Diferecias[[#This Row],[Primer Conteo]])</f>
        <v>0</v>
      </c>
      <c r="H22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2" s="12">
        <f>SUMIFS(Analisis_Diferecias_Tercer_conteo[Tercer_conteo],Analisis_Diferecias_Tercer_conteo[ID],Analisis_Diferecias[[#This Row],[ID]])</f>
        <v>0</v>
      </c>
      <c r="J222" s="12">
        <f>IF(Analisis_Diferecias[[#This Row],[Tipo de incidencia]]="OK",Analisis_Diferecias[[#This Row],[Segundo Conteo]],Analisis_Diferecias[[#This Row],[Tercer Conteo]])</f>
        <v>0</v>
      </c>
      <c r="K222" s="12">
        <f>+(Analisis_Diferecias[[#This Row],[Cantidad Total de Conteos]]-(Analisis_Diferecias[[#This Row],[Cantidad]]))</f>
        <v>-4000</v>
      </c>
      <c r="L2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2" s="18"/>
      <c r="N222" s="18">
        <f>Analisis_Diferecias[[#This Row],[Costo Unitario($)]]*Analisis_Diferecias[[#This Row],[Cantidad Total de Conteos]]</f>
        <v>0</v>
      </c>
      <c r="O222" s="18">
        <f>Analisis_Diferecias[[#This Row],[Costo Unitario($)]]*Analisis_Diferecias[[#This Row],[Cantidad]]</f>
        <v>0</v>
      </c>
      <c r="P222" s="20">
        <f>+Analisis_Diferecias[[#This Row],[Valor Total Contado]]-Analisis_Diferecias[[#This Row],[Costo Total Sistema]]</f>
        <v>0</v>
      </c>
      <c r="Q2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3" spans="1:17" x14ac:dyDescent="0.2">
      <c r="A223" s="9">
        <v>3978</v>
      </c>
      <c r="B223" s="9" t="s">
        <v>420</v>
      </c>
      <c r="C223" s="9" t="s">
        <v>419</v>
      </c>
      <c r="D223" s="9">
        <v>2089</v>
      </c>
      <c r="E223" s="12">
        <f>SUMIFS('Consolidado conteo 1'!$F:$F,'Consolidado conteo 1'!$C:$C,Analisis_Diferecias[[#This Row],[ID]],'Consolidado conteo 1'!$I:$I,Analisis_Diferecias[[#Headers],[Primer Conteo]])</f>
        <v>0</v>
      </c>
      <c r="F223" s="12">
        <f>SUMIFS('Consolidado conteo 2'!$F:$F,'Consolidado conteo 2'!$C:$C,Analisis_Diferecias[[#This Row],[ID]],'Consolidado conteo 2'!$I:$I,Analisis_Diferecias[[#Headers],[Segundo Conteo]])</f>
        <v>0</v>
      </c>
      <c r="G223" s="12">
        <f>+Analisis_Diferecias[[#This Row],[Segundo Conteo]]-(Analisis_Diferecias[[#This Row],[Primer Conteo]])</f>
        <v>0</v>
      </c>
      <c r="H22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3" s="12">
        <f>SUMIFS(Analisis_Diferecias_Tercer_conteo[Tercer_conteo],Analisis_Diferecias_Tercer_conteo[ID],Analisis_Diferecias[[#This Row],[ID]])</f>
        <v>0</v>
      </c>
      <c r="J223" s="12">
        <f>IF(Analisis_Diferecias[[#This Row],[Tipo de incidencia]]="OK",Analisis_Diferecias[[#This Row],[Segundo Conteo]],Analisis_Diferecias[[#This Row],[Tercer Conteo]])</f>
        <v>0</v>
      </c>
      <c r="K223" s="12">
        <f>+(Analisis_Diferecias[[#This Row],[Cantidad Total de Conteos]]-(Analisis_Diferecias[[#This Row],[Cantidad]]))</f>
        <v>-2089</v>
      </c>
      <c r="L2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3" s="18"/>
      <c r="N223" s="18">
        <f>Analisis_Diferecias[[#This Row],[Costo Unitario($)]]*Analisis_Diferecias[[#This Row],[Cantidad Total de Conteos]]</f>
        <v>0</v>
      </c>
      <c r="O223" s="18">
        <f>Analisis_Diferecias[[#This Row],[Costo Unitario($)]]*Analisis_Diferecias[[#This Row],[Cantidad]]</f>
        <v>0</v>
      </c>
      <c r="P223" s="20">
        <f>+Analisis_Diferecias[[#This Row],[Valor Total Contado]]-Analisis_Diferecias[[#This Row],[Costo Total Sistema]]</f>
        <v>0</v>
      </c>
      <c r="Q2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4" spans="1:17" x14ac:dyDescent="0.2">
      <c r="A224" s="9">
        <v>185</v>
      </c>
      <c r="B224" s="9" t="s">
        <v>422</v>
      </c>
      <c r="C224" s="9" t="s">
        <v>421</v>
      </c>
      <c r="D224" s="9">
        <v>600</v>
      </c>
      <c r="E224" s="12">
        <f>SUMIFS('Consolidado conteo 1'!$F:$F,'Consolidado conteo 1'!$C:$C,Analisis_Diferecias[[#This Row],[ID]],'Consolidado conteo 1'!$I:$I,Analisis_Diferecias[[#Headers],[Primer Conteo]])</f>
        <v>0</v>
      </c>
      <c r="F224" s="12">
        <f>SUMIFS('Consolidado conteo 2'!$F:$F,'Consolidado conteo 2'!$C:$C,Analisis_Diferecias[[#This Row],[ID]],'Consolidado conteo 2'!$I:$I,Analisis_Diferecias[[#Headers],[Segundo Conteo]])</f>
        <v>0</v>
      </c>
      <c r="G224" s="12">
        <f>+Analisis_Diferecias[[#This Row],[Segundo Conteo]]-(Analisis_Diferecias[[#This Row],[Primer Conteo]])</f>
        <v>0</v>
      </c>
      <c r="H22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4" s="12">
        <f>SUMIFS(Analisis_Diferecias_Tercer_conteo[Tercer_conteo],Analisis_Diferecias_Tercer_conteo[ID],Analisis_Diferecias[[#This Row],[ID]])</f>
        <v>0</v>
      </c>
      <c r="J224" s="12">
        <f>IF(Analisis_Diferecias[[#This Row],[Tipo de incidencia]]="OK",Analisis_Diferecias[[#This Row],[Segundo Conteo]],Analisis_Diferecias[[#This Row],[Tercer Conteo]])</f>
        <v>0</v>
      </c>
      <c r="K224" s="12">
        <f>+(Analisis_Diferecias[[#This Row],[Cantidad Total de Conteos]]-(Analisis_Diferecias[[#This Row],[Cantidad]]))</f>
        <v>-600</v>
      </c>
      <c r="L2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4" s="18"/>
      <c r="N224" s="18">
        <f>Analisis_Diferecias[[#This Row],[Costo Unitario($)]]*Analisis_Diferecias[[#This Row],[Cantidad Total de Conteos]]</f>
        <v>0</v>
      </c>
      <c r="O224" s="18">
        <f>Analisis_Diferecias[[#This Row],[Costo Unitario($)]]*Analisis_Diferecias[[#This Row],[Cantidad]]</f>
        <v>0</v>
      </c>
      <c r="P224" s="20">
        <f>+Analisis_Diferecias[[#This Row],[Valor Total Contado]]-Analisis_Diferecias[[#This Row],[Costo Total Sistema]]</f>
        <v>0</v>
      </c>
      <c r="Q2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5" spans="1:17" x14ac:dyDescent="0.2">
      <c r="A225" s="9">
        <v>181</v>
      </c>
      <c r="B225" s="9" t="s">
        <v>424</v>
      </c>
      <c r="C225" s="9" t="s">
        <v>423</v>
      </c>
      <c r="D225" s="9">
        <v>200</v>
      </c>
      <c r="E225" s="12">
        <f>SUMIFS('Consolidado conteo 1'!$F:$F,'Consolidado conteo 1'!$C:$C,Analisis_Diferecias[[#This Row],[ID]],'Consolidado conteo 1'!$I:$I,Analisis_Diferecias[[#Headers],[Primer Conteo]])</f>
        <v>0</v>
      </c>
      <c r="F225" s="12">
        <f>SUMIFS('Consolidado conteo 2'!$F:$F,'Consolidado conteo 2'!$C:$C,Analisis_Diferecias[[#This Row],[ID]],'Consolidado conteo 2'!$I:$I,Analisis_Diferecias[[#Headers],[Segundo Conteo]])</f>
        <v>0</v>
      </c>
      <c r="G225" s="12">
        <f>+Analisis_Diferecias[[#This Row],[Segundo Conteo]]-(Analisis_Diferecias[[#This Row],[Primer Conteo]])</f>
        <v>0</v>
      </c>
      <c r="H22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5" s="12">
        <f>SUMIFS(Analisis_Diferecias_Tercer_conteo[Tercer_conteo],Analisis_Diferecias_Tercer_conteo[ID],Analisis_Diferecias[[#This Row],[ID]])</f>
        <v>0</v>
      </c>
      <c r="J225" s="12">
        <f>IF(Analisis_Diferecias[[#This Row],[Tipo de incidencia]]="OK",Analisis_Diferecias[[#This Row],[Segundo Conteo]],Analisis_Diferecias[[#This Row],[Tercer Conteo]])</f>
        <v>0</v>
      </c>
      <c r="K225" s="12">
        <f>+(Analisis_Diferecias[[#This Row],[Cantidad Total de Conteos]]-(Analisis_Diferecias[[#This Row],[Cantidad]]))</f>
        <v>-200</v>
      </c>
      <c r="L2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5" s="18"/>
      <c r="N225" s="18">
        <f>Analisis_Diferecias[[#This Row],[Costo Unitario($)]]*Analisis_Diferecias[[#This Row],[Cantidad Total de Conteos]]</f>
        <v>0</v>
      </c>
      <c r="O225" s="18">
        <f>Analisis_Diferecias[[#This Row],[Costo Unitario($)]]*Analisis_Diferecias[[#This Row],[Cantidad]]</f>
        <v>0</v>
      </c>
      <c r="P225" s="20">
        <f>+Analisis_Diferecias[[#This Row],[Valor Total Contado]]-Analisis_Diferecias[[#This Row],[Costo Total Sistema]]</f>
        <v>0</v>
      </c>
      <c r="Q2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6" spans="1:17" x14ac:dyDescent="0.2">
      <c r="A226" s="9">
        <v>175</v>
      </c>
      <c r="B226" s="9" t="s">
        <v>426</v>
      </c>
      <c r="C226" s="9" t="s">
        <v>425</v>
      </c>
      <c r="D226" s="9">
        <v>97</v>
      </c>
      <c r="E226" s="12">
        <f>SUMIFS('Consolidado conteo 1'!$F:$F,'Consolidado conteo 1'!$C:$C,Analisis_Diferecias[[#This Row],[ID]],'Consolidado conteo 1'!$I:$I,Analisis_Diferecias[[#Headers],[Primer Conteo]])</f>
        <v>0</v>
      </c>
      <c r="F226" s="12">
        <f>SUMIFS('Consolidado conteo 2'!$F:$F,'Consolidado conteo 2'!$C:$C,Analisis_Diferecias[[#This Row],[ID]],'Consolidado conteo 2'!$I:$I,Analisis_Diferecias[[#Headers],[Segundo Conteo]])</f>
        <v>0</v>
      </c>
      <c r="G226" s="12">
        <f>+Analisis_Diferecias[[#This Row],[Segundo Conteo]]-(Analisis_Diferecias[[#This Row],[Primer Conteo]])</f>
        <v>0</v>
      </c>
      <c r="H22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6" s="12">
        <f>SUMIFS(Analisis_Diferecias_Tercer_conteo[Tercer_conteo],Analisis_Diferecias_Tercer_conteo[ID],Analisis_Diferecias[[#This Row],[ID]])</f>
        <v>0</v>
      </c>
      <c r="J226" s="12">
        <f>IF(Analisis_Diferecias[[#This Row],[Tipo de incidencia]]="OK",Analisis_Diferecias[[#This Row],[Segundo Conteo]],Analisis_Diferecias[[#This Row],[Tercer Conteo]])</f>
        <v>0</v>
      </c>
      <c r="K226" s="12">
        <f>+(Analisis_Diferecias[[#This Row],[Cantidad Total de Conteos]]-(Analisis_Diferecias[[#This Row],[Cantidad]]))</f>
        <v>-97</v>
      </c>
      <c r="L2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6" s="18"/>
      <c r="N226" s="18">
        <f>Analisis_Diferecias[[#This Row],[Costo Unitario($)]]*Analisis_Diferecias[[#This Row],[Cantidad Total de Conteos]]</f>
        <v>0</v>
      </c>
      <c r="O226" s="18">
        <f>Analisis_Diferecias[[#This Row],[Costo Unitario($)]]*Analisis_Diferecias[[#This Row],[Cantidad]]</f>
        <v>0</v>
      </c>
      <c r="P226" s="20">
        <f>+Analisis_Diferecias[[#This Row],[Valor Total Contado]]-Analisis_Diferecias[[#This Row],[Costo Total Sistema]]</f>
        <v>0</v>
      </c>
      <c r="Q2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7" spans="1:17" x14ac:dyDescent="0.2">
      <c r="A227" s="9">
        <v>192</v>
      </c>
      <c r="B227" s="9" t="s">
        <v>428</v>
      </c>
      <c r="C227" s="9" t="s">
        <v>427</v>
      </c>
      <c r="D227" s="9">
        <v>73</v>
      </c>
      <c r="E227" s="12">
        <f>SUMIFS('Consolidado conteo 1'!$F:$F,'Consolidado conteo 1'!$C:$C,Analisis_Diferecias[[#This Row],[ID]],'Consolidado conteo 1'!$I:$I,Analisis_Diferecias[[#Headers],[Primer Conteo]])</f>
        <v>0</v>
      </c>
      <c r="F227" s="12">
        <f>SUMIFS('Consolidado conteo 2'!$F:$F,'Consolidado conteo 2'!$C:$C,Analisis_Diferecias[[#This Row],[ID]],'Consolidado conteo 2'!$I:$I,Analisis_Diferecias[[#Headers],[Segundo Conteo]])</f>
        <v>0</v>
      </c>
      <c r="G227" s="12">
        <f>+Analisis_Diferecias[[#This Row],[Segundo Conteo]]-(Analisis_Diferecias[[#This Row],[Primer Conteo]])</f>
        <v>0</v>
      </c>
      <c r="H22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7" s="12">
        <f>SUMIFS(Analisis_Diferecias_Tercer_conteo[Tercer_conteo],Analisis_Diferecias_Tercer_conteo[ID],Analisis_Diferecias[[#This Row],[ID]])</f>
        <v>0</v>
      </c>
      <c r="J227" s="12">
        <f>IF(Analisis_Diferecias[[#This Row],[Tipo de incidencia]]="OK",Analisis_Diferecias[[#This Row],[Segundo Conteo]],Analisis_Diferecias[[#This Row],[Tercer Conteo]])</f>
        <v>0</v>
      </c>
      <c r="K227" s="12">
        <f>+(Analisis_Diferecias[[#This Row],[Cantidad Total de Conteos]]-(Analisis_Diferecias[[#This Row],[Cantidad]]))</f>
        <v>-73</v>
      </c>
      <c r="L2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7" s="18"/>
      <c r="N227" s="18">
        <f>Analisis_Diferecias[[#This Row],[Costo Unitario($)]]*Analisis_Diferecias[[#This Row],[Cantidad Total de Conteos]]</f>
        <v>0</v>
      </c>
      <c r="O227" s="18">
        <f>Analisis_Diferecias[[#This Row],[Costo Unitario($)]]*Analisis_Diferecias[[#This Row],[Cantidad]]</f>
        <v>0</v>
      </c>
      <c r="P227" s="20">
        <f>+Analisis_Diferecias[[#This Row],[Valor Total Contado]]-Analisis_Diferecias[[#This Row],[Costo Total Sistema]]</f>
        <v>0</v>
      </c>
      <c r="Q2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8" spans="1:17" x14ac:dyDescent="0.2">
      <c r="A228" s="9">
        <v>3829</v>
      </c>
      <c r="B228" s="9" t="s">
        <v>430</v>
      </c>
      <c r="C228" s="9" t="s">
        <v>429</v>
      </c>
      <c r="D228" s="9">
        <v>17</v>
      </c>
      <c r="E228" s="12">
        <f>SUMIFS('Consolidado conteo 1'!$F:$F,'Consolidado conteo 1'!$C:$C,Analisis_Diferecias[[#This Row],[ID]],'Consolidado conteo 1'!$I:$I,Analisis_Diferecias[[#Headers],[Primer Conteo]])</f>
        <v>0</v>
      </c>
      <c r="F228" s="12">
        <f>SUMIFS('Consolidado conteo 2'!$F:$F,'Consolidado conteo 2'!$C:$C,Analisis_Diferecias[[#This Row],[ID]],'Consolidado conteo 2'!$I:$I,Analisis_Diferecias[[#Headers],[Segundo Conteo]])</f>
        <v>0</v>
      </c>
      <c r="G228" s="12">
        <f>+Analisis_Diferecias[[#This Row],[Segundo Conteo]]-(Analisis_Diferecias[[#This Row],[Primer Conteo]])</f>
        <v>0</v>
      </c>
      <c r="H22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8" s="12">
        <f>SUMIFS(Analisis_Diferecias_Tercer_conteo[Tercer_conteo],Analisis_Diferecias_Tercer_conteo[ID],Analisis_Diferecias[[#This Row],[ID]])</f>
        <v>0</v>
      </c>
      <c r="J228" s="12">
        <f>IF(Analisis_Diferecias[[#This Row],[Tipo de incidencia]]="OK",Analisis_Diferecias[[#This Row],[Segundo Conteo]],Analisis_Diferecias[[#This Row],[Tercer Conteo]])</f>
        <v>0</v>
      </c>
      <c r="K228" s="12">
        <f>+(Analisis_Diferecias[[#This Row],[Cantidad Total de Conteos]]-(Analisis_Diferecias[[#This Row],[Cantidad]]))</f>
        <v>-17</v>
      </c>
      <c r="L2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8" s="18"/>
      <c r="N228" s="18">
        <f>Analisis_Diferecias[[#This Row],[Costo Unitario($)]]*Analisis_Diferecias[[#This Row],[Cantidad Total de Conteos]]</f>
        <v>0</v>
      </c>
      <c r="O228" s="18">
        <f>Analisis_Diferecias[[#This Row],[Costo Unitario($)]]*Analisis_Diferecias[[#This Row],[Cantidad]]</f>
        <v>0</v>
      </c>
      <c r="P228" s="20">
        <f>+Analisis_Diferecias[[#This Row],[Valor Total Contado]]-Analisis_Diferecias[[#This Row],[Costo Total Sistema]]</f>
        <v>0</v>
      </c>
      <c r="Q2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29" spans="1:17" x14ac:dyDescent="0.2">
      <c r="A229" s="9">
        <v>4190</v>
      </c>
      <c r="B229" s="9" t="s">
        <v>432</v>
      </c>
      <c r="C229" s="9" t="s">
        <v>431</v>
      </c>
      <c r="D229" s="9">
        <v>15</v>
      </c>
      <c r="E229" s="12">
        <f>SUMIFS('Consolidado conteo 1'!$F:$F,'Consolidado conteo 1'!$C:$C,Analisis_Diferecias[[#This Row],[ID]],'Consolidado conteo 1'!$I:$I,Analisis_Diferecias[[#Headers],[Primer Conteo]])</f>
        <v>0</v>
      </c>
      <c r="F229" s="12">
        <f>SUMIFS('Consolidado conteo 2'!$F:$F,'Consolidado conteo 2'!$C:$C,Analisis_Diferecias[[#This Row],[ID]],'Consolidado conteo 2'!$I:$I,Analisis_Diferecias[[#Headers],[Segundo Conteo]])</f>
        <v>0</v>
      </c>
      <c r="G229" s="12">
        <f>+Analisis_Diferecias[[#This Row],[Segundo Conteo]]-(Analisis_Diferecias[[#This Row],[Primer Conteo]])</f>
        <v>0</v>
      </c>
      <c r="H22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29" s="12">
        <f>SUMIFS(Analisis_Diferecias_Tercer_conteo[Tercer_conteo],Analisis_Diferecias_Tercer_conteo[ID],Analisis_Diferecias[[#This Row],[ID]])</f>
        <v>0</v>
      </c>
      <c r="J229" s="12">
        <f>IF(Analisis_Diferecias[[#This Row],[Tipo de incidencia]]="OK",Analisis_Diferecias[[#This Row],[Segundo Conteo]],Analisis_Diferecias[[#This Row],[Tercer Conteo]])</f>
        <v>0</v>
      </c>
      <c r="K229" s="12">
        <f>+(Analisis_Diferecias[[#This Row],[Cantidad Total de Conteos]]-(Analisis_Diferecias[[#This Row],[Cantidad]]))</f>
        <v>-15</v>
      </c>
      <c r="L2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29" s="18"/>
      <c r="N229" s="18">
        <f>Analisis_Diferecias[[#This Row],[Costo Unitario($)]]*Analisis_Diferecias[[#This Row],[Cantidad Total de Conteos]]</f>
        <v>0</v>
      </c>
      <c r="O229" s="18">
        <f>Analisis_Diferecias[[#This Row],[Costo Unitario($)]]*Analisis_Diferecias[[#This Row],[Cantidad]]</f>
        <v>0</v>
      </c>
      <c r="P229" s="20">
        <f>+Analisis_Diferecias[[#This Row],[Valor Total Contado]]-Analisis_Diferecias[[#This Row],[Costo Total Sistema]]</f>
        <v>0</v>
      </c>
      <c r="Q2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0" spans="1:17" x14ac:dyDescent="0.2">
      <c r="A230" s="9">
        <v>3385</v>
      </c>
      <c r="B230" s="9" t="s">
        <v>434</v>
      </c>
      <c r="C230" s="9" t="s">
        <v>433</v>
      </c>
      <c r="D230" s="9">
        <v>12</v>
      </c>
      <c r="E230" s="12">
        <f>SUMIFS('Consolidado conteo 1'!$F:$F,'Consolidado conteo 1'!$C:$C,Analisis_Diferecias[[#This Row],[ID]],'Consolidado conteo 1'!$I:$I,Analisis_Diferecias[[#Headers],[Primer Conteo]])</f>
        <v>0</v>
      </c>
      <c r="F230" s="12">
        <f>SUMIFS('Consolidado conteo 2'!$F:$F,'Consolidado conteo 2'!$C:$C,Analisis_Diferecias[[#This Row],[ID]],'Consolidado conteo 2'!$I:$I,Analisis_Diferecias[[#Headers],[Segundo Conteo]])</f>
        <v>0</v>
      </c>
      <c r="G230" s="12">
        <f>+Analisis_Diferecias[[#This Row],[Segundo Conteo]]-(Analisis_Diferecias[[#This Row],[Primer Conteo]])</f>
        <v>0</v>
      </c>
      <c r="H23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0" s="12">
        <f>SUMIFS(Analisis_Diferecias_Tercer_conteo[Tercer_conteo],Analisis_Diferecias_Tercer_conteo[ID],Analisis_Diferecias[[#This Row],[ID]])</f>
        <v>0</v>
      </c>
      <c r="J230" s="12">
        <f>IF(Analisis_Diferecias[[#This Row],[Tipo de incidencia]]="OK",Analisis_Diferecias[[#This Row],[Segundo Conteo]],Analisis_Diferecias[[#This Row],[Tercer Conteo]])</f>
        <v>0</v>
      </c>
      <c r="K230" s="12">
        <f>+(Analisis_Diferecias[[#This Row],[Cantidad Total de Conteos]]-(Analisis_Diferecias[[#This Row],[Cantidad]]))</f>
        <v>-12</v>
      </c>
      <c r="L2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0" s="18"/>
      <c r="N230" s="18">
        <f>Analisis_Diferecias[[#This Row],[Costo Unitario($)]]*Analisis_Diferecias[[#This Row],[Cantidad Total de Conteos]]</f>
        <v>0</v>
      </c>
      <c r="O230" s="18">
        <f>Analisis_Diferecias[[#This Row],[Costo Unitario($)]]*Analisis_Diferecias[[#This Row],[Cantidad]]</f>
        <v>0</v>
      </c>
      <c r="P230" s="20">
        <f>+Analisis_Diferecias[[#This Row],[Valor Total Contado]]-Analisis_Diferecias[[#This Row],[Costo Total Sistema]]</f>
        <v>0</v>
      </c>
      <c r="Q2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1" spans="1:17" x14ac:dyDescent="0.2">
      <c r="A231" s="9">
        <v>4729</v>
      </c>
      <c r="B231" s="9" t="s">
        <v>436</v>
      </c>
      <c r="C231" s="9" t="s">
        <v>435</v>
      </c>
      <c r="D231" s="9">
        <v>12</v>
      </c>
      <c r="E231" s="12">
        <f>SUMIFS('Consolidado conteo 1'!$F:$F,'Consolidado conteo 1'!$C:$C,Analisis_Diferecias[[#This Row],[ID]],'Consolidado conteo 1'!$I:$I,Analisis_Diferecias[[#Headers],[Primer Conteo]])</f>
        <v>0</v>
      </c>
      <c r="F231" s="12">
        <f>SUMIFS('Consolidado conteo 2'!$F:$F,'Consolidado conteo 2'!$C:$C,Analisis_Diferecias[[#This Row],[ID]],'Consolidado conteo 2'!$I:$I,Analisis_Diferecias[[#Headers],[Segundo Conteo]])</f>
        <v>0</v>
      </c>
      <c r="G231" s="12">
        <f>+Analisis_Diferecias[[#This Row],[Segundo Conteo]]-(Analisis_Diferecias[[#This Row],[Primer Conteo]])</f>
        <v>0</v>
      </c>
      <c r="H23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1" s="12">
        <f>SUMIFS(Analisis_Diferecias_Tercer_conteo[Tercer_conteo],Analisis_Diferecias_Tercer_conteo[ID],Analisis_Diferecias[[#This Row],[ID]])</f>
        <v>0</v>
      </c>
      <c r="J231" s="12">
        <f>IF(Analisis_Diferecias[[#This Row],[Tipo de incidencia]]="OK",Analisis_Diferecias[[#This Row],[Segundo Conteo]],Analisis_Diferecias[[#This Row],[Tercer Conteo]])</f>
        <v>0</v>
      </c>
      <c r="K231" s="12">
        <f>+(Analisis_Diferecias[[#This Row],[Cantidad Total de Conteos]]-(Analisis_Diferecias[[#This Row],[Cantidad]]))</f>
        <v>-12</v>
      </c>
      <c r="L2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1" s="18"/>
      <c r="N231" s="18">
        <f>Analisis_Diferecias[[#This Row],[Costo Unitario($)]]*Analisis_Diferecias[[#This Row],[Cantidad Total de Conteos]]</f>
        <v>0</v>
      </c>
      <c r="O231" s="18">
        <f>Analisis_Diferecias[[#This Row],[Costo Unitario($)]]*Analisis_Diferecias[[#This Row],[Cantidad]]</f>
        <v>0</v>
      </c>
      <c r="P231" s="20">
        <f>+Analisis_Diferecias[[#This Row],[Valor Total Contado]]-Analisis_Diferecias[[#This Row],[Costo Total Sistema]]</f>
        <v>0</v>
      </c>
      <c r="Q2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2" spans="1:17" x14ac:dyDescent="0.2">
      <c r="A232" s="9">
        <v>4733</v>
      </c>
      <c r="B232" s="9" t="s">
        <v>438</v>
      </c>
      <c r="C232" s="9" t="s">
        <v>437</v>
      </c>
      <c r="D232" s="9">
        <v>11</v>
      </c>
      <c r="E232" s="12">
        <f>SUMIFS('Consolidado conteo 1'!$F:$F,'Consolidado conteo 1'!$C:$C,Analisis_Diferecias[[#This Row],[ID]],'Consolidado conteo 1'!$I:$I,Analisis_Diferecias[[#Headers],[Primer Conteo]])</f>
        <v>0</v>
      </c>
      <c r="F232" s="12">
        <f>SUMIFS('Consolidado conteo 2'!$F:$F,'Consolidado conteo 2'!$C:$C,Analisis_Diferecias[[#This Row],[ID]],'Consolidado conteo 2'!$I:$I,Analisis_Diferecias[[#Headers],[Segundo Conteo]])</f>
        <v>0</v>
      </c>
      <c r="G232" s="12">
        <f>+Analisis_Diferecias[[#This Row],[Segundo Conteo]]-(Analisis_Diferecias[[#This Row],[Primer Conteo]])</f>
        <v>0</v>
      </c>
      <c r="H23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2" s="12">
        <f>SUMIFS(Analisis_Diferecias_Tercer_conteo[Tercer_conteo],Analisis_Diferecias_Tercer_conteo[ID],Analisis_Diferecias[[#This Row],[ID]])</f>
        <v>0</v>
      </c>
      <c r="J232" s="12">
        <f>IF(Analisis_Diferecias[[#This Row],[Tipo de incidencia]]="OK",Analisis_Diferecias[[#This Row],[Segundo Conteo]],Analisis_Diferecias[[#This Row],[Tercer Conteo]])</f>
        <v>0</v>
      </c>
      <c r="K232" s="12">
        <f>+(Analisis_Diferecias[[#This Row],[Cantidad Total de Conteos]]-(Analisis_Diferecias[[#This Row],[Cantidad]]))</f>
        <v>-11</v>
      </c>
      <c r="L2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2" s="18"/>
      <c r="N232" s="18">
        <f>Analisis_Diferecias[[#This Row],[Costo Unitario($)]]*Analisis_Diferecias[[#This Row],[Cantidad Total de Conteos]]</f>
        <v>0</v>
      </c>
      <c r="O232" s="18">
        <f>Analisis_Diferecias[[#This Row],[Costo Unitario($)]]*Analisis_Diferecias[[#This Row],[Cantidad]]</f>
        <v>0</v>
      </c>
      <c r="P232" s="20">
        <f>+Analisis_Diferecias[[#This Row],[Valor Total Contado]]-Analisis_Diferecias[[#This Row],[Costo Total Sistema]]</f>
        <v>0</v>
      </c>
      <c r="Q2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3" spans="1:17" x14ac:dyDescent="0.2">
      <c r="A233" s="9">
        <v>4731</v>
      </c>
      <c r="B233" s="9" t="s">
        <v>440</v>
      </c>
      <c r="C233" s="9" t="s">
        <v>439</v>
      </c>
      <c r="D233" s="9">
        <v>10</v>
      </c>
      <c r="E233" s="12">
        <f>SUMIFS('Consolidado conteo 1'!$F:$F,'Consolidado conteo 1'!$C:$C,Analisis_Diferecias[[#This Row],[ID]],'Consolidado conteo 1'!$I:$I,Analisis_Diferecias[[#Headers],[Primer Conteo]])</f>
        <v>0</v>
      </c>
      <c r="F233" s="12">
        <f>SUMIFS('Consolidado conteo 2'!$F:$F,'Consolidado conteo 2'!$C:$C,Analisis_Diferecias[[#This Row],[ID]],'Consolidado conteo 2'!$I:$I,Analisis_Diferecias[[#Headers],[Segundo Conteo]])</f>
        <v>0</v>
      </c>
      <c r="G233" s="12">
        <f>+Analisis_Diferecias[[#This Row],[Segundo Conteo]]-(Analisis_Diferecias[[#This Row],[Primer Conteo]])</f>
        <v>0</v>
      </c>
      <c r="H23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3" s="12">
        <f>SUMIFS(Analisis_Diferecias_Tercer_conteo[Tercer_conteo],Analisis_Diferecias_Tercer_conteo[ID],Analisis_Diferecias[[#This Row],[ID]])</f>
        <v>0</v>
      </c>
      <c r="J233" s="12">
        <f>IF(Analisis_Diferecias[[#This Row],[Tipo de incidencia]]="OK",Analisis_Diferecias[[#This Row],[Segundo Conteo]],Analisis_Diferecias[[#This Row],[Tercer Conteo]])</f>
        <v>0</v>
      </c>
      <c r="K233" s="12">
        <f>+(Analisis_Diferecias[[#This Row],[Cantidad Total de Conteos]]-(Analisis_Diferecias[[#This Row],[Cantidad]]))</f>
        <v>-10</v>
      </c>
      <c r="L2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3" s="18"/>
      <c r="N233" s="18">
        <f>Analisis_Diferecias[[#This Row],[Costo Unitario($)]]*Analisis_Diferecias[[#This Row],[Cantidad Total de Conteos]]</f>
        <v>0</v>
      </c>
      <c r="O233" s="18">
        <f>Analisis_Diferecias[[#This Row],[Costo Unitario($)]]*Analisis_Diferecias[[#This Row],[Cantidad]]</f>
        <v>0</v>
      </c>
      <c r="P233" s="20">
        <f>+Analisis_Diferecias[[#This Row],[Valor Total Contado]]-Analisis_Diferecias[[#This Row],[Costo Total Sistema]]</f>
        <v>0</v>
      </c>
      <c r="Q2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4" spans="1:17" x14ac:dyDescent="0.2">
      <c r="A234" s="9">
        <v>4730</v>
      </c>
      <c r="B234" s="9" t="s">
        <v>442</v>
      </c>
      <c r="C234" s="9" t="s">
        <v>441</v>
      </c>
      <c r="D234" s="9">
        <v>10</v>
      </c>
      <c r="E234" s="12">
        <f>SUMIFS('Consolidado conteo 1'!$F:$F,'Consolidado conteo 1'!$C:$C,Analisis_Diferecias[[#This Row],[ID]],'Consolidado conteo 1'!$I:$I,Analisis_Diferecias[[#Headers],[Primer Conteo]])</f>
        <v>0</v>
      </c>
      <c r="F234" s="12">
        <f>SUMIFS('Consolidado conteo 2'!$F:$F,'Consolidado conteo 2'!$C:$C,Analisis_Diferecias[[#This Row],[ID]],'Consolidado conteo 2'!$I:$I,Analisis_Diferecias[[#Headers],[Segundo Conteo]])</f>
        <v>0</v>
      </c>
      <c r="G234" s="12">
        <f>+Analisis_Diferecias[[#This Row],[Segundo Conteo]]-(Analisis_Diferecias[[#This Row],[Primer Conteo]])</f>
        <v>0</v>
      </c>
      <c r="H23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4" s="12">
        <f>SUMIFS(Analisis_Diferecias_Tercer_conteo[Tercer_conteo],Analisis_Diferecias_Tercer_conteo[ID],Analisis_Diferecias[[#This Row],[ID]])</f>
        <v>0</v>
      </c>
      <c r="J234" s="12">
        <f>IF(Analisis_Diferecias[[#This Row],[Tipo de incidencia]]="OK",Analisis_Diferecias[[#This Row],[Segundo Conteo]],Analisis_Diferecias[[#This Row],[Tercer Conteo]])</f>
        <v>0</v>
      </c>
      <c r="K234" s="12">
        <f>+(Analisis_Diferecias[[#This Row],[Cantidad Total de Conteos]]-(Analisis_Diferecias[[#This Row],[Cantidad]]))</f>
        <v>-10</v>
      </c>
      <c r="L2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4" s="18"/>
      <c r="N234" s="18">
        <f>Analisis_Diferecias[[#This Row],[Costo Unitario($)]]*Analisis_Diferecias[[#This Row],[Cantidad Total de Conteos]]</f>
        <v>0</v>
      </c>
      <c r="O234" s="18">
        <f>Analisis_Diferecias[[#This Row],[Costo Unitario($)]]*Analisis_Diferecias[[#This Row],[Cantidad]]</f>
        <v>0</v>
      </c>
      <c r="P234" s="20">
        <f>+Analisis_Diferecias[[#This Row],[Valor Total Contado]]-Analisis_Diferecias[[#This Row],[Costo Total Sistema]]</f>
        <v>0</v>
      </c>
      <c r="Q2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5" spans="1:17" x14ac:dyDescent="0.2">
      <c r="A235" s="9">
        <v>4732</v>
      </c>
      <c r="B235" s="9" t="s">
        <v>444</v>
      </c>
      <c r="C235" s="9" t="s">
        <v>443</v>
      </c>
      <c r="D235" s="9">
        <v>10</v>
      </c>
      <c r="E235" s="12">
        <f>SUMIFS('Consolidado conteo 1'!$F:$F,'Consolidado conteo 1'!$C:$C,Analisis_Diferecias[[#This Row],[ID]],'Consolidado conteo 1'!$I:$I,Analisis_Diferecias[[#Headers],[Primer Conteo]])</f>
        <v>0</v>
      </c>
      <c r="F235" s="12">
        <f>SUMIFS('Consolidado conteo 2'!$F:$F,'Consolidado conteo 2'!$C:$C,Analisis_Diferecias[[#This Row],[ID]],'Consolidado conteo 2'!$I:$I,Analisis_Diferecias[[#Headers],[Segundo Conteo]])</f>
        <v>0</v>
      </c>
      <c r="G235" s="12">
        <f>+Analisis_Diferecias[[#This Row],[Segundo Conteo]]-(Analisis_Diferecias[[#This Row],[Primer Conteo]])</f>
        <v>0</v>
      </c>
      <c r="H23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5" s="12">
        <f>SUMIFS(Analisis_Diferecias_Tercer_conteo[Tercer_conteo],Analisis_Diferecias_Tercer_conteo[ID],Analisis_Diferecias[[#This Row],[ID]])</f>
        <v>0</v>
      </c>
      <c r="J235" s="12">
        <f>IF(Analisis_Diferecias[[#This Row],[Tipo de incidencia]]="OK",Analisis_Diferecias[[#This Row],[Segundo Conteo]],Analisis_Diferecias[[#This Row],[Tercer Conteo]])</f>
        <v>0</v>
      </c>
      <c r="K235" s="12">
        <f>+(Analisis_Diferecias[[#This Row],[Cantidad Total de Conteos]]-(Analisis_Diferecias[[#This Row],[Cantidad]]))</f>
        <v>-10</v>
      </c>
      <c r="L2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5" s="18"/>
      <c r="N235" s="18">
        <f>Analisis_Diferecias[[#This Row],[Costo Unitario($)]]*Analisis_Diferecias[[#This Row],[Cantidad Total de Conteos]]</f>
        <v>0</v>
      </c>
      <c r="O235" s="18">
        <f>Analisis_Diferecias[[#This Row],[Costo Unitario($)]]*Analisis_Diferecias[[#This Row],[Cantidad]]</f>
        <v>0</v>
      </c>
      <c r="P235" s="20">
        <f>+Analisis_Diferecias[[#This Row],[Valor Total Contado]]-Analisis_Diferecias[[#This Row],[Costo Total Sistema]]</f>
        <v>0</v>
      </c>
      <c r="Q2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6" spans="1:17" x14ac:dyDescent="0.2">
      <c r="A236" s="9">
        <v>4194</v>
      </c>
      <c r="B236" s="9" t="s">
        <v>446</v>
      </c>
      <c r="C236" s="9" t="s">
        <v>445</v>
      </c>
      <c r="D236" s="9">
        <v>9</v>
      </c>
      <c r="E236" s="12">
        <f>SUMIFS('Consolidado conteo 1'!$F:$F,'Consolidado conteo 1'!$C:$C,Analisis_Diferecias[[#This Row],[ID]],'Consolidado conteo 1'!$I:$I,Analisis_Diferecias[[#Headers],[Primer Conteo]])</f>
        <v>0</v>
      </c>
      <c r="F236" s="12">
        <f>SUMIFS('Consolidado conteo 2'!$F:$F,'Consolidado conteo 2'!$C:$C,Analisis_Diferecias[[#This Row],[ID]],'Consolidado conteo 2'!$I:$I,Analisis_Diferecias[[#Headers],[Segundo Conteo]])</f>
        <v>0</v>
      </c>
      <c r="G236" s="12">
        <f>+Analisis_Diferecias[[#This Row],[Segundo Conteo]]-(Analisis_Diferecias[[#This Row],[Primer Conteo]])</f>
        <v>0</v>
      </c>
      <c r="H23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6" s="12">
        <f>SUMIFS(Analisis_Diferecias_Tercer_conteo[Tercer_conteo],Analisis_Diferecias_Tercer_conteo[ID],Analisis_Diferecias[[#This Row],[ID]])</f>
        <v>0</v>
      </c>
      <c r="J236" s="12">
        <f>IF(Analisis_Diferecias[[#This Row],[Tipo de incidencia]]="OK",Analisis_Diferecias[[#This Row],[Segundo Conteo]],Analisis_Diferecias[[#This Row],[Tercer Conteo]])</f>
        <v>0</v>
      </c>
      <c r="K236" s="12">
        <f>+(Analisis_Diferecias[[#This Row],[Cantidad Total de Conteos]]-(Analisis_Diferecias[[#This Row],[Cantidad]]))</f>
        <v>-9</v>
      </c>
      <c r="L2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6" s="18"/>
      <c r="N236" s="18">
        <f>Analisis_Diferecias[[#This Row],[Costo Unitario($)]]*Analisis_Diferecias[[#This Row],[Cantidad Total de Conteos]]</f>
        <v>0</v>
      </c>
      <c r="O236" s="18">
        <f>Analisis_Diferecias[[#This Row],[Costo Unitario($)]]*Analisis_Diferecias[[#This Row],[Cantidad]]</f>
        <v>0</v>
      </c>
      <c r="P236" s="20">
        <f>+Analisis_Diferecias[[#This Row],[Valor Total Contado]]-Analisis_Diferecias[[#This Row],[Costo Total Sistema]]</f>
        <v>0</v>
      </c>
      <c r="Q2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7" spans="1:17" x14ac:dyDescent="0.2">
      <c r="A237" s="9">
        <v>4187</v>
      </c>
      <c r="B237" s="9" t="s">
        <v>448</v>
      </c>
      <c r="C237" s="9" t="s">
        <v>447</v>
      </c>
      <c r="D237" s="9">
        <v>9</v>
      </c>
      <c r="E237" s="12">
        <f>SUMIFS('Consolidado conteo 1'!$F:$F,'Consolidado conteo 1'!$C:$C,Analisis_Diferecias[[#This Row],[ID]],'Consolidado conteo 1'!$I:$I,Analisis_Diferecias[[#Headers],[Primer Conteo]])</f>
        <v>0</v>
      </c>
      <c r="F237" s="12">
        <f>SUMIFS('Consolidado conteo 2'!$F:$F,'Consolidado conteo 2'!$C:$C,Analisis_Diferecias[[#This Row],[ID]],'Consolidado conteo 2'!$I:$I,Analisis_Diferecias[[#Headers],[Segundo Conteo]])</f>
        <v>0</v>
      </c>
      <c r="G237" s="12">
        <f>+Analisis_Diferecias[[#This Row],[Segundo Conteo]]-(Analisis_Diferecias[[#This Row],[Primer Conteo]])</f>
        <v>0</v>
      </c>
      <c r="H23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7" s="12">
        <f>SUMIFS(Analisis_Diferecias_Tercer_conteo[Tercer_conteo],Analisis_Diferecias_Tercer_conteo[ID],Analisis_Diferecias[[#This Row],[ID]])</f>
        <v>0</v>
      </c>
      <c r="J237" s="12">
        <f>IF(Analisis_Diferecias[[#This Row],[Tipo de incidencia]]="OK",Analisis_Diferecias[[#This Row],[Segundo Conteo]],Analisis_Diferecias[[#This Row],[Tercer Conteo]])</f>
        <v>0</v>
      </c>
      <c r="K237" s="12">
        <f>+(Analisis_Diferecias[[#This Row],[Cantidad Total de Conteos]]-(Analisis_Diferecias[[#This Row],[Cantidad]]))</f>
        <v>-9</v>
      </c>
      <c r="L2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7" s="18"/>
      <c r="N237" s="18">
        <f>Analisis_Diferecias[[#This Row],[Costo Unitario($)]]*Analisis_Diferecias[[#This Row],[Cantidad Total de Conteos]]</f>
        <v>0</v>
      </c>
      <c r="O237" s="18">
        <f>Analisis_Diferecias[[#This Row],[Costo Unitario($)]]*Analisis_Diferecias[[#This Row],[Cantidad]]</f>
        <v>0</v>
      </c>
      <c r="P237" s="20">
        <f>+Analisis_Diferecias[[#This Row],[Valor Total Contado]]-Analisis_Diferecias[[#This Row],[Costo Total Sistema]]</f>
        <v>0</v>
      </c>
      <c r="Q2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8" spans="1:17" x14ac:dyDescent="0.2">
      <c r="A238" s="9">
        <v>6343</v>
      </c>
      <c r="B238" s="9" t="s">
        <v>450</v>
      </c>
      <c r="C238" s="9" t="s">
        <v>449</v>
      </c>
      <c r="D238" s="9">
        <v>8</v>
      </c>
      <c r="E238" s="12">
        <f>SUMIFS('Consolidado conteo 1'!$F:$F,'Consolidado conteo 1'!$C:$C,Analisis_Diferecias[[#This Row],[ID]],'Consolidado conteo 1'!$I:$I,Analisis_Diferecias[[#Headers],[Primer Conteo]])</f>
        <v>0</v>
      </c>
      <c r="F238" s="12">
        <f>SUMIFS('Consolidado conteo 2'!$F:$F,'Consolidado conteo 2'!$C:$C,Analisis_Diferecias[[#This Row],[ID]],'Consolidado conteo 2'!$I:$I,Analisis_Diferecias[[#Headers],[Segundo Conteo]])</f>
        <v>0</v>
      </c>
      <c r="G238" s="12">
        <f>+Analisis_Diferecias[[#This Row],[Segundo Conteo]]-(Analisis_Diferecias[[#This Row],[Primer Conteo]])</f>
        <v>0</v>
      </c>
      <c r="H23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8" s="12">
        <f>SUMIFS(Analisis_Diferecias_Tercer_conteo[Tercer_conteo],Analisis_Diferecias_Tercer_conteo[ID],Analisis_Diferecias[[#This Row],[ID]])</f>
        <v>0</v>
      </c>
      <c r="J238" s="12">
        <f>IF(Analisis_Diferecias[[#This Row],[Tipo de incidencia]]="OK",Analisis_Diferecias[[#This Row],[Segundo Conteo]],Analisis_Diferecias[[#This Row],[Tercer Conteo]])</f>
        <v>0</v>
      </c>
      <c r="K238" s="12">
        <f>+(Analisis_Diferecias[[#This Row],[Cantidad Total de Conteos]]-(Analisis_Diferecias[[#This Row],[Cantidad]]))</f>
        <v>-8</v>
      </c>
      <c r="L2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8" s="18"/>
      <c r="N238" s="18">
        <f>Analisis_Diferecias[[#This Row],[Costo Unitario($)]]*Analisis_Diferecias[[#This Row],[Cantidad Total de Conteos]]</f>
        <v>0</v>
      </c>
      <c r="O238" s="18">
        <f>Analisis_Diferecias[[#This Row],[Costo Unitario($)]]*Analisis_Diferecias[[#This Row],[Cantidad]]</f>
        <v>0</v>
      </c>
      <c r="P238" s="20">
        <f>+Analisis_Diferecias[[#This Row],[Valor Total Contado]]-Analisis_Diferecias[[#This Row],[Costo Total Sistema]]</f>
        <v>0</v>
      </c>
      <c r="Q2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39" spans="1:17" x14ac:dyDescent="0.2">
      <c r="A239" s="9">
        <v>4123</v>
      </c>
      <c r="B239" s="9" t="s">
        <v>452</v>
      </c>
      <c r="C239" s="9" t="s">
        <v>451</v>
      </c>
      <c r="D239" s="9">
        <v>7</v>
      </c>
      <c r="E239" s="12">
        <f>SUMIFS('Consolidado conteo 1'!$F:$F,'Consolidado conteo 1'!$C:$C,Analisis_Diferecias[[#This Row],[ID]],'Consolidado conteo 1'!$I:$I,Analisis_Diferecias[[#Headers],[Primer Conteo]])</f>
        <v>0</v>
      </c>
      <c r="F239" s="12">
        <f>SUMIFS('Consolidado conteo 2'!$F:$F,'Consolidado conteo 2'!$C:$C,Analisis_Diferecias[[#This Row],[ID]],'Consolidado conteo 2'!$I:$I,Analisis_Diferecias[[#Headers],[Segundo Conteo]])</f>
        <v>0</v>
      </c>
      <c r="G239" s="12">
        <f>+Analisis_Diferecias[[#This Row],[Segundo Conteo]]-(Analisis_Diferecias[[#This Row],[Primer Conteo]])</f>
        <v>0</v>
      </c>
      <c r="H23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39" s="12">
        <f>SUMIFS(Analisis_Diferecias_Tercer_conteo[Tercer_conteo],Analisis_Diferecias_Tercer_conteo[ID],Analisis_Diferecias[[#This Row],[ID]])</f>
        <v>0</v>
      </c>
      <c r="J239" s="12">
        <f>IF(Analisis_Diferecias[[#This Row],[Tipo de incidencia]]="OK",Analisis_Diferecias[[#This Row],[Segundo Conteo]],Analisis_Diferecias[[#This Row],[Tercer Conteo]])</f>
        <v>0</v>
      </c>
      <c r="K239" s="12">
        <f>+(Analisis_Diferecias[[#This Row],[Cantidad Total de Conteos]]-(Analisis_Diferecias[[#This Row],[Cantidad]]))</f>
        <v>-7</v>
      </c>
      <c r="L2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39" s="18"/>
      <c r="N239" s="18">
        <f>Analisis_Diferecias[[#This Row],[Costo Unitario($)]]*Analisis_Diferecias[[#This Row],[Cantidad Total de Conteos]]</f>
        <v>0</v>
      </c>
      <c r="O239" s="18">
        <f>Analisis_Diferecias[[#This Row],[Costo Unitario($)]]*Analisis_Diferecias[[#This Row],[Cantidad]]</f>
        <v>0</v>
      </c>
      <c r="P239" s="20">
        <f>+Analisis_Diferecias[[#This Row],[Valor Total Contado]]-Analisis_Diferecias[[#This Row],[Costo Total Sistema]]</f>
        <v>0</v>
      </c>
      <c r="Q2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0" spans="1:17" x14ac:dyDescent="0.2">
      <c r="A240" s="9">
        <v>4122</v>
      </c>
      <c r="B240" s="9" t="s">
        <v>454</v>
      </c>
      <c r="C240" s="9" t="s">
        <v>453</v>
      </c>
      <c r="D240" s="9">
        <v>7</v>
      </c>
      <c r="E240" s="12">
        <f>SUMIFS('Consolidado conteo 1'!$F:$F,'Consolidado conteo 1'!$C:$C,Analisis_Diferecias[[#This Row],[ID]],'Consolidado conteo 1'!$I:$I,Analisis_Diferecias[[#Headers],[Primer Conteo]])</f>
        <v>0</v>
      </c>
      <c r="F240" s="12">
        <f>SUMIFS('Consolidado conteo 2'!$F:$F,'Consolidado conteo 2'!$C:$C,Analisis_Diferecias[[#This Row],[ID]],'Consolidado conteo 2'!$I:$I,Analisis_Diferecias[[#Headers],[Segundo Conteo]])</f>
        <v>0</v>
      </c>
      <c r="G240" s="12">
        <f>+Analisis_Diferecias[[#This Row],[Segundo Conteo]]-(Analisis_Diferecias[[#This Row],[Primer Conteo]])</f>
        <v>0</v>
      </c>
      <c r="H24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0" s="12">
        <f>SUMIFS(Analisis_Diferecias_Tercer_conteo[Tercer_conteo],Analisis_Diferecias_Tercer_conteo[ID],Analisis_Diferecias[[#This Row],[ID]])</f>
        <v>0</v>
      </c>
      <c r="J240" s="12">
        <f>IF(Analisis_Diferecias[[#This Row],[Tipo de incidencia]]="OK",Analisis_Diferecias[[#This Row],[Segundo Conteo]],Analisis_Diferecias[[#This Row],[Tercer Conteo]])</f>
        <v>0</v>
      </c>
      <c r="K240" s="12">
        <f>+(Analisis_Diferecias[[#This Row],[Cantidad Total de Conteos]]-(Analisis_Diferecias[[#This Row],[Cantidad]]))</f>
        <v>-7</v>
      </c>
      <c r="L2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0" s="18"/>
      <c r="N240" s="18">
        <f>Analisis_Diferecias[[#This Row],[Costo Unitario($)]]*Analisis_Diferecias[[#This Row],[Cantidad Total de Conteos]]</f>
        <v>0</v>
      </c>
      <c r="O240" s="18">
        <f>Analisis_Diferecias[[#This Row],[Costo Unitario($)]]*Analisis_Diferecias[[#This Row],[Cantidad]]</f>
        <v>0</v>
      </c>
      <c r="P240" s="20">
        <f>+Analisis_Diferecias[[#This Row],[Valor Total Contado]]-Analisis_Diferecias[[#This Row],[Costo Total Sistema]]</f>
        <v>0</v>
      </c>
      <c r="Q2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1" spans="1:17" x14ac:dyDescent="0.2">
      <c r="A241" s="9">
        <v>4188</v>
      </c>
      <c r="B241" s="9" t="s">
        <v>456</v>
      </c>
      <c r="C241" s="9" t="s">
        <v>455</v>
      </c>
      <c r="D241" s="9">
        <v>7</v>
      </c>
      <c r="E241" s="12">
        <f>SUMIFS('Consolidado conteo 1'!$F:$F,'Consolidado conteo 1'!$C:$C,Analisis_Diferecias[[#This Row],[ID]],'Consolidado conteo 1'!$I:$I,Analisis_Diferecias[[#Headers],[Primer Conteo]])</f>
        <v>0</v>
      </c>
      <c r="F241" s="12">
        <f>SUMIFS('Consolidado conteo 2'!$F:$F,'Consolidado conteo 2'!$C:$C,Analisis_Diferecias[[#This Row],[ID]],'Consolidado conteo 2'!$I:$I,Analisis_Diferecias[[#Headers],[Segundo Conteo]])</f>
        <v>0</v>
      </c>
      <c r="G241" s="12">
        <f>+Analisis_Diferecias[[#This Row],[Segundo Conteo]]-(Analisis_Diferecias[[#This Row],[Primer Conteo]])</f>
        <v>0</v>
      </c>
      <c r="H24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1" s="12">
        <f>SUMIFS(Analisis_Diferecias_Tercer_conteo[Tercer_conteo],Analisis_Diferecias_Tercer_conteo[ID],Analisis_Diferecias[[#This Row],[ID]])</f>
        <v>0</v>
      </c>
      <c r="J241" s="12">
        <f>IF(Analisis_Diferecias[[#This Row],[Tipo de incidencia]]="OK",Analisis_Diferecias[[#This Row],[Segundo Conteo]],Analisis_Diferecias[[#This Row],[Tercer Conteo]])</f>
        <v>0</v>
      </c>
      <c r="K241" s="12">
        <f>+(Analisis_Diferecias[[#This Row],[Cantidad Total de Conteos]]-(Analisis_Diferecias[[#This Row],[Cantidad]]))</f>
        <v>-7</v>
      </c>
      <c r="L2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1" s="18"/>
      <c r="N241" s="18">
        <f>Analisis_Diferecias[[#This Row],[Costo Unitario($)]]*Analisis_Diferecias[[#This Row],[Cantidad Total de Conteos]]</f>
        <v>0</v>
      </c>
      <c r="O241" s="18">
        <f>Analisis_Diferecias[[#This Row],[Costo Unitario($)]]*Analisis_Diferecias[[#This Row],[Cantidad]]</f>
        <v>0</v>
      </c>
      <c r="P241" s="20">
        <f>+Analisis_Diferecias[[#This Row],[Valor Total Contado]]-Analisis_Diferecias[[#This Row],[Costo Total Sistema]]</f>
        <v>0</v>
      </c>
      <c r="Q2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2" spans="1:17" x14ac:dyDescent="0.2">
      <c r="A242" s="9">
        <v>4185</v>
      </c>
      <c r="B242" s="9" t="s">
        <v>458</v>
      </c>
      <c r="C242" s="9" t="s">
        <v>457</v>
      </c>
      <c r="D242" s="9">
        <v>7</v>
      </c>
      <c r="E242" s="12">
        <f>SUMIFS('Consolidado conteo 1'!$F:$F,'Consolidado conteo 1'!$C:$C,Analisis_Diferecias[[#This Row],[ID]],'Consolidado conteo 1'!$I:$I,Analisis_Diferecias[[#Headers],[Primer Conteo]])</f>
        <v>0</v>
      </c>
      <c r="F242" s="12">
        <f>SUMIFS('Consolidado conteo 2'!$F:$F,'Consolidado conteo 2'!$C:$C,Analisis_Diferecias[[#This Row],[ID]],'Consolidado conteo 2'!$I:$I,Analisis_Diferecias[[#Headers],[Segundo Conteo]])</f>
        <v>0</v>
      </c>
      <c r="G242" s="12">
        <f>+Analisis_Diferecias[[#This Row],[Segundo Conteo]]-(Analisis_Diferecias[[#This Row],[Primer Conteo]])</f>
        <v>0</v>
      </c>
      <c r="H24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2" s="12">
        <f>SUMIFS(Analisis_Diferecias_Tercer_conteo[Tercer_conteo],Analisis_Diferecias_Tercer_conteo[ID],Analisis_Diferecias[[#This Row],[ID]])</f>
        <v>0</v>
      </c>
      <c r="J242" s="12">
        <f>IF(Analisis_Diferecias[[#This Row],[Tipo de incidencia]]="OK",Analisis_Diferecias[[#This Row],[Segundo Conteo]],Analisis_Diferecias[[#This Row],[Tercer Conteo]])</f>
        <v>0</v>
      </c>
      <c r="K242" s="12">
        <f>+(Analisis_Diferecias[[#This Row],[Cantidad Total de Conteos]]-(Analisis_Diferecias[[#This Row],[Cantidad]]))</f>
        <v>-7</v>
      </c>
      <c r="L2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2" s="18"/>
      <c r="N242" s="18">
        <f>Analisis_Diferecias[[#This Row],[Costo Unitario($)]]*Analisis_Diferecias[[#This Row],[Cantidad Total de Conteos]]</f>
        <v>0</v>
      </c>
      <c r="O242" s="18">
        <f>Analisis_Diferecias[[#This Row],[Costo Unitario($)]]*Analisis_Diferecias[[#This Row],[Cantidad]]</f>
        <v>0</v>
      </c>
      <c r="P242" s="20">
        <f>+Analisis_Diferecias[[#This Row],[Valor Total Contado]]-Analisis_Diferecias[[#This Row],[Costo Total Sistema]]</f>
        <v>0</v>
      </c>
      <c r="Q2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3" spans="1:17" x14ac:dyDescent="0.2">
      <c r="A243" s="9">
        <v>73</v>
      </c>
      <c r="B243" s="9" t="s">
        <v>460</v>
      </c>
      <c r="C243" s="9" t="s">
        <v>459</v>
      </c>
      <c r="D243" s="9">
        <v>5</v>
      </c>
      <c r="E243" s="12">
        <f>SUMIFS('Consolidado conteo 1'!$F:$F,'Consolidado conteo 1'!$C:$C,Analisis_Diferecias[[#This Row],[ID]],'Consolidado conteo 1'!$I:$I,Analisis_Diferecias[[#Headers],[Primer Conteo]])</f>
        <v>0</v>
      </c>
      <c r="F243" s="12">
        <f>SUMIFS('Consolidado conteo 2'!$F:$F,'Consolidado conteo 2'!$C:$C,Analisis_Diferecias[[#This Row],[ID]],'Consolidado conteo 2'!$I:$I,Analisis_Diferecias[[#Headers],[Segundo Conteo]])</f>
        <v>0</v>
      </c>
      <c r="G243" s="12">
        <f>+Analisis_Diferecias[[#This Row],[Segundo Conteo]]-(Analisis_Diferecias[[#This Row],[Primer Conteo]])</f>
        <v>0</v>
      </c>
      <c r="H24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3" s="12">
        <f>SUMIFS(Analisis_Diferecias_Tercer_conteo[Tercer_conteo],Analisis_Diferecias_Tercer_conteo[ID],Analisis_Diferecias[[#This Row],[ID]])</f>
        <v>0</v>
      </c>
      <c r="J243" s="12">
        <f>IF(Analisis_Diferecias[[#This Row],[Tipo de incidencia]]="OK",Analisis_Diferecias[[#This Row],[Segundo Conteo]],Analisis_Diferecias[[#This Row],[Tercer Conteo]])</f>
        <v>0</v>
      </c>
      <c r="K243" s="12">
        <f>+(Analisis_Diferecias[[#This Row],[Cantidad Total de Conteos]]-(Analisis_Diferecias[[#This Row],[Cantidad]]))</f>
        <v>-5</v>
      </c>
      <c r="L2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3" s="18"/>
      <c r="N243" s="18">
        <f>Analisis_Diferecias[[#This Row],[Costo Unitario($)]]*Analisis_Diferecias[[#This Row],[Cantidad Total de Conteos]]</f>
        <v>0</v>
      </c>
      <c r="O243" s="18">
        <f>Analisis_Diferecias[[#This Row],[Costo Unitario($)]]*Analisis_Diferecias[[#This Row],[Cantidad]]</f>
        <v>0</v>
      </c>
      <c r="P243" s="20">
        <f>+Analisis_Diferecias[[#This Row],[Valor Total Contado]]-Analisis_Diferecias[[#This Row],[Costo Total Sistema]]</f>
        <v>0</v>
      </c>
      <c r="Q2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4" spans="1:17" x14ac:dyDescent="0.2">
      <c r="A244" s="9">
        <v>4108</v>
      </c>
      <c r="B244" s="9" t="s">
        <v>462</v>
      </c>
      <c r="C244" s="9" t="s">
        <v>461</v>
      </c>
      <c r="D244" s="9">
        <v>5</v>
      </c>
      <c r="E244" s="12">
        <f>SUMIFS('Consolidado conteo 1'!$F:$F,'Consolidado conteo 1'!$C:$C,Analisis_Diferecias[[#This Row],[ID]],'Consolidado conteo 1'!$I:$I,Analisis_Diferecias[[#Headers],[Primer Conteo]])</f>
        <v>0</v>
      </c>
      <c r="F244" s="12">
        <f>SUMIFS('Consolidado conteo 2'!$F:$F,'Consolidado conteo 2'!$C:$C,Analisis_Diferecias[[#This Row],[ID]],'Consolidado conteo 2'!$I:$I,Analisis_Diferecias[[#Headers],[Segundo Conteo]])</f>
        <v>0</v>
      </c>
      <c r="G244" s="12">
        <f>+Analisis_Diferecias[[#This Row],[Segundo Conteo]]-(Analisis_Diferecias[[#This Row],[Primer Conteo]])</f>
        <v>0</v>
      </c>
      <c r="H24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4" s="12">
        <f>SUMIFS(Analisis_Diferecias_Tercer_conteo[Tercer_conteo],Analisis_Diferecias_Tercer_conteo[ID],Analisis_Diferecias[[#This Row],[ID]])</f>
        <v>0</v>
      </c>
      <c r="J244" s="12">
        <f>IF(Analisis_Diferecias[[#This Row],[Tipo de incidencia]]="OK",Analisis_Diferecias[[#This Row],[Segundo Conteo]],Analisis_Diferecias[[#This Row],[Tercer Conteo]])</f>
        <v>0</v>
      </c>
      <c r="K244" s="12">
        <f>+(Analisis_Diferecias[[#This Row],[Cantidad Total de Conteos]]-(Analisis_Diferecias[[#This Row],[Cantidad]]))</f>
        <v>-5</v>
      </c>
      <c r="L2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4" s="18"/>
      <c r="N244" s="18">
        <f>Analisis_Diferecias[[#This Row],[Costo Unitario($)]]*Analisis_Diferecias[[#This Row],[Cantidad Total de Conteos]]</f>
        <v>0</v>
      </c>
      <c r="O244" s="18">
        <f>Analisis_Diferecias[[#This Row],[Costo Unitario($)]]*Analisis_Diferecias[[#This Row],[Cantidad]]</f>
        <v>0</v>
      </c>
      <c r="P244" s="20">
        <f>+Analisis_Diferecias[[#This Row],[Valor Total Contado]]-Analisis_Diferecias[[#This Row],[Costo Total Sistema]]</f>
        <v>0</v>
      </c>
      <c r="Q24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5" spans="1:17" x14ac:dyDescent="0.2">
      <c r="A245" s="9">
        <v>4106</v>
      </c>
      <c r="B245" s="9" t="s">
        <v>464</v>
      </c>
      <c r="C245" s="9" t="s">
        <v>463</v>
      </c>
      <c r="D245" s="9">
        <v>5</v>
      </c>
      <c r="E245" s="12">
        <f>SUMIFS('Consolidado conteo 1'!$F:$F,'Consolidado conteo 1'!$C:$C,Analisis_Diferecias[[#This Row],[ID]],'Consolidado conteo 1'!$I:$I,Analisis_Diferecias[[#Headers],[Primer Conteo]])</f>
        <v>0</v>
      </c>
      <c r="F245" s="12">
        <f>SUMIFS('Consolidado conteo 2'!$F:$F,'Consolidado conteo 2'!$C:$C,Analisis_Diferecias[[#This Row],[ID]],'Consolidado conteo 2'!$I:$I,Analisis_Diferecias[[#Headers],[Segundo Conteo]])</f>
        <v>0</v>
      </c>
      <c r="G245" s="12">
        <f>+Analisis_Diferecias[[#This Row],[Segundo Conteo]]-(Analisis_Diferecias[[#This Row],[Primer Conteo]])</f>
        <v>0</v>
      </c>
      <c r="H24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5" s="12">
        <f>SUMIFS(Analisis_Diferecias_Tercer_conteo[Tercer_conteo],Analisis_Diferecias_Tercer_conteo[ID],Analisis_Diferecias[[#This Row],[ID]])</f>
        <v>0</v>
      </c>
      <c r="J245" s="12">
        <f>IF(Analisis_Diferecias[[#This Row],[Tipo de incidencia]]="OK",Analisis_Diferecias[[#This Row],[Segundo Conteo]],Analisis_Diferecias[[#This Row],[Tercer Conteo]])</f>
        <v>0</v>
      </c>
      <c r="K245" s="12">
        <f>+(Analisis_Diferecias[[#This Row],[Cantidad Total de Conteos]]-(Analisis_Diferecias[[#This Row],[Cantidad]]))</f>
        <v>-5</v>
      </c>
      <c r="L2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5" s="18"/>
      <c r="N245" s="18">
        <f>Analisis_Diferecias[[#This Row],[Costo Unitario($)]]*Analisis_Diferecias[[#This Row],[Cantidad Total de Conteos]]</f>
        <v>0</v>
      </c>
      <c r="O245" s="18">
        <f>Analisis_Diferecias[[#This Row],[Costo Unitario($)]]*Analisis_Diferecias[[#This Row],[Cantidad]]</f>
        <v>0</v>
      </c>
      <c r="P245" s="20">
        <f>+Analisis_Diferecias[[#This Row],[Valor Total Contado]]-Analisis_Diferecias[[#This Row],[Costo Total Sistema]]</f>
        <v>0</v>
      </c>
      <c r="Q24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6" spans="1:17" x14ac:dyDescent="0.2">
      <c r="A246" s="9">
        <v>4107</v>
      </c>
      <c r="B246" s="9" t="s">
        <v>466</v>
      </c>
      <c r="C246" s="9" t="s">
        <v>465</v>
      </c>
      <c r="D246" s="9">
        <v>5</v>
      </c>
      <c r="E246" s="12">
        <f>SUMIFS('Consolidado conteo 1'!$F:$F,'Consolidado conteo 1'!$C:$C,Analisis_Diferecias[[#This Row],[ID]],'Consolidado conteo 1'!$I:$I,Analisis_Diferecias[[#Headers],[Primer Conteo]])</f>
        <v>0</v>
      </c>
      <c r="F246" s="12">
        <f>SUMIFS('Consolidado conteo 2'!$F:$F,'Consolidado conteo 2'!$C:$C,Analisis_Diferecias[[#This Row],[ID]],'Consolidado conteo 2'!$I:$I,Analisis_Diferecias[[#Headers],[Segundo Conteo]])</f>
        <v>0</v>
      </c>
      <c r="G246" s="12">
        <f>+Analisis_Diferecias[[#This Row],[Segundo Conteo]]-(Analisis_Diferecias[[#This Row],[Primer Conteo]])</f>
        <v>0</v>
      </c>
      <c r="H24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6" s="12">
        <f>SUMIFS(Analisis_Diferecias_Tercer_conteo[Tercer_conteo],Analisis_Diferecias_Tercer_conteo[ID],Analisis_Diferecias[[#This Row],[ID]])</f>
        <v>0</v>
      </c>
      <c r="J246" s="12">
        <f>IF(Analisis_Diferecias[[#This Row],[Tipo de incidencia]]="OK",Analisis_Diferecias[[#This Row],[Segundo Conteo]],Analisis_Diferecias[[#This Row],[Tercer Conteo]])</f>
        <v>0</v>
      </c>
      <c r="K246" s="12">
        <f>+(Analisis_Diferecias[[#This Row],[Cantidad Total de Conteos]]-(Analisis_Diferecias[[#This Row],[Cantidad]]))</f>
        <v>-5</v>
      </c>
      <c r="L2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6" s="18"/>
      <c r="N246" s="18">
        <f>Analisis_Diferecias[[#This Row],[Costo Unitario($)]]*Analisis_Diferecias[[#This Row],[Cantidad Total de Conteos]]</f>
        <v>0</v>
      </c>
      <c r="O246" s="18">
        <f>Analisis_Diferecias[[#This Row],[Costo Unitario($)]]*Analisis_Diferecias[[#This Row],[Cantidad]]</f>
        <v>0</v>
      </c>
      <c r="P246" s="20">
        <f>+Analisis_Diferecias[[#This Row],[Valor Total Contado]]-Analisis_Diferecias[[#This Row],[Costo Total Sistema]]</f>
        <v>0</v>
      </c>
      <c r="Q24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7" spans="1:17" x14ac:dyDescent="0.2">
      <c r="A247" s="9">
        <v>4195</v>
      </c>
      <c r="B247" s="9" t="s">
        <v>468</v>
      </c>
      <c r="C247" s="9" t="s">
        <v>467</v>
      </c>
      <c r="D247" s="9">
        <v>5</v>
      </c>
      <c r="E247" s="12">
        <f>SUMIFS('Consolidado conteo 1'!$F:$F,'Consolidado conteo 1'!$C:$C,Analisis_Diferecias[[#This Row],[ID]],'Consolidado conteo 1'!$I:$I,Analisis_Diferecias[[#Headers],[Primer Conteo]])</f>
        <v>0</v>
      </c>
      <c r="F247" s="12">
        <f>SUMIFS('Consolidado conteo 2'!$F:$F,'Consolidado conteo 2'!$C:$C,Analisis_Diferecias[[#This Row],[ID]],'Consolidado conteo 2'!$I:$I,Analisis_Diferecias[[#Headers],[Segundo Conteo]])</f>
        <v>0</v>
      </c>
      <c r="G247" s="12">
        <f>+Analisis_Diferecias[[#This Row],[Segundo Conteo]]-(Analisis_Diferecias[[#This Row],[Primer Conteo]])</f>
        <v>0</v>
      </c>
      <c r="H24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7" s="12">
        <f>SUMIFS(Analisis_Diferecias_Tercer_conteo[Tercer_conteo],Analisis_Diferecias_Tercer_conteo[ID],Analisis_Diferecias[[#This Row],[ID]])</f>
        <v>0</v>
      </c>
      <c r="J247" s="12">
        <f>IF(Analisis_Diferecias[[#This Row],[Tipo de incidencia]]="OK",Analisis_Diferecias[[#This Row],[Segundo Conteo]],Analisis_Diferecias[[#This Row],[Tercer Conteo]])</f>
        <v>0</v>
      </c>
      <c r="K247" s="12">
        <f>+(Analisis_Diferecias[[#This Row],[Cantidad Total de Conteos]]-(Analisis_Diferecias[[#This Row],[Cantidad]]))</f>
        <v>-5</v>
      </c>
      <c r="L2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7" s="18"/>
      <c r="N247" s="18">
        <f>Analisis_Diferecias[[#This Row],[Costo Unitario($)]]*Analisis_Diferecias[[#This Row],[Cantidad Total de Conteos]]</f>
        <v>0</v>
      </c>
      <c r="O247" s="18">
        <f>Analisis_Diferecias[[#This Row],[Costo Unitario($)]]*Analisis_Diferecias[[#This Row],[Cantidad]]</f>
        <v>0</v>
      </c>
      <c r="P247" s="20">
        <f>+Analisis_Diferecias[[#This Row],[Valor Total Contado]]-Analisis_Diferecias[[#This Row],[Costo Total Sistema]]</f>
        <v>0</v>
      </c>
      <c r="Q24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8" spans="1:17" x14ac:dyDescent="0.2">
      <c r="A248" s="9">
        <v>4196</v>
      </c>
      <c r="B248" s="9" t="s">
        <v>470</v>
      </c>
      <c r="C248" s="9" t="s">
        <v>469</v>
      </c>
      <c r="D248" s="9">
        <v>5</v>
      </c>
      <c r="E248" s="12">
        <f>SUMIFS('Consolidado conteo 1'!$F:$F,'Consolidado conteo 1'!$C:$C,Analisis_Diferecias[[#This Row],[ID]],'Consolidado conteo 1'!$I:$I,Analisis_Diferecias[[#Headers],[Primer Conteo]])</f>
        <v>0</v>
      </c>
      <c r="F248" s="12">
        <f>SUMIFS('Consolidado conteo 2'!$F:$F,'Consolidado conteo 2'!$C:$C,Analisis_Diferecias[[#This Row],[ID]],'Consolidado conteo 2'!$I:$I,Analisis_Diferecias[[#Headers],[Segundo Conteo]])</f>
        <v>0</v>
      </c>
      <c r="G248" s="12">
        <f>+Analisis_Diferecias[[#This Row],[Segundo Conteo]]-(Analisis_Diferecias[[#This Row],[Primer Conteo]])</f>
        <v>0</v>
      </c>
      <c r="H24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8" s="12">
        <f>SUMIFS(Analisis_Diferecias_Tercer_conteo[Tercer_conteo],Analisis_Diferecias_Tercer_conteo[ID],Analisis_Diferecias[[#This Row],[ID]])</f>
        <v>0</v>
      </c>
      <c r="J248" s="12">
        <f>IF(Analisis_Diferecias[[#This Row],[Tipo de incidencia]]="OK",Analisis_Diferecias[[#This Row],[Segundo Conteo]],Analisis_Diferecias[[#This Row],[Tercer Conteo]])</f>
        <v>0</v>
      </c>
      <c r="K248" s="12">
        <f>+(Analisis_Diferecias[[#This Row],[Cantidad Total de Conteos]]-(Analisis_Diferecias[[#This Row],[Cantidad]]))</f>
        <v>-5</v>
      </c>
      <c r="L2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8" s="18"/>
      <c r="N248" s="18">
        <f>Analisis_Diferecias[[#This Row],[Costo Unitario($)]]*Analisis_Diferecias[[#This Row],[Cantidad Total de Conteos]]</f>
        <v>0</v>
      </c>
      <c r="O248" s="18">
        <f>Analisis_Diferecias[[#This Row],[Costo Unitario($)]]*Analisis_Diferecias[[#This Row],[Cantidad]]</f>
        <v>0</v>
      </c>
      <c r="P248" s="20">
        <f>+Analisis_Diferecias[[#This Row],[Valor Total Contado]]-Analisis_Diferecias[[#This Row],[Costo Total Sistema]]</f>
        <v>0</v>
      </c>
      <c r="Q24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49" spans="1:17" x14ac:dyDescent="0.2">
      <c r="A249" s="9">
        <v>4197</v>
      </c>
      <c r="B249" s="9" t="s">
        <v>472</v>
      </c>
      <c r="C249" s="9" t="s">
        <v>471</v>
      </c>
      <c r="D249" s="9">
        <v>5</v>
      </c>
      <c r="E249" s="12">
        <f>SUMIFS('Consolidado conteo 1'!$F:$F,'Consolidado conteo 1'!$C:$C,Analisis_Diferecias[[#This Row],[ID]],'Consolidado conteo 1'!$I:$I,Analisis_Diferecias[[#Headers],[Primer Conteo]])</f>
        <v>0</v>
      </c>
      <c r="F249" s="12">
        <f>SUMIFS('Consolidado conteo 2'!$F:$F,'Consolidado conteo 2'!$C:$C,Analisis_Diferecias[[#This Row],[ID]],'Consolidado conteo 2'!$I:$I,Analisis_Diferecias[[#Headers],[Segundo Conteo]])</f>
        <v>0</v>
      </c>
      <c r="G249" s="12">
        <f>+Analisis_Diferecias[[#This Row],[Segundo Conteo]]-(Analisis_Diferecias[[#This Row],[Primer Conteo]])</f>
        <v>0</v>
      </c>
      <c r="H24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49" s="12">
        <f>SUMIFS(Analisis_Diferecias_Tercer_conteo[Tercer_conteo],Analisis_Diferecias_Tercer_conteo[ID],Analisis_Diferecias[[#This Row],[ID]])</f>
        <v>0</v>
      </c>
      <c r="J249" s="12">
        <f>IF(Analisis_Diferecias[[#This Row],[Tipo de incidencia]]="OK",Analisis_Diferecias[[#This Row],[Segundo Conteo]],Analisis_Diferecias[[#This Row],[Tercer Conteo]])</f>
        <v>0</v>
      </c>
      <c r="K249" s="12">
        <f>+(Analisis_Diferecias[[#This Row],[Cantidad Total de Conteos]]-(Analisis_Diferecias[[#This Row],[Cantidad]]))</f>
        <v>-5</v>
      </c>
      <c r="L2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49" s="18"/>
      <c r="N249" s="18">
        <f>Analisis_Diferecias[[#This Row],[Costo Unitario($)]]*Analisis_Diferecias[[#This Row],[Cantidad Total de Conteos]]</f>
        <v>0</v>
      </c>
      <c r="O249" s="18">
        <f>Analisis_Diferecias[[#This Row],[Costo Unitario($)]]*Analisis_Diferecias[[#This Row],[Cantidad]]</f>
        <v>0</v>
      </c>
      <c r="P249" s="20">
        <f>+Analisis_Diferecias[[#This Row],[Valor Total Contado]]-Analisis_Diferecias[[#This Row],[Costo Total Sistema]]</f>
        <v>0</v>
      </c>
      <c r="Q24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0" spans="1:17" x14ac:dyDescent="0.2">
      <c r="A250" s="9">
        <v>4356</v>
      </c>
      <c r="B250" s="9" t="s">
        <v>474</v>
      </c>
      <c r="C250" s="9" t="s">
        <v>473</v>
      </c>
      <c r="D250" s="9">
        <v>5</v>
      </c>
      <c r="E250" s="12">
        <f>SUMIFS('Consolidado conteo 1'!$F:$F,'Consolidado conteo 1'!$C:$C,Analisis_Diferecias[[#This Row],[ID]],'Consolidado conteo 1'!$I:$I,Analisis_Diferecias[[#Headers],[Primer Conteo]])</f>
        <v>0</v>
      </c>
      <c r="F250" s="12">
        <f>SUMIFS('Consolidado conteo 2'!$F:$F,'Consolidado conteo 2'!$C:$C,Analisis_Diferecias[[#This Row],[ID]],'Consolidado conteo 2'!$I:$I,Analisis_Diferecias[[#Headers],[Segundo Conteo]])</f>
        <v>0</v>
      </c>
      <c r="G250" s="12">
        <f>+Analisis_Diferecias[[#This Row],[Segundo Conteo]]-(Analisis_Diferecias[[#This Row],[Primer Conteo]])</f>
        <v>0</v>
      </c>
      <c r="H25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0" s="12">
        <f>SUMIFS(Analisis_Diferecias_Tercer_conteo[Tercer_conteo],Analisis_Diferecias_Tercer_conteo[ID],Analisis_Diferecias[[#This Row],[ID]])</f>
        <v>0</v>
      </c>
      <c r="J250" s="12">
        <f>IF(Analisis_Diferecias[[#This Row],[Tipo de incidencia]]="OK",Analisis_Diferecias[[#This Row],[Segundo Conteo]],Analisis_Diferecias[[#This Row],[Tercer Conteo]])</f>
        <v>0</v>
      </c>
      <c r="K250" s="12">
        <f>+(Analisis_Diferecias[[#This Row],[Cantidad Total de Conteos]]-(Analisis_Diferecias[[#This Row],[Cantidad]]))</f>
        <v>-5</v>
      </c>
      <c r="L2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0" s="18"/>
      <c r="N250" s="18">
        <f>Analisis_Diferecias[[#This Row],[Costo Unitario($)]]*Analisis_Diferecias[[#This Row],[Cantidad Total de Conteos]]</f>
        <v>0</v>
      </c>
      <c r="O250" s="18">
        <f>Analisis_Diferecias[[#This Row],[Costo Unitario($)]]*Analisis_Diferecias[[#This Row],[Cantidad]]</f>
        <v>0</v>
      </c>
      <c r="P250" s="20">
        <f>+Analisis_Diferecias[[#This Row],[Valor Total Contado]]-Analisis_Diferecias[[#This Row],[Costo Total Sistema]]</f>
        <v>0</v>
      </c>
      <c r="Q25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1" spans="1:17" x14ac:dyDescent="0.2">
      <c r="A251" s="9">
        <v>4199</v>
      </c>
      <c r="B251" s="9" t="s">
        <v>476</v>
      </c>
      <c r="C251" s="9" t="s">
        <v>475</v>
      </c>
      <c r="D251" s="9">
        <v>5</v>
      </c>
      <c r="E251" s="12">
        <f>SUMIFS('Consolidado conteo 1'!$F:$F,'Consolidado conteo 1'!$C:$C,Analisis_Diferecias[[#This Row],[ID]],'Consolidado conteo 1'!$I:$I,Analisis_Diferecias[[#Headers],[Primer Conteo]])</f>
        <v>0</v>
      </c>
      <c r="F251" s="12">
        <f>SUMIFS('Consolidado conteo 2'!$F:$F,'Consolidado conteo 2'!$C:$C,Analisis_Diferecias[[#This Row],[ID]],'Consolidado conteo 2'!$I:$I,Analisis_Diferecias[[#Headers],[Segundo Conteo]])</f>
        <v>0</v>
      </c>
      <c r="G251" s="12">
        <f>+Analisis_Diferecias[[#This Row],[Segundo Conteo]]-(Analisis_Diferecias[[#This Row],[Primer Conteo]])</f>
        <v>0</v>
      </c>
      <c r="H25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1" s="12">
        <f>SUMIFS(Analisis_Diferecias_Tercer_conteo[Tercer_conteo],Analisis_Diferecias_Tercer_conteo[ID],Analisis_Diferecias[[#This Row],[ID]])</f>
        <v>0</v>
      </c>
      <c r="J251" s="12">
        <f>IF(Analisis_Diferecias[[#This Row],[Tipo de incidencia]]="OK",Analisis_Diferecias[[#This Row],[Segundo Conteo]],Analisis_Diferecias[[#This Row],[Tercer Conteo]])</f>
        <v>0</v>
      </c>
      <c r="K251" s="12">
        <f>+(Analisis_Diferecias[[#This Row],[Cantidad Total de Conteos]]-(Analisis_Diferecias[[#This Row],[Cantidad]]))</f>
        <v>-5</v>
      </c>
      <c r="L2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1" s="18"/>
      <c r="N251" s="18">
        <f>Analisis_Diferecias[[#This Row],[Costo Unitario($)]]*Analisis_Diferecias[[#This Row],[Cantidad Total de Conteos]]</f>
        <v>0</v>
      </c>
      <c r="O251" s="18">
        <f>Analisis_Diferecias[[#This Row],[Costo Unitario($)]]*Analisis_Diferecias[[#This Row],[Cantidad]]</f>
        <v>0</v>
      </c>
      <c r="P251" s="20">
        <f>+Analisis_Diferecias[[#This Row],[Valor Total Contado]]-Analisis_Diferecias[[#This Row],[Costo Total Sistema]]</f>
        <v>0</v>
      </c>
      <c r="Q25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2" spans="1:17" x14ac:dyDescent="0.2">
      <c r="A252" s="9">
        <v>4346</v>
      </c>
      <c r="B252" s="9" t="s">
        <v>478</v>
      </c>
      <c r="C252" s="9" t="s">
        <v>477</v>
      </c>
      <c r="D252" s="9">
        <v>4</v>
      </c>
      <c r="E252" s="12">
        <f>SUMIFS('Consolidado conteo 1'!$F:$F,'Consolidado conteo 1'!$C:$C,Analisis_Diferecias[[#This Row],[ID]],'Consolidado conteo 1'!$I:$I,Analisis_Diferecias[[#Headers],[Primer Conteo]])</f>
        <v>0</v>
      </c>
      <c r="F252" s="12">
        <f>SUMIFS('Consolidado conteo 2'!$F:$F,'Consolidado conteo 2'!$C:$C,Analisis_Diferecias[[#This Row],[ID]],'Consolidado conteo 2'!$I:$I,Analisis_Diferecias[[#Headers],[Segundo Conteo]])</f>
        <v>0</v>
      </c>
      <c r="G252" s="12">
        <f>+Analisis_Diferecias[[#This Row],[Segundo Conteo]]-(Analisis_Diferecias[[#This Row],[Primer Conteo]])</f>
        <v>0</v>
      </c>
      <c r="H25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2" s="12">
        <f>SUMIFS(Analisis_Diferecias_Tercer_conteo[Tercer_conteo],Analisis_Diferecias_Tercer_conteo[ID],Analisis_Diferecias[[#This Row],[ID]])</f>
        <v>0</v>
      </c>
      <c r="J252" s="12">
        <f>IF(Analisis_Diferecias[[#This Row],[Tipo de incidencia]]="OK",Analisis_Diferecias[[#This Row],[Segundo Conteo]],Analisis_Diferecias[[#This Row],[Tercer Conteo]])</f>
        <v>0</v>
      </c>
      <c r="K252" s="12">
        <f>+(Analisis_Diferecias[[#This Row],[Cantidad Total de Conteos]]-(Analisis_Diferecias[[#This Row],[Cantidad]]))</f>
        <v>-4</v>
      </c>
      <c r="L2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2" s="18"/>
      <c r="N252" s="18">
        <f>Analisis_Diferecias[[#This Row],[Costo Unitario($)]]*Analisis_Diferecias[[#This Row],[Cantidad Total de Conteos]]</f>
        <v>0</v>
      </c>
      <c r="O252" s="18">
        <f>Analisis_Diferecias[[#This Row],[Costo Unitario($)]]*Analisis_Diferecias[[#This Row],[Cantidad]]</f>
        <v>0</v>
      </c>
      <c r="P252" s="20">
        <f>+Analisis_Diferecias[[#This Row],[Valor Total Contado]]-Analisis_Diferecias[[#This Row],[Costo Total Sistema]]</f>
        <v>0</v>
      </c>
      <c r="Q25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3" spans="1:17" x14ac:dyDescent="0.2">
      <c r="A253" s="9">
        <v>4133</v>
      </c>
      <c r="B253" s="9" t="s">
        <v>480</v>
      </c>
      <c r="C253" s="9" t="s">
        <v>479</v>
      </c>
      <c r="D253" s="9">
        <v>4</v>
      </c>
      <c r="E253" s="12">
        <f>SUMIFS('Consolidado conteo 1'!$F:$F,'Consolidado conteo 1'!$C:$C,Analisis_Diferecias[[#This Row],[ID]],'Consolidado conteo 1'!$I:$I,Analisis_Diferecias[[#Headers],[Primer Conteo]])</f>
        <v>0</v>
      </c>
      <c r="F253" s="12">
        <f>SUMIFS('Consolidado conteo 2'!$F:$F,'Consolidado conteo 2'!$C:$C,Analisis_Diferecias[[#This Row],[ID]],'Consolidado conteo 2'!$I:$I,Analisis_Diferecias[[#Headers],[Segundo Conteo]])</f>
        <v>0</v>
      </c>
      <c r="G253" s="12">
        <f>+Analisis_Diferecias[[#This Row],[Segundo Conteo]]-(Analisis_Diferecias[[#This Row],[Primer Conteo]])</f>
        <v>0</v>
      </c>
      <c r="H25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3" s="12">
        <f>SUMIFS(Analisis_Diferecias_Tercer_conteo[Tercer_conteo],Analisis_Diferecias_Tercer_conteo[ID],Analisis_Diferecias[[#This Row],[ID]])</f>
        <v>0</v>
      </c>
      <c r="J253" s="12">
        <f>IF(Analisis_Diferecias[[#This Row],[Tipo de incidencia]]="OK",Analisis_Diferecias[[#This Row],[Segundo Conteo]],Analisis_Diferecias[[#This Row],[Tercer Conteo]])</f>
        <v>0</v>
      </c>
      <c r="K253" s="12">
        <f>+(Analisis_Diferecias[[#This Row],[Cantidad Total de Conteos]]-(Analisis_Diferecias[[#This Row],[Cantidad]]))</f>
        <v>-4</v>
      </c>
      <c r="L2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3" s="18"/>
      <c r="N253" s="18">
        <f>Analisis_Diferecias[[#This Row],[Costo Unitario($)]]*Analisis_Diferecias[[#This Row],[Cantidad Total de Conteos]]</f>
        <v>0</v>
      </c>
      <c r="O253" s="18">
        <f>Analisis_Diferecias[[#This Row],[Costo Unitario($)]]*Analisis_Diferecias[[#This Row],[Cantidad]]</f>
        <v>0</v>
      </c>
      <c r="P253" s="20">
        <f>+Analisis_Diferecias[[#This Row],[Valor Total Contado]]-Analisis_Diferecias[[#This Row],[Costo Total Sistema]]</f>
        <v>0</v>
      </c>
      <c r="Q25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4" spans="1:17" x14ac:dyDescent="0.2">
      <c r="A254" s="9">
        <v>3137</v>
      </c>
      <c r="B254" s="9" t="s">
        <v>482</v>
      </c>
      <c r="C254" s="9" t="s">
        <v>481</v>
      </c>
      <c r="D254" s="9">
        <v>4</v>
      </c>
      <c r="E254" s="12">
        <f>SUMIFS('Consolidado conteo 1'!$F:$F,'Consolidado conteo 1'!$C:$C,Analisis_Diferecias[[#This Row],[ID]],'Consolidado conteo 1'!$I:$I,Analisis_Diferecias[[#Headers],[Primer Conteo]])</f>
        <v>0</v>
      </c>
      <c r="F254" s="12">
        <f>SUMIFS('Consolidado conteo 2'!$F:$F,'Consolidado conteo 2'!$C:$C,Analisis_Diferecias[[#This Row],[ID]],'Consolidado conteo 2'!$I:$I,Analisis_Diferecias[[#Headers],[Segundo Conteo]])</f>
        <v>0</v>
      </c>
      <c r="G254" s="12">
        <f>+Analisis_Diferecias[[#This Row],[Segundo Conteo]]-(Analisis_Diferecias[[#This Row],[Primer Conteo]])</f>
        <v>0</v>
      </c>
      <c r="H25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4" s="12">
        <f>SUMIFS(Analisis_Diferecias_Tercer_conteo[Tercer_conteo],Analisis_Diferecias_Tercer_conteo[ID],Analisis_Diferecias[[#This Row],[ID]])</f>
        <v>0</v>
      </c>
      <c r="J254" s="12">
        <f>IF(Analisis_Diferecias[[#This Row],[Tipo de incidencia]]="OK",Analisis_Diferecias[[#This Row],[Segundo Conteo]],Analisis_Diferecias[[#This Row],[Tercer Conteo]])</f>
        <v>0</v>
      </c>
      <c r="K254" s="12">
        <f>+(Analisis_Diferecias[[#This Row],[Cantidad Total de Conteos]]-(Analisis_Diferecias[[#This Row],[Cantidad]]))</f>
        <v>-4</v>
      </c>
      <c r="L2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4" s="18"/>
      <c r="N254" s="18">
        <f>Analisis_Diferecias[[#This Row],[Costo Unitario($)]]*Analisis_Diferecias[[#This Row],[Cantidad Total de Conteos]]</f>
        <v>0</v>
      </c>
      <c r="O254" s="18">
        <f>Analisis_Diferecias[[#This Row],[Costo Unitario($)]]*Analisis_Diferecias[[#This Row],[Cantidad]]</f>
        <v>0</v>
      </c>
      <c r="P254" s="20">
        <f>+Analisis_Diferecias[[#This Row],[Valor Total Contado]]-Analisis_Diferecias[[#This Row],[Costo Total Sistema]]</f>
        <v>0</v>
      </c>
      <c r="Q25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5" spans="1:17" x14ac:dyDescent="0.2">
      <c r="A255" s="9">
        <v>4191</v>
      </c>
      <c r="B255" s="9" t="s">
        <v>484</v>
      </c>
      <c r="C255" s="9" t="s">
        <v>483</v>
      </c>
      <c r="D255" s="9">
        <v>4</v>
      </c>
      <c r="E255" s="12">
        <f>SUMIFS('Consolidado conteo 1'!$F:$F,'Consolidado conteo 1'!$C:$C,Analisis_Diferecias[[#This Row],[ID]],'Consolidado conteo 1'!$I:$I,Analisis_Diferecias[[#Headers],[Primer Conteo]])</f>
        <v>0</v>
      </c>
      <c r="F255" s="12">
        <f>SUMIFS('Consolidado conteo 2'!$F:$F,'Consolidado conteo 2'!$C:$C,Analisis_Diferecias[[#This Row],[ID]],'Consolidado conteo 2'!$I:$I,Analisis_Diferecias[[#Headers],[Segundo Conteo]])</f>
        <v>0</v>
      </c>
      <c r="G255" s="12">
        <f>+Analisis_Diferecias[[#This Row],[Segundo Conteo]]-(Analisis_Diferecias[[#This Row],[Primer Conteo]])</f>
        <v>0</v>
      </c>
      <c r="H25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5" s="12">
        <f>SUMIFS(Analisis_Diferecias_Tercer_conteo[Tercer_conteo],Analisis_Diferecias_Tercer_conteo[ID],Analisis_Diferecias[[#This Row],[ID]])</f>
        <v>0</v>
      </c>
      <c r="J255" s="12">
        <f>IF(Analisis_Diferecias[[#This Row],[Tipo de incidencia]]="OK",Analisis_Diferecias[[#This Row],[Segundo Conteo]],Analisis_Diferecias[[#This Row],[Tercer Conteo]])</f>
        <v>0</v>
      </c>
      <c r="K255" s="12">
        <f>+(Analisis_Diferecias[[#This Row],[Cantidad Total de Conteos]]-(Analisis_Diferecias[[#This Row],[Cantidad]]))</f>
        <v>-4</v>
      </c>
      <c r="L2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5" s="18"/>
      <c r="N255" s="18">
        <f>Analisis_Diferecias[[#This Row],[Costo Unitario($)]]*Analisis_Diferecias[[#This Row],[Cantidad Total de Conteos]]</f>
        <v>0</v>
      </c>
      <c r="O255" s="18">
        <f>Analisis_Diferecias[[#This Row],[Costo Unitario($)]]*Analisis_Diferecias[[#This Row],[Cantidad]]</f>
        <v>0</v>
      </c>
      <c r="P255" s="20">
        <f>+Analisis_Diferecias[[#This Row],[Valor Total Contado]]-Analisis_Diferecias[[#This Row],[Costo Total Sistema]]</f>
        <v>0</v>
      </c>
      <c r="Q25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6" spans="1:17" x14ac:dyDescent="0.2">
      <c r="A256" s="9">
        <v>4109</v>
      </c>
      <c r="B256" s="9" t="s">
        <v>486</v>
      </c>
      <c r="C256" s="9" t="s">
        <v>485</v>
      </c>
      <c r="D256" s="9">
        <v>3</v>
      </c>
      <c r="E256" s="12">
        <f>SUMIFS('Consolidado conteo 1'!$F:$F,'Consolidado conteo 1'!$C:$C,Analisis_Diferecias[[#This Row],[ID]],'Consolidado conteo 1'!$I:$I,Analisis_Diferecias[[#Headers],[Primer Conteo]])</f>
        <v>0</v>
      </c>
      <c r="F256" s="12">
        <f>SUMIFS('Consolidado conteo 2'!$F:$F,'Consolidado conteo 2'!$C:$C,Analisis_Diferecias[[#This Row],[ID]],'Consolidado conteo 2'!$I:$I,Analisis_Diferecias[[#Headers],[Segundo Conteo]])</f>
        <v>0</v>
      </c>
      <c r="G256" s="12">
        <f>+Analisis_Diferecias[[#This Row],[Segundo Conteo]]-(Analisis_Diferecias[[#This Row],[Primer Conteo]])</f>
        <v>0</v>
      </c>
      <c r="H25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6" s="12">
        <f>SUMIFS(Analisis_Diferecias_Tercer_conteo[Tercer_conteo],Analisis_Diferecias_Tercer_conteo[ID],Analisis_Diferecias[[#This Row],[ID]])</f>
        <v>0</v>
      </c>
      <c r="J256" s="12">
        <f>IF(Analisis_Diferecias[[#This Row],[Tipo de incidencia]]="OK",Analisis_Diferecias[[#This Row],[Segundo Conteo]],Analisis_Diferecias[[#This Row],[Tercer Conteo]])</f>
        <v>0</v>
      </c>
      <c r="K256" s="12">
        <f>+(Analisis_Diferecias[[#This Row],[Cantidad Total de Conteos]]-(Analisis_Diferecias[[#This Row],[Cantidad]]))</f>
        <v>-3</v>
      </c>
      <c r="L2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6" s="18"/>
      <c r="N256" s="18">
        <f>Analisis_Diferecias[[#This Row],[Costo Unitario($)]]*Analisis_Diferecias[[#This Row],[Cantidad Total de Conteos]]</f>
        <v>0</v>
      </c>
      <c r="O256" s="18">
        <f>Analisis_Diferecias[[#This Row],[Costo Unitario($)]]*Analisis_Diferecias[[#This Row],[Cantidad]]</f>
        <v>0</v>
      </c>
      <c r="P256" s="20">
        <f>+Analisis_Diferecias[[#This Row],[Valor Total Contado]]-Analisis_Diferecias[[#This Row],[Costo Total Sistema]]</f>
        <v>0</v>
      </c>
      <c r="Q25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7" spans="1:17" x14ac:dyDescent="0.2">
      <c r="A257" s="9">
        <v>4110</v>
      </c>
      <c r="B257" s="9" t="s">
        <v>488</v>
      </c>
      <c r="C257" s="9" t="s">
        <v>487</v>
      </c>
      <c r="D257" s="9">
        <v>3</v>
      </c>
      <c r="E257" s="12">
        <f>SUMIFS('Consolidado conteo 1'!$F:$F,'Consolidado conteo 1'!$C:$C,Analisis_Diferecias[[#This Row],[ID]],'Consolidado conteo 1'!$I:$I,Analisis_Diferecias[[#Headers],[Primer Conteo]])</f>
        <v>0</v>
      </c>
      <c r="F257" s="12">
        <f>SUMIFS('Consolidado conteo 2'!$F:$F,'Consolidado conteo 2'!$C:$C,Analisis_Diferecias[[#This Row],[ID]],'Consolidado conteo 2'!$I:$I,Analisis_Diferecias[[#Headers],[Segundo Conteo]])</f>
        <v>0</v>
      </c>
      <c r="G257" s="12">
        <f>+Analisis_Diferecias[[#This Row],[Segundo Conteo]]-(Analisis_Diferecias[[#This Row],[Primer Conteo]])</f>
        <v>0</v>
      </c>
      <c r="H25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7" s="12">
        <f>SUMIFS(Analisis_Diferecias_Tercer_conteo[Tercer_conteo],Analisis_Diferecias_Tercer_conteo[ID],Analisis_Diferecias[[#This Row],[ID]])</f>
        <v>0</v>
      </c>
      <c r="J257" s="12">
        <f>IF(Analisis_Diferecias[[#This Row],[Tipo de incidencia]]="OK",Analisis_Diferecias[[#This Row],[Segundo Conteo]],Analisis_Diferecias[[#This Row],[Tercer Conteo]])</f>
        <v>0</v>
      </c>
      <c r="K257" s="12">
        <f>+(Analisis_Diferecias[[#This Row],[Cantidad Total de Conteos]]-(Analisis_Diferecias[[#This Row],[Cantidad]]))</f>
        <v>-3</v>
      </c>
      <c r="L2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7" s="18"/>
      <c r="N257" s="18">
        <f>Analisis_Diferecias[[#This Row],[Costo Unitario($)]]*Analisis_Diferecias[[#This Row],[Cantidad Total de Conteos]]</f>
        <v>0</v>
      </c>
      <c r="O257" s="18">
        <f>Analisis_Diferecias[[#This Row],[Costo Unitario($)]]*Analisis_Diferecias[[#This Row],[Cantidad]]</f>
        <v>0</v>
      </c>
      <c r="P257" s="20">
        <f>+Analisis_Diferecias[[#This Row],[Valor Total Contado]]-Analisis_Diferecias[[#This Row],[Costo Total Sistema]]</f>
        <v>0</v>
      </c>
      <c r="Q25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8" spans="1:17" x14ac:dyDescent="0.2">
      <c r="A258" s="9">
        <v>4132</v>
      </c>
      <c r="B258" s="9" t="s">
        <v>490</v>
      </c>
      <c r="C258" s="9" t="s">
        <v>489</v>
      </c>
      <c r="D258" s="9">
        <v>3</v>
      </c>
      <c r="E258" s="12">
        <f>SUMIFS('Consolidado conteo 1'!$F:$F,'Consolidado conteo 1'!$C:$C,Analisis_Diferecias[[#This Row],[ID]],'Consolidado conteo 1'!$I:$I,Analisis_Diferecias[[#Headers],[Primer Conteo]])</f>
        <v>0</v>
      </c>
      <c r="F258" s="12">
        <f>SUMIFS('Consolidado conteo 2'!$F:$F,'Consolidado conteo 2'!$C:$C,Analisis_Diferecias[[#This Row],[ID]],'Consolidado conteo 2'!$I:$I,Analisis_Diferecias[[#Headers],[Segundo Conteo]])</f>
        <v>0</v>
      </c>
      <c r="G258" s="12">
        <f>+Analisis_Diferecias[[#This Row],[Segundo Conteo]]-(Analisis_Diferecias[[#This Row],[Primer Conteo]])</f>
        <v>0</v>
      </c>
      <c r="H25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8" s="12">
        <f>SUMIFS(Analisis_Diferecias_Tercer_conteo[Tercer_conteo],Analisis_Diferecias_Tercer_conteo[ID],Analisis_Diferecias[[#This Row],[ID]])</f>
        <v>0</v>
      </c>
      <c r="J258" s="12">
        <f>IF(Analisis_Diferecias[[#This Row],[Tipo de incidencia]]="OK",Analisis_Diferecias[[#This Row],[Segundo Conteo]],Analisis_Diferecias[[#This Row],[Tercer Conteo]])</f>
        <v>0</v>
      </c>
      <c r="K258" s="12">
        <f>+(Analisis_Diferecias[[#This Row],[Cantidad Total de Conteos]]-(Analisis_Diferecias[[#This Row],[Cantidad]]))</f>
        <v>-3</v>
      </c>
      <c r="L2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8" s="18"/>
      <c r="N258" s="18">
        <f>Analisis_Diferecias[[#This Row],[Costo Unitario($)]]*Analisis_Diferecias[[#This Row],[Cantidad Total de Conteos]]</f>
        <v>0</v>
      </c>
      <c r="O258" s="18">
        <f>Analisis_Diferecias[[#This Row],[Costo Unitario($)]]*Analisis_Diferecias[[#This Row],[Cantidad]]</f>
        <v>0</v>
      </c>
      <c r="P258" s="20">
        <f>+Analisis_Diferecias[[#This Row],[Valor Total Contado]]-Analisis_Diferecias[[#This Row],[Costo Total Sistema]]</f>
        <v>0</v>
      </c>
      <c r="Q25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59" spans="1:17" x14ac:dyDescent="0.2">
      <c r="A259" s="9">
        <v>4131</v>
      </c>
      <c r="B259" s="9" t="s">
        <v>492</v>
      </c>
      <c r="C259" s="9" t="s">
        <v>491</v>
      </c>
      <c r="D259" s="9">
        <v>3</v>
      </c>
      <c r="E259" s="12">
        <f>SUMIFS('Consolidado conteo 1'!$F:$F,'Consolidado conteo 1'!$C:$C,Analisis_Diferecias[[#This Row],[ID]],'Consolidado conteo 1'!$I:$I,Analisis_Diferecias[[#Headers],[Primer Conteo]])</f>
        <v>0</v>
      </c>
      <c r="F259" s="12">
        <f>SUMIFS('Consolidado conteo 2'!$F:$F,'Consolidado conteo 2'!$C:$C,Analisis_Diferecias[[#This Row],[ID]],'Consolidado conteo 2'!$I:$I,Analisis_Diferecias[[#Headers],[Segundo Conteo]])</f>
        <v>0</v>
      </c>
      <c r="G259" s="12">
        <f>+Analisis_Diferecias[[#This Row],[Segundo Conteo]]-(Analisis_Diferecias[[#This Row],[Primer Conteo]])</f>
        <v>0</v>
      </c>
      <c r="H25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59" s="12">
        <f>SUMIFS(Analisis_Diferecias_Tercer_conteo[Tercer_conteo],Analisis_Diferecias_Tercer_conteo[ID],Analisis_Diferecias[[#This Row],[ID]])</f>
        <v>0</v>
      </c>
      <c r="J259" s="12">
        <f>IF(Analisis_Diferecias[[#This Row],[Tipo de incidencia]]="OK",Analisis_Diferecias[[#This Row],[Segundo Conteo]],Analisis_Diferecias[[#This Row],[Tercer Conteo]])</f>
        <v>0</v>
      </c>
      <c r="K259" s="12">
        <f>+(Analisis_Diferecias[[#This Row],[Cantidad Total de Conteos]]-(Analisis_Diferecias[[#This Row],[Cantidad]]))</f>
        <v>-3</v>
      </c>
      <c r="L2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59" s="18"/>
      <c r="N259" s="18">
        <f>Analisis_Diferecias[[#This Row],[Costo Unitario($)]]*Analisis_Diferecias[[#This Row],[Cantidad Total de Conteos]]</f>
        <v>0</v>
      </c>
      <c r="O259" s="18">
        <f>Analisis_Diferecias[[#This Row],[Costo Unitario($)]]*Analisis_Diferecias[[#This Row],[Cantidad]]</f>
        <v>0</v>
      </c>
      <c r="P259" s="20">
        <f>+Analisis_Diferecias[[#This Row],[Valor Total Contado]]-Analisis_Diferecias[[#This Row],[Costo Total Sistema]]</f>
        <v>0</v>
      </c>
      <c r="Q25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0" spans="1:17" x14ac:dyDescent="0.2">
      <c r="A260" s="9">
        <v>4121</v>
      </c>
      <c r="B260" s="9" t="s">
        <v>494</v>
      </c>
      <c r="C260" s="9" t="s">
        <v>493</v>
      </c>
      <c r="D260" s="9">
        <v>3</v>
      </c>
      <c r="E260" s="12">
        <f>SUMIFS('Consolidado conteo 1'!$F:$F,'Consolidado conteo 1'!$C:$C,Analisis_Diferecias[[#This Row],[ID]],'Consolidado conteo 1'!$I:$I,Analisis_Diferecias[[#Headers],[Primer Conteo]])</f>
        <v>0</v>
      </c>
      <c r="F260" s="12">
        <f>SUMIFS('Consolidado conteo 2'!$F:$F,'Consolidado conteo 2'!$C:$C,Analisis_Diferecias[[#This Row],[ID]],'Consolidado conteo 2'!$I:$I,Analisis_Diferecias[[#Headers],[Segundo Conteo]])</f>
        <v>0</v>
      </c>
      <c r="G260" s="12">
        <f>+Analisis_Diferecias[[#This Row],[Segundo Conteo]]-(Analisis_Diferecias[[#This Row],[Primer Conteo]])</f>
        <v>0</v>
      </c>
      <c r="H26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0" s="12">
        <f>SUMIFS(Analisis_Diferecias_Tercer_conteo[Tercer_conteo],Analisis_Diferecias_Tercer_conteo[ID],Analisis_Diferecias[[#This Row],[ID]])</f>
        <v>0</v>
      </c>
      <c r="J260" s="12">
        <f>IF(Analisis_Diferecias[[#This Row],[Tipo de incidencia]]="OK",Analisis_Diferecias[[#This Row],[Segundo Conteo]],Analisis_Diferecias[[#This Row],[Tercer Conteo]])</f>
        <v>0</v>
      </c>
      <c r="K260" s="12">
        <f>+(Analisis_Diferecias[[#This Row],[Cantidad Total de Conteos]]-(Analisis_Diferecias[[#This Row],[Cantidad]]))</f>
        <v>-3</v>
      </c>
      <c r="L2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0" s="18"/>
      <c r="N260" s="18">
        <f>Analisis_Diferecias[[#This Row],[Costo Unitario($)]]*Analisis_Diferecias[[#This Row],[Cantidad Total de Conteos]]</f>
        <v>0</v>
      </c>
      <c r="O260" s="18">
        <f>Analisis_Diferecias[[#This Row],[Costo Unitario($)]]*Analisis_Diferecias[[#This Row],[Cantidad]]</f>
        <v>0</v>
      </c>
      <c r="P260" s="20">
        <f>+Analisis_Diferecias[[#This Row],[Valor Total Contado]]-Analisis_Diferecias[[#This Row],[Costo Total Sistema]]</f>
        <v>0</v>
      </c>
      <c r="Q26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1" spans="1:17" x14ac:dyDescent="0.2">
      <c r="A261" s="9">
        <v>4120</v>
      </c>
      <c r="B261" s="9" t="s">
        <v>496</v>
      </c>
      <c r="C261" s="9" t="s">
        <v>495</v>
      </c>
      <c r="D261" s="9">
        <v>3</v>
      </c>
      <c r="E261" s="12">
        <f>SUMIFS('Consolidado conteo 1'!$F:$F,'Consolidado conteo 1'!$C:$C,Analisis_Diferecias[[#This Row],[ID]],'Consolidado conteo 1'!$I:$I,Analisis_Diferecias[[#Headers],[Primer Conteo]])</f>
        <v>0</v>
      </c>
      <c r="F261" s="12">
        <f>SUMIFS('Consolidado conteo 2'!$F:$F,'Consolidado conteo 2'!$C:$C,Analisis_Diferecias[[#This Row],[ID]],'Consolidado conteo 2'!$I:$I,Analisis_Diferecias[[#Headers],[Segundo Conteo]])</f>
        <v>0</v>
      </c>
      <c r="G261" s="12">
        <f>+Analisis_Diferecias[[#This Row],[Segundo Conteo]]-(Analisis_Diferecias[[#This Row],[Primer Conteo]])</f>
        <v>0</v>
      </c>
      <c r="H26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1" s="12">
        <f>SUMIFS(Analisis_Diferecias_Tercer_conteo[Tercer_conteo],Analisis_Diferecias_Tercer_conteo[ID],Analisis_Diferecias[[#This Row],[ID]])</f>
        <v>0</v>
      </c>
      <c r="J261" s="12">
        <f>IF(Analisis_Diferecias[[#This Row],[Tipo de incidencia]]="OK",Analisis_Diferecias[[#This Row],[Segundo Conteo]],Analisis_Diferecias[[#This Row],[Tercer Conteo]])</f>
        <v>0</v>
      </c>
      <c r="K261" s="12">
        <f>+(Analisis_Diferecias[[#This Row],[Cantidad Total de Conteos]]-(Analisis_Diferecias[[#This Row],[Cantidad]]))</f>
        <v>-3</v>
      </c>
      <c r="L2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1" s="18"/>
      <c r="N261" s="18">
        <f>Analisis_Diferecias[[#This Row],[Costo Unitario($)]]*Analisis_Diferecias[[#This Row],[Cantidad Total de Conteos]]</f>
        <v>0</v>
      </c>
      <c r="O261" s="18">
        <f>Analisis_Diferecias[[#This Row],[Costo Unitario($)]]*Analisis_Diferecias[[#This Row],[Cantidad]]</f>
        <v>0</v>
      </c>
      <c r="P261" s="20">
        <f>+Analisis_Diferecias[[#This Row],[Valor Total Contado]]-Analisis_Diferecias[[#This Row],[Costo Total Sistema]]</f>
        <v>0</v>
      </c>
      <c r="Q26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2" spans="1:17" x14ac:dyDescent="0.2">
      <c r="A262" s="9">
        <v>4119</v>
      </c>
      <c r="B262" s="9" t="s">
        <v>498</v>
      </c>
      <c r="C262" s="9" t="s">
        <v>497</v>
      </c>
      <c r="D262" s="9">
        <v>3</v>
      </c>
      <c r="E262" s="12">
        <f>SUMIFS('Consolidado conteo 1'!$F:$F,'Consolidado conteo 1'!$C:$C,Analisis_Diferecias[[#This Row],[ID]],'Consolidado conteo 1'!$I:$I,Analisis_Diferecias[[#Headers],[Primer Conteo]])</f>
        <v>0</v>
      </c>
      <c r="F262" s="12">
        <f>SUMIFS('Consolidado conteo 2'!$F:$F,'Consolidado conteo 2'!$C:$C,Analisis_Diferecias[[#This Row],[ID]],'Consolidado conteo 2'!$I:$I,Analisis_Diferecias[[#Headers],[Segundo Conteo]])</f>
        <v>0</v>
      </c>
      <c r="G262" s="12">
        <f>+Analisis_Diferecias[[#This Row],[Segundo Conteo]]-(Analisis_Diferecias[[#This Row],[Primer Conteo]])</f>
        <v>0</v>
      </c>
      <c r="H26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2" s="12">
        <f>SUMIFS(Analisis_Diferecias_Tercer_conteo[Tercer_conteo],Analisis_Diferecias_Tercer_conteo[ID],Analisis_Diferecias[[#This Row],[ID]])</f>
        <v>0</v>
      </c>
      <c r="J262" s="12">
        <f>IF(Analisis_Diferecias[[#This Row],[Tipo de incidencia]]="OK",Analisis_Diferecias[[#This Row],[Segundo Conteo]],Analisis_Diferecias[[#This Row],[Tercer Conteo]])</f>
        <v>0</v>
      </c>
      <c r="K262" s="12">
        <f>+(Analisis_Diferecias[[#This Row],[Cantidad Total de Conteos]]-(Analisis_Diferecias[[#This Row],[Cantidad]]))</f>
        <v>-3</v>
      </c>
      <c r="L2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2" s="18"/>
      <c r="N262" s="18">
        <f>Analisis_Diferecias[[#This Row],[Costo Unitario($)]]*Analisis_Diferecias[[#This Row],[Cantidad Total de Conteos]]</f>
        <v>0</v>
      </c>
      <c r="O262" s="18">
        <f>Analisis_Diferecias[[#This Row],[Costo Unitario($)]]*Analisis_Diferecias[[#This Row],[Cantidad]]</f>
        <v>0</v>
      </c>
      <c r="P262" s="20">
        <f>+Analisis_Diferecias[[#This Row],[Valor Total Contado]]-Analisis_Diferecias[[#This Row],[Costo Total Sistema]]</f>
        <v>0</v>
      </c>
      <c r="Q26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3" spans="1:17" x14ac:dyDescent="0.2">
      <c r="A263" s="9">
        <v>4201</v>
      </c>
      <c r="B263" s="9" t="s">
        <v>500</v>
      </c>
      <c r="C263" s="9" t="s">
        <v>499</v>
      </c>
      <c r="D263" s="9">
        <v>3</v>
      </c>
      <c r="E263" s="12">
        <f>SUMIFS('Consolidado conteo 1'!$F:$F,'Consolidado conteo 1'!$C:$C,Analisis_Diferecias[[#This Row],[ID]],'Consolidado conteo 1'!$I:$I,Analisis_Diferecias[[#Headers],[Primer Conteo]])</f>
        <v>0</v>
      </c>
      <c r="F263" s="12">
        <f>SUMIFS('Consolidado conteo 2'!$F:$F,'Consolidado conteo 2'!$C:$C,Analisis_Diferecias[[#This Row],[ID]],'Consolidado conteo 2'!$I:$I,Analisis_Diferecias[[#Headers],[Segundo Conteo]])</f>
        <v>0</v>
      </c>
      <c r="G263" s="12">
        <f>+Analisis_Diferecias[[#This Row],[Segundo Conteo]]-(Analisis_Diferecias[[#This Row],[Primer Conteo]])</f>
        <v>0</v>
      </c>
      <c r="H26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3" s="12">
        <f>SUMIFS(Analisis_Diferecias_Tercer_conteo[Tercer_conteo],Analisis_Diferecias_Tercer_conteo[ID],Analisis_Diferecias[[#This Row],[ID]])</f>
        <v>0</v>
      </c>
      <c r="J263" s="12">
        <f>IF(Analisis_Diferecias[[#This Row],[Tipo de incidencia]]="OK",Analisis_Diferecias[[#This Row],[Segundo Conteo]],Analisis_Diferecias[[#This Row],[Tercer Conteo]])</f>
        <v>0</v>
      </c>
      <c r="K263" s="12">
        <f>+(Analisis_Diferecias[[#This Row],[Cantidad Total de Conteos]]-(Analisis_Diferecias[[#This Row],[Cantidad]]))</f>
        <v>-3</v>
      </c>
      <c r="L2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3" s="18"/>
      <c r="N263" s="18">
        <f>Analisis_Diferecias[[#This Row],[Costo Unitario($)]]*Analisis_Diferecias[[#This Row],[Cantidad Total de Conteos]]</f>
        <v>0</v>
      </c>
      <c r="O263" s="18">
        <f>Analisis_Diferecias[[#This Row],[Costo Unitario($)]]*Analisis_Diferecias[[#This Row],[Cantidad]]</f>
        <v>0</v>
      </c>
      <c r="P263" s="20">
        <f>+Analisis_Diferecias[[#This Row],[Valor Total Contado]]-Analisis_Diferecias[[#This Row],[Costo Total Sistema]]</f>
        <v>0</v>
      </c>
      <c r="Q26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4" spans="1:17" x14ac:dyDescent="0.2">
      <c r="A264" s="9">
        <v>4305</v>
      </c>
      <c r="B264" s="9" t="s">
        <v>502</v>
      </c>
      <c r="C264" s="9" t="s">
        <v>501</v>
      </c>
      <c r="D264" s="9">
        <v>3</v>
      </c>
      <c r="E264" s="12">
        <f>SUMIFS('Consolidado conteo 1'!$F:$F,'Consolidado conteo 1'!$C:$C,Analisis_Diferecias[[#This Row],[ID]],'Consolidado conteo 1'!$I:$I,Analisis_Diferecias[[#Headers],[Primer Conteo]])</f>
        <v>0</v>
      </c>
      <c r="F264" s="12">
        <f>SUMIFS('Consolidado conteo 2'!$F:$F,'Consolidado conteo 2'!$C:$C,Analisis_Diferecias[[#This Row],[ID]],'Consolidado conteo 2'!$I:$I,Analisis_Diferecias[[#Headers],[Segundo Conteo]])</f>
        <v>0</v>
      </c>
      <c r="G264" s="12">
        <f>+Analisis_Diferecias[[#This Row],[Segundo Conteo]]-(Analisis_Diferecias[[#This Row],[Primer Conteo]])</f>
        <v>0</v>
      </c>
      <c r="H26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4" s="12">
        <f>SUMIFS(Analisis_Diferecias_Tercer_conteo[Tercer_conteo],Analisis_Diferecias_Tercer_conteo[ID],Analisis_Diferecias[[#This Row],[ID]])</f>
        <v>0</v>
      </c>
      <c r="J264" s="12">
        <f>IF(Analisis_Diferecias[[#This Row],[Tipo de incidencia]]="OK",Analisis_Diferecias[[#This Row],[Segundo Conteo]],Analisis_Diferecias[[#This Row],[Tercer Conteo]])</f>
        <v>0</v>
      </c>
      <c r="K264" s="12">
        <f>+(Analisis_Diferecias[[#This Row],[Cantidad Total de Conteos]]-(Analisis_Diferecias[[#This Row],[Cantidad]]))</f>
        <v>-3</v>
      </c>
      <c r="L2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4" s="18"/>
      <c r="N264" s="18">
        <f>Analisis_Diferecias[[#This Row],[Costo Unitario($)]]*Analisis_Diferecias[[#This Row],[Cantidad Total de Conteos]]</f>
        <v>0</v>
      </c>
      <c r="O264" s="18">
        <f>Analisis_Diferecias[[#This Row],[Costo Unitario($)]]*Analisis_Diferecias[[#This Row],[Cantidad]]</f>
        <v>0</v>
      </c>
      <c r="P264" s="20">
        <f>+Analisis_Diferecias[[#This Row],[Valor Total Contado]]-Analisis_Diferecias[[#This Row],[Costo Total Sistema]]</f>
        <v>0</v>
      </c>
      <c r="Q26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5" spans="1:17" x14ac:dyDescent="0.2">
      <c r="A265" s="9">
        <v>6616</v>
      </c>
      <c r="B265" s="9" t="s">
        <v>504</v>
      </c>
      <c r="C265" s="9" t="s">
        <v>503</v>
      </c>
      <c r="D265" s="9">
        <v>3</v>
      </c>
      <c r="E265" s="12">
        <f>SUMIFS('Consolidado conteo 1'!$F:$F,'Consolidado conteo 1'!$C:$C,Analisis_Diferecias[[#This Row],[ID]],'Consolidado conteo 1'!$I:$I,Analisis_Diferecias[[#Headers],[Primer Conteo]])</f>
        <v>0</v>
      </c>
      <c r="F265" s="12">
        <f>SUMIFS('Consolidado conteo 2'!$F:$F,'Consolidado conteo 2'!$C:$C,Analisis_Diferecias[[#This Row],[ID]],'Consolidado conteo 2'!$I:$I,Analisis_Diferecias[[#Headers],[Segundo Conteo]])</f>
        <v>0</v>
      </c>
      <c r="G265" s="12">
        <f>+Analisis_Diferecias[[#This Row],[Segundo Conteo]]-(Analisis_Diferecias[[#This Row],[Primer Conteo]])</f>
        <v>0</v>
      </c>
      <c r="H26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5" s="12">
        <f>SUMIFS(Analisis_Diferecias_Tercer_conteo[Tercer_conteo],Analisis_Diferecias_Tercer_conteo[ID],Analisis_Diferecias[[#This Row],[ID]])</f>
        <v>0</v>
      </c>
      <c r="J265" s="12">
        <f>IF(Analisis_Diferecias[[#This Row],[Tipo de incidencia]]="OK",Analisis_Diferecias[[#This Row],[Segundo Conteo]],Analisis_Diferecias[[#This Row],[Tercer Conteo]])</f>
        <v>0</v>
      </c>
      <c r="K265" s="12">
        <f>+(Analisis_Diferecias[[#This Row],[Cantidad Total de Conteos]]-(Analisis_Diferecias[[#This Row],[Cantidad]]))</f>
        <v>-3</v>
      </c>
      <c r="L2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5" s="18"/>
      <c r="N265" s="18">
        <f>Analisis_Diferecias[[#This Row],[Costo Unitario($)]]*Analisis_Diferecias[[#This Row],[Cantidad Total de Conteos]]</f>
        <v>0</v>
      </c>
      <c r="O265" s="18">
        <f>Analisis_Diferecias[[#This Row],[Costo Unitario($)]]*Analisis_Diferecias[[#This Row],[Cantidad]]</f>
        <v>0</v>
      </c>
      <c r="P265" s="20">
        <f>+Analisis_Diferecias[[#This Row],[Valor Total Contado]]-Analisis_Diferecias[[#This Row],[Costo Total Sistema]]</f>
        <v>0</v>
      </c>
      <c r="Q26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6" spans="1:17" x14ac:dyDescent="0.2">
      <c r="A266" s="9">
        <v>384</v>
      </c>
      <c r="B266" s="9" t="s">
        <v>506</v>
      </c>
      <c r="C266" s="9" t="s">
        <v>505</v>
      </c>
      <c r="D266" s="9">
        <v>3</v>
      </c>
      <c r="E266" s="12">
        <f>SUMIFS('Consolidado conteo 1'!$F:$F,'Consolidado conteo 1'!$C:$C,Analisis_Diferecias[[#This Row],[ID]],'Consolidado conteo 1'!$I:$I,Analisis_Diferecias[[#Headers],[Primer Conteo]])</f>
        <v>0</v>
      </c>
      <c r="F266" s="12">
        <f>SUMIFS('Consolidado conteo 2'!$F:$F,'Consolidado conteo 2'!$C:$C,Analisis_Diferecias[[#This Row],[ID]],'Consolidado conteo 2'!$I:$I,Analisis_Diferecias[[#Headers],[Segundo Conteo]])</f>
        <v>0</v>
      </c>
      <c r="G266" s="12">
        <f>+Analisis_Diferecias[[#This Row],[Segundo Conteo]]-(Analisis_Diferecias[[#This Row],[Primer Conteo]])</f>
        <v>0</v>
      </c>
      <c r="H26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6" s="12">
        <f>SUMIFS(Analisis_Diferecias_Tercer_conteo[Tercer_conteo],Analisis_Diferecias_Tercer_conteo[ID],Analisis_Diferecias[[#This Row],[ID]])</f>
        <v>0</v>
      </c>
      <c r="J266" s="12">
        <f>IF(Analisis_Diferecias[[#This Row],[Tipo de incidencia]]="OK",Analisis_Diferecias[[#This Row],[Segundo Conteo]],Analisis_Diferecias[[#This Row],[Tercer Conteo]])</f>
        <v>0</v>
      </c>
      <c r="K266" s="12">
        <f>+(Analisis_Diferecias[[#This Row],[Cantidad Total de Conteos]]-(Analisis_Diferecias[[#This Row],[Cantidad]]))</f>
        <v>-3</v>
      </c>
      <c r="L2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6" s="18"/>
      <c r="N266" s="18">
        <f>Analisis_Diferecias[[#This Row],[Costo Unitario($)]]*Analisis_Diferecias[[#This Row],[Cantidad Total de Conteos]]</f>
        <v>0</v>
      </c>
      <c r="O266" s="18">
        <f>Analisis_Diferecias[[#This Row],[Costo Unitario($)]]*Analisis_Diferecias[[#This Row],[Cantidad]]</f>
        <v>0</v>
      </c>
      <c r="P266" s="20">
        <f>+Analisis_Diferecias[[#This Row],[Valor Total Contado]]-Analisis_Diferecias[[#This Row],[Costo Total Sistema]]</f>
        <v>0</v>
      </c>
      <c r="Q26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7" spans="1:17" x14ac:dyDescent="0.2">
      <c r="A267" s="9">
        <v>671</v>
      </c>
      <c r="B267" s="9" t="s">
        <v>508</v>
      </c>
      <c r="C267" s="9" t="s">
        <v>507</v>
      </c>
      <c r="D267" s="9">
        <v>3</v>
      </c>
      <c r="E267" s="12">
        <f>SUMIFS('Consolidado conteo 1'!$F:$F,'Consolidado conteo 1'!$C:$C,Analisis_Diferecias[[#This Row],[ID]],'Consolidado conteo 1'!$I:$I,Analisis_Diferecias[[#Headers],[Primer Conteo]])</f>
        <v>0</v>
      </c>
      <c r="F267" s="12">
        <f>SUMIFS('Consolidado conteo 2'!$F:$F,'Consolidado conteo 2'!$C:$C,Analisis_Diferecias[[#This Row],[ID]],'Consolidado conteo 2'!$I:$I,Analisis_Diferecias[[#Headers],[Segundo Conteo]])</f>
        <v>0</v>
      </c>
      <c r="G267" s="12">
        <f>+Analisis_Diferecias[[#This Row],[Segundo Conteo]]-(Analisis_Diferecias[[#This Row],[Primer Conteo]])</f>
        <v>0</v>
      </c>
      <c r="H26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7" s="12">
        <f>SUMIFS(Analisis_Diferecias_Tercer_conteo[Tercer_conteo],Analisis_Diferecias_Tercer_conteo[ID],Analisis_Diferecias[[#This Row],[ID]])</f>
        <v>0</v>
      </c>
      <c r="J267" s="12">
        <f>IF(Analisis_Diferecias[[#This Row],[Tipo de incidencia]]="OK",Analisis_Diferecias[[#This Row],[Segundo Conteo]],Analisis_Diferecias[[#This Row],[Tercer Conteo]])</f>
        <v>0</v>
      </c>
      <c r="K267" s="12">
        <f>+(Analisis_Diferecias[[#This Row],[Cantidad Total de Conteos]]-(Analisis_Diferecias[[#This Row],[Cantidad]]))</f>
        <v>-3</v>
      </c>
      <c r="L2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7" s="18"/>
      <c r="N267" s="18">
        <f>Analisis_Diferecias[[#This Row],[Costo Unitario($)]]*Analisis_Diferecias[[#This Row],[Cantidad Total de Conteos]]</f>
        <v>0</v>
      </c>
      <c r="O267" s="18">
        <f>Analisis_Diferecias[[#This Row],[Costo Unitario($)]]*Analisis_Diferecias[[#This Row],[Cantidad]]</f>
        <v>0</v>
      </c>
      <c r="P267" s="20">
        <f>+Analisis_Diferecias[[#This Row],[Valor Total Contado]]-Analisis_Diferecias[[#This Row],[Costo Total Sistema]]</f>
        <v>0</v>
      </c>
      <c r="Q26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8" spans="1:17" x14ac:dyDescent="0.2">
      <c r="A268" s="9">
        <v>4345</v>
      </c>
      <c r="B268" s="9" t="s">
        <v>510</v>
      </c>
      <c r="C268" s="9" t="s">
        <v>509</v>
      </c>
      <c r="D268" s="9">
        <v>3</v>
      </c>
      <c r="E268" s="12">
        <f>SUMIFS('Consolidado conteo 1'!$F:$F,'Consolidado conteo 1'!$C:$C,Analisis_Diferecias[[#This Row],[ID]],'Consolidado conteo 1'!$I:$I,Analisis_Diferecias[[#Headers],[Primer Conteo]])</f>
        <v>0</v>
      </c>
      <c r="F268" s="12">
        <f>SUMIFS('Consolidado conteo 2'!$F:$F,'Consolidado conteo 2'!$C:$C,Analisis_Diferecias[[#This Row],[ID]],'Consolidado conteo 2'!$I:$I,Analisis_Diferecias[[#Headers],[Segundo Conteo]])</f>
        <v>0</v>
      </c>
      <c r="G268" s="12">
        <f>+Analisis_Diferecias[[#This Row],[Segundo Conteo]]-(Analisis_Diferecias[[#This Row],[Primer Conteo]])</f>
        <v>0</v>
      </c>
      <c r="H26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8" s="12">
        <f>SUMIFS(Analisis_Diferecias_Tercer_conteo[Tercer_conteo],Analisis_Diferecias_Tercer_conteo[ID],Analisis_Diferecias[[#This Row],[ID]])</f>
        <v>0</v>
      </c>
      <c r="J268" s="12">
        <f>IF(Analisis_Diferecias[[#This Row],[Tipo de incidencia]]="OK",Analisis_Diferecias[[#This Row],[Segundo Conteo]],Analisis_Diferecias[[#This Row],[Tercer Conteo]])</f>
        <v>0</v>
      </c>
      <c r="K268" s="12">
        <f>+(Analisis_Diferecias[[#This Row],[Cantidad Total de Conteos]]-(Analisis_Diferecias[[#This Row],[Cantidad]]))</f>
        <v>-3</v>
      </c>
      <c r="L2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8" s="18"/>
      <c r="N268" s="18">
        <f>Analisis_Diferecias[[#This Row],[Costo Unitario($)]]*Analisis_Diferecias[[#This Row],[Cantidad Total de Conteos]]</f>
        <v>0</v>
      </c>
      <c r="O268" s="18">
        <f>Analisis_Diferecias[[#This Row],[Costo Unitario($)]]*Analisis_Diferecias[[#This Row],[Cantidad]]</f>
        <v>0</v>
      </c>
      <c r="P268" s="20">
        <f>+Analisis_Diferecias[[#This Row],[Valor Total Contado]]-Analisis_Diferecias[[#This Row],[Costo Total Sistema]]</f>
        <v>0</v>
      </c>
      <c r="Q26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69" spans="1:17" x14ac:dyDescent="0.2">
      <c r="A269" s="9">
        <v>3435</v>
      </c>
      <c r="B269" s="9" t="s">
        <v>512</v>
      </c>
      <c r="C269" s="9" t="s">
        <v>511</v>
      </c>
      <c r="D269" s="9">
        <v>2</v>
      </c>
      <c r="E269" s="12">
        <f>SUMIFS('Consolidado conteo 1'!$F:$F,'Consolidado conteo 1'!$C:$C,Analisis_Diferecias[[#This Row],[ID]],'Consolidado conteo 1'!$I:$I,Analisis_Diferecias[[#Headers],[Primer Conteo]])</f>
        <v>0</v>
      </c>
      <c r="F269" s="12">
        <f>SUMIFS('Consolidado conteo 2'!$F:$F,'Consolidado conteo 2'!$C:$C,Analisis_Diferecias[[#This Row],[ID]],'Consolidado conteo 2'!$I:$I,Analisis_Diferecias[[#Headers],[Segundo Conteo]])</f>
        <v>0</v>
      </c>
      <c r="G269" s="12">
        <f>+Analisis_Diferecias[[#This Row],[Segundo Conteo]]-(Analisis_Diferecias[[#This Row],[Primer Conteo]])</f>
        <v>0</v>
      </c>
      <c r="H26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69" s="12">
        <f>SUMIFS(Analisis_Diferecias_Tercer_conteo[Tercer_conteo],Analisis_Diferecias_Tercer_conteo[ID],Analisis_Diferecias[[#This Row],[ID]])</f>
        <v>0</v>
      </c>
      <c r="J269" s="12">
        <f>IF(Analisis_Diferecias[[#This Row],[Tipo de incidencia]]="OK",Analisis_Diferecias[[#This Row],[Segundo Conteo]],Analisis_Diferecias[[#This Row],[Tercer Conteo]])</f>
        <v>0</v>
      </c>
      <c r="K269" s="12">
        <f>+(Analisis_Diferecias[[#This Row],[Cantidad Total de Conteos]]-(Analisis_Diferecias[[#This Row],[Cantidad]]))</f>
        <v>-2</v>
      </c>
      <c r="L2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69" s="18"/>
      <c r="N269" s="18">
        <f>Analisis_Diferecias[[#This Row],[Costo Unitario($)]]*Analisis_Diferecias[[#This Row],[Cantidad Total de Conteos]]</f>
        <v>0</v>
      </c>
      <c r="O269" s="18">
        <f>Analisis_Diferecias[[#This Row],[Costo Unitario($)]]*Analisis_Diferecias[[#This Row],[Cantidad]]</f>
        <v>0</v>
      </c>
      <c r="P269" s="20">
        <f>+Analisis_Diferecias[[#This Row],[Valor Total Contado]]-Analisis_Diferecias[[#This Row],[Costo Total Sistema]]</f>
        <v>0</v>
      </c>
      <c r="Q26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0" spans="1:17" x14ac:dyDescent="0.2">
      <c r="A270" s="9">
        <v>3012</v>
      </c>
      <c r="B270" s="9" t="s">
        <v>514</v>
      </c>
      <c r="C270" s="9" t="s">
        <v>513</v>
      </c>
      <c r="D270" s="9">
        <v>2</v>
      </c>
      <c r="E270" s="12">
        <f>SUMIFS('Consolidado conteo 1'!$F:$F,'Consolidado conteo 1'!$C:$C,Analisis_Diferecias[[#This Row],[ID]],'Consolidado conteo 1'!$I:$I,Analisis_Diferecias[[#Headers],[Primer Conteo]])</f>
        <v>0</v>
      </c>
      <c r="F270" s="12">
        <f>SUMIFS('Consolidado conteo 2'!$F:$F,'Consolidado conteo 2'!$C:$C,Analisis_Diferecias[[#This Row],[ID]],'Consolidado conteo 2'!$I:$I,Analisis_Diferecias[[#Headers],[Segundo Conteo]])</f>
        <v>0</v>
      </c>
      <c r="G270" s="12">
        <f>+Analisis_Diferecias[[#This Row],[Segundo Conteo]]-(Analisis_Diferecias[[#This Row],[Primer Conteo]])</f>
        <v>0</v>
      </c>
      <c r="H27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0" s="12">
        <f>SUMIFS(Analisis_Diferecias_Tercer_conteo[Tercer_conteo],Analisis_Diferecias_Tercer_conteo[ID],Analisis_Diferecias[[#This Row],[ID]])</f>
        <v>0</v>
      </c>
      <c r="J270" s="12">
        <f>IF(Analisis_Diferecias[[#This Row],[Tipo de incidencia]]="OK",Analisis_Diferecias[[#This Row],[Segundo Conteo]],Analisis_Diferecias[[#This Row],[Tercer Conteo]])</f>
        <v>0</v>
      </c>
      <c r="K270" s="12">
        <f>+(Analisis_Diferecias[[#This Row],[Cantidad Total de Conteos]]-(Analisis_Diferecias[[#This Row],[Cantidad]]))</f>
        <v>-2</v>
      </c>
      <c r="L2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0" s="18"/>
      <c r="N270" s="18">
        <f>Analisis_Diferecias[[#This Row],[Costo Unitario($)]]*Analisis_Diferecias[[#This Row],[Cantidad Total de Conteos]]</f>
        <v>0</v>
      </c>
      <c r="O270" s="18">
        <f>Analisis_Diferecias[[#This Row],[Costo Unitario($)]]*Analisis_Diferecias[[#This Row],[Cantidad]]</f>
        <v>0</v>
      </c>
      <c r="P270" s="20">
        <f>+Analisis_Diferecias[[#This Row],[Valor Total Contado]]-Analisis_Diferecias[[#This Row],[Costo Total Sistema]]</f>
        <v>0</v>
      </c>
      <c r="Q27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1" spans="1:17" x14ac:dyDescent="0.2">
      <c r="A271" s="9">
        <v>6552</v>
      </c>
      <c r="B271" s="9" t="s">
        <v>516</v>
      </c>
      <c r="C271" s="9" t="s">
        <v>515</v>
      </c>
      <c r="D271" s="9">
        <v>2</v>
      </c>
      <c r="E271" s="12">
        <f>SUMIFS('Consolidado conteo 1'!$F:$F,'Consolidado conteo 1'!$C:$C,Analisis_Diferecias[[#This Row],[ID]],'Consolidado conteo 1'!$I:$I,Analisis_Diferecias[[#Headers],[Primer Conteo]])</f>
        <v>0</v>
      </c>
      <c r="F271" s="12">
        <f>SUMIFS('Consolidado conteo 2'!$F:$F,'Consolidado conteo 2'!$C:$C,Analisis_Diferecias[[#This Row],[ID]],'Consolidado conteo 2'!$I:$I,Analisis_Diferecias[[#Headers],[Segundo Conteo]])</f>
        <v>0</v>
      </c>
      <c r="G271" s="12">
        <f>+Analisis_Diferecias[[#This Row],[Segundo Conteo]]-(Analisis_Diferecias[[#This Row],[Primer Conteo]])</f>
        <v>0</v>
      </c>
      <c r="H27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1" s="12">
        <f>SUMIFS(Analisis_Diferecias_Tercer_conteo[Tercer_conteo],Analisis_Diferecias_Tercer_conteo[ID],Analisis_Diferecias[[#This Row],[ID]])</f>
        <v>0</v>
      </c>
      <c r="J271" s="12">
        <f>IF(Analisis_Diferecias[[#This Row],[Tipo de incidencia]]="OK",Analisis_Diferecias[[#This Row],[Segundo Conteo]],Analisis_Diferecias[[#This Row],[Tercer Conteo]])</f>
        <v>0</v>
      </c>
      <c r="K271" s="12">
        <f>+(Analisis_Diferecias[[#This Row],[Cantidad Total de Conteos]]-(Analisis_Diferecias[[#This Row],[Cantidad]]))</f>
        <v>-2</v>
      </c>
      <c r="L2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1" s="18"/>
      <c r="N271" s="18">
        <f>Analisis_Diferecias[[#This Row],[Costo Unitario($)]]*Analisis_Diferecias[[#This Row],[Cantidad Total de Conteos]]</f>
        <v>0</v>
      </c>
      <c r="O271" s="18">
        <f>Analisis_Diferecias[[#This Row],[Costo Unitario($)]]*Analisis_Diferecias[[#This Row],[Cantidad]]</f>
        <v>0</v>
      </c>
      <c r="P271" s="20">
        <f>+Analisis_Diferecias[[#This Row],[Valor Total Contado]]-Analisis_Diferecias[[#This Row],[Costo Total Sistema]]</f>
        <v>0</v>
      </c>
      <c r="Q27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2" spans="1:17" x14ac:dyDescent="0.2">
      <c r="A272" s="9">
        <v>4420</v>
      </c>
      <c r="B272" s="9" t="s">
        <v>518</v>
      </c>
      <c r="C272" s="9" t="s">
        <v>517</v>
      </c>
      <c r="D272" s="9">
        <v>2</v>
      </c>
      <c r="E272" s="12">
        <f>SUMIFS('Consolidado conteo 1'!$F:$F,'Consolidado conteo 1'!$C:$C,Analisis_Diferecias[[#This Row],[ID]],'Consolidado conteo 1'!$I:$I,Analisis_Diferecias[[#Headers],[Primer Conteo]])</f>
        <v>0</v>
      </c>
      <c r="F272" s="12">
        <f>SUMIFS('Consolidado conteo 2'!$F:$F,'Consolidado conteo 2'!$C:$C,Analisis_Diferecias[[#This Row],[ID]],'Consolidado conteo 2'!$I:$I,Analisis_Diferecias[[#Headers],[Segundo Conteo]])</f>
        <v>0</v>
      </c>
      <c r="G272" s="12">
        <f>+Analisis_Diferecias[[#This Row],[Segundo Conteo]]-(Analisis_Diferecias[[#This Row],[Primer Conteo]])</f>
        <v>0</v>
      </c>
      <c r="H27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2" s="12">
        <f>SUMIFS(Analisis_Diferecias_Tercer_conteo[Tercer_conteo],Analisis_Diferecias_Tercer_conteo[ID],Analisis_Diferecias[[#This Row],[ID]])</f>
        <v>0</v>
      </c>
      <c r="J272" s="12">
        <f>IF(Analisis_Diferecias[[#This Row],[Tipo de incidencia]]="OK",Analisis_Diferecias[[#This Row],[Segundo Conteo]],Analisis_Diferecias[[#This Row],[Tercer Conteo]])</f>
        <v>0</v>
      </c>
      <c r="K272" s="12">
        <f>+(Analisis_Diferecias[[#This Row],[Cantidad Total de Conteos]]-(Analisis_Diferecias[[#This Row],[Cantidad]]))</f>
        <v>-2</v>
      </c>
      <c r="L2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2" s="18"/>
      <c r="N272" s="18">
        <f>Analisis_Diferecias[[#This Row],[Costo Unitario($)]]*Analisis_Diferecias[[#This Row],[Cantidad Total de Conteos]]</f>
        <v>0</v>
      </c>
      <c r="O272" s="18">
        <f>Analisis_Diferecias[[#This Row],[Costo Unitario($)]]*Analisis_Diferecias[[#This Row],[Cantidad]]</f>
        <v>0</v>
      </c>
      <c r="P272" s="20">
        <f>+Analisis_Diferecias[[#This Row],[Valor Total Contado]]-Analisis_Diferecias[[#This Row],[Costo Total Sistema]]</f>
        <v>0</v>
      </c>
      <c r="Q27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3" spans="1:17" x14ac:dyDescent="0.2">
      <c r="A273" s="9">
        <v>4130</v>
      </c>
      <c r="B273" s="9" t="s">
        <v>520</v>
      </c>
      <c r="C273" s="9" t="s">
        <v>519</v>
      </c>
      <c r="D273" s="9">
        <v>2</v>
      </c>
      <c r="E273" s="12">
        <f>SUMIFS('Consolidado conteo 1'!$F:$F,'Consolidado conteo 1'!$C:$C,Analisis_Diferecias[[#This Row],[ID]],'Consolidado conteo 1'!$I:$I,Analisis_Diferecias[[#Headers],[Primer Conteo]])</f>
        <v>0</v>
      </c>
      <c r="F273" s="12">
        <f>SUMIFS('Consolidado conteo 2'!$F:$F,'Consolidado conteo 2'!$C:$C,Analisis_Diferecias[[#This Row],[ID]],'Consolidado conteo 2'!$I:$I,Analisis_Diferecias[[#Headers],[Segundo Conteo]])</f>
        <v>0</v>
      </c>
      <c r="G273" s="12">
        <f>+Analisis_Diferecias[[#This Row],[Segundo Conteo]]-(Analisis_Diferecias[[#This Row],[Primer Conteo]])</f>
        <v>0</v>
      </c>
      <c r="H27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3" s="12">
        <f>SUMIFS(Analisis_Diferecias_Tercer_conteo[Tercer_conteo],Analisis_Diferecias_Tercer_conteo[ID],Analisis_Diferecias[[#This Row],[ID]])</f>
        <v>0</v>
      </c>
      <c r="J273" s="12">
        <f>IF(Analisis_Diferecias[[#This Row],[Tipo de incidencia]]="OK",Analisis_Diferecias[[#This Row],[Segundo Conteo]],Analisis_Diferecias[[#This Row],[Tercer Conteo]])</f>
        <v>0</v>
      </c>
      <c r="K273" s="12">
        <f>+(Analisis_Diferecias[[#This Row],[Cantidad Total de Conteos]]-(Analisis_Diferecias[[#This Row],[Cantidad]]))</f>
        <v>-2</v>
      </c>
      <c r="L2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3" s="18"/>
      <c r="N273" s="18">
        <f>Analisis_Diferecias[[#This Row],[Costo Unitario($)]]*Analisis_Diferecias[[#This Row],[Cantidad Total de Conteos]]</f>
        <v>0</v>
      </c>
      <c r="O273" s="18">
        <f>Analisis_Diferecias[[#This Row],[Costo Unitario($)]]*Analisis_Diferecias[[#This Row],[Cantidad]]</f>
        <v>0</v>
      </c>
      <c r="P273" s="20">
        <f>+Analisis_Diferecias[[#This Row],[Valor Total Contado]]-Analisis_Diferecias[[#This Row],[Costo Total Sistema]]</f>
        <v>0</v>
      </c>
      <c r="Q27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4" spans="1:17" x14ac:dyDescent="0.2">
      <c r="A274" s="9">
        <v>4118</v>
      </c>
      <c r="B274" s="9" t="s">
        <v>522</v>
      </c>
      <c r="C274" s="9" t="s">
        <v>521</v>
      </c>
      <c r="D274" s="9">
        <v>2</v>
      </c>
      <c r="E274" s="12">
        <f>SUMIFS('Consolidado conteo 1'!$F:$F,'Consolidado conteo 1'!$C:$C,Analisis_Diferecias[[#This Row],[ID]],'Consolidado conteo 1'!$I:$I,Analisis_Diferecias[[#Headers],[Primer Conteo]])</f>
        <v>0</v>
      </c>
      <c r="F274" s="12">
        <f>SUMIFS('Consolidado conteo 2'!$F:$F,'Consolidado conteo 2'!$C:$C,Analisis_Diferecias[[#This Row],[ID]],'Consolidado conteo 2'!$I:$I,Analisis_Diferecias[[#Headers],[Segundo Conteo]])</f>
        <v>0</v>
      </c>
      <c r="G274" s="12">
        <f>+Analisis_Diferecias[[#This Row],[Segundo Conteo]]-(Analisis_Diferecias[[#This Row],[Primer Conteo]])</f>
        <v>0</v>
      </c>
      <c r="H27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4" s="12">
        <f>SUMIFS(Analisis_Diferecias_Tercer_conteo[Tercer_conteo],Analisis_Diferecias_Tercer_conteo[ID],Analisis_Diferecias[[#This Row],[ID]])</f>
        <v>0</v>
      </c>
      <c r="J274" s="12">
        <f>IF(Analisis_Diferecias[[#This Row],[Tipo de incidencia]]="OK",Analisis_Diferecias[[#This Row],[Segundo Conteo]],Analisis_Diferecias[[#This Row],[Tercer Conteo]])</f>
        <v>0</v>
      </c>
      <c r="K274" s="12">
        <f>+(Analisis_Diferecias[[#This Row],[Cantidad Total de Conteos]]-(Analisis_Diferecias[[#This Row],[Cantidad]]))</f>
        <v>-2</v>
      </c>
      <c r="L2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4" s="18"/>
      <c r="N274" s="18">
        <f>Analisis_Diferecias[[#This Row],[Costo Unitario($)]]*Analisis_Diferecias[[#This Row],[Cantidad Total de Conteos]]</f>
        <v>0</v>
      </c>
      <c r="O274" s="18">
        <f>Analisis_Diferecias[[#This Row],[Costo Unitario($)]]*Analisis_Diferecias[[#This Row],[Cantidad]]</f>
        <v>0</v>
      </c>
      <c r="P274" s="20">
        <f>+Analisis_Diferecias[[#This Row],[Valor Total Contado]]-Analisis_Diferecias[[#This Row],[Costo Total Sistema]]</f>
        <v>0</v>
      </c>
      <c r="Q27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5" spans="1:17" x14ac:dyDescent="0.2">
      <c r="A275" s="9">
        <v>6389</v>
      </c>
      <c r="B275" s="9" t="s">
        <v>524</v>
      </c>
      <c r="C275" s="9" t="s">
        <v>523</v>
      </c>
      <c r="D275" s="9">
        <v>2</v>
      </c>
      <c r="E275" s="12">
        <f>SUMIFS('Consolidado conteo 1'!$F:$F,'Consolidado conteo 1'!$C:$C,Analisis_Diferecias[[#This Row],[ID]],'Consolidado conteo 1'!$I:$I,Analisis_Diferecias[[#Headers],[Primer Conteo]])</f>
        <v>0</v>
      </c>
      <c r="F275" s="12">
        <f>SUMIFS('Consolidado conteo 2'!$F:$F,'Consolidado conteo 2'!$C:$C,Analisis_Diferecias[[#This Row],[ID]],'Consolidado conteo 2'!$I:$I,Analisis_Diferecias[[#Headers],[Segundo Conteo]])</f>
        <v>0</v>
      </c>
      <c r="G275" s="12">
        <f>+Analisis_Diferecias[[#This Row],[Segundo Conteo]]-(Analisis_Diferecias[[#This Row],[Primer Conteo]])</f>
        <v>0</v>
      </c>
      <c r="H27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5" s="12">
        <f>SUMIFS(Analisis_Diferecias_Tercer_conteo[Tercer_conteo],Analisis_Diferecias_Tercer_conteo[ID],Analisis_Diferecias[[#This Row],[ID]])</f>
        <v>0</v>
      </c>
      <c r="J275" s="12">
        <f>IF(Analisis_Diferecias[[#This Row],[Tipo de incidencia]]="OK",Analisis_Diferecias[[#This Row],[Segundo Conteo]],Analisis_Diferecias[[#This Row],[Tercer Conteo]])</f>
        <v>0</v>
      </c>
      <c r="K275" s="12">
        <f>+(Analisis_Diferecias[[#This Row],[Cantidad Total de Conteos]]-(Analisis_Diferecias[[#This Row],[Cantidad]]))</f>
        <v>-2</v>
      </c>
      <c r="L2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5" s="18"/>
      <c r="N275" s="18">
        <f>Analisis_Diferecias[[#This Row],[Costo Unitario($)]]*Analisis_Diferecias[[#This Row],[Cantidad Total de Conteos]]</f>
        <v>0</v>
      </c>
      <c r="O275" s="18">
        <f>Analisis_Diferecias[[#This Row],[Costo Unitario($)]]*Analisis_Diferecias[[#This Row],[Cantidad]]</f>
        <v>0</v>
      </c>
      <c r="P275" s="20">
        <f>+Analisis_Diferecias[[#This Row],[Valor Total Contado]]-Analisis_Diferecias[[#This Row],[Costo Total Sistema]]</f>
        <v>0</v>
      </c>
      <c r="Q27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6" spans="1:17" x14ac:dyDescent="0.2">
      <c r="A276" s="9">
        <v>4488</v>
      </c>
      <c r="B276" s="9" t="s">
        <v>526</v>
      </c>
      <c r="C276" s="9" t="s">
        <v>525</v>
      </c>
      <c r="D276" s="9">
        <v>2</v>
      </c>
      <c r="E276" s="12">
        <f>SUMIFS('Consolidado conteo 1'!$F:$F,'Consolidado conteo 1'!$C:$C,Analisis_Diferecias[[#This Row],[ID]],'Consolidado conteo 1'!$I:$I,Analisis_Diferecias[[#Headers],[Primer Conteo]])</f>
        <v>0</v>
      </c>
      <c r="F276" s="12">
        <f>SUMIFS('Consolidado conteo 2'!$F:$F,'Consolidado conteo 2'!$C:$C,Analisis_Diferecias[[#This Row],[ID]],'Consolidado conteo 2'!$I:$I,Analisis_Diferecias[[#Headers],[Segundo Conteo]])</f>
        <v>0</v>
      </c>
      <c r="G276" s="12">
        <f>+Analisis_Diferecias[[#This Row],[Segundo Conteo]]-(Analisis_Diferecias[[#This Row],[Primer Conteo]])</f>
        <v>0</v>
      </c>
      <c r="H27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6" s="12">
        <f>SUMIFS(Analisis_Diferecias_Tercer_conteo[Tercer_conteo],Analisis_Diferecias_Tercer_conteo[ID],Analisis_Diferecias[[#This Row],[ID]])</f>
        <v>0</v>
      </c>
      <c r="J276" s="12">
        <f>IF(Analisis_Diferecias[[#This Row],[Tipo de incidencia]]="OK",Analisis_Diferecias[[#This Row],[Segundo Conteo]],Analisis_Diferecias[[#This Row],[Tercer Conteo]])</f>
        <v>0</v>
      </c>
      <c r="K276" s="12">
        <f>+(Analisis_Diferecias[[#This Row],[Cantidad Total de Conteos]]-(Analisis_Diferecias[[#This Row],[Cantidad]]))</f>
        <v>-2</v>
      </c>
      <c r="L2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6" s="18"/>
      <c r="N276" s="18">
        <f>Analisis_Diferecias[[#This Row],[Costo Unitario($)]]*Analisis_Diferecias[[#This Row],[Cantidad Total de Conteos]]</f>
        <v>0</v>
      </c>
      <c r="O276" s="18">
        <f>Analisis_Diferecias[[#This Row],[Costo Unitario($)]]*Analisis_Diferecias[[#This Row],[Cantidad]]</f>
        <v>0</v>
      </c>
      <c r="P276" s="20">
        <f>+Analisis_Diferecias[[#This Row],[Valor Total Contado]]-Analisis_Diferecias[[#This Row],[Costo Total Sistema]]</f>
        <v>0</v>
      </c>
      <c r="Q27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7" spans="1:17" x14ac:dyDescent="0.2">
      <c r="A277" s="9">
        <v>4489</v>
      </c>
      <c r="B277" s="9" t="s">
        <v>528</v>
      </c>
      <c r="C277" s="9" t="s">
        <v>527</v>
      </c>
      <c r="D277" s="9">
        <v>2</v>
      </c>
      <c r="E277" s="12">
        <f>SUMIFS('Consolidado conteo 1'!$F:$F,'Consolidado conteo 1'!$C:$C,Analisis_Diferecias[[#This Row],[ID]],'Consolidado conteo 1'!$I:$I,Analisis_Diferecias[[#Headers],[Primer Conteo]])</f>
        <v>0</v>
      </c>
      <c r="F277" s="12">
        <f>SUMIFS('Consolidado conteo 2'!$F:$F,'Consolidado conteo 2'!$C:$C,Analisis_Diferecias[[#This Row],[ID]],'Consolidado conteo 2'!$I:$I,Analisis_Diferecias[[#Headers],[Segundo Conteo]])</f>
        <v>0</v>
      </c>
      <c r="G277" s="12">
        <f>+Analisis_Diferecias[[#This Row],[Segundo Conteo]]-(Analisis_Diferecias[[#This Row],[Primer Conteo]])</f>
        <v>0</v>
      </c>
      <c r="H27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7" s="12">
        <f>SUMIFS(Analisis_Diferecias_Tercer_conteo[Tercer_conteo],Analisis_Diferecias_Tercer_conteo[ID],Analisis_Diferecias[[#This Row],[ID]])</f>
        <v>0</v>
      </c>
      <c r="J277" s="12">
        <f>IF(Analisis_Diferecias[[#This Row],[Tipo de incidencia]]="OK",Analisis_Diferecias[[#This Row],[Segundo Conteo]],Analisis_Diferecias[[#This Row],[Tercer Conteo]])</f>
        <v>0</v>
      </c>
      <c r="K277" s="12">
        <f>+(Analisis_Diferecias[[#This Row],[Cantidad Total de Conteos]]-(Analisis_Diferecias[[#This Row],[Cantidad]]))</f>
        <v>-2</v>
      </c>
      <c r="L2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7" s="18"/>
      <c r="N277" s="18">
        <f>Analisis_Diferecias[[#This Row],[Costo Unitario($)]]*Analisis_Diferecias[[#This Row],[Cantidad Total de Conteos]]</f>
        <v>0</v>
      </c>
      <c r="O277" s="18">
        <f>Analisis_Diferecias[[#This Row],[Costo Unitario($)]]*Analisis_Diferecias[[#This Row],[Cantidad]]</f>
        <v>0</v>
      </c>
      <c r="P277" s="20">
        <f>+Analisis_Diferecias[[#This Row],[Valor Total Contado]]-Analisis_Diferecias[[#This Row],[Costo Total Sistema]]</f>
        <v>0</v>
      </c>
      <c r="Q27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8" spans="1:17" x14ac:dyDescent="0.2">
      <c r="A278" s="9">
        <v>4490</v>
      </c>
      <c r="B278" s="9" t="s">
        <v>530</v>
      </c>
      <c r="C278" s="9" t="s">
        <v>529</v>
      </c>
      <c r="D278" s="9">
        <v>2</v>
      </c>
      <c r="E278" s="12">
        <f>SUMIFS('Consolidado conteo 1'!$F:$F,'Consolidado conteo 1'!$C:$C,Analisis_Diferecias[[#This Row],[ID]],'Consolidado conteo 1'!$I:$I,Analisis_Diferecias[[#Headers],[Primer Conteo]])</f>
        <v>0</v>
      </c>
      <c r="F278" s="12">
        <f>SUMIFS('Consolidado conteo 2'!$F:$F,'Consolidado conteo 2'!$C:$C,Analisis_Diferecias[[#This Row],[ID]],'Consolidado conteo 2'!$I:$I,Analisis_Diferecias[[#Headers],[Segundo Conteo]])</f>
        <v>0</v>
      </c>
      <c r="G278" s="12">
        <f>+Analisis_Diferecias[[#This Row],[Segundo Conteo]]-(Analisis_Diferecias[[#This Row],[Primer Conteo]])</f>
        <v>0</v>
      </c>
      <c r="H27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8" s="12">
        <f>SUMIFS(Analisis_Diferecias_Tercer_conteo[Tercer_conteo],Analisis_Diferecias_Tercer_conteo[ID],Analisis_Diferecias[[#This Row],[ID]])</f>
        <v>0</v>
      </c>
      <c r="J278" s="12">
        <f>IF(Analisis_Diferecias[[#This Row],[Tipo de incidencia]]="OK",Analisis_Diferecias[[#This Row],[Segundo Conteo]],Analisis_Diferecias[[#This Row],[Tercer Conteo]])</f>
        <v>0</v>
      </c>
      <c r="K278" s="12">
        <f>+(Analisis_Diferecias[[#This Row],[Cantidad Total de Conteos]]-(Analisis_Diferecias[[#This Row],[Cantidad]]))</f>
        <v>-2</v>
      </c>
      <c r="L2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8" s="18"/>
      <c r="N278" s="18">
        <f>Analisis_Diferecias[[#This Row],[Costo Unitario($)]]*Analisis_Diferecias[[#This Row],[Cantidad Total de Conteos]]</f>
        <v>0</v>
      </c>
      <c r="O278" s="18">
        <f>Analisis_Diferecias[[#This Row],[Costo Unitario($)]]*Analisis_Diferecias[[#This Row],[Cantidad]]</f>
        <v>0</v>
      </c>
      <c r="P278" s="20">
        <f>+Analisis_Diferecias[[#This Row],[Valor Total Contado]]-Analisis_Diferecias[[#This Row],[Costo Total Sistema]]</f>
        <v>0</v>
      </c>
      <c r="Q27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79" spans="1:17" x14ac:dyDescent="0.2">
      <c r="A279" s="9">
        <v>4491</v>
      </c>
      <c r="B279" s="9" t="s">
        <v>532</v>
      </c>
      <c r="C279" s="9" t="s">
        <v>531</v>
      </c>
      <c r="D279" s="9">
        <v>2</v>
      </c>
      <c r="E279" s="12">
        <f>SUMIFS('Consolidado conteo 1'!$F:$F,'Consolidado conteo 1'!$C:$C,Analisis_Diferecias[[#This Row],[ID]],'Consolidado conteo 1'!$I:$I,Analisis_Diferecias[[#Headers],[Primer Conteo]])</f>
        <v>0</v>
      </c>
      <c r="F279" s="12">
        <f>SUMIFS('Consolidado conteo 2'!$F:$F,'Consolidado conteo 2'!$C:$C,Analisis_Diferecias[[#This Row],[ID]],'Consolidado conteo 2'!$I:$I,Analisis_Diferecias[[#Headers],[Segundo Conteo]])</f>
        <v>0</v>
      </c>
      <c r="G279" s="12">
        <f>+Analisis_Diferecias[[#This Row],[Segundo Conteo]]-(Analisis_Diferecias[[#This Row],[Primer Conteo]])</f>
        <v>0</v>
      </c>
      <c r="H27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79" s="12">
        <f>SUMIFS(Analisis_Diferecias_Tercer_conteo[Tercer_conteo],Analisis_Diferecias_Tercer_conteo[ID],Analisis_Diferecias[[#This Row],[ID]])</f>
        <v>0</v>
      </c>
      <c r="J279" s="12">
        <f>IF(Analisis_Diferecias[[#This Row],[Tipo de incidencia]]="OK",Analisis_Diferecias[[#This Row],[Segundo Conteo]],Analisis_Diferecias[[#This Row],[Tercer Conteo]])</f>
        <v>0</v>
      </c>
      <c r="K279" s="12">
        <f>+(Analisis_Diferecias[[#This Row],[Cantidad Total de Conteos]]-(Analisis_Diferecias[[#This Row],[Cantidad]]))</f>
        <v>-2</v>
      </c>
      <c r="L2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79" s="18"/>
      <c r="N279" s="18">
        <f>Analisis_Diferecias[[#This Row],[Costo Unitario($)]]*Analisis_Diferecias[[#This Row],[Cantidad Total de Conteos]]</f>
        <v>0</v>
      </c>
      <c r="O279" s="18">
        <f>Analisis_Diferecias[[#This Row],[Costo Unitario($)]]*Analisis_Diferecias[[#This Row],[Cantidad]]</f>
        <v>0</v>
      </c>
      <c r="P279" s="20">
        <f>+Analisis_Diferecias[[#This Row],[Valor Total Contado]]-Analisis_Diferecias[[#This Row],[Costo Total Sistema]]</f>
        <v>0</v>
      </c>
      <c r="Q27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0" spans="1:17" x14ac:dyDescent="0.2">
      <c r="A280" s="9">
        <v>2093</v>
      </c>
      <c r="B280" s="9" t="s">
        <v>534</v>
      </c>
      <c r="C280" s="9" t="s">
        <v>533</v>
      </c>
      <c r="D280" s="9">
        <v>2</v>
      </c>
      <c r="E280" s="12">
        <f>SUMIFS('Consolidado conteo 1'!$F:$F,'Consolidado conteo 1'!$C:$C,Analisis_Diferecias[[#This Row],[ID]],'Consolidado conteo 1'!$I:$I,Analisis_Diferecias[[#Headers],[Primer Conteo]])</f>
        <v>0</v>
      </c>
      <c r="F280" s="12">
        <f>SUMIFS('Consolidado conteo 2'!$F:$F,'Consolidado conteo 2'!$C:$C,Analisis_Diferecias[[#This Row],[ID]],'Consolidado conteo 2'!$I:$I,Analisis_Diferecias[[#Headers],[Segundo Conteo]])</f>
        <v>0</v>
      </c>
      <c r="G280" s="12">
        <f>+Analisis_Diferecias[[#This Row],[Segundo Conteo]]-(Analisis_Diferecias[[#This Row],[Primer Conteo]])</f>
        <v>0</v>
      </c>
      <c r="H28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0" s="12">
        <f>SUMIFS(Analisis_Diferecias_Tercer_conteo[Tercer_conteo],Analisis_Diferecias_Tercer_conteo[ID],Analisis_Diferecias[[#This Row],[ID]])</f>
        <v>0</v>
      </c>
      <c r="J280" s="12">
        <f>IF(Analisis_Diferecias[[#This Row],[Tipo de incidencia]]="OK",Analisis_Diferecias[[#This Row],[Segundo Conteo]],Analisis_Diferecias[[#This Row],[Tercer Conteo]])</f>
        <v>0</v>
      </c>
      <c r="K280" s="12">
        <f>+(Analisis_Diferecias[[#This Row],[Cantidad Total de Conteos]]-(Analisis_Diferecias[[#This Row],[Cantidad]]))</f>
        <v>-2</v>
      </c>
      <c r="L2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0" s="18"/>
      <c r="N280" s="18">
        <f>Analisis_Diferecias[[#This Row],[Costo Unitario($)]]*Analisis_Diferecias[[#This Row],[Cantidad Total de Conteos]]</f>
        <v>0</v>
      </c>
      <c r="O280" s="18">
        <f>Analisis_Diferecias[[#This Row],[Costo Unitario($)]]*Analisis_Diferecias[[#This Row],[Cantidad]]</f>
        <v>0</v>
      </c>
      <c r="P280" s="20">
        <f>+Analisis_Diferecias[[#This Row],[Valor Total Contado]]-Analisis_Diferecias[[#This Row],[Costo Total Sistema]]</f>
        <v>0</v>
      </c>
      <c r="Q28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1" spans="1:17" x14ac:dyDescent="0.2">
      <c r="A281" s="9">
        <v>1973</v>
      </c>
      <c r="B281" s="9" t="s">
        <v>536</v>
      </c>
      <c r="C281" s="9" t="s">
        <v>535</v>
      </c>
      <c r="D281" s="9">
        <v>2</v>
      </c>
      <c r="E281" s="12">
        <f>SUMIFS('Consolidado conteo 1'!$F:$F,'Consolidado conteo 1'!$C:$C,Analisis_Diferecias[[#This Row],[ID]],'Consolidado conteo 1'!$I:$I,Analisis_Diferecias[[#Headers],[Primer Conteo]])</f>
        <v>0</v>
      </c>
      <c r="F281" s="12">
        <f>SUMIFS('Consolidado conteo 2'!$F:$F,'Consolidado conteo 2'!$C:$C,Analisis_Diferecias[[#This Row],[ID]],'Consolidado conteo 2'!$I:$I,Analisis_Diferecias[[#Headers],[Segundo Conteo]])</f>
        <v>0</v>
      </c>
      <c r="G281" s="12">
        <f>+Analisis_Diferecias[[#This Row],[Segundo Conteo]]-(Analisis_Diferecias[[#This Row],[Primer Conteo]])</f>
        <v>0</v>
      </c>
      <c r="H28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1" s="12">
        <f>SUMIFS(Analisis_Diferecias_Tercer_conteo[Tercer_conteo],Analisis_Diferecias_Tercer_conteo[ID],Analisis_Diferecias[[#This Row],[ID]])</f>
        <v>0</v>
      </c>
      <c r="J281" s="12">
        <f>IF(Analisis_Diferecias[[#This Row],[Tipo de incidencia]]="OK",Analisis_Diferecias[[#This Row],[Segundo Conteo]],Analisis_Diferecias[[#This Row],[Tercer Conteo]])</f>
        <v>0</v>
      </c>
      <c r="K281" s="12">
        <f>+(Analisis_Diferecias[[#This Row],[Cantidad Total de Conteos]]-(Analisis_Diferecias[[#This Row],[Cantidad]]))</f>
        <v>-2</v>
      </c>
      <c r="L2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1" s="18"/>
      <c r="N281" s="18">
        <f>Analisis_Diferecias[[#This Row],[Costo Unitario($)]]*Analisis_Diferecias[[#This Row],[Cantidad Total de Conteos]]</f>
        <v>0</v>
      </c>
      <c r="O281" s="18">
        <f>Analisis_Diferecias[[#This Row],[Costo Unitario($)]]*Analisis_Diferecias[[#This Row],[Cantidad]]</f>
        <v>0</v>
      </c>
      <c r="P281" s="20">
        <f>+Analisis_Diferecias[[#This Row],[Valor Total Contado]]-Analisis_Diferecias[[#This Row],[Costo Total Sistema]]</f>
        <v>0</v>
      </c>
      <c r="Q28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2" spans="1:17" x14ac:dyDescent="0.2">
      <c r="A282" s="9">
        <v>1976</v>
      </c>
      <c r="B282" s="9" t="s">
        <v>538</v>
      </c>
      <c r="C282" s="9" t="s">
        <v>537</v>
      </c>
      <c r="D282" s="9">
        <v>2</v>
      </c>
      <c r="E282" s="12">
        <f>SUMIFS('Consolidado conteo 1'!$F:$F,'Consolidado conteo 1'!$C:$C,Analisis_Diferecias[[#This Row],[ID]],'Consolidado conteo 1'!$I:$I,Analisis_Diferecias[[#Headers],[Primer Conteo]])</f>
        <v>0</v>
      </c>
      <c r="F282" s="12">
        <f>SUMIFS('Consolidado conteo 2'!$F:$F,'Consolidado conteo 2'!$C:$C,Analisis_Diferecias[[#This Row],[ID]],'Consolidado conteo 2'!$I:$I,Analisis_Diferecias[[#Headers],[Segundo Conteo]])</f>
        <v>0</v>
      </c>
      <c r="G282" s="12">
        <f>+Analisis_Diferecias[[#This Row],[Segundo Conteo]]-(Analisis_Diferecias[[#This Row],[Primer Conteo]])</f>
        <v>0</v>
      </c>
      <c r="H28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2" s="12">
        <f>SUMIFS(Analisis_Diferecias_Tercer_conteo[Tercer_conteo],Analisis_Diferecias_Tercer_conteo[ID],Analisis_Diferecias[[#This Row],[ID]])</f>
        <v>0</v>
      </c>
      <c r="J282" s="12">
        <f>IF(Analisis_Diferecias[[#This Row],[Tipo de incidencia]]="OK",Analisis_Diferecias[[#This Row],[Segundo Conteo]],Analisis_Diferecias[[#This Row],[Tercer Conteo]])</f>
        <v>0</v>
      </c>
      <c r="K282" s="12">
        <f>+(Analisis_Diferecias[[#This Row],[Cantidad Total de Conteos]]-(Analisis_Diferecias[[#This Row],[Cantidad]]))</f>
        <v>-2</v>
      </c>
      <c r="L2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2" s="18"/>
      <c r="N282" s="18">
        <f>Analisis_Diferecias[[#This Row],[Costo Unitario($)]]*Analisis_Diferecias[[#This Row],[Cantidad Total de Conteos]]</f>
        <v>0</v>
      </c>
      <c r="O282" s="18">
        <f>Analisis_Diferecias[[#This Row],[Costo Unitario($)]]*Analisis_Diferecias[[#This Row],[Cantidad]]</f>
        <v>0</v>
      </c>
      <c r="P282" s="20">
        <f>+Analisis_Diferecias[[#This Row],[Valor Total Contado]]-Analisis_Diferecias[[#This Row],[Costo Total Sistema]]</f>
        <v>0</v>
      </c>
      <c r="Q28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3" spans="1:17" x14ac:dyDescent="0.2">
      <c r="A283" s="9">
        <v>390</v>
      </c>
      <c r="B283" s="9" t="s">
        <v>540</v>
      </c>
      <c r="C283" s="9" t="s">
        <v>539</v>
      </c>
      <c r="D283" s="9">
        <v>2</v>
      </c>
      <c r="E283" s="12">
        <f>SUMIFS('Consolidado conteo 1'!$F:$F,'Consolidado conteo 1'!$C:$C,Analisis_Diferecias[[#This Row],[ID]],'Consolidado conteo 1'!$I:$I,Analisis_Diferecias[[#Headers],[Primer Conteo]])</f>
        <v>0</v>
      </c>
      <c r="F283" s="12">
        <f>SUMIFS('Consolidado conteo 2'!$F:$F,'Consolidado conteo 2'!$C:$C,Analisis_Diferecias[[#This Row],[ID]],'Consolidado conteo 2'!$I:$I,Analisis_Diferecias[[#Headers],[Segundo Conteo]])</f>
        <v>0</v>
      </c>
      <c r="G283" s="12">
        <f>+Analisis_Diferecias[[#This Row],[Segundo Conteo]]-(Analisis_Diferecias[[#This Row],[Primer Conteo]])</f>
        <v>0</v>
      </c>
      <c r="H28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3" s="12">
        <f>SUMIFS(Analisis_Diferecias_Tercer_conteo[Tercer_conteo],Analisis_Diferecias_Tercer_conteo[ID],Analisis_Diferecias[[#This Row],[ID]])</f>
        <v>0</v>
      </c>
      <c r="J283" s="12">
        <f>IF(Analisis_Diferecias[[#This Row],[Tipo de incidencia]]="OK",Analisis_Diferecias[[#This Row],[Segundo Conteo]],Analisis_Diferecias[[#This Row],[Tercer Conteo]])</f>
        <v>0</v>
      </c>
      <c r="K283" s="12">
        <f>+(Analisis_Diferecias[[#This Row],[Cantidad Total de Conteos]]-(Analisis_Diferecias[[#This Row],[Cantidad]]))</f>
        <v>-2</v>
      </c>
      <c r="L2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3" s="18"/>
      <c r="N283" s="18">
        <f>Analisis_Diferecias[[#This Row],[Costo Unitario($)]]*Analisis_Diferecias[[#This Row],[Cantidad Total de Conteos]]</f>
        <v>0</v>
      </c>
      <c r="O283" s="18">
        <f>Analisis_Diferecias[[#This Row],[Costo Unitario($)]]*Analisis_Diferecias[[#This Row],[Cantidad]]</f>
        <v>0</v>
      </c>
      <c r="P283" s="20">
        <f>+Analisis_Diferecias[[#This Row],[Valor Total Contado]]-Analisis_Diferecias[[#This Row],[Costo Total Sistema]]</f>
        <v>0</v>
      </c>
      <c r="Q28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4" spans="1:17" x14ac:dyDescent="0.2">
      <c r="A284" s="9">
        <v>417</v>
      </c>
      <c r="B284" s="9" t="s">
        <v>542</v>
      </c>
      <c r="C284" s="9" t="s">
        <v>541</v>
      </c>
      <c r="D284" s="9">
        <v>2</v>
      </c>
      <c r="E284" s="12">
        <f>SUMIFS('Consolidado conteo 1'!$F:$F,'Consolidado conteo 1'!$C:$C,Analisis_Diferecias[[#This Row],[ID]],'Consolidado conteo 1'!$I:$I,Analisis_Diferecias[[#Headers],[Primer Conteo]])</f>
        <v>0</v>
      </c>
      <c r="F284" s="12">
        <f>SUMIFS('Consolidado conteo 2'!$F:$F,'Consolidado conteo 2'!$C:$C,Analisis_Diferecias[[#This Row],[ID]],'Consolidado conteo 2'!$I:$I,Analisis_Diferecias[[#Headers],[Segundo Conteo]])</f>
        <v>0</v>
      </c>
      <c r="G284" s="12">
        <f>+Analisis_Diferecias[[#This Row],[Segundo Conteo]]-(Analisis_Diferecias[[#This Row],[Primer Conteo]])</f>
        <v>0</v>
      </c>
      <c r="H28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4" s="12">
        <f>SUMIFS(Analisis_Diferecias_Tercer_conteo[Tercer_conteo],Analisis_Diferecias_Tercer_conteo[ID],Analisis_Diferecias[[#This Row],[ID]])</f>
        <v>0</v>
      </c>
      <c r="J284" s="12">
        <f>IF(Analisis_Diferecias[[#This Row],[Tipo de incidencia]]="OK",Analisis_Diferecias[[#This Row],[Segundo Conteo]],Analisis_Diferecias[[#This Row],[Tercer Conteo]])</f>
        <v>0</v>
      </c>
      <c r="K284" s="12">
        <f>+(Analisis_Diferecias[[#This Row],[Cantidad Total de Conteos]]-(Analisis_Diferecias[[#This Row],[Cantidad]]))</f>
        <v>-2</v>
      </c>
      <c r="L2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4" s="18"/>
      <c r="N284" s="18">
        <f>Analisis_Diferecias[[#This Row],[Costo Unitario($)]]*Analisis_Diferecias[[#This Row],[Cantidad Total de Conteos]]</f>
        <v>0</v>
      </c>
      <c r="O284" s="18">
        <f>Analisis_Diferecias[[#This Row],[Costo Unitario($)]]*Analisis_Diferecias[[#This Row],[Cantidad]]</f>
        <v>0</v>
      </c>
      <c r="P284" s="20">
        <f>+Analisis_Diferecias[[#This Row],[Valor Total Contado]]-Analisis_Diferecias[[#This Row],[Costo Total Sistema]]</f>
        <v>0</v>
      </c>
      <c r="Q28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5" spans="1:17" x14ac:dyDescent="0.2">
      <c r="A285" s="9">
        <v>4421</v>
      </c>
      <c r="B285" s="9" t="s">
        <v>544</v>
      </c>
      <c r="C285" s="9" t="s">
        <v>543</v>
      </c>
      <c r="D285" s="9">
        <v>2</v>
      </c>
      <c r="E285" s="12">
        <f>SUMIFS('Consolidado conteo 1'!$F:$F,'Consolidado conteo 1'!$C:$C,Analisis_Diferecias[[#This Row],[ID]],'Consolidado conteo 1'!$I:$I,Analisis_Diferecias[[#Headers],[Primer Conteo]])</f>
        <v>0</v>
      </c>
      <c r="F285" s="12">
        <f>SUMIFS('Consolidado conteo 2'!$F:$F,'Consolidado conteo 2'!$C:$C,Analisis_Diferecias[[#This Row],[ID]],'Consolidado conteo 2'!$I:$I,Analisis_Diferecias[[#Headers],[Segundo Conteo]])</f>
        <v>0</v>
      </c>
      <c r="G285" s="12">
        <f>+Analisis_Diferecias[[#This Row],[Segundo Conteo]]-(Analisis_Diferecias[[#This Row],[Primer Conteo]])</f>
        <v>0</v>
      </c>
      <c r="H28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5" s="12">
        <f>SUMIFS(Analisis_Diferecias_Tercer_conteo[Tercer_conteo],Analisis_Diferecias_Tercer_conteo[ID],Analisis_Diferecias[[#This Row],[ID]])</f>
        <v>0</v>
      </c>
      <c r="J285" s="12">
        <f>IF(Analisis_Diferecias[[#This Row],[Tipo de incidencia]]="OK",Analisis_Diferecias[[#This Row],[Segundo Conteo]],Analisis_Diferecias[[#This Row],[Tercer Conteo]])</f>
        <v>0</v>
      </c>
      <c r="K285" s="12">
        <f>+(Analisis_Diferecias[[#This Row],[Cantidad Total de Conteos]]-(Analisis_Diferecias[[#This Row],[Cantidad]]))</f>
        <v>-2</v>
      </c>
      <c r="L2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5" s="18"/>
      <c r="N285" s="18">
        <f>Analisis_Diferecias[[#This Row],[Costo Unitario($)]]*Analisis_Diferecias[[#This Row],[Cantidad Total de Conteos]]</f>
        <v>0</v>
      </c>
      <c r="O285" s="18">
        <f>Analisis_Diferecias[[#This Row],[Costo Unitario($)]]*Analisis_Diferecias[[#This Row],[Cantidad]]</f>
        <v>0</v>
      </c>
      <c r="P285" s="20">
        <f>+Analisis_Diferecias[[#This Row],[Valor Total Contado]]-Analisis_Diferecias[[#This Row],[Costo Total Sistema]]</f>
        <v>0</v>
      </c>
      <c r="Q28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6" spans="1:17" x14ac:dyDescent="0.2">
      <c r="A286" s="9">
        <v>4344</v>
      </c>
      <c r="B286" s="9" t="s">
        <v>546</v>
      </c>
      <c r="C286" s="9" t="s">
        <v>545</v>
      </c>
      <c r="D286" s="9">
        <v>2</v>
      </c>
      <c r="E286" s="12">
        <f>SUMIFS('Consolidado conteo 1'!$F:$F,'Consolidado conteo 1'!$C:$C,Analisis_Diferecias[[#This Row],[ID]],'Consolidado conteo 1'!$I:$I,Analisis_Diferecias[[#Headers],[Primer Conteo]])</f>
        <v>0</v>
      </c>
      <c r="F286" s="12">
        <f>SUMIFS('Consolidado conteo 2'!$F:$F,'Consolidado conteo 2'!$C:$C,Analisis_Diferecias[[#This Row],[ID]],'Consolidado conteo 2'!$I:$I,Analisis_Diferecias[[#Headers],[Segundo Conteo]])</f>
        <v>0</v>
      </c>
      <c r="G286" s="12">
        <f>+Analisis_Diferecias[[#This Row],[Segundo Conteo]]-(Analisis_Diferecias[[#This Row],[Primer Conteo]])</f>
        <v>0</v>
      </c>
      <c r="H28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6" s="12">
        <f>SUMIFS(Analisis_Diferecias_Tercer_conteo[Tercer_conteo],Analisis_Diferecias_Tercer_conteo[ID],Analisis_Diferecias[[#This Row],[ID]])</f>
        <v>0</v>
      </c>
      <c r="J286" s="12">
        <f>IF(Analisis_Diferecias[[#This Row],[Tipo de incidencia]]="OK",Analisis_Diferecias[[#This Row],[Segundo Conteo]],Analisis_Diferecias[[#This Row],[Tercer Conteo]])</f>
        <v>0</v>
      </c>
      <c r="K286" s="12">
        <f>+(Analisis_Diferecias[[#This Row],[Cantidad Total de Conteos]]-(Analisis_Diferecias[[#This Row],[Cantidad]]))</f>
        <v>-2</v>
      </c>
      <c r="L2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6" s="18"/>
      <c r="N286" s="18">
        <f>Analisis_Diferecias[[#This Row],[Costo Unitario($)]]*Analisis_Diferecias[[#This Row],[Cantidad Total de Conteos]]</f>
        <v>0</v>
      </c>
      <c r="O286" s="18">
        <f>Analisis_Diferecias[[#This Row],[Costo Unitario($)]]*Analisis_Diferecias[[#This Row],[Cantidad]]</f>
        <v>0</v>
      </c>
      <c r="P286" s="20">
        <f>+Analisis_Diferecias[[#This Row],[Valor Total Contado]]-Analisis_Diferecias[[#This Row],[Costo Total Sistema]]</f>
        <v>0</v>
      </c>
      <c r="Q28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7" spans="1:17" x14ac:dyDescent="0.2">
      <c r="A287" s="9">
        <v>4098</v>
      </c>
      <c r="B287" s="9" t="s">
        <v>548</v>
      </c>
      <c r="C287" s="9" t="s">
        <v>547</v>
      </c>
      <c r="D287" s="9">
        <v>2</v>
      </c>
      <c r="E287" s="12">
        <f>SUMIFS('Consolidado conteo 1'!$F:$F,'Consolidado conteo 1'!$C:$C,Analisis_Diferecias[[#This Row],[ID]],'Consolidado conteo 1'!$I:$I,Analisis_Diferecias[[#Headers],[Primer Conteo]])</f>
        <v>0</v>
      </c>
      <c r="F287" s="12">
        <f>SUMIFS('Consolidado conteo 2'!$F:$F,'Consolidado conteo 2'!$C:$C,Analisis_Diferecias[[#This Row],[ID]],'Consolidado conteo 2'!$I:$I,Analisis_Diferecias[[#Headers],[Segundo Conteo]])</f>
        <v>0</v>
      </c>
      <c r="G287" s="12">
        <f>+Analisis_Diferecias[[#This Row],[Segundo Conteo]]-(Analisis_Diferecias[[#This Row],[Primer Conteo]])</f>
        <v>0</v>
      </c>
      <c r="H28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7" s="12">
        <f>SUMIFS(Analisis_Diferecias_Tercer_conteo[Tercer_conteo],Analisis_Diferecias_Tercer_conteo[ID],Analisis_Diferecias[[#This Row],[ID]])</f>
        <v>0</v>
      </c>
      <c r="J287" s="12">
        <f>IF(Analisis_Diferecias[[#This Row],[Tipo de incidencia]]="OK",Analisis_Diferecias[[#This Row],[Segundo Conteo]],Analisis_Diferecias[[#This Row],[Tercer Conteo]])</f>
        <v>0</v>
      </c>
      <c r="K287" s="12">
        <f>+(Analisis_Diferecias[[#This Row],[Cantidad Total de Conteos]]-(Analisis_Diferecias[[#This Row],[Cantidad]]))</f>
        <v>-2</v>
      </c>
      <c r="L2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7" s="18"/>
      <c r="N287" s="18">
        <f>Analisis_Diferecias[[#This Row],[Costo Unitario($)]]*Analisis_Diferecias[[#This Row],[Cantidad Total de Conteos]]</f>
        <v>0</v>
      </c>
      <c r="O287" s="18">
        <f>Analisis_Diferecias[[#This Row],[Costo Unitario($)]]*Analisis_Diferecias[[#This Row],[Cantidad]]</f>
        <v>0</v>
      </c>
      <c r="P287" s="20">
        <f>+Analisis_Diferecias[[#This Row],[Valor Total Contado]]-Analisis_Diferecias[[#This Row],[Costo Total Sistema]]</f>
        <v>0</v>
      </c>
      <c r="Q28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8" spans="1:17" x14ac:dyDescent="0.2">
      <c r="A288" s="9">
        <v>6676</v>
      </c>
      <c r="B288" s="9" t="s">
        <v>550</v>
      </c>
      <c r="C288" s="9" t="s">
        <v>549</v>
      </c>
      <c r="D288" s="9">
        <v>1</v>
      </c>
      <c r="E288" s="12">
        <f>SUMIFS('Consolidado conteo 1'!$F:$F,'Consolidado conteo 1'!$C:$C,Analisis_Diferecias[[#This Row],[ID]],'Consolidado conteo 1'!$I:$I,Analisis_Diferecias[[#Headers],[Primer Conteo]])</f>
        <v>0</v>
      </c>
      <c r="F288" s="12">
        <f>SUMIFS('Consolidado conteo 2'!$F:$F,'Consolidado conteo 2'!$C:$C,Analisis_Diferecias[[#This Row],[ID]],'Consolidado conteo 2'!$I:$I,Analisis_Diferecias[[#Headers],[Segundo Conteo]])</f>
        <v>0</v>
      </c>
      <c r="G288" s="12">
        <f>+Analisis_Diferecias[[#This Row],[Segundo Conteo]]-(Analisis_Diferecias[[#This Row],[Primer Conteo]])</f>
        <v>0</v>
      </c>
      <c r="H28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8" s="12">
        <f>SUMIFS(Analisis_Diferecias_Tercer_conteo[Tercer_conteo],Analisis_Diferecias_Tercer_conteo[ID],Analisis_Diferecias[[#This Row],[ID]])</f>
        <v>0</v>
      </c>
      <c r="J288" s="12">
        <f>IF(Analisis_Diferecias[[#This Row],[Tipo de incidencia]]="OK",Analisis_Diferecias[[#This Row],[Segundo Conteo]],Analisis_Diferecias[[#This Row],[Tercer Conteo]])</f>
        <v>0</v>
      </c>
      <c r="K288" s="12">
        <f>+(Analisis_Diferecias[[#This Row],[Cantidad Total de Conteos]]-(Analisis_Diferecias[[#This Row],[Cantidad]]))</f>
        <v>-1</v>
      </c>
      <c r="L2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8" s="18"/>
      <c r="N288" s="18">
        <f>Analisis_Diferecias[[#This Row],[Costo Unitario($)]]*Analisis_Diferecias[[#This Row],[Cantidad Total de Conteos]]</f>
        <v>0</v>
      </c>
      <c r="O288" s="18">
        <f>Analisis_Diferecias[[#This Row],[Costo Unitario($)]]*Analisis_Diferecias[[#This Row],[Cantidad]]</f>
        <v>0</v>
      </c>
      <c r="P288" s="20">
        <f>+Analisis_Diferecias[[#This Row],[Valor Total Contado]]-Analisis_Diferecias[[#This Row],[Costo Total Sistema]]</f>
        <v>0</v>
      </c>
      <c r="Q28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89" spans="1:17" x14ac:dyDescent="0.2">
      <c r="A289" s="9">
        <v>6547</v>
      </c>
      <c r="B289" s="9" t="s">
        <v>552</v>
      </c>
      <c r="C289" s="9" t="s">
        <v>551</v>
      </c>
      <c r="D289" s="9">
        <v>1</v>
      </c>
      <c r="E289" s="12">
        <f>SUMIFS('Consolidado conteo 1'!$F:$F,'Consolidado conteo 1'!$C:$C,Analisis_Diferecias[[#This Row],[ID]],'Consolidado conteo 1'!$I:$I,Analisis_Diferecias[[#Headers],[Primer Conteo]])</f>
        <v>0</v>
      </c>
      <c r="F289" s="12">
        <f>SUMIFS('Consolidado conteo 2'!$F:$F,'Consolidado conteo 2'!$C:$C,Analisis_Diferecias[[#This Row],[ID]],'Consolidado conteo 2'!$I:$I,Analisis_Diferecias[[#Headers],[Segundo Conteo]])</f>
        <v>0</v>
      </c>
      <c r="G289" s="12">
        <f>+Analisis_Diferecias[[#This Row],[Segundo Conteo]]-(Analisis_Diferecias[[#This Row],[Primer Conteo]])</f>
        <v>0</v>
      </c>
      <c r="H28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89" s="12">
        <f>SUMIFS(Analisis_Diferecias_Tercer_conteo[Tercer_conteo],Analisis_Diferecias_Tercer_conteo[ID],Analisis_Diferecias[[#This Row],[ID]])</f>
        <v>0</v>
      </c>
      <c r="J289" s="12">
        <f>IF(Analisis_Diferecias[[#This Row],[Tipo de incidencia]]="OK",Analisis_Diferecias[[#This Row],[Segundo Conteo]],Analisis_Diferecias[[#This Row],[Tercer Conteo]])</f>
        <v>0</v>
      </c>
      <c r="K289" s="12">
        <f>+(Analisis_Diferecias[[#This Row],[Cantidad Total de Conteos]]-(Analisis_Diferecias[[#This Row],[Cantidad]]))</f>
        <v>-1</v>
      </c>
      <c r="L2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89" s="18"/>
      <c r="N289" s="18">
        <f>Analisis_Diferecias[[#This Row],[Costo Unitario($)]]*Analisis_Diferecias[[#This Row],[Cantidad Total de Conteos]]</f>
        <v>0</v>
      </c>
      <c r="O289" s="18">
        <f>Analisis_Diferecias[[#This Row],[Costo Unitario($)]]*Analisis_Diferecias[[#This Row],[Cantidad]]</f>
        <v>0</v>
      </c>
      <c r="P289" s="20">
        <f>+Analisis_Diferecias[[#This Row],[Valor Total Contado]]-Analisis_Diferecias[[#This Row],[Costo Total Sistema]]</f>
        <v>0</v>
      </c>
      <c r="Q28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0" spans="1:17" x14ac:dyDescent="0.2">
      <c r="A290" s="9">
        <v>6624</v>
      </c>
      <c r="B290" s="9" t="s">
        <v>554</v>
      </c>
      <c r="C290" s="9" t="s">
        <v>553</v>
      </c>
      <c r="D290" s="9">
        <v>1</v>
      </c>
      <c r="E290" s="12">
        <f>SUMIFS('Consolidado conteo 1'!$F:$F,'Consolidado conteo 1'!$C:$C,Analisis_Diferecias[[#This Row],[ID]],'Consolidado conteo 1'!$I:$I,Analisis_Diferecias[[#Headers],[Primer Conteo]])</f>
        <v>0</v>
      </c>
      <c r="F290" s="12">
        <f>SUMIFS('Consolidado conteo 2'!$F:$F,'Consolidado conteo 2'!$C:$C,Analisis_Diferecias[[#This Row],[ID]],'Consolidado conteo 2'!$I:$I,Analisis_Diferecias[[#Headers],[Segundo Conteo]])</f>
        <v>0</v>
      </c>
      <c r="G290" s="12">
        <f>+Analisis_Diferecias[[#This Row],[Segundo Conteo]]-(Analisis_Diferecias[[#This Row],[Primer Conteo]])</f>
        <v>0</v>
      </c>
      <c r="H29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0" s="12">
        <f>SUMIFS(Analisis_Diferecias_Tercer_conteo[Tercer_conteo],Analisis_Diferecias_Tercer_conteo[ID],Analisis_Diferecias[[#This Row],[ID]])</f>
        <v>0</v>
      </c>
      <c r="J290" s="12">
        <f>IF(Analisis_Diferecias[[#This Row],[Tipo de incidencia]]="OK",Analisis_Diferecias[[#This Row],[Segundo Conteo]],Analisis_Diferecias[[#This Row],[Tercer Conteo]])</f>
        <v>0</v>
      </c>
      <c r="K290" s="12">
        <f>+(Analisis_Diferecias[[#This Row],[Cantidad Total de Conteos]]-(Analisis_Diferecias[[#This Row],[Cantidad]]))</f>
        <v>-1</v>
      </c>
      <c r="L2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0" s="18"/>
      <c r="N290" s="18">
        <f>Analisis_Diferecias[[#This Row],[Costo Unitario($)]]*Analisis_Diferecias[[#This Row],[Cantidad Total de Conteos]]</f>
        <v>0</v>
      </c>
      <c r="O290" s="18">
        <f>Analisis_Diferecias[[#This Row],[Costo Unitario($)]]*Analisis_Diferecias[[#This Row],[Cantidad]]</f>
        <v>0</v>
      </c>
      <c r="P290" s="20">
        <f>+Analisis_Diferecias[[#This Row],[Valor Total Contado]]-Analisis_Diferecias[[#This Row],[Costo Total Sistema]]</f>
        <v>0</v>
      </c>
      <c r="Q29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1" spans="1:17" x14ac:dyDescent="0.2">
      <c r="A291" s="9">
        <v>6625</v>
      </c>
      <c r="B291" s="9" t="s">
        <v>556</v>
      </c>
      <c r="C291" s="9" t="s">
        <v>555</v>
      </c>
      <c r="D291" s="9">
        <v>1</v>
      </c>
      <c r="E291" s="12">
        <f>SUMIFS('Consolidado conteo 1'!$F:$F,'Consolidado conteo 1'!$C:$C,Analisis_Diferecias[[#This Row],[ID]],'Consolidado conteo 1'!$I:$I,Analisis_Diferecias[[#Headers],[Primer Conteo]])</f>
        <v>0</v>
      </c>
      <c r="F291" s="12">
        <f>SUMIFS('Consolidado conteo 2'!$F:$F,'Consolidado conteo 2'!$C:$C,Analisis_Diferecias[[#This Row],[ID]],'Consolidado conteo 2'!$I:$I,Analisis_Diferecias[[#Headers],[Segundo Conteo]])</f>
        <v>0</v>
      </c>
      <c r="G291" s="12">
        <f>+Analisis_Diferecias[[#This Row],[Segundo Conteo]]-(Analisis_Diferecias[[#This Row],[Primer Conteo]])</f>
        <v>0</v>
      </c>
      <c r="H29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1" s="12">
        <f>SUMIFS(Analisis_Diferecias_Tercer_conteo[Tercer_conteo],Analisis_Diferecias_Tercer_conteo[ID],Analisis_Diferecias[[#This Row],[ID]])</f>
        <v>0</v>
      </c>
      <c r="J291" s="12">
        <f>IF(Analisis_Diferecias[[#This Row],[Tipo de incidencia]]="OK",Analisis_Diferecias[[#This Row],[Segundo Conteo]],Analisis_Diferecias[[#This Row],[Tercer Conteo]])</f>
        <v>0</v>
      </c>
      <c r="K291" s="12">
        <f>+(Analisis_Diferecias[[#This Row],[Cantidad Total de Conteos]]-(Analisis_Diferecias[[#This Row],[Cantidad]]))</f>
        <v>-1</v>
      </c>
      <c r="L2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1" s="18"/>
      <c r="N291" s="18">
        <f>Analisis_Diferecias[[#This Row],[Costo Unitario($)]]*Analisis_Diferecias[[#This Row],[Cantidad Total de Conteos]]</f>
        <v>0</v>
      </c>
      <c r="O291" s="18">
        <f>Analisis_Diferecias[[#This Row],[Costo Unitario($)]]*Analisis_Diferecias[[#This Row],[Cantidad]]</f>
        <v>0</v>
      </c>
      <c r="P291" s="20">
        <f>+Analisis_Diferecias[[#This Row],[Valor Total Contado]]-Analisis_Diferecias[[#This Row],[Costo Total Sistema]]</f>
        <v>0</v>
      </c>
      <c r="Q29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2" spans="1:17" x14ac:dyDescent="0.2">
      <c r="A292" s="9">
        <v>6548</v>
      </c>
      <c r="B292" s="9" t="s">
        <v>558</v>
      </c>
      <c r="C292" s="9" t="s">
        <v>557</v>
      </c>
      <c r="D292" s="9">
        <v>1</v>
      </c>
      <c r="E292" s="12">
        <f>SUMIFS('Consolidado conteo 1'!$F:$F,'Consolidado conteo 1'!$C:$C,Analisis_Diferecias[[#This Row],[ID]],'Consolidado conteo 1'!$I:$I,Analisis_Diferecias[[#Headers],[Primer Conteo]])</f>
        <v>0</v>
      </c>
      <c r="F292" s="12">
        <f>SUMIFS('Consolidado conteo 2'!$F:$F,'Consolidado conteo 2'!$C:$C,Analisis_Diferecias[[#This Row],[ID]],'Consolidado conteo 2'!$I:$I,Analisis_Diferecias[[#Headers],[Segundo Conteo]])</f>
        <v>0</v>
      </c>
      <c r="G292" s="12">
        <f>+Analisis_Diferecias[[#This Row],[Segundo Conteo]]-(Analisis_Diferecias[[#This Row],[Primer Conteo]])</f>
        <v>0</v>
      </c>
      <c r="H29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2" s="12">
        <f>SUMIFS(Analisis_Diferecias_Tercer_conteo[Tercer_conteo],Analisis_Diferecias_Tercer_conteo[ID],Analisis_Diferecias[[#This Row],[ID]])</f>
        <v>0</v>
      </c>
      <c r="J292" s="12">
        <f>IF(Analisis_Diferecias[[#This Row],[Tipo de incidencia]]="OK",Analisis_Diferecias[[#This Row],[Segundo Conteo]],Analisis_Diferecias[[#This Row],[Tercer Conteo]])</f>
        <v>0</v>
      </c>
      <c r="K292" s="12">
        <f>+(Analisis_Diferecias[[#This Row],[Cantidad Total de Conteos]]-(Analisis_Diferecias[[#This Row],[Cantidad]]))</f>
        <v>-1</v>
      </c>
      <c r="L2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2" s="18"/>
      <c r="N292" s="18">
        <f>Analisis_Diferecias[[#This Row],[Costo Unitario($)]]*Analisis_Diferecias[[#This Row],[Cantidad Total de Conteos]]</f>
        <v>0</v>
      </c>
      <c r="O292" s="18">
        <f>Analisis_Diferecias[[#This Row],[Costo Unitario($)]]*Analisis_Diferecias[[#This Row],[Cantidad]]</f>
        <v>0</v>
      </c>
      <c r="P292" s="20">
        <f>+Analisis_Diferecias[[#This Row],[Valor Total Contado]]-Analisis_Diferecias[[#This Row],[Costo Total Sistema]]</f>
        <v>0</v>
      </c>
      <c r="Q29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3" spans="1:17" x14ac:dyDescent="0.2">
      <c r="A293" s="9">
        <v>124</v>
      </c>
      <c r="B293" s="9" t="s">
        <v>560</v>
      </c>
      <c r="C293" s="9" t="s">
        <v>559</v>
      </c>
      <c r="D293" s="9">
        <v>1</v>
      </c>
      <c r="E293" s="12">
        <f>SUMIFS('Consolidado conteo 1'!$F:$F,'Consolidado conteo 1'!$C:$C,Analisis_Diferecias[[#This Row],[ID]],'Consolidado conteo 1'!$I:$I,Analisis_Diferecias[[#Headers],[Primer Conteo]])</f>
        <v>0</v>
      </c>
      <c r="F293" s="12">
        <f>SUMIFS('Consolidado conteo 2'!$F:$F,'Consolidado conteo 2'!$C:$C,Analisis_Diferecias[[#This Row],[ID]],'Consolidado conteo 2'!$I:$I,Analisis_Diferecias[[#Headers],[Segundo Conteo]])</f>
        <v>0</v>
      </c>
      <c r="G293" s="12">
        <f>+Analisis_Diferecias[[#This Row],[Segundo Conteo]]-(Analisis_Diferecias[[#This Row],[Primer Conteo]])</f>
        <v>0</v>
      </c>
      <c r="H29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3" s="12">
        <f>SUMIFS(Analisis_Diferecias_Tercer_conteo[Tercer_conteo],Analisis_Diferecias_Tercer_conteo[ID],Analisis_Diferecias[[#This Row],[ID]])</f>
        <v>0</v>
      </c>
      <c r="J293" s="12">
        <f>IF(Analisis_Diferecias[[#This Row],[Tipo de incidencia]]="OK",Analisis_Diferecias[[#This Row],[Segundo Conteo]],Analisis_Diferecias[[#This Row],[Tercer Conteo]])</f>
        <v>0</v>
      </c>
      <c r="K293" s="12">
        <f>+(Analisis_Diferecias[[#This Row],[Cantidad Total de Conteos]]-(Analisis_Diferecias[[#This Row],[Cantidad]]))</f>
        <v>-1</v>
      </c>
      <c r="L2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3" s="18"/>
      <c r="N293" s="18">
        <f>Analisis_Diferecias[[#This Row],[Costo Unitario($)]]*Analisis_Diferecias[[#This Row],[Cantidad Total de Conteos]]</f>
        <v>0</v>
      </c>
      <c r="O293" s="18">
        <f>Analisis_Diferecias[[#This Row],[Costo Unitario($)]]*Analisis_Diferecias[[#This Row],[Cantidad]]</f>
        <v>0</v>
      </c>
      <c r="P293" s="20">
        <f>+Analisis_Diferecias[[#This Row],[Valor Total Contado]]-Analisis_Diferecias[[#This Row],[Costo Total Sistema]]</f>
        <v>0</v>
      </c>
      <c r="Q29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4" spans="1:17" x14ac:dyDescent="0.2">
      <c r="A294" s="9">
        <v>507</v>
      </c>
      <c r="B294" s="9" t="s">
        <v>562</v>
      </c>
      <c r="C294" s="9" t="s">
        <v>561</v>
      </c>
      <c r="D294" s="9">
        <v>1</v>
      </c>
      <c r="E294" s="12">
        <f>SUMIFS('Consolidado conteo 1'!$F:$F,'Consolidado conteo 1'!$C:$C,Analisis_Diferecias[[#This Row],[ID]],'Consolidado conteo 1'!$I:$I,Analisis_Diferecias[[#Headers],[Primer Conteo]])</f>
        <v>0</v>
      </c>
      <c r="F294" s="12">
        <f>SUMIFS('Consolidado conteo 2'!$F:$F,'Consolidado conteo 2'!$C:$C,Analisis_Diferecias[[#This Row],[ID]],'Consolidado conteo 2'!$I:$I,Analisis_Diferecias[[#Headers],[Segundo Conteo]])</f>
        <v>0</v>
      </c>
      <c r="G294" s="12">
        <f>+Analisis_Diferecias[[#This Row],[Segundo Conteo]]-(Analisis_Diferecias[[#This Row],[Primer Conteo]])</f>
        <v>0</v>
      </c>
      <c r="H29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4" s="12">
        <f>SUMIFS(Analisis_Diferecias_Tercer_conteo[Tercer_conteo],Analisis_Diferecias_Tercer_conteo[ID],Analisis_Diferecias[[#This Row],[ID]])</f>
        <v>0</v>
      </c>
      <c r="J294" s="12">
        <f>IF(Analisis_Diferecias[[#This Row],[Tipo de incidencia]]="OK",Analisis_Diferecias[[#This Row],[Segundo Conteo]],Analisis_Diferecias[[#This Row],[Tercer Conteo]])</f>
        <v>0</v>
      </c>
      <c r="K294" s="12">
        <f>+(Analisis_Diferecias[[#This Row],[Cantidad Total de Conteos]]-(Analisis_Diferecias[[#This Row],[Cantidad]]))</f>
        <v>-1</v>
      </c>
      <c r="L2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4" s="18"/>
      <c r="N294" s="18">
        <f>Analisis_Diferecias[[#This Row],[Costo Unitario($)]]*Analisis_Diferecias[[#This Row],[Cantidad Total de Conteos]]</f>
        <v>0</v>
      </c>
      <c r="O294" s="18">
        <f>Analisis_Diferecias[[#This Row],[Costo Unitario($)]]*Analisis_Diferecias[[#This Row],[Cantidad]]</f>
        <v>0</v>
      </c>
      <c r="P294" s="20">
        <f>+Analisis_Diferecias[[#This Row],[Valor Total Contado]]-Analisis_Diferecias[[#This Row],[Costo Total Sistema]]</f>
        <v>0</v>
      </c>
      <c r="Q29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5" spans="1:17" x14ac:dyDescent="0.2">
      <c r="A295" s="9">
        <v>2375</v>
      </c>
      <c r="B295" s="9" t="s">
        <v>564</v>
      </c>
      <c r="C295" s="9" t="s">
        <v>563</v>
      </c>
      <c r="D295" s="9">
        <v>1</v>
      </c>
      <c r="E295" s="12">
        <f>SUMIFS('Consolidado conteo 1'!$F:$F,'Consolidado conteo 1'!$C:$C,Analisis_Diferecias[[#This Row],[ID]],'Consolidado conteo 1'!$I:$I,Analisis_Diferecias[[#Headers],[Primer Conteo]])</f>
        <v>0</v>
      </c>
      <c r="F295" s="12">
        <f>SUMIFS('Consolidado conteo 2'!$F:$F,'Consolidado conteo 2'!$C:$C,Analisis_Diferecias[[#This Row],[ID]],'Consolidado conteo 2'!$I:$I,Analisis_Diferecias[[#Headers],[Segundo Conteo]])</f>
        <v>0</v>
      </c>
      <c r="G295" s="12">
        <f>+Analisis_Diferecias[[#This Row],[Segundo Conteo]]-(Analisis_Diferecias[[#This Row],[Primer Conteo]])</f>
        <v>0</v>
      </c>
      <c r="H29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5" s="12">
        <f>SUMIFS(Analisis_Diferecias_Tercer_conteo[Tercer_conteo],Analisis_Diferecias_Tercer_conteo[ID],Analisis_Diferecias[[#This Row],[ID]])</f>
        <v>0</v>
      </c>
      <c r="J295" s="12">
        <f>IF(Analisis_Diferecias[[#This Row],[Tipo de incidencia]]="OK",Analisis_Diferecias[[#This Row],[Segundo Conteo]],Analisis_Diferecias[[#This Row],[Tercer Conteo]])</f>
        <v>0</v>
      </c>
      <c r="K295" s="12">
        <f>+(Analisis_Diferecias[[#This Row],[Cantidad Total de Conteos]]-(Analisis_Diferecias[[#This Row],[Cantidad]]))</f>
        <v>-1</v>
      </c>
      <c r="L2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5" s="18"/>
      <c r="N295" s="18">
        <f>Analisis_Diferecias[[#This Row],[Costo Unitario($)]]*Analisis_Diferecias[[#This Row],[Cantidad Total de Conteos]]</f>
        <v>0</v>
      </c>
      <c r="O295" s="18">
        <f>Analisis_Diferecias[[#This Row],[Costo Unitario($)]]*Analisis_Diferecias[[#This Row],[Cantidad]]</f>
        <v>0</v>
      </c>
      <c r="P295" s="20">
        <f>+Analisis_Diferecias[[#This Row],[Valor Total Contado]]-Analisis_Diferecias[[#This Row],[Costo Total Sistema]]</f>
        <v>0</v>
      </c>
      <c r="Q29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6" spans="1:17" x14ac:dyDescent="0.2">
      <c r="A296" s="9">
        <v>6685</v>
      </c>
      <c r="B296" s="9" t="s">
        <v>566</v>
      </c>
      <c r="C296" s="9" t="s">
        <v>565</v>
      </c>
      <c r="D296" s="9">
        <v>1</v>
      </c>
      <c r="E296" s="12">
        <f>SUMIFS('Consolidado conteo 1'!$F:$F,'Consolidado conteo 1'!$C:$C,Analisis_Diferecias[[#This Row],[ID]],'Consolidado conteo 1'!$I:$I,Analisis_Diferecias[[#Headers],[Primer Conteo]])</f>
        <v>0</v>
      </c>
      <c r="F296" s="12">
        <f>SUMIFS('Consolidado conteo 2'!$F:$F,'Consolidado conteo 2'!$C:$C,Analisis_Diferecias[[#This Row],[ID]],'Consolidado conteo 2'!$I:$I,Analisis_Diferecias[[#Headers],[Segundo Conteo]])</f>
        <v>0</v>
      </c>
      <c r="G296" s="12">
        <f>+Analisis_Diferecias[[#This Row],[Segundo Conteo]]-(Analisis_Diferecias[[#This Row],[Primer Conteo]])</f>
        <v>0</v>
      </c>
      <c r="H29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6" s="12">
        <f>SUMIFS(Analisis_Diferecias_Tercer_conteo[Tercer_conteo],Analisis_Diferecias_Tercer_conteo[ID],Analisis_Diferecias[[#This Row],[ID]])</f>
        <v>0</v>
      </c>
      <c r="J296" s="12">
        <f>IF(Analisis_Diferecias[[#This Row],[Tipo de incidencia]]="OK",Analisis_Diferecias[[#This Row],[Segundo Conteo]],Analisis_Diferecias[[#This Row],[Tercer Conteo]])</f>
        <v>0</v>
      </c>
      <c r="K296" s="12">
        <f>+(Analisis_Diferecias[[#This Row],[Cantidad Total de Conteos]]-(Analisis_Diferecias[[#This Row],[Cantidad]]))</f>
        <v>-1</v>
      </c>
      <c r="L2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6" s="18"/>
      <c r="N296" s="18">
        <f>Analisis_Diferecias[[#This Row],[Costo Unitario($)]]*Analisis_Diferecias[[#This Row],[Cantidad Total de Conteos]]</f>
        <v>0</v>
      </c>
      <c r="O296" s="18">
        <f>Analisis_Diferecias[[#This Row],[Costo Unitario($)]]*Analisis_Diferecias[[#This Row],[Cantidad]]</f>
        <v>0</v>
      </c>
      <c r="P296" s="20">
        <f>+Analisis_Diferecias[[#This Row],[Valor Total Contado]]-Analisis_Diferecias[[#This Row],[Costo Total Sistema]]</f>
        <v>0</v>
      </c>
      <c r="Q29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7" spans="1:17" x14ac:dyDescent="0.2">
      <c r="A297" s="9">
        <v>257</v>
      </c>
      <c r="B297" s="9" t="s">
        <v>568</v>
      </c>
      <c r="C297" s="9" t="s">
        <v>567</v>
      </c>
      <c r="D297" s="9">
        <v>1</v>
      </c>
      <c r="E297" s="12">
        <f>SUMIFS('Consolidado conteo 1'!$F:$F,'Consolidado conteo 1'!$C:$C,Analisis_Diferecias[[#This Row],[ID]],'Consolidado conteo 1'!$I:$I,Analisis_Diferecias[[#Headers],[Primer Conteo]])</f>
        <v>0</v>
      </c>
      <c r="F297" s="12">
        <f>SUMIFS('Consolidado conteo 2'!$F:$F,'Consolidado conteo 2'!$C:$C,Analisis_Diferecias[[#This Row],[ID]],'Consolidado conteo 2'!$I:$I,Analisis_Diferecias[[#Headers],[Segundo Conteo]])</f>
        <v>0</v>
      </c>
      <c r="G297" s="12">
        <f>+Analisis_Diferecias[[#This Row],[Segundo Conteo]]-(Analisis_Diferecias[[#This Row],[Primer Conteo]])</f>
        <v>0</v>
      </c>
      <c r="H29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7" s="12">
        <f>SUMIFS(Analisis_Diferecias_Tercer_conteo[Tercer_conteo],Analisis_Diferecias_Tercer_conteo[ID],Analisis_Diferecias[[#This Row],[ID]])</f>
        <v>0</v>
      </c>
      <c r="J297" s="12">
        <f>IF(Analisis_Diferecias[[#This Row],[Tipo de incidencia]]="OK",Analisis_Diferecias[[#This Row],[Segundo Conteo]],Analisis_Diferecias[[#This Row],[Tercer Conteo]])</f>
        <v>0</v>
      </c>
      <c r="K297" s="12">
        <f>+(Analisis_Diferecias[[#This Row],[Cantidad Total de Conteos]]-(Analisis_Diferecias[[#This Row],[Cantidad]]))</f>
        <v>-1</v>
      </c>
      <c r="L2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7" s="18"/>
      <c r="N297" s="18">
        <f>Analisis_Diferecias[[#This Row],[Costo Unitario($)]]*Analisis_Diferecias[[#This Row],[Cantidad Total de Conteos]]</f>
        <v>0</v>
      </c>
      <c r="O297" s="18">
        <f>Analisis_Diferecias[[#This Row],[Costo Unitario($)]]*Analisis_Diferecias[[#This Row],[Cantidad]]</f>
        <v>0</v>
      </c>
      <c r="P297" s="20">
        <f>+Analisis_Diferecias[[#This Row],[Valor Total Contado]]-Analisis_Diferecias[[#This Row],[Costo Total Sistema]]</f>
        <v>0</v>
      </c>
      <c r="Q29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8" spans="1:17" x14ac:dyDescent="0.2">
      <c r="A298" s="9">
        <v>61</v>
      </c>
      <c r="B298" s="9" t="s">
        <v>570</v>
      </c>
      <c r="C298" s="9" t="s">
        <v>569</v>
      </c>
      <c r="D298" s="9">
        <v>1</v>
      </c>
      <c r="E298" s="12">
        <f>SUMIFS('Consolidado conteo 1'!$F:$F,'Consolidado conteo 1'!$C:$C,Analisis_Diferecias[[#This Row],[ID]],'Consolidado conteo 1'!$I:$I,Analisis_Diferecias[[#Headers],[Primer Conteo]])</f>
        <v>0</v>
      </c>
      <c r="F298" s="12">
        <f>SUMIFS('Consolidado conteo 2'!$F:$F,'Consolidado conteo 2'!$C:$C,Analisis_Diferecias[[#This Row],[ID]],'Consolidado conteo 2'!$I:$I,Analisis_Diferecias[[#Headers],[Segundo Conteo]])</f>
        <v>0</v>
      </c>
      <c r="G298" s="12">
        <f>+Analisis_Diferecias[[#This Row],[Segundo Conteo]]-(Analisis_Diferecias[[#This Row],[Primer Conteo]])</f>
        <v>0</v>
      </c>
      <c r="H29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8" s="12">
        <f>SUMIFS(Analisis_Diferecias_Tercer_conteo[Tercer_conteo],Analisis_Diferecias_Tercer_conteo[ID],Analisis_Diferecias[[#This Row],[ID]])</f>
        <v>0</v>
      </c>
      <c r="J298" s="12">
        <f>IF(Analisis_Diferecias[[#This Row],[Tipo de incidencia]]="OK",Analisis_Diferecias[[#This Row],[Segundo Conteo]],Analisis_Diferecias[[#This Row],[Tercer Conteo]])</f>
        <v>0</v>
      </c>
      <c r="K298" s="12">
        <f>+(Analisis_Diferecias[[#This Row],[Cantidad Total de Conteos]]-(Analisis_Diferecias[[#This Row],[Cantidad]]))</f>
        <v>-1</v>
      </c>
      <c r="L2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8" s="18"/>
      <c r="N298" s="18">
        <f>Analisis_Diferecias[[#This Row],[Costo Unitario($)]]*Analisis_Diferecias[[#This Row],[Cantidad Total de Conteos]]</f>
        <v>0</v>
      </c>
      <c r="O298" s="18">
        <f>Analisis_Diferecias[[#This Row],[Costo Unitario($)]]*Analisis_Diferecias[[#This Row],[Cantidad]]</f>
        <v>0</v>
      </c>
      <c r="P298" s="20">
        <f>+Analisis_Diferecias[[#This Row],[Valor Total Contado]]-Analisis_Diferecias[[#This Row],[Costo Total Sistema]]</f>
        <v>0</v>
      </c>
      <c r="Q29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299" spans="1:17" x14ac:dyDescent="0.2">
      <c r="A299" s="9">
        <v>331</v>
      </c>
      <c r="B299" s="9" t="s">
        <v>572</v>
      </c>
      <c r="C299" s="9" t="s">
        <v>571</v>
      </c>
      <c r="D299" s="9">
        <v>1</v>
      </c>
      <c r="E299" s="12">
        <f>SUMIFS('Consolidado conteo 1'!$F:$F,'Consolidado conteo 1'!$C:$C,Analisis_Diferecias[[#This Row],[ID]],'Consolidado conteo 1'!$I:$I,Analisis_Diferecias[[#Headers],[Primer Conteo]])</f>
        <v>0</v>
      </c>
      <c r="F299" s="12">
        <f>SUMIFS('Consolidado conteo 2'!$F:$F,'Consolidado conteo 2'!$C:$C,Analisis_Diferecias[[#This Row],[ID]],'Consolidado conteo 2'!$I:$I,Analisis_Diferecias[[#Headers],[Segundo Conteo]])</f>
        <v>0</v>
      </c>
      <c r="G299" s="12">
        <f>+Analisis_Diferecias[[#This Row],[Segundo Conteo]]-(Analisis_Diferecias[[#This Row],[Primer Conteo]])</f>
        <v>0</v>
      </c>
      <c r="H29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299" s="12">
        <f>SUMIFS(Analisis_Diferecias_Tercer_conteo[Tercer_conteo],Analisis_Diferecias_Tercer_conteo[ID],Analisis_Diferecias[[#This Row],[ID]])</f>
        <v>0</v>
      </c>
      <c r="J299" s="12">
        <f>IF(Analisis_Diferecias[[#This Row],[Tipo de incidencia]]="OK",Analisis_Diferecias[[#This Row],[Segundo Conteo]],Analisis_Diferecias[[#This Row],[Tercer Conteo]])</f>
        <v>0</v>
      </c>
      <c r="K299" s="12">
        <f>+(Analisis_Diferecias[[#This Row],[Cantidad Total de Conteos]]-(Analisis_Diferecias[[#This Row],[Cantidad]]))</f>
        <v>-1</v>
      </c>
      <c r="L2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299" s="18"/>
      <c r="N299" s="18">
        <f>Analisis_Diferecias[[#This Row],[Costo Unitario($)]]*Analisis_Diferecias[[#This Row],[Cantidad Total de Conteos]]</f>
        <v>0</v>
      </c>
      <c r="O299" s="18">
        <f>Analisis_Diferecias[[#This Row],[Costo Unitario($)]]*Analisis_Diferecias[[#This Row],[Cantidad]]</f>
        <v>0</v>
      </c>
      <c r="P299" s="20">
        <f>+Analisis_Diferecias[[#This Row],[Valor Total Contado]]-Analisis_Diferecias[[#This Row],[Costo Total Sistema]]</f>
        <v>0</v>
      </c>
      <c r="Q29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0" spans="1:17" x14ac:dyDescent="0.2">
      <c r="A300" s="9">
        <v>3011</v>
      </c>
      <c r="B300" s="9" t="s">
        <v>574</v>
      </c>
      <c r="C300" s="9" t="s">
        <v>573</v>
      </c>
      <c r="D300" s="9">
        <v>1</v>
      </c>
      <c r="E300" s="12">
        <f>SUMIFS('Consolidado conteo 1'!$F:$F,'Consolidado conteo 1'!$C:$C,Analisis_Diferecias[[#This Row],[ID]],'Consolidado conteo 1'!$I:$I,Analisis_Diferecias[[#Headers],[Primer Conteo]])</f>
        <v>0</v>
      </c>
      <c r="F300" s="12">
        <f>SUMIFS('Consolidado conteo 2'!$F:$F,'Consolidado conteo 2'!$C:$C,Analisis_Diferecias[[#This Row],[ID]],'Consolidado conteo 2'!$I:$I,Analisis_Diferecias[[#Headers],[Segundo Conteo]])</f>
        <v>0</v>
      </c>
      <c r="G300" s="12">
        <f>+Analisis_Diferecias[[#This Row],[Segundo Conteo]]-(Analisis_Diferecias[[#This Row],[Primer Conteo]])</f>
        <v>0</v>
      </c>
      <c r="H30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0" s="12">
        <f>SUMIFS(Analisis_Diferecias_Tercer_conteo[Tercer_conteo],Analisis_Diferecias_Tercer_conteo[ID],Analisis_Diferecias[[#This Row],[ID]])</f>
        <v>0</v>
      </c>
      <c r="J300" s="12">
        <f>IF(Analisis_Diferecias[[#This Row],[Tipo de incidencia]]="OK",Analisis_Diferecias[[#This Row],[Segundo Conteo]],Analisis_Diferecias[[#This Row],[Tercer Conteo]])</f>
        <v>0</v>
      </c>
      <c r="K300" s="12">
        <f>+(Analisis_Diferecias[[#This Row],[Cantidad Total de Conteos]]-(Analisis_Diferecias[[#This Row],[Cantidad]]))</f>
        <v>-1</v>
      </c>
      <c r="L3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0" s="18"/>
      <c r="N300" s="18">
        <f>Analisis_Diferecias[[#This Row],[Costo Unitario($)]]*Analisis_Diferecias[[#This Row],[Cantidad Total de Conteos]]</f>
        <v>0</v>
      </c>
      <c r="O300" s="18">
        <f>Analisis_Diferecias[[#This Row],[Costo Unitario($)]]*Analisis_Diferecias[[#This Row],[Cantidad]]</f>
        <v>0</v>
      </c>
      <c r="P300" s="20">
        <f>+Analisis_Diferecias[[#This Row],[Valor Total Contado]]-Analisis_Diferecias[[#This Row],[Costo Total Sistema]]</f>
        <v>0</v>
      </c>
      <c r="Q30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1" spans="1:17" x14ac:dyDescent="0.2">
      <c r="A301" s="9">
        <v>4484</v>
      </c>
      <c r="B301" s="9" t="s">
        <v>576</v>
      </c>
      <c r="C301" s="9" t="s">
        <v>575</v>
      </c>
      <c r="D301" s="9">
        <v>1</v>
      </c>
      <c r="E301" s="12">
        <f>SUMIFS('Consolidado conteo 1'!$F:$F,'Consolidado conteo 1'!$C:$C,Analisis_Diferecias[[#This Row],[ID]],'Consolidado conteo 1'!$I:$I,Analisis_Diferecias[[#Headers],[Primer Conteo]])</f>
        <v>0</v>
      </c>
      <c r="F301" s="12">
        <f>SUMIFS('Consolidado conteo 2'!$F:$F,'Consolidado conteo 2'!$C:$C,Analisis_Diferecias[[#This Row],[ID]],'Consolidado conteo 2'!$I:$I,Analisis_Diferecias[[#Headers],[Segundo Conteo]])</f>
        <v>0</v>
      </c>
      <c r="G301" s="12">
        <f>+Analisis_Diferecias[[#This Row],[Segundo Conteo]]-(Analisis_Diferecias[[#This Row],[Primer Conteo]])</f>
        <v>0</v>
      </c>
      <c r="H30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1" s="12">
        <f>SUMIFS(Analisis_Diferecias_Tercer_conteo[Tercer_conteo],Analisis_Diferecias_Tercer_conteo[ID],Analisis_Diferecias[[#This Row],[ID]])</f>
        <v>0</v>
      </c>
      <c r="J301" s="12">
        <f>IF(Analisis_Diferecias[[#This Row],[Tipo de incidencia]]="OK",Analisis_Diferecias[[#This Row],[Segundo Conteo]],Analisis_Diferecias[[#This Row],[Tercer Conteo]])</f>
        <v>0</v>
      </c>
      <c r="K301" s="12">
        <f>+(Analisis_Diferecias[[#This Row],[Cantidad Total de Conteos]]-(Analisis_Diferecias[[#This Row],[Cantidad]]))</f>
        <v>-1</v>
      </c>
      <c r="L3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1" s="18"/>
      <c r="N301" s="18">
        <f>Analisis_Diferecias[[#This Row],[Costo Unitario($)]]*Analisis_Diferecias[[#This Row],[Cantidad Total de Conteos]]</f>
        <v>0</v>
      </c>
      <c r="O301" s="18">
        <f>Analisis_Diferecias[[#This Row],[Costo Unitario($)]]*Analisis_Diferecias[[#This Row],[Cantidad]]</f>
        <v>0</v>
      </c>
      <c r="P301" s="20">
        <f>+Analisis_Diferecias[[#This Row],[Valor Total Contado]]-Analisis_Diferecias[[#This Row],[Costo Total Sistema]]</f>
        <v>0</v>
      </c>
      <c r="Q30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2" spans="1:17" x14ac:dyDescent="0.2">
      <c r="A302" s="9">
        <v>4485</v>
      </c>
      <c r="B302" s="9" t="s">
        <v>578</v>
      </c>
      <c r="C302" s="9" t="s">
        <v>577</v>
      </c>
      <c r="D302" s="9">
        <v>1</v>
      </c>
      <c r="E302" s="12">
        <f>SUMIFS('Consolidado conteo 1'!$F:$F,'Consolidado conteo 1'!$C:$C,Analisis_Diferecias[[#This Row],[ID]],'Consolidado conteo 1'!$I:$I,Analisis_Diferecias[[#Headers],[Primer Conteo]])</f>
        <v>0</v>
      </c>
      <c r="F302" s="12">
        <f>SUMIFS('Consolidado conteo 2'!$F:$F,'Consolidado conteo 2'!$C:$C,Analisis_Diferecias[[#This Row],[ID]],'Consolidado conteo 2'!$I:$I,Analisis_Diferecias[[#Headers],[Segundo Conteo]])</f>
        <v>0</v>
      </c>
      <c r="G302" s="12">
        <f>+Analisis_Diferecias[[#This Row],[Segundo Conteo]]-(Analisis_Diferecias[[#This Row],[Primer Conteo]])</f>
        <v>0</v>
      </c>
      <c r="H30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2" s="12">
        <f>SUMIFS(Analisis_Diferecias_Tercer_conteo[Tercer_conteo],Analisis_Diferecias_Tercer_conteo[ID],Analisis_Diferecias[[#This Row],[ID]])</f>
        <v>0</v>
      </c>
      <c r="J302" s="12">
        <f>IF(Analisis_Diferecias[[#This Row],[Tipo de incidencia]]="OK",Analisis_Diferecias[[#This Row],[Segundo Conteo]],Analisis_Diferecias[[#This Row],[Tercer Conteo]])</f>
        <v>0</v>
      </c>
      <c r="K302" s="12">
        <f>+(Analisis_Diferecias[[#This Row],[Cantidad Total de Conteos]]-(Analisis_Diferecias[[#This Row],[Cantidad]]))</f>
        <v>-1</v>
      </c>
      <c r="L3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2" s="18"/>
      <c r="N302" s="18">
        <f>Analisis_Diferecias[[#This Row],[Costo Unitario($)]]*Analisis_Diferecias[[#This Row],[Cantidad Total de Conteos]]</f>
        <v>0</v>
      </c>
      <c r="O302" s="18">
        <f>Analisis_Diferecias[[#This Row],[Costo Unitario($)]]*Analisis_Diferecias[[#This Row],[Cantidad]]</f>
        <v>0</v>
      </c>
      <c r="P302" s="20">
        <f>+Analisis_Diferecias[[#This Row],[Valor Total Contado]]-Analisis_Diferecias[[#This Row],[Costo Total Sistema]]</f>
        <v>0</v>
      </c>
      <c r="Q30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3" spans="1:17" x14ac:dyDescent="0.2">
      <c r="A303" s="9">
        <v>4486</v>
      </c>
      <c r="B303" s="9" t="s">
        <v>580</v>
      </c>
      <c r="C303" s="9" t="s">
        <v>579</v>
      </c>
      <c r="D303" s="9">
        <v>1</v>
      </c>
      <c r="E303" s="12">
        <f>SUMIFS('Consolidado conteo 1'!$F:$F,'Consolidado conteo 1'!$C:$C,Analisis_Diferecias[[#This Row],[ID]],'Consolidado conteo 1'!$I:$I,Analisis_Diferecias[[#Headers],[Primer Conteo]])</f>
        <v>0</v>
      </c>
      <c r="F303" s="12">
        <f>SUMIFS('Consolidado conteo 2'!$F:$F,'Consolidado conteo 2'!$C:$C,Analisis_Diferecias[[#This Row],[ID]],'Consolidado conteo 2'!$I:$I,Analisis_Diferecias[[#Headers],[Segundo Conteo]])</f>
        <v>0</v>
      </c>
      <c r="G303" s="12">
        <f>+Analisis_Diferecias[[#This Row],[Segundo Conteo]]-(Analisis_Diferecias[[#This Row],[Primer Conteo]])</f>
        <v>0</v>
      </c>
      <c r="H30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3" s="12">
        <f>SUMIFS(Analisis_Diferecias_Tercer_conteo[Tercer_conteo],Analisis_Diferecias_Tercer_conteo[ID],Analisis_Diferecias[[#This Row],[ID]])</f>
        <v>0</v>
      </c>
      <c r="J303" s="12">
        <f>IF(Analisis_Diferecias[[#This Row],[Tipo de incidencia]]="OK",Analisis_Diferecias[[#This Row],[Segundo Conteo]],Analisis_Diferecias[[#This Row],[Tercer Conteo]])</f>
        <v>0</v>
      </c>
      <c r="K303" s="12">
        <f>+(Analisis_Diferecias[[#This Row],[Cantidad Total de Conteos]]-(Analisis_Diferecias[[#This Row],[Cantidad]]))</f>
        <v>-1</v>
      </c>
      <c r="L3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3" s="18"/>
      <c r="N303" s="18">
        <f>Analisis_Diferecias[[#This Row],[Costo Unitario($)]]*Analisis_Diferecias[[#This Row],[Cantidad Total de Conteos]]</f>
        <v>0</v>
      </c>
      <c r="O303" s="18">
        <f>Analisis_Diferecias[[#This Row],[Costo Unitario($)]]*Analisis_Diferecias[[#This Row],[Cantidad]]</f>
        <v>0</v>
      </c>
      <c r="P303" s="20">
        <f>+Analisis_Diferecias[[#This Row],[Valor Total Contado]]-Analisis_Diferecias[[#This Row],[Costo Total Sistema]]</f>
        <v>0</v>
      </c>
      <c r="Q30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4" spans="1:17" x14ac:dyDescent="0.2">
      <c r="A304" s="9">
        <v>4100</v>
      </c>
      <c r="B304" s="9" t="s">
        <v>582</v>
      </c>
      <c r="C304" s="9" t="s">
        <v>581</v>
      </c>
      <c r="D304" s="9">
        <v>1</v>
      </c>
      <c r="E304" s="12">
        <f>SUMIFS('Consolidado conteo 1'!$F:$F,'Consolidado conteo 1'!$C:$C,Analisis_Diferecias[[#This Row],[ID]],'Consolidado conteo 1'!$I:$I,Analisis_Diferecias[[#Headers],[Primer Conteo]])</f>
        <v>0</v>
      </c>
      <c r="F304" s="12">
        <f>SUMIFS('Consolidado conteo 2'!$F:$F,'Consolidado conteo 2'!$C:$C,Analisis_Diferecias[[#This Row],[ID]],'Consolidado conteo 2'!$I:$I,Analisis_Diferecias[[#Headers],[Segundo Conteo]])</f>
        <v>0</v>
      </c>
      <c r="G304" s="12">
        <f>+Analisis_Diferecias[[#This Row],[Segundo Conteo]]-(Analisis_Diferecias[[#This Row],[Primer Conteo]])</f>
        <v>0</v>
      </c>
      <c r="H30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4" s="12">
        <f>SUMIFS(Analisis_Diferecias_Tercer_conteo[Tercer_conteo],Analisis_Diferecias_Tercer_conteo[ID],Analisis_Diferecias[[#This Row],[ID]])</f>
        <v>0</v>
      </c>
      <c r="J304" s="12">
        <f>IF(Analisis_Diferecias[[#This Row],[Tipo de incidencia]]="OK",Analisis_Diferecias[[#This Row],[Segundo Conteo]],Analisis_Diferecias[[#This Row],[Tercer Conteo]])</f>
        <v>0</v>
      </c>
      <c r="K304" s="12">
        <f>+(Analisis_Diferecias[[#This Row],[Cantidad Total de Conteos]]-(Analisis_Diferecias[[#This Row],[Cantidad]]))</f>
        <v>-1</v>
      </c>
      <c r="L3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4" s="18"/>
      <c r="N304" s="18">
        <f>Analisis_Diferecias[[#This Row],[Costo Unitario($)]]*Analisis_Diferecias[[#This Row],[Cantidad Total de Conteos]]</f>
        <v>0</v>
      </c>
      <c r="O304" s="18">
        <f>Analisis_Diferecias[[#This Row],[Costo Unitario($)]]*Analisis_Diferecias[[#This Row],[Cantidad]]</f>
        <v>0</v>
      </c>
      <c r="P304" s="20">
        <f>+Analisis_Diferecias[[#This Row],[Valor Total Contado]]-Analisis_Diferecias[[#This Row],[Costo Total Sistema]]</f>
        <v>0</v>
      </c>
      <c r="Q30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5" spans="1:17" x14ac:dyDescent="0.2">
      <c r="A305" s="9">
        <v>4200</v>
      </c>
      <c r="B305" s="9" t="s">
        <v>584</v>
      </c>
      <c r="C305" s="9" t="s">
        <v>583</v>
      </c>
      <c r="D305" s="9">
        <v>1</v>
      </c>
      <c r="E305" s="12">
        <f>SUMIFS('Consolidado conteo 1'!$F:$F,'Consolidado conteo 1'!$C:$C,Analisis_Diferecias[[#This Row],[ID]],'Consolidado conteo 1'!$I:$I,Analisis_Diferecias[[#Headers],[Primer Conteo]])</f>
        <v>0</v>
      </c>
      <c r="F305" s="12">
        <f>SUMIFS('Consolidado conteo 2'!$F:$F,'Consolidado conteo 2'!$C:$C,Analisis_Diferecias[[#This Row],[ID]],'Consolidado conteo 2'!$I:$I,Analisis_Diferecias[[#Headers],[Segundo Conteo]])</f>
        <v>0</v>
      </c>
      <c r="G305" s="12">
        <f>+Analisis_Diferecias[[#This Row],[Segundo Conteo]]-(Analisis_Diferecias[[#This Row],[Primer Conteo]])</f>
        <v>0</v>
      </c>
      <c r="H30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5" s="12">
        <f>SUMIFS(Analisis_Diferecias_Tercer_conteo[Tercer_conteo],Analisis_Diferecias_Tercer_conteo[ID],Analisis_Diferecias[[#This Row],[ID]])</f>
        <v>0</v>
      </c>
      <c r="J305" s="12">
        <f>IF(Analisis_Diferecias[[#This Row],[Tipo de incidencia]]="OK",Analisis_Diferecias[[#This Row],[Segundo Conteo]],Analisis_Diferecias[[#This Row],[Tercer Conteo]])</f>
        <v>0</v>
      </c>
      <c r="K305" s="12">
        <f>+(Analisis_Diferecias[[#This Row],[Cantidad Total de Conteos]]-(Analisis_Diferecias[[#This Row],[Cantidad]]))</f>
        <v>-1</v>
      </c>
      <c r="L3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5" s="18"/>
      <c r="N305" s="18">
        <f>Analisis_Diferecias[[#This Row],[Costo Unitario($)]]*Analisis_Diferecias[[#This Row],[Cantidad Total de Conteos]]</f>
        <v>0</v>
      </c>
      <c r="O305" s="18">
        <f>Analisis_Diferecias[[#This Row],[Costo Unitario($)]]*Analisis_Diferecias[[#This Row],[Cantidad]]</f>
        <v>0</v>
      </c>
      <c r="P305" s="20">
        <f>+Analisis_Diferecias[[#This Row],[Valor Total Contado]]-Analisis_Diferecias[[#This Row],[Costo Total Sistema]]</f>
        <v>0</v>
      </c>
      <c r="Q30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6" spans="1:17" x14ac:dyDescent="0.2">
      <c r="A306" s="9">
        <v>4189</v>
      </c>
      <c r="B306" s="9" t="s">
        <v>586</v>
      </c>
      <c r="C306" s="9" t="s">
        <v>585</v>
      </c>
      <c r="D306" s="9">
        <v>1</v>
      </c>
      <c r="E306" s="12">
        <f>SUMIFS('Consolidado conteo 1'!$F:$F,'Consolidado conteo 1'!$C:$C,Analisis_Diferecias[[#This Row],[ID]],'Consolidado conteo 1'!$I:$I,Analisis_Diferecias[[#Headers],[Primer Conteo]])</f>
        <v>0</v>
      </c>
      <c r="F306" s="12">
        <f>SUMIFS('Consolidado conteo 2'!$F:$F,'Consolidado conteo 2'!$C:$C,Analisis_Diferecias[[#This Row],[ID]],'Consolidado conteo 2'!$I:$I,Analisis_Diferecias[[#Headers],[Segundo Conteo]])</f>
        <v>0</v>
      </c>
      <c r="G306" s="12">
        <f>+Analisis_Diferecias[[#This Row],[Segundo Conteo]]-(Analisis_Diferecias[[#This Row],[Primer Conteo]])</f>
        <v>0</v>
      </c>
      <c r="H30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6" s="12">
        <f>SUMIFS(Analisis_Diferecias_Tercer_conteo[Tercer_conteo],Analisis_Diferecias_Tercer_conteo[ID],Analisis_Diferecias[[#This Row],[ID]])</f>
        <v>0</v>
      </c>
      <c r="J306" s="12">
        <f>IF(Analisis_Diferecias[[#This Row],[Tipo de incidencia]]="OK",Analisis_Diferecias[[#This Row],[Segundo Conteo]],Analisis_Diferecias[[#This Row],[Tercer Conteo]])</f>
        <v>0</v>
      </c>
      <c r="K306" s="12">
        <f>+(Analisis_Diferecias[[#This Row],[Cantidad Total de Conteos]]-(Analisis_Diferecias[[#This Row],[Cantidad]]))</f>
        <v>-1</v>
      </c>
      <c r="L3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6" s="18"/>
      <c r="N306" s="18">
        <f>Analisis_Diferecias[[#This Row],[Costo Unitario($)]]*Analisis_Diferecias[[#This Row],[Cantidad Total de Conteos]]</f>
        <v>0</v>
      </c>
      <c r="O306" s="18">
        <f>Analisis_Diferecias[[#This Row],[Costo Unitario($)]]*Analisis_Diferecias[[#This Row],[Cantidad]]</f>
        <v>0</v>
      </c>
      <c r="P306" s="20">
        <f>+Analisis_Diferecias[[#This Row],[Valor Total Contado]]-Analisis_Diferecias[[#This Row],[Costo Total Sistema]]</f>
        <v>0</v>
      </c>
      <c r="Q30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7" spans="1:17" x14ac:dyDescent="0.2">
      <c r="A307" s="9">
        <v>4400</v>
      </c>
      <c r="B307" s="9" t="s">
        <v>588</v>
      </c>
      <c r="C307" s="9" t="s">
        <v>587</v>
      </c>
      <c r="D307" s="9">
        <v>1</v>
      </c>
      <c r="E307" s="12">
        <f>SUMIFS('Consolidado conteo 1'!$F:$F,'Consolidado conteo 1'!$C:$C,Analisis_Diferecias[[#This Row],[ID]],'Consolidado conteo 1'!$I:$I,Analisis_Diferecias[[#Headers],[Primer Conteo]])</f>
        <v>0</v>
      </c>
      <c r="F307" s="12">
        <f>SUMIFS('Consolidado conteo 2'!$F:$F,'Consolidado conteo 2'!$C:$C,Analisis_Diferecias[[#This Row],[ID]],'Consolidado conteo 2'!$I:$I,Analisis_Diferecias[[#Headers],[Segundo Conteo]])</f>
        <v>0</v>
      </c>
      <c r="G307" s="12">
        <f>+Analisis_Diferecias[[#This Row],[Segundo Conteo]]-(Analisis_Diferecias[[#This Row],[Primer Conteo]])</f>
        <v>0</v>
      </c>
      <c r="H30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7" s="12">
        <f>SUMIFS(Analisis_Diferecias_Tercer_conteo[Tercer_conteo],Analisis_Diferecias_Tercer_conteo[ID],Analisis_Diferecias[[#This Row],[ID]])</f>
        <v>0</v>
      </c>
      <c r="J307" s="12">
        <f>IF(Analisis_Diferecias[[#This Row],[Tipo de incidencia]]="OK",Analisis_Diferecias[[#This Row],[Segundo Conteo]],Analisis_Diferecias[[#This Row],[Tercer Conteo]])</f>
        <v>0</v>
      </c>
      <c r="K307" s="12">
        <f>+(Analisis_Diferecias[[#This Row],[Cantidad Total de Conteos]]-(Analisis_Diferecias[[#This Row],[Cantidad]]))</f>
        <v>-1</v>
      </c>
      <c r="L3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7" s="18"/>
      <c r="N307" s="18">
        <f>Analisis_Diferecias[[#This Row],[Costo Unitario($)]]*Analisis_Diferecias[[#This Row],[Cantidad Total de Conteos]]</f>
        <v>0</v>
      </c>
      <c r="O307" s="18">
        <f>Analisis_Diferecias[[#This Row],[Costo Unitario($)]]*Analisis_Diferecias[[#This Row],[Cantidad]]</f>
        <v>0</v>
      </c>
      <c r="P307" s="20">
        <f>+Analisis_Diferecias[[#This Row],[Valor Total Contado]]-Analisis_Diferecias[[#This Row],[Costo Total Sistema]]</f>
        <v>0</v>
      </c>
      <c r="Q30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8" spans="1:17" x14ac:dyDescent="0.2">
      <c r="A308" s="9">
        <v>4487</v>
      </c>
      <c r="B308" s="9" t="s">
        <v>590</v>
      </c>
      <c r="C308" s="9" t="s">
        <v>589</v>
      </c>
      <c r="D308" s="9">
        <v>1</v>
      </c>
      <c r="E308" s="12">
        <f>SUMIFS('Consolidado conteo 1'!$F:$F,'Consolidado conteo 1'!$C:$C,Analisis_Diferecias[[#This Row],[ID]],'Consolidado conteo 1'!$I:$I,Analisis_Diferecias[[#Headers],[Primer Conteo]])</f>
        <v>0</v>
      </c>
      <c r="F308" s="12">
        <f>SUMIFS('Consolidado conteo 2'!$F:$F,'Consolidado conteo 2'!$C:$C,Analisis_Diferecias[[#This Row],[ID]],'Consolidado conteo 2'!$I:$I,Analisis_Diferecias[[#Headers],[Segundo Conteo]])</f>
        <v>0</v>
      </c>
      <c r="G308" s="12">
        <f>+Analisis_Diferecias[[#This Row],[Segundo Conteo]]-(Analisis_Diferecias[[#This Row],[Primer Conteo]])</f>
        <v>0</v>
      </c>
      <c r="H30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8" s="12">
        <f>SUMIFS(Analisis_Diferecias_Tercer_conteo[Tercer_conteo],Analisis_Diferecias_Tercer_conteo[ID],Analisis_Diferecias[[#This Row],[ID]])</f>
        <v>0</v>
      </c>
      <c r="J308" s="12">
        <f>IF(Analisis_Diferecias[[#This Row],[Tipo de incidencia]]="OK",Analisis_Diferecias[[#This Row],[Segundo Conteo]],Analisis_Diferecias[[#This Row],[Tercer Conteo]])</f>
        <v>0</v>
      </c>
      <c r="K308" s="12">
        <f>+(Analisis_Diferecias[[#This Row],[Cantidad Total de Conteos]]-(Analisis_Diferecias[[#This Row],[Cantidad]]))</f>
        <v>-1</v>
      </c>
      <c r="L3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8" s="18"/>
      <c r="N308" s="18">
        <f>Analisis_Diferecias[[#This Row],[Costo Unitario($)]]*Analisis_Diferecias[[#This Row],[Cantidad Total de Conteos]]</f>
        <v>0</v>
      </c>
      <c r="O308" s="18">
        <f>Analisis_Diferecias[[#This Row],[Costo Unitario($)]]*Analisis_Diferecias[[#This Row],[Cantidad]]</f>
        <v>0</v>
      </c>
      <c r="P308" s="20">
        <f>+Analisis_Diferecias[[#This Row],[Valor Total Contado]]-Analisis_Diferecias[[#This Row],[Costo Total Sistema]]</f>
        <v>0</v>
      </c>
      <c r="Q30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09" spans="1:17" x14ac:dyDescent="0.2">
      <c r="A309" s="9">
        <v>3316</v>
      </c>
      <c r="B309" s="9" t="s">
        <v>592</v>
      </c>
      <c r="C309" s="9" t="s">
        <v>591</v>
      </c>
      <c r="D309" s="9">
        <v>1</v>
      </c>
      <c r="E309" s="12">
        <f>SUMIFS('Consolidado conteo 1'!$F:$F,'Consolidado conteo 1'!$C:$C,Analisis_Diferecias[[#This Row],[ID]],'Consolidado conteo 1'!$I:$I,Analisis_Diferecias[[#Headers],[Primer Conteo]])</f>
        <v>0</v>
      </c>
      <c r="F309" s="12">
        <f>SUMIFS('Consolidado conteo 2'!$F:$F,'Consolidado conteo 2'!$C:$C,Analisis_Diferecias[[#This Row],[ID]],'Consolidado conteo 2'!$I:$I,Analisis_Diferecias[[#Headers],[Segundo Conteo]])</f>
        <v>0</v>
      </c>
      <c r="G309" s="12">
        <f>+Analisis_Diferecias[[#This Row],[Segundo Conteo]]-(Analisis_Diferecias[[#This Row],[Primer Conteo]])</f>
        <v>0</v>
      </c>
      <c r="H30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09" s="12">
        <f>SUMIFS(Analisis_Diferecias_Tercer_conteo[Tercer_conteo],Analisis_Diferecias_Tercer_conteo[ID],Analisis_Diferecias[[#This Row],[ID]])</f>
        <v>0</v>
      </c>
      <c r="J309" s="12">
        <f>IF(Analisis_Diferecias[[#This Row],[Tipo de incidencia]]="OK",Analisis_Diferecias[[#This Row],[Segundo Conteo]],Analisis_Diferecias[[#This Row],[Tercer Conteo]])</f>
        <v>0</v>
      </c>
      <c r="K309" s="12">
        <f>+(Analisis_Diferecias[[#This Row],[Cantidad Total de Conteos]]-(Analisis_Diferecias[[#This Row],[Cantidad]]))</f>
        <v>-1</v>
      </c>
      <c r="L3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09" s="18"/>
      <c r="N309" s="18">
        <f>Analisis_Diferecias[[#This Row],[Costo Unitario($)]]*Analisis_Diferecias[[#This Row],[Cantidad Total de Conteos]]</f>
        <v>0</v>
      </c>
      <c r="O309" s="18">
        <f>Analisis_Diferecias[[#This Row],[Costo Unitario($)]]*Analisis_Diferecias[[#This Row],[Cantidad]]</f>
        <v>0</v>
      </c>
      <c r="P309" s="20">
        <f>+Analisis_Diferecias[[#This Row],[Valor Total Contado]]-Analisis_Diferecias[[#This Row],[Costo Total Sistema]]</f>
        <v>0</v>
      </c>
      <c r="Q30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0" spans="1:17" x14ac:dyDescent="0.2">
      <c r="A310" s="9">
        <v>2567</v>
      </c>
      <c r="B310" s="9" t="s">
        <v>594</v>
      </c>
      <c r="C310" s="9" t="s">
        <v>593</v>
      </c>
      <c r="D310" s="9">
        <v>1</v>
      </c>
      <c r="E310" s="12">
        <f>SUMIFS('Consolidado conteo 1'!$F:$F,'Consolidado conteo 1'!$C:$C,Analisis_Diferecias[[#This Row],[ID]],'Consolidado conteo 1'!$I:$I,Analisis_Diferecias[[#Headers],[Primer Conteo]])</f>
        <v>0</v>
      </c>
      <c r="F310" s="12">
        <f>SUMIFS('Consolidado conteo 2'!$F:$F,'Consolidado conteo 2'!$C:$C,Analisis_Diferecias[[#This Row],[ID]],'Consolidado conteo 2'!$I:$I,Analisis_Diferecias[[#Headers],[Segundo Conteo]])</f>
        <v>0</v>
      </c>
      <c r="G310" s="12">
        <f>+Analisis_Diferecias[[#This Row],[Segundo Conteo]]-(Analisis_Diferecias[[#This Row],[Primer Conteo]])</f>
        <v>0</v>
      </c>
      <c r="H31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0" s="12">
        <f>SUMIFS(Analisis_Diferecias_Tercer_conteo[Tercer_conteo],Analisis_Diferecias_Tercer_conteo[ID],Analisis_Diferecias[[#This Row],[ID]])</f>
        <v>0</v>
      </c>
      <c r="J310" s="12">
        <f>IF(Analisis_Diferecias[[#This Row],[Tipo de incidencia]]="OK",Analisis_Diferecias[[#This Row],[Segundo Conteo]],Analisis_Diferecias[[#This Row],[Tercer Conteo]])</f>
        <v>0</v>
      </c>
      <c r="K310" s="12">
        <f>+(Analisis_Diferecias[[#This Row],[Cantidad Total de Conteos]]-(Analisis_Diferecias[[#This Row],[Cantidad]]))</f>
        <v>-1</v>
      </c>
      <c r="L3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0" s="18"/>
      <c r="N310" s="18">
        <f>Analisis_Diferecias[[#This Row],[Costo Unitario($)]]*Analisis_Diferecias[[#This Row],[Cantidad Total de Conteos]]</f>
        <v>0</v>
      </c>
      <c r="O310" s="18">
        <f>Analisis_Diferecias[[#This Row],[Costo Unitario($)]]*Analisis_Diferecias[[#This Row],[Cantidad]]</f>
        <v>0</v>
      </c>
      <c r="P310" s="20">
        <f>+Analisis_Diferecias[[#This Row],[Valor Total Contado]]-Analisis_Diferecias[[#This Row],[Costo Total Sistema]]</f>
        <v>0</v>
      </c>
      <c r="Q31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1" spans="1:17" x14ac:dyDescent="0.2">
      <c r="A311" s="9">
        <v>4211</v>
      </c>
      <c r="B311" s="9" t="s">
        <v>596</v>
      </c>
      <c r="C311" s="9" t="s">
        <v>595</v>
      </c>
      <c r="D311" s="9">
        <v>1</v>
      </c>
      <c r="E311" s="12">
        <f>SUMIFS('Consolidado conteo 1'!$F:$F,'Consolidado conteo 1'!$C:$C,Analisis_Diferecias[[#This Row],[ID]],'Consolidado conteo 1'!$I:$I,Analisis_Diferecias[[#Headers],[Primer Conteo]])</f>
        <v>0</v>
      </c>
      <c r="F311" s="12">
        <f>SUMIFS('Consolidado conteo 2'!$F:$F,'Consolidado conteo 2'!$C:$C,Analisis_Diferecias[[#This Row],[ID]],'Consolidado conteo 2'!$I:$I,Analisis_Diferecias[[#Headers],[Segundo Conteo]])</f>
        <v>0</v>
      </c>
      <c r="G311" s="12">
        <f>+Analisis_Diferecias[[#This Row],[Segundo Conteo]]-(Analisis_Diferecias[[#This Row],[Primer Conteo]])</f>
        <v>0</v>
      </c>
      <c r="H31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1" s="12">
        <f>SUMIFS(Analisis_Diferecias_Tercer_conteo[Tercer_conteo],Analisis_Diferecias_Tercer_conteo[ID],Analisis_Diferecias[[#This Row],[ID]])</f>
        <v>0</v>
      </c>
      <c r="J311" s="12">
        <f>IF(Analisis_Diferecias[[#This Row],[Tipo de incidencia]]="OK",Analisis_Diferecias[[#This Row],[Segundo Conteo]],Analisis_Diferecias[[#This Row],[Tercer Conteo]])</f>
        <v>0</v>
      </c>
      <c r="K311" s="12">
        <f>+(Analisis_Diferecias[[#This Row],[Cantidad Total de Conteos]]-(Analisis_Diferecias[[#This Row],[Cantidad]]))</f>
        <v>-1</v>
      </c>
      <c r="L3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1" s="18"/>
      <c r="N311" s="18">
        <f>Analisis_Diferecias[[#This Row],[Costo Unitario($)]]*Analisis_Diferecias[[#This Row],[Cantidad Total de Conteos]]</f>
        <v>0</v>
      </c>
      <c r="O311" s="18">
        <f>Analisis_Diferecias[[#This Row],[Costo Unitario($)]]*Analisis_Diferecias[[#This Row],[Cantidad]]</f>
        <v>0</v>
      </c>
      <c r="P311" s="20">
        <f>+Analisis_Diferecias[[#This Row],[Valor Total Contado]]-Analisis_Diferecias[[#This Row],[Costo Total Sistema]]</f>
        <v>0</v>
      </c>
      <c r="Q31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2" spans="1:17" x14ac:dyDescent="0.2">
      <c r="A312" s="9">
        <v>3149</v>
      </c>
      <c r="B312" s="9" t="s">
        <v>598</v>
      </c>
      <c r="C312" s="9" t="s">
        <v>597</v>
      </c>
      <c r="D312" s="9">
        <v>1</v>
      </c>
      <c r="E312" s="12">
        <f>SUMIFS('Consolidado conteo 1'!$F:$F,'Consolidado conteo 1'!$C:$C,Analisis_Diferecias[[#This Row],[ID]],'Consolidado conteo 1'!$I:$I,Analisis_Diferecias[[#Headers],[Primer Conteo]])</f>
        <v>0</v>
      </c>
      <c r="F312" s="12">
        <f>SUMIFS('Consolidado conteo 2'!$F:$F,'Consolidado conteo 2'!$C:$C,Analisis_Diferecias[[#This Row],[ID]],'Consolidado conteo 2'!$I:$I,Analisis_Diferecias[[#Headers],[Segundo Conteo]])</f>
        <v>0</v>
      </c>
      <c r="G312" s="12">
        <f>+Analisis_Diferecias[[#This Row],[Segundo Conteo]]-(Analisis_Diferecias[[#This Row],[Primer Conteo]])</f>
        <v>0</v>
      </c>
      <c r="H31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2" s="12">
        <f>SUMIFS(Analisis_Diferecias_Tercer_conteo[Tercer_conteo],Analisis_Diferecias_Tercer_conteo[ID],Analisis_Diferecias[[#This Row],[ID]])</f>
        <v>0</v>
      </c>
      <c r="J312" s="12">
        <f>IF(Analisis_Diferecias[[#This Row],[Tipo de incidencia]]="OK",Analisis_Diferecias[[#This Row],[Segundo Conteo]],Analisis_Diferecias[[#This Row],[Tercer Conteo]])</f>
        <v>0</v>
      </c>
      <c r="K312" s="12">
        <f>+(Analisis_Diferecias[[#This Row],[Cantidad Total de Conteos]]-(Analisis_Diferecias[[#This Row],[Cantidad]]))</f>
        <v>-1</v>
      </c>
      <c r="L3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2" s="18"/>
      <c r="N312" s="18">
        <f>Analisis_Diferecias[[#This Row],[Costo Unitario($)]]*Analisis_Diferecias[[#This Row],[Cantidad Total de Conteos]]</f>
        <v>0</v>
      </c>
      <c r="O312" s="18">
        <f>Analisis_Diferecias[[#This Row],[Costo Unitario($)]]*Analisis_Diferecias[[#This Row],[Cantidad]]</f>
        <v>0</v>
      </c>
      <c r="P312" s="20">
        <f>+Analisis_Diferecias[[#This Row],[Valor Total Contado]]-Analisis_Diferecias[[#This Row],[Costo Total Sistema]]</f>
        <v>0</v>
      </c>
      <c r="Q31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3" spans="1:17" x14ac:dyDescent="0.2">
      <c r="A313" s="9">
        <v>3129</v>
      </c>
      <c r="B313" s="9" t="s">
        <v>600</v>
      </c>
      <c r="C313" s="9" t="s">
        <v>599</v>
      </c>
      <c r="D313" s="9">
        <v>1</v>
      </c>
      <c r="E313" s="12">
        <f>SUMIFS('Consolidado conteo 1'!$F:$F,'Consolidado conteo 1'!$C:$C,Analisis_Diferecias[[#This Row],[ID]],'Consolidado conteo 1'!$I:$I,Analisis_Diferecias[[#Headers],[Primer Conteo]])</f>
        <v>0</v>
      </c>
      <c r="F313" s="12">
        <f>SUMIFS('Consolidado conteo 2'!$F:$F,'Consolidado conteo 2'!$C:$C,Analisis_Diferecias[[#This Row],[ID]],'Consolidado conteo 2'!$I:$I,Analisis_Diferecias[[#Headers],[Segundo Conteo]])</f>
        <v>0</v>
      </c>
      <c r="G313" s="12">
        <f>+Analisis_Diferecias[[#This Row],[Segundo Conteo]]-(Analisis_Diferecias[[#This Row],[Primer Conteo]])</f>
        <v>0</v>
      </c>
      <c r="H31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3" s="12">
        <f>SUMIFS(Analisis_Diferecias_Tercer_conteo[Tercer_conteo],Analisis_Diferecias_Tercer_conteo[ID],Analisis_Diferecias[[#This Row],[ID]])</f>
        <v>0</v>
      </c>
      <c r="J313" s="12">
        <f>IF(Analisis_Diferecias[[#This Row],[Tipo de incidencia]]="OK",Analisis_Diferecias[[#This Row],[Segundo Conteo]],Analisis_Diferecias[[#This Row],[Tercer Conteo]])</f>
        <v>0</v>
      </c>
      <c r="K313" s="12">
        <f>+(Analisis_Diferecias[[#This Row],[Cantidad Total de Conteos]]-(Analisis_Diferecias[[#This Row],[Cantidad]]))</f>
        <v>-1</v>
      </c>
      <c r="L3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3" s="18"/>
      <c r="N313" s="18">
        <f>Analisis_Diferecias[[#This Row],[Costo Unitario($)]]*Analisis_Diferecias[[#This Row],[Cantidad Total de Conteos]]</f>
        <v>0</v>
      </c>
      <c r="O313" s="18">
        <f>Analisis_Diferecias[[#This Row],[Costo Unitario($)]]*Analisis_Diferecias[[#This Row],[Cantidad]]</f>
        <v>0</v>
      </c>
      <c r="P313" s="20">
        <f>+Analisis_Diferecias[[#This Row],[Valor Total Contado]]-Analisis_Diferecias[[#This Row],[Costo Total Sistema]]</f>
        <v>0</v>
      </c>
      <c r="Q31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4" spans="1:17" x14ac:dyDescent="0.2">
      <c r="A314" s="9">
        <v>3131</v>
      </c>
      <c r="B314" s="9" t="s">
        <v>602</v>
      </c>
      <c r="C314" s="9" t="s">
        <v>601</v>
      </c>
      <c r="D314" s="9">
        <v>1</v>
      </c>
      <c r="E314" s="12">
        <f>SUMIFS('Consolidado conteo 1'!$F:$F,'Consolidado conteo 1'!$C:$C,Analisis_Diferecias[[#This Row],[ID]],'Consolidado conteo 1'!$I:$I,Analisis_Diferecias[[#Headers],[Primer Conteo]])</f>
        <v>0</v>
      </c>
      <c r="F314" s="12">
        <f>SUMIFS('Consolidado conteo 2'!$F:$F,'Consolidado conteo 2'!$C:$C,Analisis_Diferecias[[#This Row],[ID]],'Consolidado conteo 2'!$I:$I,Analisis_Diferecias[[#Headers],[Segundo Conteo]])</f>
        <v>0</v>
      </c>
      <c r="G314" s="12">
        <f>+Analisis_Diferecias[[#This Row],[Segundo Conteo]]-(Analisis_Diferecias[[#This Row],[Primer Conteo]])</f>
        <v>0</v>
      </c>
      <c r="H31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4" s="12">
        <f>SUMIFS(Analisis_Diferecias_Tercer_conteo[Tercer_conteo],Analisis_Diferecias_Tercer_conteo[ID],Analisis_Diferecias[[#This Row],[ID]])</f>
        <v>0</v>
      </c>
      <c r="J314" s="12">
        <f>IF(Analisis_Diferecias[[#This Row],[Tipo de incidencia]]="OK",Analisis_Diferecias[[#This Row],[Segundo Conteo]],Analisis_Diferecias[[#This Row],[Tercer Conteo]])</f>
        <v>0</v>
      </c>
      <c r="K314" s="12">
        <f>+(Analisis_Diferecias[[#This Row],[Cantidad Total de Conteos]]-(Analisis_Diferecias[[#This Row],[Cantidad]]))</f>
        <v>-1</v>
      </c>
      <c r="L3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4" s="18"/>
      <c r="N314" s="18">
        <f>Analisis_Diferecias[[#This Row],[Costo Unitario($)]]*Analisis_Diferecias[[#This Row],[Cantidad Total de Conteos]]</f>
        <v>0</v>
      </c>
      <c r="O314" s="18">
        <f>Analisis_Diferecias[[#This Row],[Costo Unitario($)]]*Analisis_Diferecias[[#This Row],[Cantidad]]</f>
        <v>0</v>
      </c>
      <c r="P314" s="20">
        <f>+Analisis_Diferecias[[#This Row],[Valor Total Contado]]-Analisis_Diferecias[[#This Row],[Costo Total Sistema]]</f>
        <v>0</v>
      </c>
      <c r="Q31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5" spans="1:17" x14ac:dyDescent="0.2">
      <c r="A315" s="9">
        <v>3153</v>
      </c>
      <c r="B315" s="9" t="s">
        <v>604</v>
      </c>
      <c r="C315" s="9" t="s">
        <v>603</v>
      </c>
      <c r="D315" s="9">
        <v>1</v>
      </c>
      <c r="E315" s="12">
        <f>SUMIFS('Consolidado conteo 1'!$F:$F,'Consolidado conteo 1'!$C:$C,Analisis_Diferecias[[#This Row],[ID]],'Consolidado conteo 1'!$I:$I,Analisis_Diferecias[[#Headers],[Primer Conteo]])</f>
        <v>0</v>
      </c>
      <c r="F315" s="12">
        <f>SUMIFS('Consolidado conteo 2'!$F:$F,'Consolidado conteo 2'!$C:$C,Analisis_Diferecias[[#This Row],[ID]],'Consolidado conteo 2'!$I:$I,Analisis_Diferecias[[#Headers],[Segundo Conteo]])</f>
        <v>0</v>
      </c>
      <c r="G315" s="12">
        <f>+Analisis_Diferecias[[#This Row],[Segundo Conteo]]-(Analisis_Diferecias[[#This Row],[Primer Conteo]])</f>
        <v>0</v>
      </c>
      <c r="H31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5" s="12">
        <f>SUMIFS(Analisis_Diferecias_Tercer_conteo[Tercer_conteo],Analisis_Diferecias_Tercer_conteo[ID],Analisis_Diferecias[[#This Row],[ID]])</f>
        <v>0</v>
      </c>
      <c r="J315" s="12">
        <f>IF(Analisis_Diferecias[[#This Row],[Tipo de incidencia]]="OK",Analisis_Diferecias[[#This Row],[Segundo Conteo]],Analisis_Diferecias[[#This Row],[Tercer Conteo]])</f>
        <v>0</v>
      </c>
      <c r="K315" s="12">
        <f>+(Analisis_Diferecias[[#This Row],[Cantidad Total de Conteos]]-(Analisis_Diferecias[[#This Row],[Cantidad]]))</f>
        <v>-1</v>
      </c>
      <c r="L3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5" s="18"/>
      <c r="N315" s="18">
        <f>Analisis_Diferecias[[#This Row],[Costo Unitario($)]]*Analisis_Diferecias[[#This Row],[Cantidad Total de Conteos]]</f>
        <v>0</v>
      </c>
      <c r="O315" s="18">
        <f>Analisis_Diferecias[[#This Row],[Costo Unitario($)]]*Analisis_Diferecias[[#This Row],[Cantidad]]</f>
        <v>0</v>
      </c>
      <c r="P315" s="20">
        <f>+Analisis_Diferecias[[#This Row],[Valor Total Contado]]-Analisis_Diferecias[[#This Row],[Costo Total Sistema]]</f>
        <v>0</v>
      </c>
      <c r="Q31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6" spans="1:17" x14ac:dyDescent="0.2">
      <c r="A316" s="9">
        <v>3134</v>
      </c>
      <c r="B316" s="9" t="s">
        <v>606</v>
      </c>
      <c r="C316" s="9" t="s">
        <v>605</v>
      </c>
      <c r="D316" s="9">
        <v>1</v>
      </c>
      <c r="E316" s="12">
        <f>SUMIFS('Consolidado conteo 1'!$F:$F,'Consolidado conteo 1'!$C:$C,Analisis_Diferecias[[#This Row],[ID]],'Consolidado conteo 1'!$I:$I,Analisis_Diferecias[[#Headers],[Primer Conteo]])</f>
        <v>0</v>
      </c>
      <c r="F316" s="12">
        <f>SUMIFS('Consolidado conteo 2'!$F:$F,'Consolidado conteo 2'!$C:$C,Analisis_Diferecias[[#This Row],[ID]],'Consolidado conteo 2'!$I:$I,Analisis_Diferecias[[#Headers],[Segundo Conteo]])</f>
        <v>0</v>
      </c>
      <c r="G316" s="12">
        <f>+Analisis_Diferecias[[#This Row],[Segundo Conteo]]-(Analisis_Diferecias[[#This Row],[Primer Conteo]])</f>
        <v>0</v>
      </c>
      <c r="H31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6" s="12">
        <f>SUMIFS(Analisis_Diferecias_Tercer_conteo[Tercer_conteo],Analisis_Diferecias_Tercer_conteo[ID],Analisis_Diferecias[[#This Row],[ID]])</f>
        <v>0</v>
      </c>
      <c r="J316" s="12">
        <f>IF(Analisis_Diferecias[[#This Row],[Tipo de incidencia]]="OK",Analisis_Diferecias[[#This Row],[Segundo Conteo]],Analisis_Diferecias[[#This Row],[Tercer Conteo]])</f>
        <v>0</v>
      </c>
      <c r="K316" s="12">
        <f>+(Analisis_Diferecias[[#This Row],[Cantidad Total de Conteos]]-(Analisis_Diferecias[[#This Row],[Cantidad]]))</f>
        <v>-1</v>
      </c>
      <c r="L3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6" s="18"/>
      <c r="N316" s="18">
        <f>Analisis_Diferecias[[#This Row],[Costo Unitario($)]]*Analisis_Diferecias[[#This Row],[Cantidad Total de Conteos]]</f>
        <v>0</v>
      </c>
      <c r="O316" s="18">
        <f>Analisis_Diferecias[[#This Row],[Costo Unitario($)]]*Analisis_Diferecias[[#This Row],[Cantidad]]</f>
        <v>0</v>
      </c>
      <c r="P316" s="20">
        <f>+Analisis_Diferecias[[#This Row],[Valor Total Contado]]-Analisis_Diferecias[[#This Row],[Costo Total Sistema]]</f>
        <v>0</v>
      </c>
      <c r="Q31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7" spans="1:17" x14ac:dyDescent="0.2">
      <c r="A317" s="9">
        <v>3136</v>
      </c>
      <c r="B317" s="9" t="s">
        <v>608</v>
      </c>
      <c r="C317" s="9" t="s">
        <v>607</v>
      </c>
      <c r="D317" s="9">
        <v>1</v>
      </c>
      <c r="E317" s="12">
        <f>SUMIFS('Consolidado conteo 1'!$F:$F,'Consolidado conteo 1'!$C:$C,Analisis_Diferecias[[#This Row],[ID]],'Consolidado conteo 1'!$I:$I,Analisis_Diferecias[[#Headers],[Primer Conteo]])</f>
        <v>0</v>
      </c>
      <c r="F317" s="12">
        <f>SUMIFS('Consolidado conteo 2'!$F:$F,'Consolidado conteo 2'!$C:$C,Analisis_Diferecias[[#This Row],[ID]],'Consolidado conteo 2'!$I:$I,Analisis_Diferecias[[#Headers],[Segundo Conteo]])</f>
        <v>0</v>
      </c>
      <c r="G317" s="12">
        <f>+Analisis_Diferecias[[#This Row],[Segundo Conteo]]-(Analisis_Diferecias[[#This Row],[Primer Conteo]])</f>
        <v>0</v>
      </c>
      <c r="H31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7" s="12">
        <f>SUMIFS(Analisis_Diferecias_Tercer_conteo[Tercer_conteo],Analisis_Diferecias_Tercer_conteo[ID],Analisis_Diferecias[[#This Row],[ID]])</f>
        <v>0</v>
      </c>
      <c r="J317" s="12">
        <f>IF(Analisis_Diferecias[[#This Row],[Tipo de incidencia]]="OK",Analisis_Diferecias[[#This Row],[Segundo Conteo]],Analisis_Diferecias[[#This Row],[Tercer Conteo]])</f>
        <v>0</v>
      </c>
      <c r="K317" s="12">
        <f>+(Analisis_Diferecias[[#This Row],[Cantidad Total de Conteos]]-(Analisis_Diferecias[[#This Row],[Cantidad]]))</f>
        <v>-1</v>
      </c>
      <c r="L3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7" s="18"/>
      <c r="N317" s="18">
        <f>Analisis_Diferecias[[#This Row],[Costo Unitario($)]]*Analisis_Diferecias[[#This Row],[Cantidad Total de Conteos]]</f>
        <v>0</v>
      </c>
      <c r="O317" s="18">
        <f>Analisis_Diferecias[[#This Row],[Costo Unitario($)]]*Analisis_Diferecias[[#This Row],[Cantidad]]</f>
        <v>0</v>
      </c>
      <c r="P317" s="20">
        <f>+Analisis_Diferecias[[#This Row],[Valor Total Contado]]-Analisis_Diferecias[[#This Row],[Costo Total Sistema]]</f>
        <v>0</v>
      </c>
      <c r="Q31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8" spans="1:17" x14ac:dyDescent="0.2">
      <c r="A318" s="9">
        <v>6544</v>
      </c>
      <c r="B318" s="9" t="s">
        <v>610</v>
      </c>
      <c r="C318" s="9" t="s">
        <v>609</v>
      </c>
      <c r="D318" s="9">
        <v>1</v>
      </c>
      <c r="E318" s="12">
        <f>SUMIFS('Consolidado conteo 1'!$F:$F,'Consolidado conteo 1'!$C:$C,Analisis_Diferecias[[#This Row],[ID]],'Consolidado conteo 1'!$I:$I,Analisis_Diferecias[[#Headers],[Primer Conteo]])</f>
        <v>0</v>
      </c>
      <c r="F318" s="12">
        <f>SUMIFS('Consolidado conteo 2'!$F:$F,'Consolidado conteo 2'!$C:$C,Analisis_Diferecias[[#This Row],[ID]],'Consolidado conteo 2'!$I:$I,Analisis_Diferecias[[#Headers],[Segundo Conteo]])</f>
        <v>0</v>
      </c>
      <c r="G318" s="12">
        <f>+Analisis_Diferecias[[#This Row],[Segundo Conteo]]-(Analisis_Diferecias[[#This Row],[Primer Conteo]])</f>
        <v>0</v>
      </c>
      <c r="H31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8" s="12">
        <f>SUMIFS(Analisis_Diferecias_Tercer_conteo[Tercer_conteo],Analisis_Diferecias_Tercer_conteo[ID],Analisis_Diferecias[[#This Row],[ID]])</f>
        <v>0</v>
      </c>
      <c r="J318" s="12">
        <f>IF(Analisis_Diferecias[[#This Row],[Tipo de incidencia]]="OK",Analisis_Diferecias[[#This Row],[Segundo Conteo]],Analisis_Diferecias[[#This Row],[Tercer Conteo]])</f>
        <v>0</v>
      </c>
      <c r="K318" s="12">
        <f>+(Analisis_Diferecias[[#This Row],[Cantidad Total de Conteos]]-(Analisis_Diferecias[[#This Row],[Cantidad]]))</f>
        <v>-1</v>
      </c>
      <c r="L3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8" s="18"/>
      <c r="N318" s="18">
        <f>Analisis_Diferecias[[#This Row],[Costo Unitario($)]]*Analisis_Diferecias[[#This Row],[Cantidad Total de Conteos]]</f>
        <v>0</v>
      </c>
      <c r="O318" s="18">
        <f>Analisis_Diferecias[[#This Row],[Costo Unitario($)]]*Analisis_Diferecias[[#This Row],[Cantidad]]</f>
        <v>0</v>
      </c>
      <c r="P318" s="20">
        <f>+Analisis_Diferecias[[#This Row],[Valor Total Contado]]-Analisis_Diferecias[[#This Row],[Costo Total Sistema]]</f>
        <v>0</v>
      </c>
      <c r="Q31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19" spans="1:17" x14ac:dyDescent="0.2">
      <c r="A319" s="9">
        <v>697</v>
      </c>
      <c r="B319" s="9" t="s">
        <v>612</v>
      </c>
      <c r="C319" s="9" t="s">
        <v>611</v>
      </c>
      <c r="D319" s="9">
        <v>1</v>
      </c>
      <c r="E319" s="12">
        <f>SUMIFS('Consolidado conteo 1'!$F:$F,'Consolidado conteo 1'!$C:$C,Analisis_Diferecias[[#This Row],[ID]],'Consolidado conteo 1'!$I:$I,Analisis_Diferecias[[#Headers],[Primer Conteo]])</f>
        <v>0</v>
      </c>
      <c r="F319" s="12">
        <f>SUMIFS('Consolidado conteo 2'!$F:$F,'Consolidado conteo 2'!$C:$C,Analisis_Diferecias[[#This Row],[ID]],'Consolidado conteo 2'!$I:$I,Analisis_Diferecias[[#Headers],[Segundo Conteo]])</f>
        <v>0</v>
      </c>
      <c r="G319" s="12">
        <f>+Analisis_Diferecias[[#This Row],[Segundo Conteo]]-(Analisis_Diferecias[[#This Row],[Primer Conteo]])</f>
        <v>0</v>
      </c>
      <c r="H31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19" s="12">
        <f>SUMIFS(Analisis_Diferecias_Tercer_conteo[Tercer_conteo],Analisis_Diferecias_Tercer_conteo[ID],Analisis_Diferecias[[#This Row],[ID]])</f>
        <v>0</v>
      </c>
      <c r="J319" s="12">
        <f>IF(Analisis_Diferecias[[#This Row],[Tipo de incidencia]]="OK",Analisis_Diferecias[[#This Row],[Segundo Conteo]],Analisis_Diferecias[[#This Row],[Tercer Conteo]])</f>
        <v>0</v>
      </c>
      <c r="K319" s="12">
        <f>+(Analisis_Diferecias[[#This Row],[Cantidad Total de Conteos]]-(Analisis_Diferecias[[#This Row],[Cantidad]]))</f>
        <v>-1</v>
      </c>
      <c r="L3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19" s="18"/>
      <c r="N319" s="18">
        <f>Analisis_Diferecias[[#This Row],[Costo Unitario($)]]*Analisis_Diferecias[[#This Row],[Cantidad Total de Conteos]]</f>
        <v>0</v>
      </c>
      <c r="O319" s="18">
        <f>Analisis_Diferecias[[#This Row],[Costo Unitario($)]]*Analisis_Diferecias[[#This Row],[Cantidad]]</f>
        <v>0</v>
      </c>
      <c r="P319" s="20">
        <f>+Analisis_Diferecias[[#This Row],[Valor Total Contado]]-Analisis_Diferecias[[#This Row],[Costo Total Sistema]]</f>
        <v>0</v>
      </c>
      <c r="Q31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0" spans="1:17" x14ac:dyDescent="0.2">
      <c r="A320" s="9">
        <v>128</v>
      </c>
      <c r="B320" s="9" t="s">
        <v>614</v>
      </c>
      <c r="C320" s="9" t="s">
        <v>613</v>
      </c>
      <c r="D320" s="9">
        <v>1</v>
      </c>
      <c r="E320" s="12">
        <f>SUMIFS('Consolidado conteo 1'!$F:$F,'Consolidado conteo 1'!$C:$C,Analisis_Diferecias[[#This Row],[ID]],'Consolidado conteo 1'!$I:$I,Analisis_Diferecias[[#Headers],[Primer Conteo]])</f>
        <v>0</v>
      </c>
      <c r="F320" s="12">
        <f>SUMIFS('Consolidado conteo 2'!$F:$F,'Consolidado conteo 2'!$C:$C,Analisis_Diferecias[[#This Row],[ID]],'Consolidado conteo 2'!$I:$I,Analisis_Diferecias[[#Headers],[Segundo Conteo]])</f>
        <v>0</v>
      </c>
      <c r="G320" s="12">
        <f>+Analisis_Diferecias[[#This Row],[Segundo Conteo]]-(Analisis_Diferecias[[#This Row],[Primer Conteo]])</f>
        <v>0</v>
      </c>
      <c r="H32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0" s="12">
        <f>SUMIFS(Analisis_Diferecias_Tercer_conteo[Tercer_conteo],Analisis_Diferecias_Tercer_conteo[ID],Analisis_Diferecias[[#This Row],[ID]])</f>
        <v>0</v>
      </c>
      <c r="J320" s="12">
        <f>IF(Analisis_Diferecias[[#This Row],[Tipo de incidencia]]="OK",Analisis_Diferecias[[#This Row],[Segundo Conteo]],Analisis_Diferecias[[#This Row],[Tercer Conteo]])</f>
        <v>0</v>
      </c>
      <c r="K320" s="12">
        <f>+(Analisis_Diferecias[[#This Row],[Cantidad Total de Conteos]]-(Analisis_Diferecias[[#This Row],[Cantidad]]))</f>
        <v>-1</v>
      </c>
      <c r="L3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0" s="18"/>
      <c r="N320" s="18">
        <f>Analisis_Diferecias[[#This Row],[Costo Unitario($)]]*Analisis_Diferecias[[#This Row],[Cantidad Total de Conteos]]</f>
        <v>0</v>
      </c>
      <c r="O320" s="18">
        <f>Analisis_Diferecias[[#This Row],[Costo Unitario($)]]*Analisis_Diferecias[[#This Row],[Cantidad]]</f>
        <v>0</v>
      </c>
      <c r="P320" s="20">
        <f>+Analisis_Diferecias[[#This Row],[Valor Total Contado]]-Analisis_Diferecias[[#This Row],[Costo Total Sistema]]</f>
        <v>0</v>
      </c>
      <c r="Q32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1" spans="1:17" x14ac:dyDescent="0.2">
      <c r="A321" s="9">
        <v>1963</v>
      </c>
      <c r="B321" s="9" t="s">
        <v>616</v>
      </c>
      <c r="C321" s="9" t="s">
        <v>615</v>
      </c>
      <c r="D321" s="9">
        <v>1</v>
      </c>
      <c r="E321" s="12">
        <f>SUMIFS('Consolidado conteo 1'!$F:$F,'Consolidado conteo 1'!$C:$C,Analisis_Diferecias[[#This Row],[ID]],'Consolidado conteo 1'!$I:$I,Analisis_Diferecias[[#Headers],[Primer Conteo]])</f>
        <v>0</v>
      </c>
      <c r="F321" s="12">
        <f>SUMIFS('Consolidado conteo 2'!$F:$F,'Consolidado conteo 2'!$C:$C,Analisis_Diferecias[[#This Row],[ID]],'Consolidado conteo 2'!$I:$I,Analisis_Diferecias[[#Headers],[Segundo Conteo]])</f>
        <v>0</v>
      </c>
      <c r="G321" s="12">
        <f>+Analisis_Diferecias[[#This Row],[Segundo Conteo]]-(Analisis_Diferecias[[#This Row],[Primer Conteo]])</f>
        <v>0</v>
      </c>
      <c r="H32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1" s="12">
        <f>SUMIFS(Analisis_Diferecias_Tercer_conteo[Tercer_conteo],Analisis_Diferecias_Tercer_conteo[ID],Analisis_Diferecias[[#This Row],[ID]])</f>
        <v>0</v>
      </c>
      <c r="J321" s="12">
        <f>IF(Analisis_Diferecias[[#This Row],[Tipo de incidencia]]="OK",Analisis_Diferecias[[#This Row],[Segundo Conteo]],Analisis_Diferecias[[#This Row],[Tercer Conteo]])</f>
        <v>0</v>
      </c>
      <c r="K321" s="12">
        <f>+(Analisis_Diferecias[[#This Row],[Cantidad Total de Conteos]]-(Analisis_Diferecias[[#This Row],[Cantidad]]))</f>
        <v>-1</v>
      </c>
      <c r="L3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1" s="18"/>
      <c r="N321" s="18">
        <f>Analisis_Diferecias[[#This Row],[Costo Unitario($)]]*Analisis_Diferecias[[#This Row],[Cantidad Total de Conteos]]</f>
        <v>0</v>
      </c>
      <c r="O321" s="18">
        <f>Analisis_Diferecias[[#This Row],[Costo Unitario($)]]*Analisis_Diferecias[[#This Row],[Cantidad]]</f>
        <v>0</v>
      </c>
      <c r="P321" s="20">
        <f>+Analisis_Diferecias[[#This Row],[Valor Total Contado]]-Analisis_Diferecias[[#This Row],[Costo Total Sistema]]</f>
        <v>0</v>
      </c>
      <c r="Q32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2" spans="1:17" x14ac:dyDescent="0.2">
      <c r="A322" s="9">
        <v>1965</v>
      </c>
      <c r="B322" s="9" t="s">
        <v>618</v>
      </c>
      <c r="C322" s="9" t="s">
        <v>617</v>
      </c>
      <c r="D322" s="9">
        <v>1</v>
      </c>
      <c r="E322" s="12">
        <f>SUMIFS('Consolidado conteo 1'!$F:$F,'Consolidado conteo 1'!$C:$C,Analisis_Diferecias[[#This Row],[ID]],'Consolidado conteo 1'!$I:$I,Analisis_Diferecias[[#Headers],[Primer Conteo]])</f>
        <v>0</v>
      </c>
      <c r="F322" s="12">
        <f>SUMIFS('Consolidado conteo 2'!$F:$F,'Consolidado conteo 2'!$C:$C,Analisis_Diferecias[[#This Row],[ID]],'Consolidado conteo 2'!$I:$I,Analisis_Diferecias[[#Headers],[Segundo Conteo]])</f>
        <v>0</v>
      </c>
      <c r="G322" s="12">
        <f>+Analisis_Diferecias[[#This Row],[Segundo Conteo]]-(Analisis_Diferecias[[#This Row],[Primer Conteo]])</f>
        <v>0</v>
      </c>
      <c r="H32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2" s="12">
        <f>SUMIFS(Analisis_Diferecias_Tercer_conteo[Tercer_conteo],Analisis_Diferecias_Tercer_conteo[ID],Analisis_Diferecias[[#This Row],[ID]])</f>
        <v>0</v>
      </c>
      <c r="J322" s="12">
        <f>IF(Analisis_Diferecias[[#This Row],[Tipo de incidencia]]="OK",Analisis_Diferecias[[#This Row],[Segundo Conteo]],Analisis_Diferecias[[#This Row],[Tercer Conteo]])</f>
        <v>0</v>
      </c>
      <c r="K322" s="12">
        <f>+(Analisis_Diferecias[[#This Row],[Cantidad Total de Conteos]]-(Analisis_Diferecias[[#This Row],[Cantidad]]))</f>
        <v>-1</v>
      </c>
      <c r="L3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2" s="18"/>
      <c r="N322" s="18">
        <f>Analisis_Diferecias[[#This Row],[Costo Unitario($)]]*Analisis_Diferecias[[#This Row],[Cantidad Total de Conteos]]</f>
        <v>0</v>
      </c>
      <c r="O322" s="18">
        <f>Analisis_Diferecias[[#This Row],[Costo Unitario($)]]*Analisis_Diferecias[[#This Row],[Cantidad]]</f>
        <v>0</v>
      </c>
      <c r="P322" s="20">
        <f>+Analisis_Diferecias[[#This Row],[Valor Total Contado]]-Analisis_Diferecias[[#This Row],[Costo Total Sistema]]</f>
        <v>0</v>
      </c>
      <c r="Q32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3" spans="1:17" x14ac:dyDescent="0.2">
      <c r="A323" s="9">
        <v>3424</v>
      </c>
      <c r="B323" s="9" t="s">
        <v>620</v>
      </c>
      <c r="C323" s="9" t="s">
        <v>619</v>
      </c>
      <c r="D323" s="9">
        <v>1</v>
      </c>
      <c r="E323" s="12">
        <f>SUMIFS('Consolidado conteo 1'!$F:$F,'Consolidado conteo 1'!$C:$C,Analisis_Diferecias[[#This Row],[ID]],'Consolidado conteo 1'!$I:$I,Analisis_Diferecias[[#Headers],[Primer Conteo]])</f>
        <v>0</v>
      </c>
      <c r="F323" s="12">
        <f>SUMIFS('Consolidado conteo 2'!$F:$F,'Consolidado conteo 2'!$C:$C,Analisis_Diferecias[[#This Row],[ID]],'Consolidado conteo 2'!$I:$I,Analisis_Diferecias[[#Headers],[Segundo Conteo]])</f>
        <v>0</v>
      </c>
      <c r="G323" s="12">
        <f>+Analisis_Diferecias[[#This Row],[Segundo Conteo]]-(Analisis_Diferecias[[#This Row],[Primer Conteo]])</f>
        <v>0</v>
      </c>
      <c r="H32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3" s="12">
        <f>SUMIFS(Analisis_Diferecias_Tercer_conteo[Tercer_conteo],Analisis_Diferecias_Tercer_conteo[ID],Analisis_Diferecias[[#This Row],[ID]])</f>
        <v>0</v>
      </c>
      <c r="J323" s="12">
        <f>IF(Analisis_Diferecias[[#This Row],[Tipo de incidencia]]="OK",Analisis_Diferecias[[#This Row],[Segundo Conteo]],Analisis_Diferecias[[#This Row],[Tercer Conteo]])</f>
        <v>0</v>
      </c>
      <c r="K323" s="12">
        <f>+(Analisis_Diferecias[[#This Row],[Cantidad Total de Conteos]]-(Analisis_Diferecias[[#This Row],[Cantidad]]))</f>
        <v>-1</v>
      </c>
      <c r="L3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3" s="18"/>
      <c r="N323" s="18">
        <f>Analisis_Diferecias[[#This Row],[Costo Unitario($)]]*Analisis_Diferecias[[#This Row],[Cantidad Total de Conteos]]</f>
        <v>0</v>
      </c>
      <c r="O323" s="18">
        <f>Analisis_Diferecias[[#This Row],[Costo Unitario($)]]*Analisis_Diferecias[[#This Row],[Cantidad]]</f>
        <v>0</v>
      </c>
      <c r="P323" s="20">
        <f>+Analisis_Diferecias[[#This Row],[Valor Total Contado]]-Analisis_Diferecias[[#This Row],[Costo Total Sistema]]</f>
        <v>0</v>
      </c>
      <c r="Q32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4" spans="1:17" x14ac:dyDescent="0.2">
      <c r="A324" s="9">
        <v>4458</v>
      </c>
      <c r="B324" s="9" t="s">
        <v>622</v>
      </c>
      <c r="C324" s="9" t="s">
        <v>621</v>
      </c>
      <c r="D324" s="9">
        <v>1</v>
      </c>
      <c r="E324" s="12">
        <f>SUMIFS('Consolidado conteo 1'!$F:$F,'Consolidado conteo 1'!$C:$C,Analisis_Diferecias[[#This Row],[ID]],'Consolidado conteo 1'!$I:$I,Analisis_Diferecias[[#Headers],[Primer Conteo]])</f>
        <v>0</v>
      </c>
      <c r="F324" s="12">
        <f>SUMIFS('Consolidado conteo 2'!$F:$F,'Consolidado conteo 2'!$C:$C,Analisis_Diferecias[[#This Row],[ID]],'Consolidado conteo 2'!$I:$I,Analisis_Diferecias[[#Headers],[Segundo Conteo]])</f>
        <v>0</v>
      </c>
      <c r="G324" s="12">
        <f>+Analisis_Diferecias[[#This Row],[Segundo Conteo]]-(Analisis_Diferecias[[#This Row],[Primer Conteo]])</f>
        <v>0</v>
      </c>
      <c r="H32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4" s="12">
        <f>SUMIFS(Analisis_Diferecias_Tercer_conteo[Tercer_conteo],Analisis_Diferecias_Tercer_conteo[ID],Analisis_Diferecias[[#This Row],[ID]])</f>
        <v>0</v>
      </c>
      <c r="J324" s="12">
        <f>IF(Analisis_Diferecias[[#This Row],[Tipo de incidencia]]="OK",Analisis_Diferecias[[#This Row],[Segundo Conteo]],Analisis_Diferecias[[#This Row],[Tercer Conteo]])</f>
        <v>0</v>
      </c>
      <c r="K324" s="12">
        <f>+(Analisis_Diferecias[[#This Row],[Cantidad Total de Conteos]]-(Analisis_Diferecias[[#This Row],[Cantidad]]))</f>
        <v>-1</v>
      </c>
      <c r="L3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4" s="18"/>
      <c r="N324" s="18">
        <f>Analisis_Diferecias[[#This Row],[Costo Unitario($)]]*Analisis_Diferecias[[#This Row],[Cantidad Total de Conteos]]</f>
        <v>0</v>
      </c>
      <c r="O324" s="18">
        <f>Analisis_Diferecias[[#This Row],[Costo Unitario($)]]*Analisis_Diferecias[[#This Row],[Cantidad]]</f>
        <v>0</v>
      </c>
      <c r="P324" s="20">
        <f>+Analisis_Diferecias[[#This Row],[Valor Total Contado]]-Analisis_Diferecias[[#This Row],[Costo Total Sistema]]</f>
        <v>0</v>
      </c>
      <c r="Q32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5" spans="1:17" x14ac:dyDescent="0.2">
      <c r="A325" s="9">
        <v>1978</v>
      </c>
      <c r="B325" s="9" t="s">
        <v>624</v>
      </c>
      <c r="C325" s="9" t="s">
        <v>623</v>
      </c>
      <c r="D325" s="9">
        <v>1</v>
      </c>
      <c r="E325" s="12">
        <f>SUMIFS('Consolidado conteo 1'!$F:$F,'Consolidado conteo 1'!$C:$C,Analisis_Diferecias[[#This Row],[ID]],'Consolidado conteo 1'!$I:$I,Analisis_Diferecias[[#Headers],[Primer Conteo]])</f>
        <v>0</v>
      </c>
      <c r="F325" s="12">
        <f>SUMIFS('Consolidado conteo 2'!$F:$F,'Consolidado conteo 2'!$C:$C,Analisis_Diferecias[[#This Row],[ID]],'Consolidado conteo 2'!$I:$I,Analisis_Diferecias[[#Headers],[Segundo Conteo]])</f>
        <v>0</v>
      </c>
      <c r="G325" s="12">
        <f>+Analisis_Diferecias[[#This Row],[Segundo Conteo]]-(Analisis_Diferecias[[#This Row],[Primer Conteo]])</f>
        <v>0</v>
      </c>
      <c r="H32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5" s="12">
        <f>SUMIFS(Analisis_Diferecias_Tercer_conteo[Tercer_conteo],Analisis_Diferecias_Tercer_conteo[ID],Analisis_Diferecias[[#This Row],[ID]])</f>
        <v>0</v>
      </c>
      <c r="J325" s="12">
        <f>IF(Analisis_Diferecias[[#This Row],[Tipo de incidencia]]="OK",Analisis_Diferecias[[#This Row],[Segundo Conteo]],Analisis_Diferecias[[#This Row],[Tercer Conteo]])</f>
        <v>0</v>
      </c>
      <c r="K325" s="12">
        <f>+(Analisis_Diferecias[[#This Row],[Cantidad Total de Conteos]]-(Analisis_Diferecias[[#This Row],[Cantidad]]))</f>
        <v>-1</v>
      </c>
      <c r="L3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5" s="18"/>
      <c r="N325" s="18">
        <f>Analisis_Diferecias[[#This Row],[Costo Unitario($)]]*Analisis_Diferecias[[#This Row],[Cantidad Total de Conteos]]</f>
        <v>0</v>
      </c>
      <c r="O325" s="18">
        <f>Analisis_Diferecias[[#This Row],[Costo Unitario($)]]*Analisis_Diferecias[[#This Row],[Cantidad]]</f>
        <v>0</v>
      </c>
      <c r="P325" s="20">
        <f>+Analisis_Diferecias[[#This Row],[Valor Total Contado]]-Analisis_Diferecias[[#This Row],[Costo Total Sistema]]</f>
        <v>0</v>
      </c>
      <c r="Q32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6" spans="1:17" x14ac:dyDescent="0.2">
      <c r="A326" s="9">
        <v>4463</v>
      </c>
      <c r="B326" s="9" t="s">
        <v>626</v>
      </c>
      <c r="C326" s="9" t="s">
        <v>625</v>
      </c>
      <c r="D326" s="9">
        <v>1</v>
      </c>
      <c r="E326" s="12">
        <f>SUMIFS('Consolidado conteo 1'!$F:$F,'Consolidado conteo 1'!$C:$C,Analisis_Diferecias[[#This Row],[ID]],'Consolidado conteo 1'!$I:$I,Analisis_Diferecias[[#Headers],[Primer Conteo]])</f>
        <v>5</v>
      </c>
      <c r="F326" s="12">
        <f>SUMIFS('Consolidado conteo 2'!$F:$F,'Consolidado conteo 2'!$C:$C,Analisis_Diferecias[[#This Row],[ID]],'Consolidado conteo 2'!$I:$I,Analisis_Diferecias[[#Headers],[Segundo Conteo]])</f>
        <v>5</v>
      </c>
      <c r="G326" s="12">
        <f>+Analisis_Diferecias[[#This Row],[Segundo Conteo]]-(Analisis_Diferecias[[#This Row],[Primer Conteo]])</f>
        <v>0</v>
      </c>
      <c r="H32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OK</v>
      </c>
      <c r="I326" s="12">
        <f>SUMIFS(Analisis_Diferecias_Tercer_conteo[Tercer_conteo],Analisis_Diferecias_Tercer_conteo[ID],Analisis_Diferecias[[#This Row],[ID]])</f>
        <v>0</v>
      </c>
      <c r="J326" s="12">
        <f>IF(Analisis_Diferecias[[#This Row],[Tipo de incidencia]]="OK",Analisis_Diferecias[[#This Row],[Segundo Conteo]],Analisis_Diferecias[[#This Row],[Tercer Conteo]])</f>
        <v>5</v>
      </c>
      <c r="K326" s="12">
        <f>+(Analisis_Diferecias[[#This Row],[Cantidad Total de Conteos]]-(Analisis_Diferecias[[#This Row],[Cantidad]]))</f>
        <v>4</v>
      </c>
      <c r="L3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326" s="18"/>
      <c r="N326" s="18">
        <f>Analisis_Diferecias[[#This Row],[Costo Unitario($)]]*Analisis_Diferecias[[#This Row],[Cantidad Total de Conteos]]</f>
        <v>0</v>
      </c>
      <c r="O326" s="18">
        <f>Analisis_Diferecias[[#This Row],[Costo Unitario($)]]*Analisis_Diferecias[[#This Row],[Cantidad]]</f>
        <v>0</v>
      </c>
      <c r="P326" s="20">
        <f>+Analisis_Diferecias[[#This Row],[Valor Total Contado]]-Analisis_Diferecias[[#This Row],[Costo Total Sistema]]</f>
        <v>0</v>
      </c>
      <c r="Q32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327" spans="1:17" x14ac:dyDescent="0.2">
      <c r="A327" s="9">
        <v>4460</v>
      </c>
      <c r="B327" s="9" t="s">
        <v>628</v>
      </c>
      <c r="C327" s="9" t="s">
        <v>627</v>
      </c>
      <c r="D327" s="9">
        <v>1</v>
      </c>
      <c r="E327" s="12">
        <f>SUMIFS('Consolidado conteo 1'!$F:$F,'Consolidado conteo 1'!$C:$C,Analisis_Diferecias[[#This Row],[ID]],'Consolidado conteo 1'!$I:$I,Analisis_Diferecias[[#Headers],[Primer Conteo]])</f>
        <v>0</v>
      </c>
      <c r="F327" s="12">
        <f>SUMIFS('Consolidado conteo 2'!$F:$F,'Consolidado conteo 2'!$C:$C,Analisis_Diferecias[[#This Row],[ID]],'Consolidado conteo 2'!$I:$I,Analisis_Diferecias[[#Headers],[Segundo Conteo]])</f>
        <v>0</v>
      </c>
      <c r="G327" s="12">
        <f>+Analisis_Diferecias[[#This Row],[Segundo Conteo]]-(Analisis_Diferecias[[#This Row],[Primer Conteo]])</f>
        <v>0</v>
      </c>
      <c r="H32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7" s="12">
        <f>SUMIFS(Analisis_Diferecias_Tercer_conteo[Tercer_conteo],Analisis_Diferecias_Tercer_conteo[ID],Analisis_Diferecias[[#This Row],[ID]])</f>
        <v>0</v>
      </c>
      <c r="J327" s="12">
        <f>IF(Analisis_Diferecias[[#This Row],[Tipo de incidencia]]="OK",Analisis_Diferecias[[#This Row],[Segundo Conteo]],Analisis_Diferecias[[#This Row],[Tercer Conteo]])</f>
        <v>0</v>
      </c>
      <c r="K327" s="12">
        <f>+(Analisis_Diferecias[[#This Row],[Cantidad Total de Conteos]]-(Analisis_Diferecias[[#This Row],[Cantidad]]))</f>
        <v>-1</v>
      </c>
      <c r="L3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7" s="18"/>
      <c r="N327" s="18">
        <f>Analisis_Diferecias[[#This Row],[Costo Unitario($)]]*Analisis_Diferecias[[#This Row],[Cantidad Total de Conteos]]</f>
        <v>0</v>
      </c>
      <c r="O327" s="18">
        <f>Analisis_Diferecias[[#This Row],[Costo Unitario($)]]*Analisis_Diferecias[[#This Row],[Cantidad]]</f>
        <v>0</v>
      </c>
      <c r="P327" s="20">
        <f>+Analisis_Diferecias[[#This Row],[Valor Total Contado]]-Analisis_Diferecias[[#This Row],[Costo Total Sistema]]</f>
        <v>0</v>
      </c>
      <c r="Q32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8" spans="1:17" x14ac:dyDescent="0.2">
      <c r="A328" s="9">
        <v>1990</v>
      </c>
      <c r="B328" s="9" t="s">
        <v>630</v>
      </c>
      <c r="C328" s="9" t="s">
        <v>629</v>
      </c>
      <c r="D328" s="9">
        <v>1</v>
      </c>
      <c r="E328" s="12">
        <f>SUMIFS('Consolidado conteo 1'!$F:$F,'Consolidado conteo 1'!$C:$C,Analisis_Diferecias[[#This Row],[ID]],'Consolidado conteo 1'!$I:$I,Analisis_Diferecias[[#Headers],[Primer Conteo]])</f>
        <v>0</v>
      </c>
      <c r="F328" s="12">
        <f>SUMIFS('Consolidado conteo 2'!$F:$F,'Consolidado conteo 2'!$C:$C,Analisis_Diferecias[[#This Row],[ID]],'Consolidado conteo 2'!$I:$I,Analisis_Diferecias[[#Headers],[Segundo Conteo]])</f>
        <v>0</v>
      </c>
      <c r="G328" s="12">
        <f>+Analisis_Diferecias[[#This Row],[Segundo Conteo]]-(Analisis_Diferecias[[#This Row],[Primer Conteo]])</f>
        <v>0</v>
      </c>
      <c r="H32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8" s="12">
        <f>SUMIFS(Analisis_Diferecias_Tercer_conteo[Tercer_conteo],Analisis_Diferecias_Tercer_conteo[ID],Analisis_Diferecias[[#This Row],[ID]])</f>
        <v>0</v>
      </c>
      <c r="J328" s="12">
        <f>IF(Analisis_Diferecias[[#This Row],[Tipo de incidencia]]="OK",Analisis_Diferecias[[#This Row],[Segundo Conteo]],Analisis_Diferecias[[#This Row],[Tercer Conteo]])</f>
        <v>0</v>
      </c>
      <c r="K328" s="12">
        <f>+(Analisis_Diferecias[[#This Row],[Cantidad Total de Conteos]]-(Analisis_Diferecias[[#This Row],[Cantidad]]))</f>
        <v>-1</v>
      </c>
      <c r="L3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8" s="18"/>
      <c r="N328" s="18">
        <f>Analisis_Diferecias[[#This Row],[Costo Unitario($)]]*Analisis_Diferecias[[#This Row],[Cantidad Total de Conteos]]</f>
        <v>0</v>
      </c>
      <c r="O328" s="18">
        <f>Analisis_Diferecias[[#This Row],[Costo Unitario($)]]*Analisis_Diferecias[[#This Row],[Cantidad]]</f>
        <v>0</v>
      </c>
      <c r="P328" s="20">
        <f>+Analisis_Diferecias[[#This Row],[Valor Total Contado]]-Analisis_Diferecias[[#This Row],[Costo Total Sistema]]</f>
        <v>0</v>
      </c>
      <c r="Q32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29" spans="1:17" x14ac:dyDescent="0.2">
      <c r="A329" s="9">
        <v>1991</v>
      </c>
      <c r="B329" s="9" t="s">
        <v>632</v>
      </c>
      <c r="C329" s="9" t="s">
        <v>631</v>
      </c>
      <c r="D329" s="9">
        <v>1</v>
      </c>
      <c r="E329" s="12">
        <f>SUMIFS('Consolidado conteo 1'!$F:$F,'Consolidado conteo 1'!$C:$C,Analisis_Diferecias[[#This Row],[ID]],'Consolidado conteo 1'!$I:$I,Analisis_Diferecias[[#Headers],[Primer Conteo]])</f>
        <v>0</v>
      </c>
      <c r="F329" s="12">
        <f>SUMIFS('Consolidado conteo 2'!$F:$F,'Consolidado conteo 2'!$C:$C,Analisis_Diferecias[[#This Row],[ID]],'Consolidado conteo 2'!$I:$I,Analisis_Diferecias[[#Headers],[Segundo Conteo]])</f>
        <v>0</v>
      </c>
      <c r="G329" s="12">
        <f>+Analisis_Diferecias[[#This Row],[Segundo Conteo]]-(Analisis_Diferecias[[#This Row],[Primer Conteo]])</f>
        <v>0</v>
      </c>
      <c r="H32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29" s="12">
        <f>SUMIFS(Analisis_Diferecias_Tercer_conteo[Tercer_conteo],Analisis_Diferecias_Tercer_conteo[ID],Analisis_Diferecias[[#This Row],[ID]])</f>
        <v>0</v>
      </c>
      <c r="J329" s="12">
        <f>IF(Analisis_Diferecias[[#This Row],[Tipo de incidencia]]="OK",Analisis_Diferecias[[#This Row],[Segundo Conteo]],Analisis_Diferecias[[#This Row],[Tercer Conteo]])</f>
        <v>0</v>
      </c>
      <c r="K329" s="12">
        <f>+(Analisis_Diferecias[[#This Row],[Cantidad Total de Conteos]]-(Analisis_Diferecias[[#This Row],[Cantidad]]))</f>
        <v>-1</v>
      </c>
      <c r="L3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29" s="18"/>
      <c r="N329" s="18">
        <f>Analisis_Diferecias[[#This Row],[Costo Unitario($)]]*Analisis_Diferecias[[#This Row],[Cantidad Total de Conteos]]</f>
        <v>0</v>
      </c>
      <c r="O329" s="18">
        <f>Analisis_Diferecias[[#This Row],[Costo Unitario($)]]*Analisis_Diferecias[[#This Row],[Cantidad]]</f>
        <v>0</v>
      </c>
      <c r="P329" s="20">
        <f>+Analisis_Diferecias[[#This Row],[Valor Total Contado]]-Analisis_Diferecias[[#This Row],[Costo Total Sistema]]</f>
        <v>0</v>
      </c>
      <c r="Q32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0" spans="1:17" x14ac:dyDescent="0.2">
      <c r="A330" s="9">
        <v>4462</v>
      </c>
      <c r="B330" s="9" t="s">
        <v>634</v>
      </c>
      <c r="C330" s="9" t="s">
        <v>633</v>
      </c>
      <c r="D330" s="9">
        <v>1</v>
      </c>
      <c r="E330" s="12">
        <f>SUMIFS('Consolidado conteo 1'!$F:$F,'Consolidado conteo 1'!$C:$C,Analisis_Diferecias[[#This Row],[ID]],'Consolidado conteo 1'!$I:$I,Analisis_Diferecias[[#Headers],[Primer Conteo]])</f>
        <v>0</v>
      </c>
      <c r="F330" s="12">
        <f>SUMIFS('Consolidado conteo 2'!$F:$F,'Consolidado conteo 2'!$C:$C,Analisis_Diferecias[[#This Row],[ID]],'Consolidado conteo 2'!$I:$I,Analisis_Diferecias[[#Headers],[Segundo Conteo]])</f>
        <v>0</v>
      </c>
      <c r="G330" s="12">
        <f>+Analisis_Diferecias[[#This Row],[Segundo Conteo]]-(Analisis_Diferecias[[#This Row],[Primer Conteo]])</f>
        <v>0</v>
      </c>
      <c r="H33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0" s="12">
        <f>SUMIFS(Analisis_Diferecias_Tercer_conteo[Tercer_conteo],Analisis_Diferecias_Tercer_conteo[ID],Analisis_Diferecias[[#This Row],[ID]])</f>
        <v>0</v>
      </c>
      <c r="J330" s="12">
        <f>IF(Analisis_Diferecias[[#This Row],[Tipo de incidencia]]="OK",Analisis_Diferecias[[#This Row],[Segundo Conteo]],Analisis_Diferecias[[#This Row],[Tercer Conteo]])</f>
        <v>0</v>
      </c>
      <c r="K330" s="12">
        <f>+(Analisis_Diferecias[[#This Row],[Cantidad Total de Conteos]]-(Analisis_Diferecias[[#This Row],[Cantidad]]))</f>
        <v>-1</v>
      </c>
      <c r="L3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0" s="18"/>
      <c r="N330" s="18">
        <f>Analisis_Diferecias[[#This Row],[Costo Unitario($)]]*Analisis_Diferecias[[#This Row],[Cantidad Total de Conteos]]</f>
        <v>0</v>
      </c>
      <c r="O330" s="18">
        <f>Analisis_Diferecias[[#This Row],[Costo Unitario($)]]*Analisis_Diferecias[[#This Row],[Cantidad]]</f>
        <v>0</v>
      </c>
      <c r="P330" s="20">
        <f>+Analisis_Diferecias[[#This Row],[Valor Total Contado]]-Analisis_Diferecias[[#This Row],[Costo Total Sistema]]</f>
        <v>0</v>
      </c>
      <c r="Q33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1" spans="1:17" x14ac:dyDescent="0.2">
      <c r="A331" s="9">
        <v>603</v>
      </c>
      <c r="B331" s="9" t="s">
        <v>636</v>
      </c>
      <c r="C331" s="9" t="s">
        <v>635</v>
      </c>
      <c r="D331" s="9">
        <v>1</v>
      </c>
      <c r="E331" s="12">
        <f>SUMIFS('Consolidado conteo 1'!$F:$F,'Consolidado conteo 1'!$C:$C,Analisis_Diferecias[[#This Row],[ID]],'Consolidado conteo 1'!$I:$I,Analisis_Diferecias[[#Headers],[Primer Conteo]])</f>
        <v>0</v>
      </c>
      <c r="F331" s="12">
        <f>SUMIFS('Consolidado conteo 2'!$F:$F,'Consolidado conteo 2'!$C:$C,Analisis_Diferecias[[#This Row],[ID]],'Consolidado conteo 2'!$I:$I,Analisis_Diferecias[[#Headers],[Segundo Conteo]])</f>
        <v>0</v>
      </c>
      <c r="G331" s="12">
        <f>+Analisis_Diferecias[[#This Row],[Segundo Conteo]]-(Analisis_Diferecias[[#This Row],[Primer Conteo]])</f>
        <v>0</v>
      </c>
      <c r="H33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1" s="12">
        <f>SUMIFS(Analisis_Diferecias_Tercer_conteo[Tercer_conteo],Analisis_Diferecias_Tercer_conteo[ID],Analisis_Diferecias[[#This Row],[ID]])</f>
        <v>0</v>
      </c>
      <c r="J331" s="12">
        <f>IF(Analisis_Diferecias[[#This Row],[Tipo de incidencia]]="OK",Analisis_Diferecias[[#This Row],[Segundo Conteo]],Analisis_Diferecias[[#This Row],[Tercer Conteo]])</f>
        <v>0</v>
      </c>
      <c r="K331" s="12">
        <f>+(Analisis_Diferecias[[#This Row],[Cantidad Total de Conteos]]-(Analisis_Diferecias[[#This Row],[Cantidad]]))</f>
        <v>-1</v>
      </c>
      <c r="L3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1" s="18"/>
      <c r="N331" s="18">
        <f>Analisis_Diferecias[[#This Row],[Costo Unitario($)]]*Analisis_Diferecias[[#This Row],[Cantidad Total de Conteos]]</f>
        <v>0</v>
      </c>
      <c r="O331" s="18">
        <f>Analisis_Diferecias[[#This Row],[Costo Unitario($)]]*Analisis_Diferecias[[#This Row],[Cantidad]]</f>
        <v>0</v>
      </c>
      <c r="P331" s="20">
        <f>+Analisis_Diferecias[[#This Row],[Valor Total Contado]]-Analisis_Diferecias[[#This Row],[Costo Total Sistema]]</f>
        <v>0</v>
      </c>
      <c r="Q33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2" spans="1:17" x14ac:dyDescent="0.2">
      <c r="A332" s="9">
        <v>405</v>
      </c>
      <c r="B332" s="9" t="s">
        <v>638</v>
      </c>
      <c r="C332" s="9" t="s">
        <v>637</v>
      </c>
      <c r="D332" s="9">
        <v>1</v>
      </c>
      <c r="E332" s="12">
        <f>SUMIFS('Consolidado conteo 1'!$F:$F,'Consolidado conteo 1'!$C:$C,Analisis_Diferecias[[#This Row],[ID]],'Consolidado conteo 1'!$I:$I,Analisis_Diferecias[[#Headers],[Primer Conteo]])</f>
        <v>0</v>
      </c>
      <c r="F332" s="12">
        <f>SUMIFS('Consolidado conteo 2'!$F:$F,'Consolidado conteo 2'!$C:$C,Analisis_Diferecias[[#This Row],[ID]],'Consolidado conteo 2'!$I:$I,Analisis_Diferecias[[#Headers],[Segundo Conteo]])</f>
        <v>0</v>
      </c>
      <c r="G332" s="12">
        <f>+Analisis_Diferecias[[#This Row],[Segundo Conteo]]-(Analisis_Diferecias[[#This Row],[Primer Conteo]])</f>
        <v>0</v>
      </c>
      <c r="H33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2" s="12">
        <f>SUMIFS(Analisis_Diferecias_Tercer_conteo[Tercer_conteo],Analisis_Diferecias_Tercer_conteo[ID],Analisis_Diferecias[[#This Row],[ID]])</f>
        <v>0</v>
      </c>
      <c r="J332" s="12">
        <f>IF(Analisis_Diferecias[[#This Row],[Tipo de incidencia]]="OK",Analisis_Diferecias[[#This Row],[Segundo Conteo]],Analisis_Diferecias[[#This Row],[Tercer Conteo]])</f>
        <v>0</v>
      </c>
      <c r="K332" s="12">
        <f>+(Analisis_Diferecias[[#This Row],[Cantidad Total de Conteos]]-(Analisis_Diferecias[[#This Row],[Cantidad]]))</f>
        <v>-1</v>
      </c>
      <c r="L3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2" s="18"/>
      <c r="N332" s="18">
        <f>Analisis_Diferecias[[#This Row],[Costo Unitario($)]]*Analisis_Diferecias[[#This Row],[Cantidad Total de Conteos]]</f>
        <v>0</v>
      </c>
      <c r="O332" s="18">
        <f>Analisis_Diferecias[[#This Row],[Costo Unitario($)]]*Analisis_Diferecias[[#This Row],[Cantidad]]</f>
        <v>0</v>
      </c>
      <c r="P332" s="20">
        <f>+Analisis_Diferecias[[#This Row],[Valor Total Contado]]-Analisis_Diferecias[[#This Row],[Costo Total Sistema]]</f>
        <v>0</v>
      </c>
      <c r="Q33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3" spans="1:17" x14ac:dyDescent="0.2">
      <c r="A333" s="9">
        <v>659</v>
      </c>
      <c r="B333" s="9" t="s">
        <v>640</v>
      </c>
      <c r="C333" s="9" t="s">
        <v>639</v>
      </c>
      <c r="D333" s="9">
        <v>1</v>
      </c>
      <c r="E333" s="12">
        <f>SUMIFS('Consolidado conteo 1'!$F:$F,'Consolidado conteo 1'!$C:$C,Analisis_Diferecias[[#This Row],[ID]],'Consolidado conteo 1'!$I:$I,Analisis_Diferecias[[#Headers],[Primer Conteo]])</f>
        <v>0</v>
      </c>
      <c r="F333" s="12">
        <f>SUMIFS('Consolidado conteo 2'!$F:$F,'Consolidado conteo 2'!$C:$C,Analisis_Diferecias[[#This Row],[ID]],'Consolidado conteo 2'!$I:$I,Analisis_Diferecias[[#Headers],[Segundo Conteo]])</f>
        <v>0</v>
      </c>
      <c r="G333" s="12">
        <f>+Analisis_Diferecias[[#This Row],[Segundo Conteo]]-(Analisis_Diferecias[[#This Row],[Primer Conteo]])</f>
        <v>0</v>
      </c>
      <c r="H33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3" s="12">
        <f>SUMIFS(Analisis_Diferecias_Tercer_conteo[Tercer_conteo],Analisis_Diferecias_Tercer_conteo[ID],Analisis_Diferecias[[#This Row],[ID]])</f>
        <v>0</v>
      </c>
      <c r="J333" s="12">
        <f>IF(Analisis_Diferecias[[#This Row],[Tipo de incidencia]]="OK",Analisis_Diferecias[[#This Row],[Segundo Conteo]],Analisis_Diferecias[[#This Row],[Tercer Conteo]])</f>
        <v>0</v>
      </c>
      <c r="K333" s="12">
        <f>+(Analisis_Diferecias[[#This Row],[Cantidad Total de Conteos]]-(Analisis_Diferecias[[#This Row],[Cantidad]]))</f>
        <v>-1</v>
      </c>
      <c r="L3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3" s="18"/>
      <c r="N333" s="18">
        <f>Analisis_Diferecias[[#This Row],[Costo Unitario($)]]*Analisis_Diferecias[[#This Row],[Cantidad Total de Conteos]]</f>
        <v>0</v>
      </c>
      <c r="O333" s="18">
        <f>Analisis_Diferecias[[#This Row],[Costo Unitario($)]]*Analisis_Diferecias[[#This Row],[Cantidad]]</f>
        <v>0</v>
      </c>
      <c r="P333" s="20">
        <f>+Analisis_Diferecias[[#This Row],[Valor Total Contado]]-Analisis_Diferecias[[#This Row],[Costo Total Sistema]]</f>
        <v>0</v>
      </c>
      <c r="Q33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4" spans="1:17" x14ac:dyDescent="0.2">
      <c r="A334" s="9">
        <v>6253</v>
      </c>
      <c r="B334" s="9" t="s">
        <v>642</v>
      </c>
      <c r="C334" s="9" t="s">
        <v>641</v>
      </c>
      <c r="D334" s="9">
        <v>993</v>
      </c>
      <c r="E334" s="12">
        <f>SUMIFS('Consolidado conteo 1'!$F:$F,'Consolidado conteo 1'!$C:$C,Analisis_Diferecias[[#This Row],[ID]],'Consolidado conteo 1'!$I:$I,Analisis_Diferecias[[#Headers],[Primer Conteo]])</f>
        <v>2167</v>
      </c>
      <c r="F334" s="12">
        <f>SUMIFS('Consolidado conteo 2'!$F:$F,'Consolidado conteo 2'!$C:$C,Analisis_Diferecias[[#This Row],[ID]],'Consolidado conteo 2'!$I:$I,Analisis_Diferecias[[#Headers],[Segundo Conteo]])</f>
        <v>910</v>
      </c>
      <c r="G334" s="12">
        <f>+Analisis_Diferecias[[#This Row],[Segundo Conteo]]-(Analisis_Diferecias[[#This Row],[Primer Conteo]])</f>
        <v>-1257</v>
      </c>
      <c r="H334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DIFERENCIA</v>
      </c>
      <c r="I334" s="12">
        <f>SUMIFS(Analisis_Diferecias_Tercer_conteo[Tercer_conteo],Analisis_Diferecias_Tercer_conteo[ID],Analisis_Diferecias[[#This Row],[ID]])</f>
        <v>888</v>
      </c>
      <c r="J334" s="12">
        <f>IF(Analisis_Diferecias[[#This Row],[Tipo de incidencia]]="OK",Analisis_Diferecias[[#This Row],[Segundo Conteo]],Analisis_Diferecias[[#This Row],[Tercer Conteo]])</f>
        <v>888</v>
      </c>
      <c r="K334" s="12">
        <f>+(Analisis_Diferecias[[#This Row],[Cantidad Total de Conteos]]-(Analisis_Diferecias[[#This Row],[Cantidad]]))</f>
        <v>-105</v>
      </c>
      <c r="L3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4" s="18"/>
      <c r="N334" s="18">
        <f>Analisis_Diferecias[[#This Row],[Costo Unitario($)]]*Analisis_Diferecias[[#This Row],[Cantidad Total de Conteos]]</f>
        <v>0</v>
      </c>
      <c r="O334" s="18">
        <f>Analisis_Diferecias[[#This Row],[Costo Unitario($)]]*Analisis_Diferecias[[#This Row],[Cantidad]]</f>
        <v>0</v>
      </c>
      <c r="P334" s="20">
        <f>+Analisis_Diferecias[[#This Row],[Valor Total Contado]]-Analisis_Diferecias[[#This Row],[Costo Total Sistema]]</f>
        <v>0</v>
      </c>
      <c r="Q334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5" spans="1:17" x14ac:dyDescent="0.2">
      <c r="A335" s="9">
        <v>188</v>
      </c>
      <c r="B335" s="9" t="s">
        <v>644</v>
      </c>
      <c r="C335" s="9" t="s">
        <v>643</v>
      </c>
      <c r="D335" s="9">
        <v>-1</v>
      </c>
      <c r="E335" s="12">
        <f>SUMIFS('Consolidado conteo 1'!$F:$F,'Consolidado conteo 1'!$C:$C,Analisis_Diferecias[[#This Row],[ID]],'Consolidado conteo 1'!$I:$I,Analisis_Diferecias[[#Headers],[Primer Conteo]])</f>
        <v>0</v>
      </c>
      <c r="F335" s="12">
        <f>SUMIFS('Consolidado conteo 2'!$F:$F,'Consolidado conteo 2'!$C:$C,Analisis_Diferecias[[#This Row],[ID]],'Consolidado conteo 2'!$I:$I,Analisis_Diferecias[[#Headers],[Segundo Conteo]])</f>
        <v>0</v>
      </c>
      <c r="G335" s="12">
        <f>+Analisis_Diferecias[[#This Row],[Segundo Conteo]]-(Analisis_Diferecias[[#This Row],[Primer Conteo]])</f>
        <v>0</v>
      </c>
      <c r="H335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5" s="12">
        <f>SUMIFS(Analisis_Diferecias_Tercer_conteo[Tercer_conteo],Analisis_Diferecias_Tercer_conteo[ID],Analisis_Diferecias[[#This Row],[ID]])</f>
        <v>0</v>
      </c>
      <c r="J335" s="12">
        <f>IF(Analisis_Diferecias[[#This Row],[Tipo de incidencia]]="OK",Analisis_Diferecias[[#This Row],[Segundo Conteo]],Analisis_Diferecias[[#This Row],[Tercer Conteo]])</f>
        <v>0</v>
      </c>
      <c r="K335" s="12">
        <f>+(Analisis_Diferecias[[#This Row],[Cantidad Total de Conteos]]-(Analisis_Diferecias[[#This Row],[Cantidad]]))</f>
        <v>1</v>
      </c>
      <c r="L3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335" s="18"/>
      <c r="N335" s="18">
        <f>Analisis_Diferecias[[#This Row],[Costo Unitario($)]]*Analisis_Diferecias[[#This Row],[Cantidad Total de Conteos]]</f>
        <v>0</v>
      </c>
      <c r="O335" s="18">
        <f>Analisis_Diferecias[[#This Row],[Costo Unitario($)]]*Analisis_Diferecias[[#This Row],[Cantidad]]</f>
        <v>0</v>
      </c>
      <c r="P335" s="20">
        <f>+Analisis_Diferecias[[#This Row],[Valor Total Contado]]-Analisis_Diferecias[[#This Row],[Costo Total Sistema]]</f>
        <v>0</v>
      </c>
      <c r="Q335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336" spans="1:17" x14ac:dyDescent="0.2">
      <c r="A336" s="9">
        <v>2028</v>
      </c>
      <c r="B336" s="9" t="s">
        <v>646</v>
      </c>
      <c r="C336" s="9" t="s">
        <v>645</v>
      </c>
      <c r="D336" s="9">
        <v>-1</v>
      </c>
      <c r="E336" s="12">
        <f>SUMIFS('Consolidado conteo 1'!$F:$F,'Consolidado conteo 1'!$C:$C,Analisis_Diferecias[[#This Row],[ID]],'Consolidado conteo 1'!$I:$I,Analisis_Diferecias[[#Headers],[Primer Conteo]])</f>
        <v>0</v>
      </c>
      <c r="F336" s="12">
        <f>SUMIFS('Consolidado conteo 2'!$F:$F,'Consolidado conteo 2'!$C:$C,Analisis_Diferecias[[#This Row],[ID]],'Consolidado conteo 2'!$I:$I,Analisis_Diferecias[[#Headers],[Segundo Conteo]])</f>
        <v>0</v>
      </c>
      <c r="G336" s="12">
        <f>+Analisis_Diferecias[[#This Row],[Segundo Conteo]]-(Analisis_Diferecias[[#This Row],[Primer Conteo]])</f>
        <v>0</v>
      </c>
      <c r="H336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6" s="12">
        <f>SUMIFS(Analisis_Diferecias_Tercer_conteo[Tercer_conteo],Analisis_Diferecias_Tercer_conteo[ID],Analisis_Diferecias[[#This Row],[ID]])</f>
        <v>0</v>
      </c>
      <c r="J336" s="12">
        <f>IF(Analisis_Diferecias[[#This Row],[Tipo de incidencia]]="OK",Analisis_Diferecias[[#This Row],[Segundo Conteo]],Analisis_Diferecias[[#This Row],[Tercer Conteo]])</f>
        <v>0</v>
      </c>
      <c r="K336" s="12">
        <f>+(Analisis_Diferecias[[#This Row],[Cantidad Total de Conteos]]-(Analisis_Diferecias[[#This Row],[Cantidad]]))</f>
        <v>1</v>
      </c>
      <c r="L3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336" s="18"/>
      <c r="N336" s="18">
        <f>Analisis_Diferecias[[#This Row],[Costo Unitario($)]]*Analisis_Diferecias[[#This Row],[Cantidad Total de Conteos]]</f>
        <v>0</v>
      </c>
      <c r="O336" s="18">
        <f>Analisis_Diferecias[[#This Row],[Costo Unitario($)]]*Analisis_Diferecias[[#This Row],[Cantidad]]</f>
        <v>0</v>
      </c>
      <c r="P336" s="20">
        <f>+Analisis_Diferecias[[#This Row],[Valor Total Contado]]-Analisis_Diferecias[[#This Row],[Costo Total Sistema]]</f>
        <v>0</v>
      </c>
      <c r="Q336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337" spans="1:17" x14ac:dyDescent="0.2">
      <c r="A337" s="9">
        <v>1959</v>
      </c>
      <c r="B337" s="9" t="s">
        <v>648</v>
      </c>
      <c r="C337" s="9" t="s">
        <v>647</v>
      </c>
      <c r="D337" s="9">
        <v>-2</v>
      </c>
      <c r="E337" s="12">
        <f>SUMIFS('Consolidado conteo 1'!$F:$F,'Consolidado conteo 1'!$C:$C,Analisis_Diferecias[[#This Row],[ID]],'Consolidado conteo 1'!$I:$I,Analisis_Diferecias[[#Headers],[Primer Conteo]])</f>
        <v>0</v>
      </c>
      <c r="F337" s="12">
        <f>SUMIFS('Consolidado conteo 2'!$F:$F,'Consolidado conteo 2'!$C:$C,Analisis_Diferecias[[#This Row],[ID]],'Consolidado conteo 2'!$I:$I,Analisis_Diferecias[[#Headers],[Segundo Conteo]])</f>
        <v>0</v>
      </c>
      <c r="G337" s="12">
        <f>+Analisis_Diferecias[[#This Row],[Segundo Conteo]]-(Analisis_Diferecias[[#This Row],[Primer Conteo]])</f>
        <v>0</v>
      </c>
      <c r="H337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7" s="12">
        <f>SUMIFS(Analisis_Diferecias_Tercer_conteo[Tercer_conteo],Analisis_Diferecias_Tercer_conteo[ID],Analisis_Diferecias[[#This Row],[ID]])</f>
        <v>0</v>
      </c>
      <c r="J337" s="12">
        <f>IF(Analisis_Diferecias[[#This Row],[Tipo de incidencia]]="OK",Analisis_Diferecias[[#This Row],[Segundo Conteo]],Analisis_Diferecias[[#This Row],[Tercer Conteo]])</f>
        <v>0</v>
      </c>
      <c r="K337" s="12">
        <f>+(Analisis_Diferecias[[#This Row],[Cantidad Total de Conteos]]-(Analisis_Diferecias[[#This Row],[Cantidad]]))</f>
        <v>2</v>
      </c>
      <c r="L3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  <c r="M337" s="18"/>
      <c r="N337" s="18">
        <f>Analisis_Diferecias[[#This Row],[Costo Unitario($)]]*Analisis_Diferecias[[#This Row],[Cantidad Total de Conteos]]</f>
        <v>0</v>
      </c>
      <c r="O337" s="18">
        <f>Analisis_Diferecias[[#This Row],[Costo Unitario($)]]*Analisis_Diferecias[[#This Row],[Cantidad]]</f>
        <v>0</v>
      </c>
      <c r="P337" s="20">
        <f>+Analisis_Diferecias[[#This Row],[Valor Total Contado]]-Analisis_Diferecias[[#This Row],[Costo Total Sistema]]</f>
        <v>0</v>
      </c>
      <c r="Q337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SOBRANTE</v>
      </c>
    </row>
    <row r="338" spans="1:17" x14ac:dyDescent="0.2">
      <c r="A338" s="9">
        <v>6681</v>
      </c>
      <c r="B338" s="9" t="s">
        <v>650</v>
      </c>
      <c r="C338" s="9" t="s">
        <v>649</v>
      </c>
      <c r="D338" s="9">
        <v>311</v>
      </c>
      <c r="E338" s="12">
        <f>SUMIFS('Consolidado conteo 1'!$F:$F,'Consolidado conteo 1'!$C:$C,Analisis_Diferecias[[#This Row],[ID]],'Consolidado conteo 1'!$I:$I,Analisis_Diferecias[[#Headers],[Primer Conteo]])</f>
        <v>0</v>
      </c>
      <c r="F338" s="12">
        <f>SUMIFS('Consolidado conteo 2'!$F:$F,'Consolidado conteo 2'!$C:$C,Analisis_Diferecias[[#This Row],[ID]],'Consolidado conteo 2'!$I:$I,Analisis_Diferecias[[#Headers],[Segundo Conteo]])</f>
        <v>0</v>
      </c>
      <c r="G338" s="12">
        <f>+Analisis_Diferecias[[#This Row],[Segundo Conteo]]-(Analisis_Diferecias[[#This Row],[Primer Conteo]])</f>
        <v>0</v>
      </c>
      <c r="H338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8" s="12">
        <f>SUMIFS(Analisis_Diferecias_Tercer_conteo[Tercer_conteo],Analisis_Diferecias_Tercer_conteo[ID],Analisis_Diferecias[[#This Row],[ID]])</f>
        <v>0</v>
      </c>
      <c r="J338" s="12">
        <f>IF(Analisis_Diferecias[[#This Row],[Tipo de incidencia]]="OK",Analisis_Diferecias[[#This Row],[Segundo Conteo]],Analisis_Diferecias[[#This Row],[Tercer Conteo]])</f>
        <v>0</v>
      </c>
      <c r="K338" s="12">
        <f>+(Analisis_Diferecias[[#This Row],[Cantidad Total de Conteos]]-(Analisis_Diferecias[[#This Row],[Cantidad]]))</f>
        <v>-311</v>
      </c>
      <c r="L3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8" s="18"/>
      <c r="N338" s="18">
        <f>Analisis_Diferecias[[#This Row],[Costo Unitario($)]]*Analisis_Diferecias[[#This Row],[Cantidad Total de Conteos]]</f>
        <v>0</v>
      </c>
      <c r="O338" s="18">
        <f>Analisis_Diferecias[[#This Row],[Costo Unitario($)]]*Analisis_Diferecias[[#This Row],[Cantidad]]</f>
        <v>0</v>
      </c>
      <c r="P338" s="20">
        <f>+Analisis_Diferecias[[#This Row],[Valor Total Contado]]-Analisis_Diferecias[[#This Row],[Costo Total Sistema]]</f>
        <v>0</v>
      </c>
      <c r="Q338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39" spans="1:17" x14ac:dyDescent="0.2">
      <c r="A339" s="9">
        <v>6682</v>
      </c>
      <c r="B339" s="9" t="s">
        <v>652</v>
      </c>
      <c r="C339" s="9" t="s">
        <v>651</v>
      </c>
      <c r="D339" s="9">
        <v>232</v>
      </c>
      <c r="E339" s="12">
        <f>SUMIFS('Consolidado conteo 1'!$F:$F,'Consolidado conteo 1'!$C:$C,Analisis_Diferecias[[#This Row],[ID]],'Consolidado conteo 1'!$I:$I,Analisis_Diferecias[[#Headers],[Primer Conteo]])</f>
        <v>0</v>
      </c>
      <c r="F339" s="12">
        <f>SUMIFS('Consolidado conteo 2'!$F:$F,'Consolidado conteo 2'!$C:$C,Analisis_Diferecias[[#This Row],[ID]],'Consolidado conteo 2'!$I:$I,Analisis_Diferecias[[#Headers],[Segundo Conteo]])</f>
        <v>0</v>
      </c>
      <c r="G339" s="12">
        <f>+Analisis_Diferecias[[#This Row],[Segundo Conteo]]-(Analisis_Diferecias[[#This Row],[Primer Conteo]])</f>
        <v>0</v>
      </c>
      <c r="H339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39" s="12">
        <f>SUMIFS(Analisis_Diferecias_Tercer_conteo[Tercer_conteo],Analisis_Diferecias_Tercer_conteo[ID],Analisis_Diferecias[[#This Row],[ID]])</f>
        <v>0</v>
      </c>
      <c r="J339" s="12">
        <f>IF(Analisis_Diferecias[[#This Row],[Tipo de incidencia]]="OK",Analisis_Diferecias[[#This Row],[Segundo Conteo]],Analisis_Diferecias[[#This Row],[Tercer Conteo]])</f>
        <v>0</v>
      </c>
      <c r="K339" s="12">
        <f>+(Analisis_Diferecias[[#This Row],[Cantidad Total de Conteos]]-(Analisis_Diferecias[[#This Row],[Cantidad]]))</f>
        <v>-232</v>
      </c>
      <c r="L3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39" s="18"/>
      <c r="N339" s="18">
        <f>Analisis_Diferecias[[#This Row],[Costo Unitario($)]]*Analisis_Diferecias[[#This Row],[Cantidad Total de Conteos]]</f>
        <v>0</v>
      </c>
      <c r="O339" s="18">
        <f>Analisis_Diferecias[[#This Row],[Costo Unitario($)]]*Analisis_Diferecias[[#This Row],[Cantidad]]</f>
        <v>0</v>
      </c>
      <c r="P339" s="20">
        <f>+Analisis_Diferecias[[#This Row],[Valor Total Contado]]-Analisis_Diferecias[[#This Row],[Costo Total Sistema]]</f>
        <v>0</v>
      </c>
      <c r="Q339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40" spans="1:17" x14ac:dyDescent="0.2">
      <c r="A340" s="9">
        <v>6680</v>
      </c>
      <c r="B340" s="9" t="s">
        <v>654</v>
      </c>
      <c r="C340" s="9" t="s">
        <v>653</v>
      </c>
      <c r="D340" s="9">
        <v>176</v>
      </c>
      <c r="E340" s="12">
        <f>SUMIFS('Consolidado conteo 1'!$F:$F,'Consolidado conteo 1'!$C:$C,Analisis_Diferecias[[#This Row],[ID]],'Consolidado conteo 1'!$I:$I,Analisis_Diferecias[[#Headers],[Primer Conteo]])</f>
        <v>0</v>
      </c>
      <c r="F340" s="12">
        <f>SUMIFS('Consolidado conteo 2'!$F:$F,'Consolidado conteo 2'!$C:$C,Analisis_Diferecias[[#This Row],[ID]],'Consolidado conteo 2'!$I:$I,Analisis_Diferecias[[#Headers],[Segundo Conteo]])</f>
        <v>0</v>
      </c>
      <c r="G340" s="12">
        <f>+Analisis_Diferecias[[#This Row],[Segundo Conteo]]-(Analisis_Diferecias[[#This Row],[Primer Conteo]])</f>
        <v>0</v>
      </c>
      <c r="H340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40" s="12">
        <f>SUMIFS(Analisis_Diferecias_Tercer_conteo[Tercer_conteo],Analisis_Diferecias_Tercer_conteo[ID],Analisis_Diferecias[[#This Row],[ID]])</f>
        <v>0</v>
      </c>
      <c r="J340" s="12">
        <f>IF(Analisis_Diferecias[[#This Row],[Tipo de incidencia]]="OK",Analisis_Diferecias[[#This Row],[Segundo Conteo]],Analisis_Diferecias[[#This Row],[Tercer Conteo]])</f>
        <v>0</v>
      </c>
      <c r="K340" s="12">
        <f>+(Analisis_Diferecias[[#This Row],[Cantidad Total de Conteos]]-(Analisis_Diferecias[[#This Row],[Cantidad]]))</f>
        <v>-176</v>
      </c>
      <c r="L3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40" s="18"/>
      <c r="N340" s="18">
        <f>Analisis_Diferecias[[#This Row],[Costo Unitario($)]]*Analisis_Diferecias[[#This Row],[Cantidad Total de Conteos]]</f>
        <v>0</v>
      </c>
      <c r="O340" s="18">
        <f>Analisis_Diferecias[[#This Row],[Costo Unitario($)]]*Analisis_Diferecias[[#This Row],[Cantidad]]</f>
        <v>0</v>
      </c>
      <c r="P340" s="20">
        <f>+Analisis_Diferecias[[#This Row],[Valor Total Contado]]-Analisis_Diferecias[[#This Row],[Costo Total Sistema]]</f>
        <v>0</v>
      </c>
      <c r="Q340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41" spans="1:17" x14ac:dyDescent="0.2">
      <c r="A341" s="9">
        <v>6683</v>
      </c>
      <c r="B341" s="9" t="s">
        <v>656</v>
      </c>
      <c r="C341" s="9" t="s">
        <v>655</v>
      </c>
      <c r="D341" s="9">
        <v>119</v>
      </c>
      <c r="E341" s="12">
        <f>SUMIFS('Consolidado conteo 1'!$F:$F,'Consolidado conteo 1'!$C:$C,Analisis_Diferecias[[#This Row],[ID]],'Consolidado conteo 1'!$I:$I,Analisis_Diferecias[[#Headers],[Primer Conteo]])</f>
        <v>0</v>
      </c>
      <c r="F341" s="12">
        <f>SUMIFS('Consolidado conteo 2'!$F:$F,'Consolidado conteo 2'!$C:$C,Analisis_Diferecias[[#This Row],[ID]],'Consolidado conteo 2'!$I:$I,Analisis_Diferecias[[#Headers],[Segundo Conteo]])</f>
        <v>0</v>
      </c>
      <c r="G341" s="12">
        <f>+Analisis_Diferecias[[#This Row],[Segundo Conteo]]-(Analisis_Diferecias[[#This Row],[Primer Conteo]])</f>
        <v>0</v>
      </c>
      <c r="H341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41" s="12">
        <f>SUMIFS(Analisis_Diferecias_Tercer_conteo[Tercer_conteo],Analisis_Diferecias_Tercer_conteo[ID],Analisis_Diferecias[[#This Row],[ID]])</f>
        <v>0</v>
      </c>
      <c r="J341" s="12">
        <f>IF(Analisis_Diferecias[[#This Row],[Tipo de incidencia]]="OK",Analisis_Diferecias[[#This Row],[Segundo Conteo]],Analisis_Diferecias[[#This Row],[Tercer Conteo]])</f>
        <v>0</v>
      </c>
      <c r="K341" s="12">
        <f>+(Analisis_Diferecias[[#This Row],[Cantidad Total de Conteos]]-(Analisis_Diferecias[[#This Row],[Cantidad]]))</f>
        <v>-119</v>
      </c>
      <c r="L3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41" s="18"/>
      <c r="N341" s="18">
        <f>Analisis_Diferecias[[#This Row],[Costo Unitario($)]]*Analisis_Diferecias[[#This Row],[Cantidad Total de Conteos]]</f>
        <v>0</v>
      </c>
      <c r="O341" s="18">
        <f>Analisis_Diferecias[[#This Row],[Costo Unitario($)]]*Analisis_Diferecias[[#This Row],[Cantidad]]</f>
        <v>0</v>
      </c>
      <c r="P341" s="20">
        <f>+Analisis_Diferecias[[#This Row],[Valor Total Contado]]-Analisis_Diferecias[[#This Row],[Costo Total Sistema]]</f>
        <v>0</v>
      </c>
      <c r="Q341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42" spans="1:17" x14ac:dyDescent="0.2">
      <c r="A342" s="9">
        <v>6684</v>
      </c>
      <c r="B342" s="9" t="s">
        <v>658</v>
      </c>
      <c r="C342" s="9" t="s">
        <v>657</v>
      </c>
      <c r="D342" s="9">
        <v>74</v>
      </c>
      <c r="E342" s="12">
        <f>SUMIFS('Consolidado conteo 1'!$F:$F,'Consolidado conteo 1'!$C:$C,Analisis_Diferecias[[#This Row],[ID]],'Consolidado conteo 1'!$I:$I,Analisis_Diferecias[[#Headers],[Primer Conteo]])</f>
        <v>0</v>
      </c>
      <c r="F342" s="12">
        <f>SUMIFS('Consolidado conteo 2'!$F:$F,'Consolidado conteo 2'!$C:$C,Analisis_Diferecias[[#This Row],[ID]],'Consolidado conteo 2'!$I:$I,Analisis_Diferecias[[#Headers],[Segundo Conteo]])</f>
        <v>0</v>
      </c>
      <c r="G342" s="12">
        <f>+Analisis_Diferecias[[#This Row],[Segundo Conteo]]-(Analisis_Diferecias[[#This Row],[Primer Conteo]])</f>
        <v>0</v>
      </c>
      <c r="H342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42" s="12">
        <f>SUMIFS(Analisis_Diferecias_Tercer_conteo[Tercer_conteo],Analisis_Diferecias_Tercer_conteo[ID],Analisis_Diferecias[[#This Row],[ID]])</f>
        <v>0</v>
      </c>
      <c r="J342" s="12">
        <f>IF(Analisis_Diferecias[[#This Row],[Tipo de incidencia]]="OK",Analisis_Diferecias[[#This Row],[Segundo Conteo]],Analisis_Diferecias[[#This Row],[Tercer Conteo]])</f>
        <v>0</v>
      </c>
      <c r="K342" s="12">
        <f>+(Analisis_Diferecias[[#This Row],[Cantidad Total de Conteos]]-(Analisis_Diferecias[[#This Row],[Cantidad]]))</f>
        <v>-74</v>
      </c>
      <c r="L3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42" s="18"/>
      <c r="N342" s="18">
        <f>Analisis_Diferecias[[#This Row],[Costo Unitario($)]]*Analisis_Diferecias[[#This Row],[Cantidad Total de Conteos]]</f>
        <v>0</v>
      </c>
      <c r="O342" s="18">
        <f>Analisis_Diferecias[[#This Row],[Costo Unitario($)]]*Analisis_Diferecias[[#This Row],[Cantidad]]</f>
        <v>0</v>
      </c>
      <c r="P342" s="20">
        <f>+Analisis_Diferecias[[#This Row],[Valor Total Contado]]-Analisis_Diferecias[[#This Row],[Costo Total Sistema]]</f>
        <v>0</v>
      </c>
      <c r="Q342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  <row r="343" spans="1:17" x14ac:dyDescent="0.2">
      <c r="A343" s="9">
        <v>4099</v>
      </c>
      <c r="B343" s="9" t="s">
        <v>660</v>
      </c>
      <c r="C343" s="9" t="s">
        <v>659</v>
      </c>
      <c r="D343" s="9">
        <v>1</v>
      </c>
      <c r="E343" s="12">
        <f>SUMIFS('Consolidado conteo 1'!$F:$F,'Consolidado conteo 1'!$C:$C,Analisis_Diferecias[[#This Row],[ID]],'Consolidado conteo 1'!$I:$I,Analisis_Diferecias[[#Headers],[Primer Conteo]])</f>
        <v>0</v>
      </c>
      <c r="F343" s="12">
        <f>SUMIFS('Consolidado conteo 2'!$F:$F,'Consolidado conteo 2'!$C:$C,Analisis_Diferecias[[#This Row],[ID]],'Consolidado conteo 2'!$I:$I,Analisis_Diferecias[[#Headers],[Segundo Conteo]])</f>
        <v>0</v>
      </c>
      <c r="G343" s="12">
        <f>+Analisis_Diferecias[[#This Row],[Segundo Conteo]]-(Analisis_Diferecias[[#This Row],[Primer Conteo]])</f>
        <v>0</v>
      </c>
      <c r="H343" s="13" t="str">
        <f>IF(AND(Analisis_Diferecias[[#This Row],[Primer Conteo]]=0,Analisis_Diferecias[[#This Row],[Segundo Conteo]]=0),"NO CONTADO",IF(Analisis_Diferecias[[#This Row],[Primer Conteo]]=Analisis_Diferecias[[#This Row],[Segundo Conteo]],"OK","DIFERENCIA"))</f>
        <v>NO CONTADO</v>
      </c>
      <c r="I343" s="12">
        <f>SUMIFS(Analisis_Diferecias_Tercer_conteo[Tercer_conteo],Analisis_Diferecias_Tercer_conteo[ID],Analisis_Diferecias[[#This Row],[ID]])</f>
        <v>0</v>
      </c>
      <c r="J343" s="12">
        <f>IF(Analisis_Diferecias[[#This Row],[Tipo de incidencia]]="OK",Analisis_Diferecias[[#This Row],[Segundo Conteo]],Analisis_Diferecias[[#This Row],[Tercer Conteo]])</f>
        <v>0</v>
      </c>
      <c r="K343" s="12">
        <f>+(Analisis_Diferecias[[#This Row],[Cantidad Total de Conteos]]-(Analisis_Diferecias[[#This Row],[Cantidad]]))</f>
        <v>-1</v>
      </c>
      <c r="L3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  <c r="M343" s="18"/>
      <c r="N343" s="18">
        <f>Analisis_Diferecias[[#This Row],[Costo Unitario($)]]*Analisis_Diferecias[[#This Row],[Cantidad Total de Conteos]]</f>
        <v>0</v>
      </c>
      <c r="O343" s="18">
        <f>Analisis_Diferecias[[#This Row],[Costo Unitario($)]]*Analisis_Diferecias[[#This Row],[Cantidad]]</f>
        <v>0</v>
      </c>
      <c r="P343" s="20">
        <f>+Analisis_Diferecias[[#This Row],[Valor Total Contado]]-Analisis_Diferecias[[#This Row],[Costo Total Sistema]]</f>
        <v>0</v>
      </c>
      <c r="Q343" s="13" t="str">
        <f>IF(Analisis_Diferecias[[#This Row],[Cantidad Total de Conteos]]=Analisis_Diferecias[[#This Row],[Cantidad]],"OK",IF(Analisis_Diferecias[[#This Row],[Cantidad]]&gt;Analisis_Diferecias[[#This Row],[Cantidad Total de Conteos]],"FALTANTE",IF(Analisis_Diferecias[[#This Row],[Cantidad Total de Conteos]]&gt;Analisis_Diferecias[[#This Row],[Cantidad]],"SOBRANTE","NO CONTADO")))</f>
        <v>FALTANTE</v>
      </c>
    </row>
  </sheetData>
  <customSheetViews>
    <customSheetView guid="{F5CEECC2-1AB8-48CD-8B07-22140D0181D3}" showAutoFilter="1" state="hidden">
      <selection activeCell="D13" sqref="D13"/>
      <pageMargins left="0.75" right="0.75" top="1" bottom="1" header="0.5" footer="0.5"/>
      <headerFooter alignWithMargins="0"/>
      <autoFilter ref="A1:O220986" xr:uid="{1B02EB1B-50D9-40A8-9EA7-B4D364C6B69C}"/>
    </customSheetView>
    <customSheetView guid="{2823F285-EC37-464C-9463-7569505F04CE}" showAutoFilter="1" state="hidden">
      <selection activeCell="D13" sqref="D13"/>
      <pageMargins left="0.75" right="0.75" top="1" bottom="1" header="0.5" footer="0.5"/>
      <headerFooter alignWithMargins="0"/>
      <autoFilter ref="A1:O220986" xr:uid="{E07E0E43-6ABB-4B99-817F-766F7B8C99C2}"/>
    </customSheetView>
  </customSheetViews>
  <phoneticPr fontId="0" type="noConversion"/>
  <conditionalFormatting sqref="I344:I1048576 H17:H343">
    <cfRule type="containsText" dxfId="17" priority="27" operator="containsText" text="DIFERENCIA">
      <formula>NOT(ISERROR(SEARCH("DIFERENCIA",H17)))</formula>
    </cfRule>
    <cfRule type="containsText" dxfId="16" priority="28" operator="containsText" text="OK">
      <formula>NOT(ISERROR(SEARCH("OK",H17)))</formula>
    </cfRule>
  </conditionalFormatting>
  <conditionalFormatting sqref="H17:H343">
    <cfRule type="containsText" dxfId="15" priority="26" operator="containsText" text="NO CONTADO">
      <formula>NOT(ISERROR(SEARCH("NO CONTADO",H17)))</formula>
    </cfRule>
  </conditionalFormatting>
  <conditionalFormatting sqref="Q17:Q343">
    <cfRule type="containsText" dxfId="14" priority="18" operator="containsText" text="SOBRANTE">
      <formula>NOT(ISERROR(SEARCH("SOBRANTE",Q17)))</formula>
    </cfRule>
    <cfRule type="containsText" dxfId="13" priority="20" operator="containsText" text="FALTANTE">
      <formula>NOT(ISERROR(SEARCH("FALTANTE",Q17)))</formula>
    </cfRule>
    <cfRule type="containsText" dxfId="12" priority="21" operator="containsText" text="OK">
      <formula>NOT(ISERROR(SEARCH("OK",Q17)))</formula>
    </cfRule>
  </conditionalFormatting>
  <conditionalFormatting sqref="Q17:Q343">
    <cfRule type="containsText" dxfId="11" priority="19" operator="containsText" text="NO CONTADO">
      <formula>NOT(ISERROR(SEARCH("NO CONTADO",Q17)))</formula>
    </cfRule>
  </conditionalFormatting>
  <conditionalFormatting sqref="L17:L343">
    <cfRule type="containsText" dxfId="10" priority="14" operator="containsText" text="SOBRANTE">
      <formula>NOT(ISERROR(SEARCH("SOBRANTE",L17)))</formula>
    </cfRule>
    <cfRule type="containsText" dxfId="9" priority="16" operator="containsText" text="FALTANTE">
      <formula>NOT(ISERROR(SEARCH("FALTANTE",L17)))</formula>
    </cfRule>
    <cfRule type="containsText" dxfId="8" priority="17" operator="containsText" text="OK">
      <formula>NOT(ISERROR(SEARCH("OK",L17)))</formula>
    </cfRule>
  </conditionalFormatting>
  <conditionalFormatting sqref="L17:L343">
    <cfRule type="containsText" dxfId="7" priority="15" operator="containsText" text="NO CONTADO">
      <formula>NOT(ISERROR(SEARCH("NO CONTADO",L17)))</formula>
    </cfRule>
  </conditionalFormatting>
  <conditionalFormatting sqref="J17:J343">
    <cfRule type="cellIs" dxfId="6" priority="5" operator="equal">
      <formula>$D17</formula>
    </cfRule>
    <cfRule type="cellIs" dxfId="5" priority="9" operator="lessThan">
      <formula>$D17</formula>
    </cfRule>
    <cfRule type="cellIs" dxfId="4" priority="11" operator="greaterThan">
      <formula>$D17</formula>
    </cfRule>
  </conditionalFormatting>
  <conditionalFormatting sqref="P17:P34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K17:K34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8"/>
  <sheetViews>
    <sheetView workbookViewId="0">
      <selection activeCell="E10" sqref="E10"/>
    </sheetView>
  </sheetViews>
  <sheetFormatPr baseColWidth="10" defaultRowHeight="12.75" x14ac:dyDescent="0.2"/>
  <cols>
    <col min="1" max="1" width="8.140625" bestFit="1" customWidth="1"/>
    <col min="2" max="2" width="13.5703125" bestFit="1" customWidth="1"/>
    <col min="3" max="3" width="15.140625" bestFit="1" customWidth="1"/>
    <col min="4" max="4" width="16.28515625" bestFit="1" customWidth="1"/>
    <col min="5" max="5" width="65.42578125" bestFit="1" customWidth="1"/>
    <col min="6" max="6" width="11.42578125" bestFit="1" customWidth="1"/>
    <col min="7" max="7" width="7.28515625" bestFit="1" customWidth="1"/>
    <col min="8" max="8" width="34.28515625" bestFit="1" customWidth="1"/>
    <col min="9" max="9" width="20.42578125" bestFit="1" customWidth="1"/>
  </cols>
  <sheetData>
    <row r="1" spans="1:9" x14ac:dyDescent="0.2">
      <c r="A1" t="s">
        <v>6</v>
      </c>
      <c r="B1" t="s">
        <v>3</v>
      </c>
      <c r="C1" t="s">
        <v>661</v>
      </c>
      <c r="D1" t="s">
        <v>664</v>
      </c>
      <c r="E1" t="s">
        <v>2</v>
      </c>
      <c r="F1" t="s">
        <v>1</v>
      </c>
      <c r="G1" t="s">
        <v>662</v>
      </c>
      <c r="H1" t="s">
        <v>4</v>
      </c>
      <c r="I1" t="s">
        <v>683</v>
      </c>
    </row>
    <row r="2" spans="1:9" x14ac:dyDescent="0.2">
      <c r="A2">
        <v>1</v>
      </c>
      <c r="B2">
        <v>1234</v>
      </c>
      <c r="C2">
        <v>6253</v>
      </c>
      <c r="D2">
        <v>1270</v>
      </c>
      <c r="E2" t="s">
        <v>642</v>
      </c>
      <c r="F2">
        <v>1270</v>
      </c>
      <c r="G2" t="s">
        <v>684</v>
      </c>
      <c r="H2" t="s">
        <v>685</v>
      </c>
      <c r="I2" t="s">
        <v>665</v>
      </c>
    </row>
    <row r="3" spans="1:9" x14ac:dyDescent="0.2">
      <c r="A3">
        <v>2</v>
      </c>
      <c r="B3">
        <v>1234</v>
      </c>
      <c r="C3">
        <v>6253</v>
      </c>
      <c r="D3">
        <v>889</v>
      </c>
      <c r="E3" t="s">
        <v>642</v>
      </c>
      <c r="F3">
        <v>889</v>
      </c>
      <c r="G3" t="s">
        <v>684</v>
      </c>
      <c r="H3" t="s">
        <v>685</v>
      </c>
      <c r="I3" t="s">
        <v>665</v>
      </c>
    </row>
    <row r="4" spans="1:9" x14ac:dyDescent="0.2">
      <c r="A4">
        <v>3</v>
      </c>
      <c r="B4" t="s">
        <v>689</v>
      </c>
      <c r="C4">
        <v>6253</v>
      </c>
      <c r="E4" t="s">
        <v>642</v>
      </c>
      <c r="F4">
        <v>1</v>
      </c>
      <c r="G4" t="s">
        <v>684</v>
      </c>
      <c r="H4" t="s">
        <v>685</v>
      </c>
      <c r="I4" t="s">
        <v>665</v>
      </c>
    </row>
    <row r="5" spans="1:9" x14ac:dyDescent="0.2">
      <c r="A5">
        <v>4</v>
      </c>
      <c r="B5" t="s">
        <v>689</v>
      </c>
      <c r="C5">
        <v>6253</v>
      </c>
      <c r="E5" t="s">
        <v>642</v>
      </c>
      <c r="F5">
        <v>1</v>
      </c>
      <c r="G5" t="s">
        <v>684</v>
      </c>
      <c r="H5" t="s">
        <v>685</v>
      </c>
      <c r="I5" t="s">
        <v>665</v>
      </c>
    </row>
    <row r="6" spans="1:9" x14ac:dyDescent="0.2">
      <c r="A6">
        <v>5</v>
      </c>
      <c r="B6" t="s">
        <v>689</v>
      </c>
      <c r="C6">
        <v>6253</v>
      </c>
      <c r="E6" t="s">
        <v>642</v>
      </c>
      <c r="F6">
        <v>1</v>
      </c>
      <c r="G6" t="s">
        <v>684</v>
      </c>
      <c r="H6" t="s">
        <v>685</v>
      </c>
      <c r="I6" t="s">
        <v>665</v>
      </c>
    </row>
    <row r="7" spans="1:9" x14ac:dyDescent="0.2">
      <c r="A7">
        <v>6</v>
      </c>
      <c r="B7" t="s">
        <v>689</v>
      </c>
      <c r="C7">
        <v>6253</v>
      </c>
      <c r="E7" t="s">
        <v>642</v>
      </c>
      <c r="F7">
        <v>1</v>
      </c>
      <c r="G7" t="s">
        <v>684</v>
      </c>
      <c r="H7" t="s">
        <v>685</v>
      </c>
      <c r="I7" t="s">
        <v>665</v>
      </c>
    </row>
    <row r="8" spans="1:9" x14ac:dyDescent="0.2">
      <c r="A8">
        <v>7</v>
      </c>
      <c r="B8" t="s">
        <v>690</v>
      </c>
      <c r="C8">
        <v>4463</v>
      </c>
      <c r="E8" t="s">
        <v>626</v>
      </c>
      <c r="F8">
        <v>1</v>
      </c>
      <c r="G8" t="s">
        <v>684</v>
      </c>
      <c r="H8" t="s">
        <v>685</v>
      </c>
      <c r="I8" t="s">
        <v>665</v>
      </c>
    </row>
    <row r="9" spans="1:9" x14ac:dyDescent="0.2">
      <c r="A9">
        <v>8</v>
      </c>
      <c r="B9" t="s">
        <v>690</v>
      </c>
      <c r="C9">
        <v>4463</v>
      </c>
      <c r="E9" t="s">
        <v>626</v>
      </c>
      <c r="F9">
        <v>1</v>
      </c>
      <c r="G9" t="s">
        <v>684</v>
      </c>
      <c r="H9" t="s">
        <v>685</v>
      </c>
      <c r="I9" t="s">
        <v>665</v>
      </c>
    </row>
    <row r="10" spans="1:9" x14ac:dyDescent="0.2">
      <c r="A10">
        <v>9</v>
      </c>
      <c r="B10" t="s">
        <v>690</v>
      </c>
      <c r="C10">
        <v>4463</v>
      </c>
      <c r="E10" t="s">
        <v>626</v>
      </c>
      <c r="F10">
        <v>1</v>
      </c>
      <c r="G10" t="s">
        <v>684</v>
      </c>
      <c r="H10" t="s">
        <v>685</v>
      </c>
      <c r="I10" t="s">
        <v>665</v>
      </c>
    </row>
    <row r="11" spans="1:9" x14ac:dyDescent="0.2">
      <c r="A11">
        <v>10</v>
      </c>
      <c r="B11" t="s">
        <v>690</v>
      </c>
      <c r="C11">
        <v>4463</v>
      </c>
      <c r="E11" t="s">
        <v>626</v>
      </c>
      <c r="F11">
        <v>1</v>
      </c>
      <c r="G11" t="s">
        <v>684</v>
      </c>
      <c r="H11" t="s">
        <v>685</v>
      </c>
      <c r="I11" t="s">
        <v>665</v>
      </c>
    </row>
    <row r="12" spans="1:9" x14ac:dyDescent="0.2">
      <c r="A12">
        <v>11</v>
      </c>
      <c r="B12" t="s">
        <v>690</v>
      </c>
      <c r="C12">
        <v>4463</v>
      </c>
      <c r="E12" t="s">
        <v>626</v>
      </c>
      <c r="F12">
        <v>1</v>
      </c>
      <c r="G12" t="s">
        <v>684</v>
      </c>
      <c r="H12" t="s">
        <v>685</v>
      </c>
      <c r="I12" t="s">
        <v>665</v>
      </c>
    </row>
    <row r="13" spans="1:9" x14ac:dyDescent="0.2">
      <c r="A13">
        <v>12</v>
      </c>
      <c r="B13">
        <v>1234</v>
      </c>
      <c r="C13">
        <v>8731</v>
      </c>
      <c r="D13">
        <v>1270</v>
      </c>
      <c r="E13" t="s">
        <v>8</v>
      </c>
      <c r="F13">
        <v>1270</v>
      </c>
      <c r="G13" t="s">
        <v>684</v>
      </c>
      <c r="H13" t="s">
        <v>685</v>
      </c>
      <c r="I13" t="s">
        <v>665</v>
      </c>
    </row>
    <row r="14" spans="1:9" x14ac:dyDescent="0.2">
      <c r="A14">
        <v>13</v>
      </c>
      <c r="B14">
        <v>123</v>
      </c>
      <c r="C14">
        <v>6833</v>
      </c>
      <c r="D14">
        <v>835</v>
      </c>
      <c r="E14" t="s">
        <v>10</v>
      </c>
      <c r="F14">
        <v>835</v>
      </c>
      <c r="G14" t="s">
        <v>684</v>
      </c>
      <c r="H14" t="s">
        <v>685</v>
      </c>
      <c r="I14" t="s">
        <v>665</v>
      </c>
    </row>
    <row r="15" spans="1:9" x14ac:dyDescent="0.2">
      <c r="A15">
        <v>1</v>
      </c>
      <c r="B15" t="s">
        <v>689</v>
      </c>
      <c r="C15">
        <v>6253</v>
      </c>
      <c r="E15" t="s">
        <v>642</v>
      </c>
      <c r="F15">
        <v>1</v>
      </c>
      <c r="G15" t="s">
        <v>684</v>
      </c>
      <c r="H15" t="s">
        <v>685</v>
      </c>
      <c r="I15" t="s">
        <v>665</v>
      </c>
    </row>
    <row r="16" spans="1:9" x14ac:dyDescent="0.2">
      <c r="A16">
        <v>2</v>
      </c>
      <c r="B16" t="s">
        <v>689</v>
      </c>
      <c r="C16">
        <v>6253</v>
      </c>
      <c r="E16" t="s">
        <v>642</v>
      </c>
      <c r="F16">
        <v>1</v>
      </c>
      <c r="G16" t="s">
        <v>684</v>
      </c>
      <c r="H16" t="s">
        <v>685</v>
      </c>
      <c r="I16" t="s">
        <v>665</v>
      </c>
    </row>
    <row r="17" spans="1:9" x14ac:dyDescent="0.2">
      <c r="A17">
        <v>3</v>
      </c>
      <c r="B17" t="s">
        <v>689</v>
      </c>
      <c r="C17">
        <v>6253</v>
      </c>
      <c r="E17" t="s">
        <v>642</v>
      </c>
      <c r="F17">
        <v>1</v>
      </c>
      <c r="G17" t="s">
        <v>684</v>
      </c>
      <c r="H17" t="s">
        <v>685</v>
      </c>
      <c r="I17" t="s">
        <v>665</v>
      </c>
    </row>
    <row r="18" spans="1:9" x14ac:dyDescent="0.2">
      <c r="A18">
        <v>4</v>
      </c>
      <c r="B18" t="s">
        <v>689</v>
      </c>
      <c r="C18">
        <v>6253</v>
      </c>
      <c r="E18" t="s">
        <v>642</v>
      </c>
      <c r="F18">
        <v>1</v>
      </c>
      <c r="G18" t="s">
        <v>684</v>
      </c>
      <c r="H18" t="s">
        <v>685</v>
      </c>
      <c r="I18" t="s">
        <v>665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9"/>
  <sheetViews>
    <sheetView workbookViewId="0">
      <selection activeCell="E28" sqref="E28"/>
    </sheetView>
  </sheetViews>
  <sheetFormatPr baseColWidth="10" defaultRowHeight="12.75" x14ac:dyDescent="0.2"/>
  <cols>
    <col min="1" max="1" width="8.140625" bestFit="1" customWidth="1"/>
    <col min="2" max="2" width="13.5703125" bestFit="1" customWidth="1"/>
    <col min="3" max="3" width="15.140625" bestFit="1" customWidth="1"/>
    <col min="4" max="4" width="16.28515625" bestFit="1" customWidth="1"/>
    <col min="5" max="5" width="65.42578125" bestFit="1" customWidth="1"/>
    <col min="6" max="6" width="11.42578125" bestFit="1" customWidth="1"/>
    <col min="7" max="7" width="7.28515625" bestFit="1" customWidth="1"/>
    <col min="8" max="8" width="34.28515625" bestFit="1" customWidth="1"/>
    <col min="9" max="9" width="20.42578125" bestFit="1" customWidth="1"/>
  </cols>
  <sheetData>
    <row r="1" spans="1:9" x14ac:dyDescent="0.2">
      <c r="A1" t="s">
        <v>6</v>
      </c>
      <c r="B1" t="s">
        <v>3</v>
      </c>
      <c r="C1" t="s">
        <v>661</v>
      </c>
      <c r="D1" t="s">
        <v>664</v>
      </c>
      <c r="E1" t="s">
        <v>2</v>
      </c>
      <c r="F1" t="s">
        <v>1</v>
      </c>
      <c r="G1" t="s">
        <v>662</v>
      </c>
      <c r="H1" t="s">
        <v>4</v>
      </c>
      <c r="I1" t="s">
        <v>683</v>
      </c>
    </row>
    <row r="2" spans="1:9" x14ac:dyDescent="0.2">
      <c r="A2">
        <v>1</v>
      </c>
      <c r="B2">
        <v>1234</v>
      </c>
      <c r="C2">
        <v>6253</v>
      </c>
      <c r="E2" t="s">
        <v>642</v>
      </c>
      <c r="F2">
        <v>1</v>
      </c>
      <c r="G2" t="s">
        <v>684</v>
      </c>
      <c r="H2" t="s">
        <v>685</v>
      </c>
      <c r="I2" t="s">
        <v>666</v>
      </c>
    </row>
    <row r="3" spans="1:9" x14ac:dyDescent="0.2">
      <c r="A3">
        <v>2</v>
      </c>
      <c r="B3">
        <v>1234</v>
      </c>
      <c r="C3">
        <v>6253</v>
      </c>
      <c r="D3">
        <v>900</v>
      </c>
      <c r="E3" t="s">
        <v>642</v>
      </c>
      <c r="F3">
        <v>900</v>
      </c>
      <c r="G3" t="s">
        <v>684</v>
      </c>
      <c r="H3" t="s">
        <v>685</v>
      </c>
      <c r="I3" t="s">
        <v>666</v>
      </c>
    </row>
    <row r="4" spans="1:9" x14ac:dyDescent="0.2">
      <c r="A4">
        <v>3</v>
      </c>
      <c r="B4" t="s">
        <v>689</v>
      </c>
      <c r="C4">
        <v>6253</v>
      </c>
      <c r="E4" t="s">
        <v>642</v>
      </c>
      <c r="F4">
        <v>1</v>
      </c>
      <c r="G4" t="s">
        <v>684</v>
      </c>
      <c r="H4" t="s">
        <v>685</v>
      </c>
      <c r="I4" t="s">
        <v>666</v>
      </c>
    </row>
    <row r="5" spans="1:9" x14ac:dyDescent="0.2">
      <c r="A5">
        <v>4</v>
      </c>
      <c r="B5" t="s">
        <v>689</v>
      </c>
      <c r="C5">
        <v>6253</v>
      </c>
      <c r="E5" t="s">
        <v>642</v>
      </c>
      <c r="F5">
        <v>1</v>
      </c>
      <c r="G5" t="s">
        <v>684</v>
      </c>
      <c r="H5" t="s">
        <v>685</v>
      </c>
      <c r="I5" t="s">
        <v>666</v>
      </c>
    </row>
    <row r="6" spans="1:9" x14ac:dyDescent="0.2">
      <c r="A6">
        <v>5</v>
      </c>
      <c r="B6" t="s">
        <v>689</v>
      </c>
      <c r="C6">
        <v>6253</v>
      </c>
      <c r="E6" t="s">
        <v>642</v>
      </c>
      <c r="F6">
        <v>1</v>
      </c>
      <c r="G6" t="s">
        <v>684</v>
      </c>
      <c r="H6" t="s">
        <v>685</v>
      </c>
      <c r="I6" t="s">
        <v>666</v>
      </c>
    </row>
    <row r="7" spans="1:9" x14ac:dyDescent="0.2">
      <c r="A7">
        <v>6</v>
      </c>
      <c r="B7" t="s">
        <v>689</v>
      </c>
      <c r="C7">
        <v>6253</v>
      </c>
      <c r="E7" t="s">
        <v>642</v>
      </c>
      <c r="F7">
        <v>1</v>
      </c>
      <c r="G7" t="s">
        <v>684</v>
      </c>
      <c r="H7" t="s">
        <v>685</v>
      </c>
      <c r="I7" t="s">
        <v>666</v>
      </c>
    </row>
    <row r="8" spans="1:9" x14ac:dyDescent="0.2">
      <c r="A8">
        <v>7</v>
      </c>
      <c r="B8" t="s">
        <v>689</v>
      </c>
      <c r="C8">
        <v>6253</v>
      </c>
      <c r="E8" t="s">
        <v>642</v>
      </c>
      <c r="F8">
        <v>1</v>
      </c>
      <c r="G8" t="s">
        <v>684</v>
      </c>
      <c r="H8" t="s">
        <v>685</v>
      </c>
      <c r="I8" t="s">
        <v>666</v>
      </c>
    </row>
    <row r="9" spans="1:9" x14ac:dyDescent="0.2">
      <c r="A9">
        <v>8</v>
      </c>
      <c r="B9" t="s">
        <v>690</v>
      </c>
      <c r="C9">
        <v>4463</v>
      </c>
      <c r="E9" t="s">
        <v>626</v>
      </c>
      <c r="F9">
        <v>1</v>
      </c>
      <c r="G9" t="s">
        <v>684</v>
      </c>
      <c r="H9" t="s">
        <v>685</v>
      </c>
      <c r="I9" t="s">
        <v>666</v>
      </c>
    </row>
    <row r="10" spans="1:9" x14ac:dyDescent="0.2">
      <c r="A10">
        <v>9</v>
      </c>
      <c r="B10" t="s">
        <v>690</v>
      </c>
      <c r="C10">
        <v>4463</v>
      </c>
      <c r="E10" t="s">
        <v>626</v>
      </c>
      <c r="F10">
        <v>1</v>
      </c>
      <c r="G10" t="s">
        <v>684</v>
      </c>
      <c r="H10" t="s">
        <v>685</v>
      </c>
      <c r="I10" t="s">
        <v>666</v>
      </c>
    </row>
    <row r="11" spans="1:9" x14ac:dyDescent="0.2">
      <c r="A11">
        <v>10</v>
      </c>
      <c r="B11" t="s">
        <v>690</v>
      </c>
      <c r="C11">
        <v>4463</v>
      </c>
      <c r="E11" t="s">
        <v>626</v>
      </c>
      <c r="F11">
        <v>1</v>
      </c>
      <c r="G11" t="s">
        <v>684</v>
      </c>
      <c r="H11" t="s">
        <v>685</v>
      </c>
      <c r="I11" t="s">
        <v>666</v>
      </c>
    </row>
    <row r="12" spans="1:9" x14ac:dyDescent="0.2">
      <c r="A12">
        <v>11</v>
      </c>
      <c r="B12" t="s">
        <v>690</v>
      </c>
      <c r="C12">
        <v>4463</v>
      </c>
      <c r="E12" t="s">
        <v>626</v>
      </c>
      <c r="F12">
        <v>1</v>
      </c>
      <c r="G12" t="s">
        <v>684</v>
      </c>
      <c r="H12" t="s">
        <v>685</v>
      </c>
      <c r="I12" t="s">
        <v>666</v>
      </c>
    </row>
    <row r="13" spans="1:9" x14ac:dyDescent="0.2">
      <c r="A13">
        <v>12</v>
      </c>
      <c r="B13" t="s">
        <v>690</v>
      </c>
      <c r="C13">
        <v>4463</v>
      </c>
      <c r="E13" t="s">
        <v>626</v>
      </c>
      <c r="F13">
        <v>1</v>
      </c>
      <c r="G13" t="s">
        <v>684</v>
      </c>
      <c r="H13" t="s">
        <v>685</v>
      </c>
      <c r="I13" t="s">
        <v>666</v>
      </c>
    </row>
    <row r="14" spans="1:9" x14ac:dyDescent="0.2">
      <c r="A14">
        <v>13</v>
      </c>
      <c r="B14">
        <v>1234</v>
      </c>
      <c r="C14">
        <v>8731</v>
      </c>
      <c r="D14">
        <v>1268</v>
      </c>
      <c r="E14" t="s">
        <v>8</v>
      </c>
      <c r="F14">
        <v>1268</v>
      </c>
      <c r="G14" t="s">
        <v>684</v>
      </c>
      <c r="H14" t="s">
        <v>685</v>
      </c>
      <c r="I14" t="s">
        <v>666</v>
      </c>
    </row>
    <row r="15" spans="1:9" x14ac:dyDescent="0.2">
      <c r="A15">
        <v>14</v>
      </c>
      <c r="B15">
        <v>123</v>
      </c>
      <c r="C15">
        <v>6833</v>
      </c>
      <c r="D15">
        <v>835</v>
      </c>
      <c r="E15" t="s">
        <v>10</v>
      </c>
      <c r="F15">
        <v>835</v>
      </c>
      <c r="G15" t="s">
        <v>684</v>
      </c>
      <c r="H15" t="s">
        <v>685</v>
      </c>
      <c r="I15" t="s">
        <v>666</v>
      </c>
    </row>
    <row r="16" spans="1:9" x14ac:dyDescent="0.2">
      <c r="A16">
        <v>1</v>
      </c>
      <c r="B16" t="s">
        <v>689</v>
      </c>
      <c r="C16">
        <v>6253</v>
      </c>
      <c r="E16" t="s">
        <v>642</v>
      </c>
      <c r="F16">
        <v>1</v>
      </c>
      <c r="G16" t="s">
        <v>684</v>
      </c>
      <c r="H16" t="s">
        <v>685</v>
      </c>
      <c r="I16" t="s">
        <v>666</v>
      </c>
    </row>
    <row r="17" spans="1:9" x14ac:dyDescent="0.2">
      <c r="A17">
        <v>2</v>
      </c>
      <c r="B17" t="s">
        <v>689</v>
      </c>
      <c r="C17">
        <v>6253</v>
      </c>
      <c r="E17" t="s">
        <v>642</v>
      </c>
      <c r="F17">
        <v>1</v>
      </c>
      <c r="G17" t="s">
        <v>684</v>
      </c>
      <c r="H17" t="s">
        <v>685</v>
      </c>
      <c r="I17" t="s">
        <v>666</v>
      </c>
    </row>
    <row r="18" spans="1:9" x14ac:dyDescent="0.2">
      <c r="A18">
        <v>3</v>
      </c>
      <c r="B18" t="s">
        <v>689</v>
      </c>
      <c r="C18">
        <v>6253</v>
      </c>
      <c r="E18" t="s">
        <v>642</v>
      </c>
      <c r="F18">
        <v>1</v>
      </c>
      <c r="G18" t="s">
        <v>684</v>
      </c>
      <c r="H18" t="s">
        <v>685</v>
      </c>
      <c r="I18" t="s">
        <v>666</v>
      </c>
    </row>
    <row r="19" spans="1:9" x14ac:dyDescent="0.2">
      <c r="A19">
        <v>4</v>
      </c>
      <c r="B19" t="s">
        <v>689</v>
      </c>
      <c r="C19">
        <v>6253</v>
      </c>
      <c r="E19" t="s">
        <v>642</v>
      </c>
      <c r="F19">
        <v>1</v>
      </c>
      <c r="G19" t="s">
        <v>684</v>
      </c>
      <c r="H19" t="s">
        <v>685</v>
      </c>
      <c r="I19" t="s">
        <v>666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CB2D0-B149-4B0D-955C-40E0A762628E}">
  <dimension ref="A1:I328"/>
  <sheetViews>
    <sheetView topLeftCell="B1" workbookViewId="0">
      <selection activeCell="C14" sqref="C14"/>
    </sheetView>
  </sheetViews>
  <sheetFormatPr baseColWidth="10" defaultRowHeight="12.75" x14ac:dyDescent="0.2"/>
  <cols>
    <col min="1" max="1" width="6" bestFit="1" customWidth="1"/>
    <col min="2" max="2" width="80.7109375" bestFit="1" customWidth="1"/>
    <col min="3" max="3" width="26" bestFit="1" customWidth="1"/>
    <col min="5" max="5" width="16.42578125" bestFit="1" customWidth="1"/>
    <col min="6" max="6" width="18.5703125" bestFit="1" customWidth="1"/>
    <col min="7" max="7" width="26.5703125" bestFit="1" customWidth="1"/>
    <col min="8" max="8" width="20.28515625" bestFit="1" customWidth="1"/>
    <col min="9" max="9" width="16.28515625" bestFit="1" customWidth="1"/>
  </cols>
  <sheetData>
    <row r="1" spans="1:9" x14ac:dyDescent="0.2">
      <c r="A1" t="s">
        <v>663</v>
      </c>
      <c r="B1" t="s">
        <v>0</v>
      </c>
      <c r="C1" t="s">
        <v>416</v>
      </c>
      <c r="D1" t="s">
        <v>1</v>
      </c>
      <c r="E1" t="s">
        <v>665</v>
      </c>
      <c r="F1" t="s">
        <v>666</v>
      </c>
      <c r="G1" t="s">
        <v>670</v>
      </c>
      <c r="H1" t="s">
        <v>667</v>
      </c>
      <c r="I1" t="s">
        <v>686</v>
      </c>
    </row>
    <row r="2" spans="1:9" x14ac:dyDescent="0.2">
      <c r="A2">
        <v>8731</v>
      </c>
      <c r="B2" t="s">
        <v>8</v>
      </c>
      <c r="C2" t="s">
        <v>9</v>
      </c>
      <c r="D2">
        <v>1270</v>
      </c>
      <c r="E2">
        <v>0</v>
      </c>
      <c r="F2">
        <v>0</v>
      </c>
      <c r="G2">
        <v>0</v>
      </c>
      <c r="H2" t="s">
        <v>687</v>
      </c>
      <c r="I2">
        <v>1269</v>
      </c>
    </row>
    <row r="3" spans="1:9" x14ac:dyDescent="0.2">
      <c r="A3">
        <v>6833</v>
      </c>
      <c r="B3" t="s">
        <v>10</v>
      </c>
      <c r="C3" t="s">
        <v>11</v>
      </c>
      <c r="D3">
        <v>875</v>
      </c>
      <c r="E3">
        <v>0</v>
      </c>
      <c r="F3">
        <v>0</v>
      </c>
      <c r="G3">
        <v>0</v>
      </c>
      <c r="H3" t="s">
        <v>687</v>
      </c>
      <c r="I3">
        <v>835</v>
      </c>
    </row>
    <row r="4" spans="1:9" x14ac:dyDescent="0.2">
      <c r="A4">
        <v>9681</v>
      </c>
      <c r="B4" t="s">
        <v>12</v>
      </c>
      <c r="C4" t="s">
        <v>13</v>
      </c>
      <c r="D4">
        <v>593</v>
      </c>
      <c r="E4">
        <v>0</v>
      </c>
      <c r="F4">
        <v>0</v>
      </c>
      <c r="G4">
        <v>0</v>
      </c>
      <c r="H4" t="s">
        <v>687</v>
      </c>
    </row>
    <row r="5" spans="1:9" x14ac:dyDescent="0.2">
      <c r="A5">
        <v>3455</v>
      </c>
      <c r="B5" t="s">
        <v>14</v>
      </c>
      <c r="C5" t="s">
        <v>15</v>
      </c>
      <c r="D5">
        <v>577</v>
      </c>
      <c r="E5">
        <v>0</v>
      </c>
      <c r="F5">
        <v>0</v>
      </c>
      <c r="G5">
        <v>0</v>
      </c>
      <c r="H5" t="s">
        <v>687</v>
      </c>
    </row>
    <row r="6" spans="1:9" x14ac:dyDescent="0.2">
      <c r="A6">
        <v>11099</v>
      </c>
      <c r="B6" t="s">
        <v>16</v>
      </c>
      <c r="C6" t="s">
        <v>17</v>
      </c>
      <c r="D6">
        <v>131</v>
      </c>
      <c r="E6">
        <v>0</v>
      </c>
      <c r="F6">
        <v>0</v>
      </c>
      <c r="G6">
        <v>0</v>
      </c>
      <c r="H6" t="s">
        <v>687</v>
      </c>
    </row>
    <row r="7" spans="1:9" x14ac:dyDescent="0.2">
      <c r="A7">
        <v>11100</v>
      </c>
      <c r="B7" t="s">
        <v>18</v>
      </c>
      <c r="C7" t="s">
        <v>19</v>
      </c>
      <c r="D7">
        <v>118</v>
      </c>
      <c r="E7">
        <v>0</v>
      </c>
      <c r="F7">
        <v>0</v>
      </c>
      <c r="G7">
        <v>0</v>
      </c>
      <c r="H7" t="s">
        <v>687</v>
      </c>
    </row>
    <row r="8" spans="1:9" x14ac:dyDescent="0.2">
      <c r="A8">
        <v>7538</v>
      </c>
      <c r="B8" t="s">
        <v>20</v>
      </c>
      <c r="C8" t="s">
        <v>21</v>
      </c>
      <c r="D8">
        <v>102</v>
      </c>
      <c r="E8">
        <v>0</v>
      </c>
      <c r="F8">
        <v>0</v>
      </c>
      <c r="G8">
        <v>0</v>
      </c>
      <c r="H8" t="s">
        <v>687</v>
      </c>
    </row>
    <row r="9" spans="1:9" x14ac:dyDescent="0.2">
      <c r="A9">
        <v>13927</v>
      </c>
      <c r="B9" t="s">
        <v>22</v>
      </c>
      <c r="C9" t="s">
        <v>23</v>
      </c>
      <c r="D9">
        <v>102</v>
      </c>
      <c r="E9">
        <v>0</v>
      </c>
      <c r="F9">
        <v>0</v>
      </c>
      <c r="G9">
        <v>0</v>
      </c>
      <c r="H9" t="s">
        <v>687</v>
      </c>
    </row>
    <row r="10" spans="1:9" x14ac:dyDescent="0.2">
      <c r="A10">
        <v>7518</v>
      </c>
      <c r="B10" t="s">
        <v>24</v>
      </c>
      <c r="C10" t="s">
        <v>25</v>
      </c>
      <c r="D10">
        <v>100</v>
      </c>
      <c r="E10">
        <v>0</v>
      </c>
      <c r="F10">
        <v>0</v>
      </c>
      <c r="G10">
        <v>0</v>
      </c>
      <c r="H10" t="s">
        <v>687</v>
      </c>
    </row>
    <row r="11" spans="1:9" x14ac:dyDescent="0.2">
      <c r="A11">
        <v>7534</v>
      </c>
      <c r="B11" t="s">
        <v>26</v>
      </c>
      <c r="C11" t="s">
        <v>27</v>
      </c>
      <c r="D11">
        <v>100</v>
      </c>
      <c r="E11">
        <v>0</v>
      </c>
      <c r="F11">
        <v>0</v>
      </c>
      <c r="G11">
        <v>0</v>
      </c>
      <c r="H11" t="s">
        <v>687</v>
      </c>
    </row>
    <row r="12" spans="1:9" x14ac:dyDescent="0.2">
      <c r="A12">
        <v>7528</v>
      </c>
      <c r="B12" t="s">
        <v>28</v>
      </c>
      <c r="C12" t="s">
        <v>29</v>
      </c>
      <c r="D12">
        <v>100</v>
      </c>
      <c r="E12">
        <v>0</v>
      </c>
      <c r="F12">
        <v>0</v>
      </c>
      <c r="G12">
        <v>0</v>
      </c>
      <c r="H12" t="s">
        <v>687</v>
      </c>
    </row>
    <row r="13" spans="1:9" x14ac:dyDescent="0.2">
      <c r="A13">
        <v>7527</v>
      </c>
      <c r="B13" t="s">
        <v>30</v>
      </c>
      <c r="C13" t="s">
        <v>31</v>
      </c>
      <c r="D13">
        <v>100</v>
      </c>
      <c r="E13">
        <v>0</v>
      </c>
      <c r="F13">
        <v>0</v>
      </c>
      <c r="G13">
        <v>0</v>
      </c>
      <c r="H13" t="s">
        <v>687</v>
      </c>
    </row>
    <row r="14" spans="1:9" x14ac:dyDescent="0.2">
      <c r="A14">
        <v>11107</v>
      </c>
      <c r="B14" t="s">
        <v>32</v>
      </c>
      <c r="C14" t="s">
        <v>33</v>
      </c>
      <c r="D14">
        <v>90</v>
      </c>
      <c r="E14">
        <v>0</v>
      </c>
      <c r="F14">
        <v>0</v>
      </c>
      <c r="G14">
        <v>0</v>
      </c>
      <c r="H14" t="s">
        <v>687</v>
      </c>
    </row>
    <row r="15" spans="1:9" x14ac:dyDescent="0.2">
      <c r="A15">
        <v>2103</v>
      </c>
      <c r="B15" t="s">
        <v>34</v>
      </c>
      <c r="C15" t="s">
        <v>35</v>
      </c>
      <c r="D15">
        <v>73</v>
      </c>
      <c r="E15">
        <v>0</v>
      </c>
      <c r="F15">
        <v>0</v>
      </c>
      <c r="G15">
        <v>0</v>
      </c>
      <c r="H15" t="s">
        <v>687</v>
      </c>
    </row>
    <row r="16" spans="1:9" x14ac:dyDescent="0.2">
      <c r="A16">
        <v>6775</v>
      </c>
      <c r="B16" t="s">
        <v>36</v>
      </c>
      <c r="C16" t="s">
        <v>37</v>
      </c>
      <c r="D16">
        <v>71</v>
      </c>
      <c r="E16">
        <v>0</v>
      </c>
      <c r="F16">
        <v>0</v>
      </c>
      <c r="G16">
        <v>0</v>
      </c>
      <c r="H16" t="s">
        <v>687</v>
      </c>
    </row>
    <row r="17" spans="1:8" x14ac:dyDescent="0.2">
      <c r="A17">
        <v>6773</v>
      </c>
      <c r="B17" t="s">
        <v>38</v>
      </c>
      <c r="C17" t="s">
        <v>39</v>
      </c>
      <c r="D17">
        <v>59</v>
      </c>
      <c r="E17">
        <v>0</v>
      </c>
      <c r="F17">
        <v>0</v>
      </c>
      <c r="G17">
        <v>0</v>
      </c>
      <c r="H17" t="s">
        <v>687</v>
      </c>
    </row>
    <row r="18" spans="1:8" x14ac:dyDescent="0.2">
      <c r="A18">
        <v>10386</v>
      </c>
      <c r="B18" t="s">
        <v>40</v>
      </c>
      <c r="C18" t="s">
        <v>41</v>
      </c>
      <c r="D18">
        <v>55</v>
      </c>
      <c r="E18">
        <v>0</v>
      </c>
      <c r="F18">
        <v>0</v>
      </c>
      <c r="G18">
        <v>0</v>
      </c>
      <c r="H18" t="s">
        <v>687</v>
      </c>
    </row>
    <row r="19" spans="1:8" x14ac:dyDescent="0.2">
      <c r="A19">
        <v>10405</v>
      </c>
      <c r="B19" t="s">
        <v>42</v>
      </c>
      <c r="C19" t="s">
        <v>43</v>
      </c>
      <c r="D19">
        <v>51</v>
      </c>
      <c r="E19">
        <v>0</v>
      </c>
      <c r="F19">
        <v>0</v>
      </c>
      <c r="G19">
        <v>0</v>
      </c>
      <c r="H19" t="s">
        <v>687</v>
      </c>
    </row>
    <row r="20" spans="1:8" x14ac:dyDescent="0.2">
      <c r="A20">
        <v>6766</v>
      </c>
      <c r="B20" t="s">
        <v>44</v>
      </c>
      <c r="C20" t="s">
        <v>45</v>
      </c>
      <c r="D20">
        <v>51</v>
      </c>
      <c r="E20">
        <v>0</v>
      </c>
      <c r="F20">
        <v>0</v>
      </c>
      <c r="G20">
        <v>0</v>
      </c>
      <c r="H20" t="s">
        <v>687</v>
      </c>
    </row>
    <row r="21" spans="1:8" x14ac:dyDescent="0.2">
      <c r="A21">
        <v>10396</v>
      </c>
      <c r="B21" t="s">
        <v>46</v>
      </c>
      <c r="C21" t="s">
        <v>47</v>
      </c>
      <c r="D21">
        <v>50</v>
      </c>
      <c r="E21">
        <v>0</v>
      </c>
      <c r="F21">
        <v>0</v>
      </c>
      <c r="G21">
        <v>0</v>
      </c>
      <c r="H21" t="s">
        <v>687</v>
      </c>
    </row>
    <row r="22" spans="1:8" x14ac:dyDescent="0.2">
      <c r="A22">
        <v>11104</v>
      </c>
      <c r="B22" t="s">
        <v>48</v>
      </c>
      <c r="C22" t="s">
        <v>49</v>
      </c>
      <c r="D22">
        <v>47</v>
      </c>
      <c r="E22">
        <v>0</v>
      </c>
      <c r="F22">
        <v>0</v>
      </c>
      <c r="G22">
        <v>0</v>
      </c>
      <c r="H22" t="s">
        <v>687</v>
      </c>
    </row>
    <row r="23" spans="1:8" x14ac:dyDescent="0.2">
      <c r="A23">
        <v>533</v>
      </c>
      <c r="B23" t="s">
        <v>50</v>
      </c>
      <c r="C23" t="s">
        <v>51</v>
      </c>
      <c r="D23">
        <v>46</v>
      </c>
      <c r="E23">
        <v>0</v>
      </c>
      <c r="F23">
        <v>0</v>
      </c>
      <c r="G23">
        <v>0</v>
      </c>
      <c r="H23" t="s">
        <v>687</v>
      </c>
    </row>
    <row r="24" spans="1:8" x14ac:dyDescent="0.2">
      <c r="A24">
        <v>9710</v>
      </c>
      <c r="B24" t="s">
        <v>52</v>
      </c>
      <c r="C24" t="s">
        <v>53</v>
      </c>
      <c r="D24">
        <v>38</v>
      </c>
      <c r="E24">
        <v>0</v>
      </c>
      <c r="F24">
        <v>0</v>
      </c>
      <c r="G24">
        <v>0</v>
      </c>
      <c r="H24" t="s">
        <v>687</v>
      </c>
    </row>
    <row r="25" spans="1:8" x14ac:dyDescent="0.2">
      <c r="A25">
        <v>13910</v>
      </c>
      <c r="B25" t="s">
        <v>54</v>
      </c>
      <c r="C25" t="s">
        <v>55</v>
      </c>
      <c r="D25">
        <v>34</v>
      </c>
      <c r="E25">
        <v>0</v>
      </c>
      <c r="F25">
        <v>0</v>
      </c>
      <c r="G25">
        <v>0</v>
      </c>
      <c r="H25" t="s">
        <v>687</v>
      </c>
    </row>
    <row r="26" spans="1:8" x14ac:dyDescent="0.2">
      <c r="A26">
        <v>11250</v>
      </c>
      <c r="B26" t="s">
        <v>56</v>
      </c>
      <c r="C26" t="s">
        <v>57</v>
      </c>
      <c r="D26">
        <v>31</v>
      </c>
      <c r="E26">
        <v>0</v>
      </c>
      <c r="F26">
        <v>0</v>
      </c>
      <c r="G26">
        <v>0</v>
      </c>
      <c r="H26" t="s">
        <v>687</v>
      </c>
    </row>
    <row r="27" spans="1:8" x14ac:dyDescent="0.2">
      <c r="A27">
        <v>11103</v>
      </c>
      <c r="B27" t="s">
        <v>58</v>
      </c>
      <c r="C27" t="s">
        <v>59</v>
      </c>
      <c r="D27">
        <v>31</v>
      </c>
      <c r="E27">
        <v>0</v>
      </c>
      <c r="F27">
        <v>0</v>
      </c>
      <c r="G27">
        <v>0</v>
      </c>
      <c r="H27" t="s">
        <v>687</v>
      </c>
    </row>
    <row r="28" spans="1:8" x14ac:dyDescent="0.2">
      <c r="A28">
        <v>10575</v>
      </c>
      <c r="B28" t="s">
        <v>60</v>
      </c>
      <c r="C28" t="s">
        <v>61</v>
      </c>
      <c r="D28">
        <v>30</v>
      </c>
      <c r="E28">
        <v>0</v>
      </c>
      <c r="F28">
        <v>0</v>
      </c>
      <c r="G28">
        <v>0</v>
      </c>
      <c r="H28" t="s">
        <v>687</v>
      </c>
    </row>
    <row r="29" spans="1:8" x14ac:dyDescent="0.2">
      <c r="A29">
        <v>13734</v>
      </c>
      <c r="B29" t="s">
        <v>62</v>
      </c>
      <c r="C29" t="s">
        <v>63</v>
      </c>
      <c r="D29">
        <v>30</v>
      </c>
      <c r="E29">
        <v>0</v>
      </c>
      <c r="F29">
        <v>0</v>
      </c>
      <c r="G29">
        <v>0</v>
      </c>
      <c r="H29" t="s">
        <v>687</v>
      </c>
    </row>
    <row r="30" spans="1:8" x14ac:dyDescent="0.2">
      <c r="A30">
        <v>10668</v>
      </c>
      <c r="B30" t="s">
        <v>64</v>
      </c>
      <c r="C30" t="s">
        <v>65</v>
      </c>
      <c r="D30">
        <v>29</v>
      </c>
      <c r="E30">
        <v>0</v>
      </c>
      <c r="F30">
        <v>0</v>
      </c>
      <c r="G30">
        <v>0</v>
      </c>
      <c r="H30" t="s">
        <v>687</v>
      </c>
    </row>
    <row r="31" spans="1:8" x14ac:dyDescent="0.2">
      <c r="A31">
        <v>7490</v>
      </c>
      <c r="B31" t="s">
        <v>66</v>
      </c>
      <c r="C31" t="s">
        <v>67</v>
      </c>
      <c r="D31">
        <v>27</v>
      </c>
      <c r="E31">
        <v>0</v>
      </c>
      <c r="F31">
        <v>0</v>
      </c>
      <c r="G31">
        <v>0</v>
      </c>
      <c r="H31" t="s">
        <v>687</v>
      </c>
    </row>
    <row r="32" spans="1:8" x14ac:dyDescent="0.2">
      <c r="A32">
        <v>10348</v>
      </c>
      <c r="B32" t="s">
        <v>68</v>
      </c>
      <c r="C32" t="s">
        <v>69</v>
      </c>
      <c r="D32">
        <v>23</v>
      </c>
      <c r="E32">
        <v>0</v>
      </c>
      <c r="F32">
        <v>0</v>
      </c>
      <c r="G32">
        <v>0</v>
      </c>
      <c r="H32" t="s">
        <v>687</v>
      </c>
    </row>
    <row r="33" spans="1:8" x14ac:dyDescent="0.2">
      <c r="A33">
        <v>10407</v>
      </c>
      <c r="B33" t="s">
        <v>70</v>
      </c>
      <c r="C33" t="s">
        <v>71</v>
      </c>
      <c r="D33">
        <v>22</v>
      </c>
      <c r="E33">
        <v>0</v>
      </c>
      <c r="F33">
        <v>0</v>
      </c>
      <c r="G33">
        <v>0</v>
      </c>
      <c r="H33" t="s">
        <v>687</v>
      </c>
    </row>
    <row r="34" spans="1:8" x14ac:dyDescent="0.2">
      <c r="A34">
        <v>10437</v>
      </c>
      <c r="B34" t="s">
        <v>72</v>
      </c>
      <c r="C34" t="s">
        <v>73</v>
      </c>
      <c r="D34">
        <v>22</v>
      </c>
      <c r="E34">
        <v>0</v>
      </c>
      <c r="F34">
        <v>0</v>
      </c>
      <c r="G34">
        <v>0</v>
      </c>
      <c r="H34" t="s">
        <v>687</v>
      </c>
    </row>
    <row r="35" spans="1:8" x14ac:dyDescent="0.2">
      <c r="A35">
        <v>10379</v>
      </c>
      <c r="B35" t="s">
        <v>74</v>
      </c>
      <c r="C35" t="s">
        <v>75</v>
      </c>
      <c r="D35">
        <v>21</v>
      </c>
      <c r="E35">
        <v>0</v>
      </c>
      <c r="F35">
        <v>0</v>
      </c>
      <c r="G35">
        <v>0</v>
      </c>
      <c r="H35" t="s">
        <v>687</v>
      </c>
    </row>
    <row r="36" spans="1:8" x14ac:dyDescent="0.2">
      <c r="A36">
        <v>10171</v>
      </c>
      <c r="B36" t="s">
        <v>76</v>
      </c>
      <c r="C36" t="s">
        <v>77</v>
      </c>
      <c r="D36">
        <v>20</v>
      </c>
      <c r="E36">
        <v>0</v>
      </c>
      <c r="F36">
        <v>0</v>
      </c>
      <c r="G36">
        <v>0</v>
      </c>
      <c r="H36" t="s">
        <v>687</v>
      </c>
    </row>
    <row r="37" spans="1:8" x14ac:dyDescent="0.2">
      <c r="A37">
        <v>9528</v>
      </c>
      <c r="B37" t="s">
        <v>78</v>
      </c>
      <c r="C37" t="s">
        <v>79</v>
      </c>
      <c r="D37">
        <v>20</v>
      </c>
      <c r="E37">
        <v>0</v>
      </c>
      <c r="F37">
        <v>0</v>
      </c>
      <c r="G37">
        <v>0</v>
      </c>
      <c r="H37" t="s">
        <v>687</v>
      </c>
    </row>
    <row r="38" spans="1:8" x14ac:dyDescent="0.2">
      <c r="A38">
        <v>9530</v>
      </c>
      <c r="B38" t="s">
        <v>80</v>
      </c>
      <c r="C38" t="s">
        <v>81</v>
      </c>
      <c r="D38">
        <v>20</v>
      </c>
      <c r="E38">
        <v>0</v>
      </c>
      <c r="F38">
        <v>0</v>
      </c>
      <c r="G38">
        <v>0</v>
      </c>
      <c r="H38" t="s">
        <v>687</v>
      </c>
    </row>
    <row r="39" spans="1:8" x14ac:dyDescent="0.2">
      <c r="A39">
        <v>10436</v>
      </c>
      <c r="B39" t="s">
        <v>82</v>
      </c>
      <c r="C39" t="s">
        <v>83</v>
      </c>
      <c r="D39">
        <v>20</v>
      </c>
      <c r="E39">
        <v>0</v>
      </c>
      <c r="F39">
        <v>0</v>
      </c>
      <c r="G39">
        <v>0</v>
      </c>
      <c r="H39" t="s">
        <v>687</v>
      </c>
    </row>
    <row r="40" spans="1:8" x14ac:dyDescent="0.2">
      <c r="A40">
        <v>9055</v>
      </c>
      <c r="B40" t="s">
        <v>84</v>
      </c>
      <c r="C40" t="s">
        <v>85</v>
      </c>
      <c r="D40">
        <v>20</v>
      </c>
      <c r="E40">
        <v>0</v>
      </c>
      <c r="F40">
        <v>0</v>
      </c>
      <c r="G40">
        <v>0</v>
      </c>
      <c r="H40" t="s">
        <v>687</v>
      </c>
    </row>
    <row r="41" spans="1:8" x14ac:dyDescent="0.2">
      <c r="A41">
        <v>14303</v>
      </c>
      <c r="B41" t="s">
        <v>86</v>
      </c>
      <c r="C41" t="s">
        <v>87</v>
      </c>
      <c r="D41">
        <v>20</v>
      </c>
      <c r="E41">
        <v>0</v>
      </c>
      <c r="F41">
        <v>0</v>
      </c>
      <c r="G41">
        <v>0</v>
      </c>
      <c r="H41" t="s">
        <v>687</v>
      </c>
    </row>
    <row r="42" spans="1:8" x14ac:dyDescent="0.2">
      <c r="A42">
        <v>10063</v>
      </c>
      <c r="B42" t="s">
        <v>88</v>
      </c>
      <c r="C42" t="s">
        <v>89</v>
      </c>
      <c r="D42">
        <v>20</v>
      </c>
      <c r="E42">
        <v>0</v>
      </c>
      <c r="F42">
        <v>0</v>
      </c>
      <c r="G42">
        <v>0</v>
      </c>
      <c r="H42" t="s">
        <v>687</v>
      </c>
    </row>
    <row r="43" spans="1:8" x14ac:dyDescent="0.2">
      <c r="A43">
        <v>10377</v>
      </c>
      <c r="B43" t="s">
        <v>90</v>
      </c>
      <c r="C43" t="s">
        <v>91</v>
      </c>
      <c r="D43">
        <v>19</v>
      </c>
      <c r="E43">
        <v>0</v>
      </c>
      <c r="F43">
        <v>0</v>
      </c>
      <c r="G43">
        <v>0</v>
      </c>
      <c r="H43" t="s">
        <v>687</v>
      </c>
    </row>
    <row r="44" spans="1:8" x14ac:dyDescent="0.2">
      <c r="A44">
        <v>10641</v>
      </c>
      <c r="B44" t="s">
        <v>92</v>
      </c>
      <c r="C44" t="s">
        <v>93</v>
      </c>
      <c r="D44">
        <v>19</v>
      </c>
      <c r="E44">
        <v>0</v>
      </c>
      <c r="F44">
        <v>0</v>
      </c>
      <c r="G44">
        <v>0</v>
      </c>
      <c r="H44" t="s">
        <v>687</v>
      </c>
    </row>
    <row r="45" spans="1:8" x14ac:dyDescent="0.2">
      <c r="A45">
        <v>10347</v>
      </c>
      <c r="B45" t="s">
        <v>94</v>
      </c>
      <c r="C45" t="s">
        <v>95</v>
      </c>
      <c r="D45">
        <v>18</v>
      </c>
      <c r="E45">
        <v>0</v>
      </c>
      <c r="F45">
        <v>0</v>
      </c>
      <c r="G45">
        <v>0</v>
      </c>
      <c r="H45" t="s">
        <v>687</v>
      </c>
    </row>
    <row r="46" spans="1:8" x14ac:dyDescent="0.2">
      <c r="A46">
        <v>10374</v>
      </c>
      <c r="B46" t="s">
        <v>96</v>
      </c>
      <c r="C46" t="s">
        <v>97</v>
      </c>
      <c r="D46">
        <v>18</v>
      </c>
      <c r="E46">
        <v>0</v>
      </c>
      <c r="F46">
        <v>0</v>
      </c>
      <c r="G46">
        <v>0</v>
      </c>
      <c r="H46" t="s">
        <v>687</v>
      </c>
    </row>
    <row r="47" spans="1:8" x14ac:dyDescent="0.2">
      <c r="A47">
        <v>10431</v>
      </c>
      <c r="B47" t="s">
        <v>98</v>
      </c>
      <c r="C47" t="s">
        <v>99</v>
      </c>
      <c r="D47">
        <v>17</v>
      </c>
      <c r="E47">
        <v>0</v>
      </c>
      <c r="F47">
        <v>0</v>
      </c>
      <c r="G47">
        <v>0</v>
      </c>
      <c r="H47" t="s">
        <v>687</v>
      </c>
    </row>
    <row r="48" spans="1:8" x14ac:dyDescent="0.2">
      <c r="A48">
        <v>14041</v>
      </c>
      <c r="B48" t="s">
        <v>100</v>
      </c>
      <c r="C48" t="s">
        <v>101</v>
      </c>
      <c r="D48">
        <v>16</v>
      </c>
      <c r="E48">
        <v>0</v>
      </c>
      <c r="F48">
        <v>0</v>
      </c>
      <c r="G48">
        <v>0</v>
      </c>
      <c r="H48" t="s">
        <v>687</v>
      </c>
    </row>
    <row r="49" spans="1:8" x14ac:dyDescent="0.2">
      <c r="A49">
        <v>13506</v>
      </c>
      <c r="B49" t="s">
        <v>102</v>
      </c>
      <c r="C49" t="s">
        <v>103</v>
      </c>
      <c r="D49">
        <v>14</v>
      </c>
      <c r="E49">
        <v>0</v>
      </c>
      <c r="F49">
        <v>0</v>
      </c>
      <c r="G49">
        <v>0</v>
      </c>
      <c r="H49" t="s">
        <v>687</v>
      </c>
    </row>
    <row r="50" spans="1:8" x14ac:dyDescent="0.2">
      <c r="A50">
        <v>10202</v>
      </c>
      <c r="B50" t="s">
        <v>104</v>
      </c>
      <c r="C50" t="s">
        <v>105</v>
      </c>
      <c r="D50">
        <v>14</v>
      </c>
      <c r="E50">
        <v>0</v>
      </c>
      <c r="F50">
        <v>0</v>
      </c>
      <c r="G50">
        <v>0</v>
      </c>
      <c r="H50" t="s">
        <v>687</v>
      </c>
    </row>
    <row r="51" spans="1:8" x14ac:dyDescent="0.2">
      <c r="A51">
        <v>13981</v>
      </c>
      <c r="B51" t="s">
        <v>106</v>
      </c>
      <c r="C51" t="s">
        <v>107</v>
      </c>
      <c r="D51">
        <v>13</v>
      </c>
      <c r="E51">
        <v>0</v>
      </c>
      <c r="F51">
        <v>0</v>
      </c>
      <c r="G51">
        <v>0</v>
      </c>
      <c r="H51" t="s">
        <v>687</v>
      </c>
    </row>
    <row r="52" spans="1:8" x14ac:dyDescent="0.2">
      <c r="A52">
        <v>9873</v>
      </c>
      <c r="B52" t="s">
        <v>108</v>
      </c>
      <c r="C52" t="s">
        <v>109</v>
      </c>
      <c r="D52">
        <v>12</v>
      </c>
      <c r="E52">
        <v>0</v>
      </c>
      <c r="F52">
        <v>0</v>
      </c>
      <c r="G52">
        <v>0</v>
      </c>
      <c r="H52" t="s">
        <v>687</v>
      </c>
    </row>
    <row r="53" spans="1:8" x14ac:dyDescent="0.2">
      <c r="A53">
        <v>9235</v>
      </c>
      <c r="B53" t="s">
        <v>110</v>
      </c>
      <c r="C53" t="s">
        <v>111</v>
      </c>
      <c r="D53">
        <v>12</v>
      </c>
      <c r="E53">
        <v>0</v>
      </c>
      <c r="F53">
        <v>0</v>
      </c>
      <c r="G53">
        <v>0</v>
      </c>
      <c r="H53" t="s">
        <v>687</v>
      </c>
    </row>
    <row r="54" spans="1:8" x14ac:dyDescent="0.2">
      <c r="A54">
        <v>10434</v>
      </c>
      <c r="B54" t="s">
        <v>112</v>
      </c>
      <c r="C54" t="s">
        <v>113</v>
      </c>
      <c r="D54">
        <v>12</v>
      </c>
      <c r="E54">
        <v>0</v>
      </c>
      <c r="F54">
        <v>0</v>
      </c>
      <c r="G54">
        <v>0</v>
      </c>
      <c r="H54" t="s">
        <v>687</v>
      </c>
    </row>
    <row r="55" spans="1:8" x14ac:dyDescent="0.2">
      <c r="A55">
        <v>6774</v>
      </c>
      <c r="B55" t="s">
        <v>114</v>
      </c>
      <c r="C55" t="s">
        <v>115</v>
      </c>
      <c r="D55">
        <v>13</v>
      </c>
      <c r="E55">
        <v>0</v>
      </c>
      <c r="F55">
        <v>0</v>
      </c>
      <c r="G55">
        <v>0</v>
      </c>
      <c r="H55" t="s">
        <v>687</v>
      </c>
    </row>
    <row r="56" spans="1:8" x14ac:dyDescent="0.2">
      <c r="A56">
        <v>10840</v>
      </c>
      <c r="B56" t="s">
        <v>116</v>
      </c>
      <c r="C56" t="s">
        <v>117</v>
      </c>
      <c r="D56">
        <v>11</v>
      </c>
      <c r="E56">
        <v>0</v>
      </c>
      <c r="F56">
        <v>0</v>
      </c>
      <c r="G56">
        <v>0</v>
      </c>
      <c r="H56" t="s">
        <v>687</v>
      </c>
    </row>
    <row r="57" spans="1:8" x14ac:dyDescent="0.2">
      <c r="A57">
        <v>10503</v>
      </c>
      <c r="B57" t="s">
        <v>118</v>
      </c>
      <c r="C57" t="s">
        <v>119</v>
      </c>
      <c r="D57">
        <v>11</v>
      </c>
      <c r="E57">
        <v>0</v>
      </c>
      <c r="F57">
        <v>0</v>
      </c>
      <c r="G57">
        <v>0</v>
      </c>
      <c r="H57" t="s">
        <v>687</v>
      </c>
    </row>
    <row r="58" spans="1:8" x14ac:dyDescent="0.2">
      <c r="A58">
        <v>6760</v>
      </c>
      <c r="B58" t="s">
        <v>120</v>
      </c>
      <c r="C58" t="s">
        <v>121</v>
      </c>
      <c r="D58">
        <v>12</v>
      </c>
      <c r="E58">
        <v>0</v>
      </c>
      <c r="F58">
        <v>0</v>
      </c>
      <c r="G58">
        <v>0</v>
      </c>
      <c r="H58" t="s">
        <v>687</v>
      </c>
    </row>
    <row r="59" spans="1:8" x14ac:dyDescent="0.2">
      <c r="A59">
        <v>13505</v>
      </c>
      <c r="B59" t="s">
        <v>122</v>
      </c>
      <c r="C59" t="s">
        <v>123</v>
      </c>
      <c r="D59">
        <v>10</v>
      </c>
      <c r="E59">
        <v>0</v>
      </c>
      <c r="F59">
        <v>0</v>
      </c>
      <c r="G59">
        <v>0</v>
      </c>
      <c r="H59" t="s">
        <v>687</v>
      </c>
    </row>
    <row r="60" spans="1:8" x14ac:dyDescent="0.2">
      <c r="A60">
        <v>9548</v>
      </c>
      <c r="B60" t="s">
        <v>124</v>
      </c>
      <c r="C60" t="s">
        <v>125</v>
      </c>
      <c r="D60">
        <v>10</v>
      </c>
      <c r="E60">
        <v>0</v>
      </c>
      <c r="F60">
        <v>0</v>
      </c>
      <c r="G60">
        <v>0</v>
      </c>
      <c r="H60" t="s">
        <v>687</v>
      </c>
    </row>
    <row r="61" spans="1:8" x14ac:dyDescent="0.2">
      <c r="A61">
        <v>3332</v>
      </c>
      <c r="B61" t="s">
        <v>126</v>
      </c>
      <c r="C61" t="s">
        <v>127</v>
      </c>
      <c r="D61">
        <v>10</v>
      </c>
      <c r="E61">
        <v>0</v>
      </c>
      <c r="F61">
        <v>0</v>
      </c>
      <c r="G61">
        <v>0</v>
      </c>
      <c r="H61" t="s">
        <v>687</v>
      </c>
    </row>
    <row r="62" spans="1:8" x14ac:dyDescent="0.2">
      <c r="A62">
        <v>10429</v>
      </c>
      <c r="B62" t="s">
        <v>128</v>
      </c>
      <c r="C62" t="s">
        <v>129</v>
      </c>
      <c r="D62">
        <v>10</v>
      </c>
      <c r="E62">
        <v>0</v>
      </c>
      <c r="F62">
        <v>0</v>
      </c>
      <c r="G62">
        <v>0</v>
      </c>
      <c r="H62" t="s">
        <v>687</v>
      </c>
    </row>
    <row r="63" spans="1:8" x14ac:dyDescent="0.2">
      <c r="A63">
        <v>13501</v>
      </c>
      <c r="B63" t="s">
        <v>130</v>
      </c>
      <c r="C63" t="s">
        <v>131</v>
      </c>
      <c r="D63">
        <v>10</v>
      </c>
      <c r="E63">
        <v>0</v>
      </c>
      <c r="F63">
        <v>0</v>
      </c>
      <c r="G63">
        <v>0</v>
      </c>
      <c r="H63" t="s">
        <v>687</v>
      </c>
    </row>
    <row r="64" spans="1:8" x14ac:dyDescent="0.2">
      <c r="A64">
        <v>10460</v>
      </c>
      <c r="B64" t="s">
        <v>132</v>
      </c>
      <c r="C64" t="s">
        <v>133</v>
      </c>
      <c r="D64">
        <v>10</v>
      </c>
      <c r="E64">
        <v>0</v>
      </c>
      <c r="F64">
        <v>0</v>
      </c>
      <c r="G64">
        <v>0</v>
      </c>
      <c r="H64" t="s">
        <v>687</v>
      </c>
    </row>
    <row r="65" spans="1:8" x14ac:dyDescent="0.2">
      <c r="A65">
        <v>10461</v>
      </c>
      <c r="B65" t="s">
        <v>134</v>
      </c>
      <c r="C65" t="s">
        <v>135</v>
      </c>
      <c r="D65">
        <v>10</v>
      </c>
      <c r="E65">
        <v>0</v>
      </c>
      <c r="F65">
        <v>0</v>
      </c>
      <c r="G65">
        <v>0</v>
      </c>
      <c r="H65" t="s">
        <v>687</v>
      </c>
    </row>
    <row r="66" spans="1:8" x14ac:dyDescent="0.2">
      <c r="A66">
        <v>9221</v>
      </c>
      <c r="B66" t="s">
        <v>136</v>
      </c>
      <c r="C66" t="s">
        <v>137</v>
      </c>
      <c r="D66">
        <v>9</v>
      </c>
      <c r="E66">
        <v>0</v>
      </c>
      <c r="F66">
        <v>0</v>
      </c>
      <c r="G66">
        <v>0</v>
      </c>
      <c r="H66" t="s">
        <v>687</v>
      </c>
    </row>
    <row r="67" spans="1:8" x14ac:dyDescent="0.2">
      <c r="A67">
        <v>10364</v>
      </c>
      <c r="B67" t="s">
        <v>138</v>
      </c>
      <c r="C67" t="s">
        <v>139</v>
      </c>
      <c r="D67">
        <v>9</v>
      </c>
      <c r="E67">
        <v>0</v>
      </c>
      <c r="F67">
        <v>0</v>
      </c>
      <c r="G67">
        <v>0</v>
      </c>
      <c r="H67" t="s">
        <v>687</v>
      </c>
    </row>
    <row r="68" spans="1:8" x14ac:dyDescent="0.2">
      <c r="A68">
        <v>10385</v>
      </c>
      <c r="B68" t="s">
        <v>140</v>
      </c>
      <c r="C68" t="s">
        <v>141</v>
      </c>
      <c r="D68">
        <v>9</v>
      </c>
      <c r="E68">
        <v>0</v>
      </c>
      <c r="F68">
        <v>0</v>
      </c>
      <c r="G68">
        <v>0</v>
      </c>
      <c r="H68" t="s">
        <v>687</v>
      </c>
    </row>
    <row r="69" spans="1:8" x14ac:dyDescent="0.2">
      <c r="A69">
        <v>10376</v>
      </c>
      <c r="B69" t="s">
        <v>142</v>
      </c>
      <c r="C69" t="s">
        <v>143</v>
      </c>
      <c r="D69">
        <v>9</v>
      </c>
      <c r="E69">
        <v>0</v>
      </c>
      <c r="F69">
        <v>0</v>
      </c>
      <c r="G69">
        <v>0</v>
      </c>
      <c r="H69" t="s">
        <v>687</v>
      </c>
    </row>
    <row r="70" spans="1:8" x14ac:dyDescent="0.2">
      <c r="A70">
        <v>10455</v>
      </c>
      <c r="B70" t="s">
        <v>144</v>
      </c>
      <c r="C70" t="s">
        <v>145</v>
      </c>
      <c r="D70">
        <v>8</v>
      </c>
      <c r="E70">
        <v>0</v>
      </c>
      <c r="F70">
        <v>0</v>
      </c>
      <c r="G70">
        <v>0</v>
      </c>
      <c r="H70" t="s">
        <v>687</v>
      </c>
    </row>
    <row r="71" spans="1:8" x14ac:dyDescent="0.2">
      <c r="A71">
        <v>10425</v>
      </c>
      <c r="B71" t="s">
        <v>146</v>
      </c>
      <c r="C71" t="s">
        <v>147</v>
      </c>
      <c r="D71">
        <v>7</v>
      </c>
      <c r="E71">
        <v>0</v>
      </c>
      <c r="F71">
        <v>0</v>
      </c>
      <c r="G71">
        <v>0</v>
      </c>
      <c r="H71" t="s">
        <v>687</v>
      </c>
    </row>
    <row r="72" spans="1:8" x14ac:dyDescent="0.2">
      <c r="A72">
        <v>10382</v>
      </c>
      <c r="B72" t="s">
        <v>148</v>
      </c>
      <c r="C72" t="s">
        <v>149</v>
      </c>
      <c r="D72">
        <v>7</v>
      </c>
      <c r="E72">
        <v>0</v>
      </c>
      <c r="F72">
        <v>0</v>
      </c>
      <c r="G72">
        <v>0</v>
      </c>
      <c r="H72" t="s">
        <v>687</v>
      </c>
    </row>
    <row r="73" spans="1:8" x14ac:dyDescent="0.2">
      <c r="A73">
        <v>10373</v>
      </c>
      <c r="B73" t="s">
        <v>150</v>
      </c>
      <c r="C73" t="s">
        <v>151</v>
      </c>
      <c r="D73">
        <v>7</v>
      </c>
      <c r="E73">
        <v>0</v>
      </c>
      <c r="F73">
        <v>0</v>
      </c>
      <c r="G73">
        <v>0</v>
      </c>
      <c r="H73" t="s">
        <v>687</v>
      </c>
    </row>
    <row r="74" spans="1:8" x14ac:dyDescent="0.2">
      <c r="A74">
        <v>10205</v>
      </c>
      <c r="B74" t="s">
        <v>152</v>
      </c>
      <c r="C74" t="s">
        <v>153</v>
      </c>
      <c r="D74">
        <v>6</v>
      </c>
      <c r="E74">
        <v>0</v>
      </c>
      <c r="F74">
        <v>0</v>
      </c>
      <c r="G74">
        <v>0</v>
      </c>
      <c r="H74" t="s">
        <v>687</v>
      </c>
    </row>
    <row r="75" spans="1:8" x14ac:dyDescent="0.2">
      <c r="A75">
        <v>14050</v>
      </c>
      <c r="B75" t="s">
        <v>154</v>
      </c>
      <c r="C75" t="s">
        <v>155</v>
      </c>
      <c r="D75">
        <v>6</v>
      </c>
      <c r="E75">
        <v>0</v>
      </c>
      <c r="F75">
        <v>0</v>
      </c>
      <c r="G75">
        <v>0</v>
      </c>
      <c r="H75" t="s">
        <v>687</v>
      </c>
    </row>
    <row r="76" spans="1:8" x14ac:dyDescent="0.2">
      <c r="A76">
        <v>10450</v>
      </c>
      <c r="B76" t="s">
        <v>156</v>
      </c>
      <c r="C76" t="s">
        <v>157</v>
      </c>
      <c r="D76">
        <v>6</v>
      </c>
      <c r="E76">
        <v>0</v>
      </c>
      <c r="F76">
        <v>0</v>
      </c>
      <c r="G76">
        <v>0</v>
      </c>
      <c r="H76" t="s">
        <v>687</v>
      </c>
    </row>
    <row r="77" spans="1:8" x14ac:dyDescent="0.2">
      <c r="A77">
        <v>10446</v>
      </c>
      <c r="B77" t="s">
        <v>158</v>
      </c>
      <c r="C77" t="s">
        <v>159</v>
      </c>
      <c r="D77">
        <v>6</v>
      </c>
      <c r="E77">
        <v>0</v>
      </c>
      <c r="F77">
        <v>0</v>
      </c>
      <c r="G77">
        <v>0</v>
      </c>
      <c r="H77" t="s">
        <v>687</v>
      </c>
    </row>
    <row r="78" spans="1:8" x14ac:dyDescent="0.2">
      <c r="A78">
        <v>10453</v>
      </c>
      <c r="B78" t="s">
        <v>160</v>
      </c>
      <c r="C78" t="s">
        <v>161</v>
      </c>
      <c r="D78">
        <v>6</v>
      </c>
      <c r="E78">
        <v>0</v>
      </c>
      <c r="F78">
        <v>0</v>
      </c>
      <c r="G78">
        <v>0</v>
      </c>
      <c r="H78" t="s">
        <v>687</v>
      </c>
    </row>
    <row r="79" spans="1:8" x14ac:dyDescent="0.2">
      <c r="A79">
        <v>3554</v>
      </c>
      <c r="B79" t="s">
        <v>162</v>
      </c>
      <c r="C79" t="s">
        <v>163</v>
      </c>
      <c r="D79">
        <v>5</v>
      </c>
      <c r="E79">
        <v>0</v>
      </c>
      <c r="F79">
        <v>0</v>
      </c>
      <c r="G79">
        <v>0</v>
      </c>
      <c r="H79" t="s">
        <v>687</v>
      </c>
    </row>
    <row r="80" spans="1:8" x14ac:dyDescent="0.2">
      <c r="A80">
        <v>9116</v>
      </c>
      <c r="B80" t="s">
        <v>164</v>
      </c>
      <c r="C80" t="s">
        <v>165</v>
      </c>
      <c r="D80">
        <v>5</v>
      </c>
      <c r="E80">
        <v>0</v>
      </c>
      <c r="F80">
        <v>0</v>
      </c>
      <c r="G80">
        <v>0</v>
      </c>
      <c r="H80" t="s">
        <v>687</v>
      </c>
    </row>
    <row r="81" spans="1:8" x14ac:dyDescent="0.2">
      <c r="A81">
        <v>10371</v>
      </c>
      <c r="B81" t="s">
        <v>166</v>
      </c>
      <c r="C81" t="s">
        <v>167</v>
      </c>
      <c r="D81">
        <v>5</v>
      </c>
      <c r="E81">
        <v>0</v>
      </c>
      <c r="F81">
        <v>0</v>
      </c>
      <c r="G81">
        <v>0</v>
      </c>
      <c r="H81" t="s">
        <v>687</v>
      </c>
    </row>
    <row r="82" spans="1:8" x14ac:dyDescent="0.2">
      <c r="A82">
        <v>10424</v>
      </c>
      <c r="B82" t="s">
        <v>168</v>
      </c>
      <c r="C82" t="s">
        <v>169</v>
      </c>
      <c r="D82">
        <v>5</v>
      </c>
      <c r="E82">
        <v>0</v>
      </c>
      <c r="F82">
        <v>0</v>
      </c>
      <c r="G82">
        <v>0</v>
      </c>
      <c r="H82" t="s">
        <v>687</v>
      </c>
    </row>
    <row r="83" spans="1:8" x14ac:dyDescent="0.2">
      <c r="A83">
        <v>14048</v>
      </c>
      <c r="B83" t="s">
        <v>170</v>
      </c>
      <c r="C83" t="s">
        <v>171</v>
      </c>
      <c r="D83">
        <v>5</v>
      </c>
      <c r="E83">
        <v>0</v>
      </c>
      <c r="F83">
        <v>0</v>
      </c>
      <c r="G83">
        <v>0</v>
      </c>
      <c r="H83" t="s">
        <v>687</v>
      </c>
    </row>
    <row r="84" spans="1:8" x14ac:dyDescent="0.2">
      <c r="A84">
        <v>14049</v>
      </c>
      <c r="B84" t="s">
        <v>172</v>
      </c>
      <c r="C84" t="s">
        <v>173</v>
      </c>
      <c r="D84">
        <v>5</v>
      </c>
      <c r="E84">
        <v>0</v>
      </c>
      <c r="F84">
        <v>0</v>
      </c>
      <c r="G84">
        <v>0</v>
      </c>
      <c r="H84" t="s">
        <v>687</v>
      </c>
    </row>
    <row r="85" spans="1:8" x14ac:dyDescent="0.2">
      <c r="A85">
        <v>10357</v>
      </c>
      <c r="B85" t="s">
        <v>174</v>
      </c>
      <c r="C85" t="s">
        <v>175</v>
      </c>
      <c r="D85">
        <v>5</v>
      </c>
      <c r="E85">
        <v>0</v>
      </c>
      <c r="F85">
        <v>0</v>
      </c>
      <c r="G85">
        <v>0</v>
      </c>
      <c r="H85" t="s">
        <v>687</v>
      </c>
    </row>
    <row r="86" spans="1:8" x14ac:dyDescent="0.2">
      <c r="A86">
        <v>10451</v>
      </c>
      <c r="B86" t="s">
        <v>176</v>
      </c>
      <c r="C86" t="s">
        <v>177</v>
      </c>
      <c r="D86">
        <v>5</v>
      </c>
      <c r="E86">
        <v>0</v>
      </c>
      <c r="F86">
        <v>0</v>
      </c>
      <c r="G86">
        <v>0</v>
      </c>
      <c r="H86" t="s">
        <v>687</v>
      </c>
    </row>
    <row r="87" spans="1:8" x14ac:dyDescent="0.2">
      <c r="A87">
        <v>10447</v>
      </c>
      <c r="B87" t="s">
        <v>178</v>
      </c>
      <c r="C87" t="s">
        <v>179</v>
      </c>
      <c r="D87">
        <v>5</v>
      </c>
      <c r="E87">
        <v>0</v>
      </c>
      <c r="F87">
        <v>0</v>
      </c>
      <c r="G87">
        <v>0</v>
      </c>
      <c r="H87" t="s">
        <v>687</v>
      </c>
    </row>
    <row r="88" spans="1:8" x14ac:dyDescent="0.2">
      <c r="A88">
        <v>10449</v>
      </c>
      <c r="B88" t="s">
        <v>180</v>
      </c>
      <c r="C88" t="s">
        <v>181</v>
      </c>
      <c r="D88">
        <v>5</v>
      </c>
      <c r="E88">
        <v>0</v>
      </c>
      <c r="F88">
        <v>0</v>
      </c>
      <c r="G88">
        <v>0</v>
      </c>
      <c r="H88" t="s">
        <v>687</v>
      </c>
    </row>
    <row r="89" spans="1:8" x14ac:dyDescent="0.2">
      <c r="A89">
        <v>10444</v>
      </c>
      <c r="B89" t="s">
        <v>182</v>
      </c>
      <c r="C89" t="s">
        <v>183</v>
      </c>
      <c r="D89">
        <v>5</v>
      </c>
      <c r="E89">
        <v>0</v>
      </c>
      <c r="F89">
        <v>0</v>
      </c>
      <c r="G89">
        <v>0</v>
      </c>
      <c r="H89" t="s">
        <v>687</v>
      </c>
    </row>
    <row r="90" spans="1:8" x14ac:dyDescent="0.2">
      <c r="A90">
        <v>10441</v>
      </c>
      <c r="B90" t="s">
        <v>184</v>
      </c>
      <c r="C90" t="s">
        <v>185</v>
      </c>
      <c r="D90">
        <v>5</v>
      </c>
      <c r="E90">
        <v>0</v>
      </c>
      <c r="F90">
        <v>0</v>
      </c>
      <c r="G90">
        <v>0</v>
      </c>
      <c r="H90" t="s">
        <v>687</v>
      </c>
    </row>
    <row r="91" spans="1:8" x14ac:dyDescent="0.2">
      <c r="A91">
        <v>10443</v>
      </c>
      <c r="B91" t="s">
        <v>186</v>
      </c>
      <c r="C91" t="s">
        <v>187</v>
      </c>
      <c r="D91">
        <v>5</v>
      </c>
      <c r="E91">
        <v>0</v>
      </c>
      <c r="F91">
        <v>0</v>
      </c>
      <c r="G91">
        <v>0</v>
      </c>
      <c r="H91" t="s">
        <v>687</v>
      </c>
    </row>
    <row r="92" spans="1:8" x14ac:dyDescent="0.2">
      <c r="A92">
        <v>10415</v>
      </c>
      <c r="B92" t="s">
        <v>188</v>
      </c>
      <c r="C92" t="s">
        <v>189</v>
      </c>
      <c r="D92">
        <v>5</v>
      </c>
      <c r="E92">
        <v>0</v>
      </c>
      <c r="F92">
        <v>0</v>
      </c>
      <c r="G92">
        <v>0</v>
      </c>
      <c r="H92" t="s">
        <v>687</v>
      </c>
    </row>
    <row r="93" spans="1:8" x14ac:dyDescent="0.2">
      <c r="A93">
        <v>10435</v>
      </c>
      <c r="B93" t="s">
        <v>190</v>
      </c>
      <c r="C93" t="s">
        <v>191</v>
      </c>
      <c r="D93">
        <v>5</v>
      </c>
      <c r="E93">
        <v>0</v>
      </c>
      <c r="F93">
        <v>0</v>
      </c>
      <c r="G93">
        <v>0</v>
      </c>
      <c r="H93" t="s">
        <v>687</v>
      </c>
    </row>
    <row r="94" spans="1:8" x14ac:dyDescent="0.2">
      <c r="A94">
        <v>10391</v>
      </c>
      <c r="B94" t="s">
        <v>192</v>
      </c>
      <c r="C94" t="s">
        <v>193</v>
      </c>
      <c r="D94">
        <v>5</v>
      </c>
      <c r="E94">
        <v>0</v>
      </c>
      <c r="F94">
        <v>0</v>
      </c>
      <c r="G94">
        <v>0</v>
      </c>
      <c r="H94" t="s">
        <v>687</v>
      </c>
    </row>
    <row r="95" spans="1:8" x14ac:dyDescent="0.2">
      <c r="A95">
        <v>9335</v>
      </c>
      <c r="B95" t="s">
        <v>194</v>
      </c>
      <c r="C95" t="s">
        <v>195</v>
      </c>
      <c r="D95">
        <v>5</v>
      </c>
      <c r="E95">
        <v>0</v>
      </c>
      <c r="F95">
        <v>0</v>
      </c>
      <c r="G95">
        <v>0</v>
      </c>
      <c r="H95" t="s">
        <v>687</v>
      </c>
    </row>
    <row r="96" spans="1:8" x14ac:dyDescent="0.2">
      <c r="A96">
        <v>9329</v>
      </c>
      <c r="B96" t="s">
        <v>196</v>
      </c>
      <c r="C96" t="s">
        <v>197</v>
      </c>
      <c r="D96">
        <v>4</v>
      </c>
      <c r="E96">
        <v>0</v>
      </c>
      <c r="F96">
        <v>0</v>
      </c>
      <c r="G96">
        <v>0</v>
      </c>
      <c r="H96" t="s">
        <v>687</v>
      </c>
    </row>
    <row r="97" spans="1:8" x14ac:dyDescent="0.2">
      <c r="A97">
        <v>13504</v>
      </c>
      <c r="B97" t="s">
        <v>198</v>
      </c>
      <c r="C97" t="s">
        <v>199</v>
      </c>
      <c r="D97">
        <v>4</v>
      </c>
      <c r="E97">
        <v>0</v>
      </c>
      <c r="F97">
        <v>0</v>
      </c>
      <c r="G97">
        <v>0</v>
      </c>
      <c r="H97" t="s">
        <v>687</v>
      </c>
    </row>
    <row r="98" spans="1:8" x14ac:dyDescent="0.2">
      <c r="A98">
        <v>14051</v>
      </c>
      <c r="B98" t="s">
        <v>200</v>
      </c>
      <c r="C98" t="s">
        <v>201</v>
      </c>
      <c r="D98">
        <v>4</v>
      </c>
      <c r="E98">
        <v>0</v>
      </c>
      <c r="F98">
        <v>0</v>
      </c>
      <c r="G98">
        <v>0</v>
      </c>
      <c r="H98" t="s">
        <v>687</v>
      </c>
    </row>
    <row r="99" spans="1:8" x14ac:dyDescent="0.2">
      <c r="A99">
        <v>14053</v>
      </c>
      <c r="B99" t="s">
        <v>202</v>
      </c>
      <c r="C99" t="s">
        <v>203</v>
      </c>
      <c r="D99">
        <v>4</v>
      </c>
      <c r="E99">
        <v>0</v>
      </c>
      <c r="F99">
        <v>0</v>
      </c>
      <c r="G99">
        <v>0</v>
      </c>
      <c r="H99" t="s">
        <v>687</v>
      </c>
    </row>
    <row r="100" spans="1:8" x14ac:dyDescent="0.2">
      <c r="A100">
        <v>10402</v>
      </c>
      <c r="B100" t="s">
        <v>204</v>
      </c>
      <c r="C100" t="s">
        <v>205</v>
      </c>
      <c r="D100">
        <v>4</v>
      </c>
      <c r="E100">
        <v>0</v>
      </c>
      <c r="F100">
        <v>0</v>
      </c>
      <c r="G100">
        <v>0</v>
      </c>
      <c r="H100" t="s">
        <v>687</v>
      </c>
    </row>
    <row r="101" spans="1:8" x14ac:dyDescent="0.2">
      <c r="A101">
        <v>10452</v>
      </c>
      <c r="B101" t="s">
        <v>206</v>
      </c>
      <c r="C101" t="s">
        <v>207</v>
      </c>
      <c r="D101">
        <v>4</v>
      </c>
      <c r="E101">
        <v>0</v>
      </c>
      <c r="F101">
        <v>0</v>
      </c>
      <c r="G101">
        <v>0</v>
      </c>
      <c r="H101" t="s">
        <v>687</v>
      </c>
    </row>
    <row r="102" spans="1:8" x14ac:dyDescent="0.2">
      <c r="A102">
        <v>10442</v>
      </c>
      <c r="B102" t="s">
        <v>208</v>
      </c>
      <c r="C102" t="s">
        <v>209</v>
      </c>
      <c r="D102">
        <v>4</v>
      </c>
      <c r="E102">
        <v>0</v>
      </c>
      <c r="F102">
        <v>0</v>
      </c>
      <c r="G102">
        <v>0</v>
      </c>
      <c r="H102" t="s">
        <v>687</v>
      </c>
    </row>
    <row r="103" spans="1:8" x14ac:dyDescent="0.2">
      <c r="A103">
        <v>10454</v>
      </c>
      <c r="B103" t="s">
        <v>210</v>
      </c>
      <c r="C103" t="s">
        <v>211</v>
      </c>
      <c r="D103">
        <v>4</v>
      </c>
      <c r="E103">
        <v>0</v>
      </c>
      <c r="F103">
        <v>0</v>
      </c>
      <c r="G103">
        <v>0</v>
      </c>
      <c r="H103" t="s">
        <v>687</v>
      </c>
    </row>
    <row r="104" spans="1:8" x14ac:dyDescent="0.2">
      <c r="A104">
        <v>10462</v>
      </c>
      <c r="B104" t="s">
        <v>212</v>
      </c>
      <c r="C104" t="s">
        <v>213</v>
      </c>
      <c r="D104">
        <v>4</v>
      </c>
      <c r="E104">
        <v>0</v>
      </c>
      <c r="F104">
        <v>0</v>
      </c>
      <c r="G104">
        <v>0</v>
      </c>
      <c r="H104" t="s">
        <v>687</v>
      </c>
    </row>
    <row r="105" spans="1:8" x14ac:dyDescent="0.2">
      <c r="A105">
        <v>6547</v>
      </c>
      <c r="B105" t="s">
        <v>214</v>
      </c>
      <c r="C105" t="s">
        <v>215</v>
      </c>
      <c r="D105">
        <v>4</v>
      </c>
      <c r="E105">
        <v>0</v>
      </c>
      <c r="F105">
        <v>0</v>
      </c>
      <c r="G105">
        <v>0</v>
      </c>
      <c r="H105" t="s">
        <v>687</v>
      </c>
    </row>
    <row r="106" spans="1:8" x14ac:dyDescent="0.2">
      <c r="A106">
        <v>10664</v>
      </c>
      <c r="B106" t="s">
        <v>216</v>
      </c>
      <c r="C106" t="s">
        <v>7</v>
      </c>
      <c r="D106">
        <v>4</v>
      </c>
      <c r="E106">
        <v>0</v>
      </c>
      <c r="F106">
        <v>0</v>
      </c>
      <c r="G106">
        <v>0</v>
      </c>
      <c r="H106" t="s">
        <v>687</v>
      </c>
    </row>
    <row r="107" spans="1:8" x14ac:dyDescent="0.2">
      <c r="A107">
        <v>8685</v>
      </c>
      <c r="B107" t="s">
        <v>217</v>
      </c>
      <c r="C107" t="s">
        <v>218</v>
      </c>
      <c r="D107">
        <v>3</v>
      </c>
      <c r="E107">
        <v>0</v>
      </c>
      <c r="F107">
        <v>0</v>
      </c>
      <c r="G107">
        <v>0</v>
      </c>
      <c r="H107" t="s">
        <v>687</v>
      </c>
    </row>
    <row r="108" spans="1:8" x14ac:dyDescent="0.2">
      <c r="A108">
        <v>14052</v>
      </c>
      <c r="B108" t="s">
        <v>219</v>
      </c>
      <c r="C108" t="s">
        <v>220</v>
      </c>
      <c r="D108">
        <v>3</v>
      </c>
      <c r="E108">
        <v>0</v>
      </c>
      <c r="F108">
        <v>0</v>
      </c>
      <c r="G108">
        <v>0</v>
      </c>
      <c r="H108" t="s">
        <v>687</v>
      </c>
    </row>
    <row r="109" spans="1:8" x14ac:dyDescent="0.2">
      <c r="A109">
        <v>10413</v>
      </c>
      <c r="B109" t="s">
        <v>221</v>
      </c>
      <c r="C109" t="s">
        <v>222</v>
      </c>
      <c r="D109">
        <v>3</v>
      </c>
      <c r="E109">
        <v>0</v>
      </c>
      <c r="F109">
        <v>0</v>
      </c>
      <c r="G109">
        <v>0</v>
      </c>
      <c r="H109" t="s">
        <v>687</v>
      </c>
    </row>
    <row r="110" spans="1:8" x14ac:dyDescent="0.2">
      <c r="A110">
        <v>10411</v>
      </c>
      <c r="B110" t="s">
        <v>223</v>
      </c>
      <c r="C110" t="s">
        <v>224</v>
      </c>
      <c r="D110">
        <v>3</v>
      </c>
      <c r="E110">
        <v>0</v>
      </c>
      <c r="F110">
        <v>0</v>
      </c>
      <c r="G110">
        <v>0</v>
      </c>
      <c r="H110" t="s">
        <v>687</v>
      </c>
    </row>
    <row r="111" spans="1:8" x14ac:dyDescent="0.2">
      <c r="A111">
        <v>10456</v>
      </c>
      <c r="B111" t="s">
        <v>225</v>
      </c>
      <c r="C111" t="s">
        <v>226</v>
      </c>
      <c r="D111">
        <v>3</v>
      </c>
      <c r="E111">
        <v>0</v>
      </c>
      <c r="F111">
        <v>0</v>
      </c>
      <c r="G111">
        <v>0</v>
      </c>
      <c r="H111" t="s">
        <v>687</v>
      </c>
    </row>
    <row r="112" spans="1:8" x14ac:dyDescent="0.2">
      <c r="A112">
        <v>10417</v>
      </c>
      <c r="B112" t="s">
        <v>227</v>
      </c>
      <c r="C112" t="s">
        <v>228</v>
      </c>
      <c r="D112">
        <v>3</v>
      </c>
      <c r="E112">
        <v>0</v>
      </c>
      <c r="F112">
        <v>0</v>
      </c>
      <c r="G112">
        <v>0</v>
      </c>
      <c r="H112" t="s">
        <v>687</v>
      </c>
    </row>
    <row r="113" spans="1:8" x14ac:dyDescent="0.2">
      <c r="A113">
        <v>10419</v>
      </c>
      <c r="B113" t="s">
        <v>229</v>
      </c>
      <c r="C113" t="s">
        <v>230</v>
      </c>
      <c r="D113">
        <v>3</v>
      </c>
      <c r="E113">
        <v>0</v>
      </c>
      <c r="F113">
        <v>0</v>
      </c>
      <c r="G113">
        <v>0</v>
      </c>
      <c r="H113" t="s">
        <v>687</v>
      </c>
    </row>
    <row r="114" spans="1:8" x14ac:dyDescent="0.2">
      <c r="A114">
        <v>10392</v>
      </c>
      <c r="B114" t="s">
        <v>231</v>
      </c>
      <c r="C114" t="s">
        <v>232</v>
      </c>
      <c r="D114">
        <v>3</v>
      </c>
      <c r="E114">
        <v>0</v>
      </c>
      <c r="F114">
        <v>0</v>
      </c>
      <c r="G114">
        <v>0</v>
      </c>
      <c r="H114" t="s">
        <v>687</v>
      </c>
    </row>
    <row r="115" spans="1:8" x14ac:dyDescent="0.2">
      <c r="A115">
        <v>10394</v>
      </c>
      <c r="B115" t="s">
        <v>233</v>
      </c>
      <c r="C115" t="s">
        <v>234</v>
      </c>
      <c r="D115">
        <v>3</v>
      </c>
      <c r="E115">
        <v>0</v>
      </c>
      <c r="F115">
        <v>0</v>
      </c>
      <c r="G115">
        <v>0</v>
      </c>
      <c r="H115" t="s">
        <v>687</v>
      </c>
    </row>
    <row r="116" spans="1:8" x14ac:dyDescent="0.2">
      <c r="A116">
        <v>10380</v>
      </c>
      <c r="B116" t="s">
        <v>235</v>
      </c>
      <c r="C116" t="s">
        <v>236</v>
      </c>
      <c r="D116">
        <v>3</v>
      </c>
      <c r="E116">
        <v>0</v>
      </c>
      <c r="F116">
        <v>0</v>
      </c>
      <c r="G116">
        <v>0</v>
      </c>
      <c r="H116" t="s">
        <v>687</v>
      </c>
    </row>
    <row r="117" spans="1:8" x14ac:dyDescent="0.2">
      <c r="A117">
        <v>10381</v>
      </c>
      <c r="B117" t="s">
        <v>237</v>
      </c>
      <c r="C117" t="s">
        <v>238</v>
      </c>
      <c r="D117">
        <v>3</v>
      </c>
      <c r="E117">
        <v>0</v>
      </c>
      <c r="F117">
        <v>0</v>
      </c>
      <c r="G117">
        <v>0</v>
      </c>
      <c r="H117" t="s">
        <v>687</v>
      </c>
    </row>
    <row r="118" spans="1:8" x14ac:dyDescent="0.2">
      <c r="A118">
        <v>13770</v>
      </c>
      <c r="B118" t="s">
        <v>239</v>
      </c>
      <c r="C118" t="s">
        <v>240</v>
      </c>
      <c r="D118">
        <v>3</v>
      </c>
      <c r="E118">
        <v>0</v>
      </c>
      <c r="F118">
        <v>0</v>
      </c>
      <c r="G118">
        <v>0</v>
      </c>
      <c r="H118" t="s">
        <v>687</v>
      </c>
    </row>
    <row r="119" spans="1:8" x14ac:dyDescent="0.2">
      <c r="A119">
        <v>14056</v>
      </c>
      <c r="B119" t="s">
        <v>241</v>
      </c>
      <c r="C119" t="s">
        <v>242</v>
      </c>
      <c r="D119">
        <v>3</v>
      </c>
      <c r="E119">
        <v>0</v>
      </c>
      <c r="F119">
        <v>0</v>
      </c>
      <c r="G119">
        <v>0</v>
      </c>
      <c r="H119" t="s">
        <v>687</v>
      </c>
    </row>
    <row r="120" spans="1:8" x14ac:dyDescent="0.2">
      <c r="A120">
        <v>14055</v>
      </c>
      <c r="B120" t="s">
        <v>243</v>
      </c>
      <c r="C120" t="s">
        <v>244</v>
      </c>
      <c r="D120">
        <v>3</v>
      </c>
      <c r="E120">
        <v>0</v>
      </c>
      <c r="F120">
        <v>0</v>
      </c>
      <c r="G120">
        <v>0</v>
      </c>
      <c r="H120" t="s">
        <v>687</v>
      </c>
    </row>
    <row r="121" spans="1:8" x14ac:dyDescent="0.2">
      <c r="A121">
        <v>14082</v>
      </c>
      <c r="B121" t="s">
        <v>245</v>
      </c>
      <c r="C121" t="s">
        <v>246</v>
      </c>
      <c r="D121">
        <v>3</v>
      </c>
      <c r="E121">
        <v>0</v>
      </c>
      <c r="F121">
        <v>0</v>
      </c>
      <c r="G121">
        <v>0</v>
      </c>
      <c r="H121" t="s">
        <v>687</v>
      </c>
    </row>
    <row r="122" spans="1:8" x14ac:dyDescent="0.2">
      <c r="A122">
        <v>13719</v>
      </c>
      <c r="B122" t="s">
        <v>247</v>
      </c>
      <c r="C122" t="s">
        <v>248</v>
      </c>
      <c r="D122">
        <v>3</v>
      </c>
      <c r="E122">
        <v>0</v>
      </c>
      <c r="F122">
        <v>0</v>
      </c>
      <c r="G122">
        <v>0</v>
      </c>
      <c r="H122" t="s">
        <v>687</v>
      </c>
    </row>
    <row r="123" spans="1:8" x14ac:dyDescent="0.2">
      <c r="A123">
        <v>13651</v>
      </c>
      <c r="B123" t="s">
        <v>249</v>
      </c>
      <c r="C123" t="s">
        <v>250</v>
      </c>
      <c r="D123">
        <v>2</v>
      </c>
      <c r="E123">
        <v>0</v>
      </c>
      <c r="F123">
        <v>0</v>
      </c>
      <c r="G123">
        <v>0</v>
      </c>
      <c r="H123" t="s">
        <v>687</v>
      </c>
    </row>
    <row r="124" spans="1:8" x14ac:dyDescent="0.2">
      <c r="A124">
        <v>10359</v>
      </c>
      <c r="B124" t="s">
        <v>251</v>
      </c>
      <c r="C124" t="s">
        <v>252</v>
      </c>
      <c r="D124">
        <v>2</v>
      </c>
      <c r="E124">
        <v>0</v>
      </c>
      <c r="F124">
        <v>0</v>
      </c>
      <c r="G124">
        <v>0</v>
      </c>
      <c r="H124" t="s">
        <v>687</v>
      </c>
    </row>
    <row r="125" spans="1:8" x14ac:dyDescent="0.2">
      <c r="A125">
        <v>10361</v>
      </c>
      <c r="B125" t="s">
        <v>253</v>
      </c>
      <c r="C125" t="s">
        <v>254</v>
      </c>
      <c r="D125">
        <v>2</v>
      </c>
      <c r="E125">
        <v>0</v>
      </c>
      <c r="F125">
        <v>0</v>
      </c>
      <c r="G125">
        <v>0</v>
      </c>
      <c r="H125" t="s">
        <v>687</v>
      </c>
    </row>
    <row r="126" spans="1:8" x14ac:dyDescent="0.2">
      <c r="A126">
        <v>10363</v>
      </c>
      <c r="B126" t="s">
        <v>255</v>
      </c>
      <c r="C126" t="s">
        <v>256</v>
      </c>
      <c r="D126">
        <v>2</v>
      </c>
      <c r="E126">
        <v>0</v>
      </c>
      <c r="F126">
        <v>0</v>
      </c>
      <c r="G126">
        <v>0</v>
      </c>
      <c r="H126" t="s">
        <v>687</v>
      </c>
    </row>
    <row r="127" spans="1:8" x14ac:dyDescent="0.2">
      <c r="A127">
        <v>10383</v>
      </c>
      <c r="B127" t="s">
        <v>257</v>
      </c>
      <c r="C127" t="s">
        <v>258</v>
      </c>
      <c r="D127">
        <v>2</v>
      </c>
      <c r="E127">
        <v>0</v>
      </c>
      <c r="F127">
        <v>0</v>
      </c>
      <c r="G127">
        <v>0</v>
      </c>
      <c r="H127" t="s">
        <v>687</v>
      </c>
    </row>
    <row r="128" spans="1:8" x14ac:dyDescent="0.2">
      <c r="A128">
        <v>10384</v>
      </c>
      <c r="B128" t="s">
        <v>259</v>
      </c>
      <c r="C128" t="s">
        <v>260</v>
      </c>
      <c r="D128">
        <v>2</v>
      </c>
      <c r="E128">
        <v>0</v>
      </c>
      <c r="F128">
        <v>0</v>
      </c>
      <c r="G128">
        <v>0</v>
      </c>
      <c r="H128" t="s">
        <v>687</v>
      </c>
    </row>
    <row r="129" spans="1:8" x14ac:dyDescent="0.2">
      <c r="A129">
        <v>10186</v>
      </c>
      <c r="B129" t="s">
        <v>261</v>
      </c>
      <c r="C129" t="s">
        <v>262</v>
      </c>
      <c r="D129">
        <v>2</v>
      </c>
      <c r="E129">
        <v>0</v>
      </c>
      <c r="F129">
        <v>0</v>
      </c>
      <c r="G129">
        <v>0</v>
      </c>
      <c r="H129" t="s">
        <v>687</v>
      </c>
    </row>
    <row r="130" spans="1:8" x14ac:dyDescent="0.2">
      <c r="A130">
        <v>6805</v>
      </c>
      <c r="B130" t="s">
        <v>263</v>
      </c>
      <c r="C130" t="s">
        <v>264</v>
      </c>
      <c r="D130">
        <v>2</v>
      </c>
      <c r="E130">
        <v>0</v>
      </c>
      <c r="F130">
        <v>0</v>
      </c>
      <c r="G130">
        <v>0</v>
      </c>
      <c r="H130" t="s">
        <v>687</v>
      </c>
    </row>
    <row r="131" spans="1:8" x14ac:dyDescent="0.2">
      <c r="A131">
        <v>14185</v>
      </c>
      <c r="B131" t="s">
        <v>265</v>
      </c>
      <c r="C131" t="s">
        <v>266</v>
      </c>
      <c r="D131">
        <v>2</v>
      </c>
      <c r="E131">
        <v>0</v>
      </c>
      <c r="F131">
        <v>0</v>
      </c>
      <c r="G131">
        <v>0</v>
      </c>
      <c r="H131" t="s">
        <v>687</v>
      </c>
    </row>
    <row r="132" spans="1:8" x14ac:dyDescent="0.2">
      <c r="A132">
        <v>13767</v>
      </c>
      <c r="B132" t="s">
        <v>267</v>
      </c>
      <c r="C132" t="s">
        <v>268</v>
      </c>
      <c r="D132">
        <v>2</v>
      </c>
      <c r="E132">
        <v>0</v>
      </c>
      <c r="F132">
        <v>0</v>
      </c>
      <c r="G132">
        <v>0</v>
      </c>
      <c r="H132" t="s">
        <v>687</v>
      </c>
    </row>
    <row r="133" spans="1:8" x14ac:dyDescent="0.2">
      <c r="A133">
        <v>10204</v>
      </c>
      <c r="B133" t="s">
        <v>269</v>
      </c>
      <c r="C133" t="s">
        <v>270</v>
      </c>
      <c r="D133">
        <v>2</v>
      </c>
      <c r="E133">
        <v>0</v>
      </c>
      <c r="F133">
        <v>0</v>
      </c>
      <c r="G133">
        <v>0</v>
      </c>
      <c r="H133" t="s">
        <v>687</v>
      </c>
    </row>
    <row r="134" spans="1:8" x14ac:dyDescent="0.2">
      <c r="A134">
        <v>10597</v>
      </c>
      <c r="B134" t="s">
        <v>271</v>
      </c>
      <c r="C134" t="s">
        <v>272</v>
      </c>
      <c r="D134">
        <v>2</v>
      </c>
      <c r="E134">
        <v>0</v>
      </c>
      <c r="F134">
        <v>0</v>
      </c>
      <c r="G134">
        <v>0</v>
      </c>
      <c r="H134" t="s">
        <v>687</v>
      </c>
    </row>
    <row r="135" spans="1:8" x14ac:dyDescent="0.2">
      <c r="A135">
        <v>3331</v>
      </c>
      <c r="B135" t="s">
        <v>273</v>
      </c>
      <c r="C135" t="s">
        <v>274</v>
      </c>
      <c r="D135">
        <v>2</v>
      </c>
      <c r="E135">
        <v>0</v>
      </c>
      <c r="F135">
        <v>0</v>
      </c>
      <c r="G135">
        <v>0</v>
      </c>
      <c r="H135" t="s">
        <v>687</v>
      </c>
    </row>
    <row r="136" spans="1:8" x14ac:dyDescent="0.2">
      <c r="A136">
        <v>9521</v>
      </c>
      <c r="B136" t="s">
        <v>275</v>
      </c>
      <c r="C136" t="s">
        <v>276</v>
      </c>
      <c r="D136">
        <v>1</v>
      </c>
      <c r="E136">
        <v>0</v>
      </c>
      <c r="F136">
        <v>0</v>
      </c>
      <c r="G136">
        <v>0</v>
      </c>
      <c r="H136" t="s">
        <v>687</v>
      </c>
    </row>
    <row r="137" spans="1:8" x14ac:dyDescent="0.2">
      <c r="A137">
        <v>9007</v>
      </c>
      <c r="B137" t="s">
        <v>277</v>
      </c>
      <c r="C137" t="s">
        <v>278</v>
      </c>
      <c r="D137">
        <v>1</v>
      </c>
      <c r="E137">
        <v>0</v>
      </c>
      <c r="F137">
        <v>0</v>
      </c>
      <c r="G137">
        <v>0</v>
      </c>
      <c r="H137" t="s">
        <v>687</v>
      </c>
    </row>
    <row r="138" spans="1:8" x14ac:dyDescent="0.2">
      <c r="A138">
        <v>10642</v>
      </c>
      <c r="B138" t="s">
        <v>279</v>
      </c>
      <c r="C138" t="s">
        <v>280</v>
      </c>
      <c r="D138">
        <v>1</v>
      </c>
      <c r="E138">
        <v>0</v>
      </c>
      <c r="F138">
        <v>0</v>
      </c>
      <c r="G138">
        <v>0</v>
      </c>
      <c r="H138" t="s">
        <v>687</v>
      </c>
    </row>
    <row r="139" spans="1:8" x14ac:dyDescent="0.2">
      <c r="A139">
        <v>9535</v>
      </c>
      <c r="B139" t="s">
        <v>281</v>
      </c>
      <c r="C139" t="s">
        <v>282</v>
      </c>
      <c r="D139">
        <v>1</v>
      </c>
      <c r="E139">
        <v>0</v>
      </c>
      <c r="F139">
        <v>0</v>
      </c>
      <c r="G139">
        <v>0</v>
      </c>
      <c r="H139" t="s">
        <v>687</v>
      </c>
    </row>
    <row r="140" spans="1:8" x14ac:dyDescent="0.2">
      <c r="A140">
        <v>5029</v>
      </c>
      <c r="B140" t="s">
        <v>283</v>
      </c>
      <c r="C140" t="s">
        <v>284</v>
      </c>
      <c r="D140">
        <v>1</v>
      </c>
      <c r="E140">
        <v>0</v>
      </c>
      <c r="F140">
        <v>0</v>
      </c>
      <c r="G140">
        <v>0</v>
      </c>
      <c r="H140" t="s">
        <v>687</v>
      </c>
    </row>
    <row r="141" spans="1:8" x14ac:dyDescent="0.2">
      <c r="A141">
        <v>13645</v>
      </c>
      <c r="B141" t="s">
        <v>285</v>
      </c>
      <c r="C141" t="s">
        <v>286</v>
      </c>
      <c r="D141">
        <v>1</v>
      </c>
      <c r="E141">
        <v>0</v>
      </c>
      <c r="F141">
        <v>0</v>
      </c>
      <c r="G141">
        <v>0</v>
      </c>
      <c r="H141" t="s">
        <v>687</v>
      </c>
    </row>
    <row r="142" spans="1:8" x14ac:dyDescent="0.2">
      <c r="A142">
        <v>13756</v>
      </c>
      <c r="B142" t="s">
        <v>287</v>
      </c>
      <c r="C142" t="s">
        <v>288</v>
      </c>
      <c r="D142">
        <v>1</v>
      </c>
      <c r="E142">
        <v>0</v>
      </c>
      <c r="F142">
        <v>0</v>
      </c>
      <c r="G142">
        <v>0</v>
      </c>
      <c r="H142" t="s">
        <v>687</v>
      </c>
    </row>
    <row r="143" spans="1:8" x14ac:dyDescent="0.2">
      <c r="A143">
        <v>14118</v>
      </c>
      <c r="B143" t="s">
        <v>289</v>
      </c>
      <c r="C143" t="s">
        <v>290</v>
      </c>
      <c r="D143">
        <v>1</v>
      </c>
      <c r="E143">
        <v>0</v>
      </c>
      <c r="F143">
        <v>0</v>
      </c>
      <c r="G143">
        <v>0</v>
      </c>
      <c r="H143" t="s">
        <v>687</v>
      </c>
    </row>
    <row r="144" spans="1:8" x14ac:dyDescent="0.2">
      <c r="A144">
        <v>13652</v>
      </c>
      <c r="B144" t="s">
        <v>291</v>
      </c>
      <c r="C144" t="s">
        <v>292</v>
      </c>
      <c r="D144">
        <v>1</v>
      </c>
      <c r="E144">
        <v>0</v>
      </c>
      <c r="F144">
        <v>0</v>
      </c>
      <c r="G144">
        <v>0</v>
      </c>
      <c r="H144" t="s">
        <v>687</v>
      </c>
    </row>
    <row r="145" spans="1:8" x14ac:dyDescent="0.2">
      <c r="A145">
        <v>630</v>
      </c>
      <c r="B145" t="s">
        <v>293</v>
      </c>
      <c r="C145" t="s">
        <v>294</v>
      </c>
      <c r="D145">
        <v>1</v>
      </c>
      <c r="E145">
        <v>0</v>
      </c>
      <c r="F145">
        <v>0</v>
      </c>
      <c r="G145">
        <v>0</v>
      </c>
      <c r="H145" t="s">
        <v>687</v>
      </c>
    </row>
    <row r="146" spans="1:8" x14ac:dyDescent="0.2">
      <c r="A146">
        <v>14028</v>
      </c>
      <c r="B146" t="s">
        <v>295</v>
      </c>
      <c r="C146" t="s">
        <v>296</v>
      </c>
      <c r="D146">
        <v>1</v>
      </c>
      <c r="E146">
        <v>0</v>
      </c>
      <c r="F146">
        <v>0</v>
      </c>
      <c r="G146">
        <v>0</v>
      </c>
      <c r="H146" t="s">
        <v>687</v>
      </c>
    </row>
    <row r="147" spans="1:8" x14ac:dyDescent="0.2">
      <c r="A147">
        <v>14029</v>
      </c>
      <c r="B147" t="s">
        <v>297</v>
      </c>
      <c r="C147" t="s">
        <v>298</v>
      </c>
      <c r="D147">
        <v>1</v>
      </c>
      <c r="E147">
        <v>0</v>
      </c>
      <c r="F147">
        <v>0</v>
      </c>
      <c r="G147">
        <v>0</v>
      </c>
      <c r="H147" t="s">
        <v>687</v>
      </c>
    </row>
    <row r="148" spans="1:8" x14ac:dyDescent="0.2">
      <c r="A148">
        <v>10360</v>
      </c>
      <c r="B148" t="s">
        <v>299</v>
      </c>
      <c r="C148" t="s">
        <v>300</v>
      </c>
      <c r="D148">
        <v>1</v>
      </c>
      <c r="E148">
        <v>0</v>
      </c>
      <c r="F148">
        <v>0</v>
      </c>
      <c r="G148">
        <v>0</v>
      </c>
      <c r="H148" t="s">
        <v>687</v>
      </c>
    </row>
    <row r="149" spans="1:8" x14ac:dyDescent="0.2">
      <c r="A149">
        <v>10410</v>
      </c>
      <c r="B149" t="s">
        <v>301</v>
      </c>
      <c r="C149" t="s">
        <v>302</v>
      </c>
      <c r="D149">
        <v>1</v>
      </c>
      <c r="E149">
        <v>0</v>
      </c>
      <c r="F149">
        <v>0</v>
      </c>
      <c r="G149">
        <v>0</v>
      </c>
      <c r="H149" t="s">
        <v>687</v>
      </c>
    </row>
    <row r="150" spans="1:8" x14ac:dyDescent="0.2">
      <c r="A150">
        <v>10430</v>
      </c>
      <c r="B150" t="s">
        <v>303</v>
      </c>
      <c r="C150" t="s">
        <v>304</v>
      </c>
      <c r="D150">
        <v>1</v>
      </c>
      <c r="E150">
        <v>0</v>
      </c>
      <c r="F150">
        <v>0</v>
      </c>
      <c r="G150">
        <v>0</v>
      </c>
      <c r="H150" t="s">
        <v>687</v>
      </c>
    </row>
    <row r="151" spans="1:8" x14ac:dyDescent="0.2">
      <c r="A151">
        <v>10448</v>
      </c>
      <c r="B151" t="s">
        <v>305</v>
      </c>
      <c r="C151" t="s">
        <v>306</v>
      </c>
      <c r="D151">
        <v>1</v>
      </c>
      <c r="E151">
        <v>0</v>
      </c>
      <c r="F151">
        <v>0</v>
      </c>
      <c r="G151">
        <v>0</v>
      </c>
      <c r="H151" t="s">
        <v>687</v>
      </c>
    </row>
    <row r="152" spans="1:8" x14ac:dyDescent="0.2">
      <c r="A152">
        <v>10438</v>
      </c>
      <c r="B152" t="s">
        <v>307</v>
      </c>
      <c r="C152" t="s">
        <v>308</v>
      </c>
      <c r="D152">
        <v>1</v>
      </c>
      <c r="E152">
        <v>0</v>
      </c>
      <c r="F152">
        <v>0</v>
      </c>
      <c r="G152">
        <v>0</v>
      </c>
      <c r="H152" t="s">
        <v>687</v>
      </c>
    </row>
    <row r="153" spans="1:8" x14ac:dyDescent="0.2">
      <c r="A153">
        <v>14036</v>
      </c>
      <c r="B153" t="s">
        <v>309</v>
      </c>
      <c r="C153" t="s">
        <v>310</v>
      </c>
      <c r="D153">
        <v>1</v>
      </c>
      <c r="E153">
        <v>0</v>
      </c>
      <c r="F153">
        <v>0</v>
      </c>
      <c r="G153">
        <v>0</v>
      </c>
      <c r="H153" t="s">
        <v>687</v>
      </c>
    </row>
    <row r="154" spans="1:8" x14ac:dyDescent="0.2">
      <c r="A154">
        <v>14037</v>
      </c>
      <c r="B154" t="s">
        <v>311</v>
      </c>
      <c r="C154" t="s">
        <v>312</v>
      </c>
      <c r="D154">
        <v>1</v>
      </c>
      <c r="E154">
        <v>0</v>
      </c>
      <c r="F154">
        <v>0</v>
      </c>
      <c r="G154">
        <v>0</v>
      </c>
      <c r="H154" t="s">
        <v>687</v>
      </c>
    </row>
    <row r="155" spans="1:8" x14ac:dyDescent="0.2">
      <c r="A155">
        <v>14038</v>
      </c>
      <c r="B155" t="s">
        <v>313</v>
      </c>
      <c r="C155" t="s">
        <v>314</v>
      </c>
      <c r="D155">
        <v>1</v>
      </c>
      <c r="E155">
        <v>0</v>
      </c>
      <c r="F155">
        <v>0</v>
      </c>
      <c r="G155">
        <v>0</v>
      </c>
      <c r="H155" t="s">
        <v>687</v>
      </c>
    </row>
    <row r="156" spans="1:8" x14ac:dyDescent="0.2">
      <c r="A156">
        <v>13604</v>
      </c>
      <c r="B156" t="s">
        <v>315</v>
      </c>
      <c r="C156" t="s">
        <v>316</v>
      </c>
      <c r="D156">
        <v>1</v>
      </c>
      <c r="E156">
        <v>0</v>
      </c>
      <c r="F156">
        <v>0</v>
      </c>
      <c r="G156">
        <v>0</v>
      </c>
      <c r="H156" t="s">
        <v>687</v>
      </c>
    </row>
    <row r="157" spans="1:8" x14ac:dyDescent="0.2">
      <c r="A157">
        <v>14088</v>
      </c>
      <c r="B157" t="s">
        <v>317</v>
      </c>
      <c r="C157" t="s">
        <v>318</v>
      </c>
      <c r="D157">
        <v>1</v>
      </c>
      <c r="E157">
        <v>0</v>
      </c>
      <c r="F157">
        <v>0</v>
      </c>
      <c r="G157">
        <v>0</v>
      </c>
      <c r="H157" t="s">
        <v>687</v>
      </c>
    </row>
    <row r="158" spans="1:8" x14ac:dyDescent="0.2">
      <c r="A158">
        <v>9582</v>
      </c>
      <c r="B158" t="s">
        <v>319</v>
      </c>
      <c r="C158" t="s">
        <v>320</v>
      </c>
      <c r="D158">
        <v>1</v>
      </c>
      <c r="E158">
        <v>0</v>
      </c>
      <c r="F158">
        <v>0</v>
      </c>
      <c r="G158">
        <v>0</v>
      </c>
      <c r="H158" t="s">
        <v>687</v>
      </c>
    </row>
    <row r="159" spans="1:8" x14ac:dyDescent="0.2">
      <c r="A159">
        <v>14057</v>
      </c>
      <c r="B159" t="s">
        <v>321</v>
      </c>
      <c r="C159" t="s">
        <v>322</v>
      </c>
      <c r="D159">
        <v>1</v>
      </c>
      <c r="E159">
        <v>0</v>
      </c>
      <c r="F159">
        <v>0</v>
      </c>
      <c r="G159">
        <v>0</v>
      </c>
      <c r="H159" t="s">
        <v>687</v>
      </c>
    </row>
    <row r="160" spans="1:8" x14ac:dyDescent="0.2">
      <c r="A160">
        <v>10561</v>
      </c>
      <c r="B160" t="s">
        <v>323</v>
      </c>
      <c r="C160" t="s">
        <v>324</v>
      </c>
      <c r="D160">
        <v>1</v>
      </c>
      <c r="E160">
        <v>0</v>
      </c>
      <c r="F160">
        <v>0</v>
      </c>
      <c r="G160">
        <v>0</v>
      </c>
      <c r="H160" t="s">
        <v>687</v>
      </c>
    </row>
    <row r="161" spans="1:8" x14ac:dyDescent="0.2">
      <c r="A161">
        <v>13908</v>
      </c>
      <c r="B161" t="s">
        <v>325</v>
      </c>
      <c r="C161" t="s">
        <v>326</v>
      </c>
      <c r="D161">
        <v>1</v>
      </c>
      <c r="E161">
        <v>0</v>
      </c>
      <c r="F161">
        <v>0</v>
      </c>
      <c r="G161">
        <v>0</v>
      </c>
      <c r="H161" t="s">
        <v>687</v>
      </c>
    </row>
    <row r="162" spans="1:8" x14ac:dyDescent="0.2">
      <c r="A162">
        <v>11112</v>
      </c>
      <c r="B162" t="s">
        <v>327</v>
      </c>
      <c r="C162" t="s">
        <v>328</v>
      </c>
      <c r="D162">
        <v>1</v>
      </c>
      <c r="E162">
        <v>0</v>
      </c>
      <c r="F162">
        <v>0</v>
      </c>
      <c r="G162">
        <v>0</v>
      </c>
      <c r="H162" t="s">
        <v>687</v>
      </c>
    </row>
    <row r="163" spans="1:8" x14ac:dyDescent="0.2">
      <c r="A163">
        <v>7418</v>
      </c>
      <c r="B163" t="s">
        <v>329</v>
      </c>
      <c r="C163" t="s">
        <v>330</v>
      </c>
      <c r="D163">
        <v>1</v>
      </c>
      <c r="E163">
        <v>0</v>
      </c>
      <c r="F163">
        <v>0</v>
      </c>
      <c r="G163">
        <v>0</v>
      </c>
      <c r="H163" t="s">
        <v>687</v>
      </c>
    </row>
    <row r="164" spans="1:8" x14ac:dyDescent="0.2">
      <c r="A164">
        <v>7403</v>
      </c>
      <c r="B164" t="s">
        <v>331</v>
      </c>
      <c r="C164" t="s">
        <v>332</v>
      </c>
      <c r="D164">
        <v>1</v>
      </c>
      <c r="E164">
        <v>0</v>
      </c>
      <c r="F164">
        <v>0</v>
      </c>
      <c r="G164">
        <v>0</v>
      </c>
      <c r="H164" t="s">
        <v>687</v>
      </c>
    </row>
    <row r="165" spans="1:8" x14ac:dyDescent="0.2">
      <c r="A165">
        <v>3317</v>
      </c>
      <c r="B165" t="s">
        <v>333</v>
      </c>
      <c r="C165" t="s">
        <v>334</v>
      </c>
      <c r="D165">
        <v>1</v>
      </c>
      <c r="E165">
        <v>0</v>
      </c>
      <c r="F165">
        <v>0</v>
      </c>
      <c r="G165">
        <v>0</v>
      </c>
      <c r="H165" t="s">
        <v>687</v>
      </c>
    </row>
    <row r="166" spans="1:8" x14ac:dyDescent="0.2">
      <c r="A166">
        <v>13722</v>
      </c>
      <c r="B166" t="s">
        <v>335</v>
      </c>
      <c r="C166" t="s">
        <v>336</v>
      </c>
      <c r="D166">
        <v>1</v>
      </c>
      <c r="E166">
        <v>0</v>
      </c>
      <c r="F166">
        <v>0</v>
      </c>
      <c r="G166">
        <v>0</v>
      </c>
      <c r="H166" t="s">
        <v>687</v>
      </c>
    </row>
    <row r="167" spans="1:8" x14ac:dyDescent="0.2">
      <c r="A167">
        <v>6811</v>
      </c>
      <c r="B167" t="s">
        <v>337</v>
      </c>
      <c r="C167" t="s">
        <v>338</v>
      </c>
      <c r="D167">
        <v>1</v>
      </c>
      <c r="E167">
        <v>0</v>
      </c>
      <c r="F167">
        <v>0</v>
      </c>
      <c r="G167">
        <v>0</v>
      </c>
      <c r="H167" t="s">
        <v>687</v>
      </c>
    </row>
    <row r="168" spans="1:8" x14ac:dyDescent="0.2">
      <c r="A168">
        <v>9888</v>
      </c>
      <c r="B168" t="s">
        <v>339</v>
      </c>
      <c r="C168" t="s">
        <v>340</v>
      </c>
      <c r="D168">
        <v>1</v>
      </c>
      <c r="E168">
        <v>0</v>
      </c>
      <c r="F168">
        <v>0</v>
      </c>
      <c r="G168">
        <v>0</v>
      </c>
      <c r="H168" t="s">
        <v>687</v>
      </c>
    </row>
    <row r="169" spans="1:8" x14ac:dyDescent="0.2">
      <c r="A169">
        <v>14359</v>
      </c>
      <c r="B169" t="s">
        <v>341</v>
      </c>
      <c r="C169" t="s">
        <v>342</v>
      </c>
      <c r="D169">
        <v>1</v>
      </c>
      <c r="E169">
        <v>0</v>
      </c>
      <c r="F169">
        <v>0</v>
      </c>
      <c r="G169">
        <v>0</v>
      </c>
      <c r="H169" t="s">
        <v>687</v>
      </c>
    </row>
    <row r="170" spans="1:8" x14ac:dyDescent="0.2">
      <c r="A170">
        <v>13906</v>
      </c>
      <c r="B170" t="s">
        <v>343</v>
      </c>
      <c r="C170" t="s">
        <v>344</v>
      </c>
      <c r="D170">
        <v>1</v>
      </c>
      <c r="E170">
        <v>0</v>
      </c>
      <c r="F170">
        <v>0</v>
      </c>
      <c r="G170">
        <v>0</v>
      </c>
      <c r="H170" t="s">
        <v>687</v>
      </c>
    </row>
    <row r="171" spans="1:8" x14ac:dyDescent="0.2">
      <c r="A171">
        <v>13907</v>
      </c>
      <c r="B171" t="s">
        <v>345</v>
      </c>
      <c r="C171" t="s">
        <v>346</v>
      </c>
      <c r="D171">
        <v>1</v>
      </c>
      <c r="E171">
        <v>0</v>
      </c>
      <c r="F171">
        <v>0</v>
      </c>
      <c r="G171">
        <v>0</v>
      </c>
      <c r="H171" t="s">
        <v>687</v>
      </c>
    </row>
    <row r="172" spans="1:8" x14ac:dyDescent="0.2">
      <c r="A172">
        <v>2526</v>
      </c>
      <c r="B172" t="s">
        <v>347</v>
      </c>
      <c r="C172" t="s">
        <v>348</v>
      </c>
      <c r="D172">
        <v>1</v>
      </c>
      <c r="E172">
        <v>0</v>
      </c>
      <c r="F172">
        <v>0</v>
      </c>
      <c r="G172">
        <v>0</v>
      </c>
      <c r="H172" t="s">
        <v>687</v>
      </c>
    </row>
    <row r="173" spans="1:8" x14ac:dyDescent="0.2">
      <c r="A173">
        <v>2525</v>
      </c>
      <c r="B173" t="s">
        <v>349</v>
      </c>
      <c r="C173" t="s">
        <v>350</v>
      </c>
      <c r="D173">
        <v>1</v>
      </c>
      <c r="E173">
        <v>0</v>
      </c>
      <c r="F173">
        <v>0</v>
      </c>
      <c r="G173">
        <v>0</v>
      </c>
      <c r="H173" t="s">
        <v>687</v>
      </c>
    </row>
    <row r="174" spans="1:8" x14ac:dyDescent="0.2">
      <c r="A174">
        <v>9585</v>
      </c>
      <c r="B174" t="s">
        <v>351</v>
      </c>
      <c r="C174" t="s">
        <v>352</v>
      </c>
      <c r="D174">
        <v>1</v>
      </c>
      <c r="E174">
        <v>0</v>
      </c>
      <c r="F174">
        <v>0</v>
      </c>
      <c r="G174">
        <v>0</v>
      </c>
      <c r="H174" t="s">
        <v>687</v>
      </c>
    </row>
    <row r="175" spans="1:8" x14ac:dyDescent="0.2">
      <c r="A175">
        <v>9584</v>
      </c>
      <c r="B175" t="s">
        <v>353</v>
      </c>
      <c r="C175" t="s">
        <v>354</v>
      </c>
      <c r="D175">
        <v>1</v>
      </c>
      <c r="E175">
        <v>0</v>
      </c>
      <c r="F175">
        <v>0</v>
      </c>
      <c r="G175">
        <v>0</v>
      </c>
      <c r="H175" t="s">
        <v>687</v>
      </c>
    </row>
    <row r="176" spans="1:8" x14ac:dyDescent="0.2">
      <c r="A176">
        <v>8933</v>
      </c>
      <c r="B176" t="s">
        <v>355</v>
      </c>
      <c r="C176" t="s">
        <v>356</v>
      </c>
      <c r="D176">
        <v>1</v>
      </c>
      <c r="E176">
        <v>0</v>
      </c>
      <c r="F176">
        <v>0</v>
      </c>
      <c r="G176">
        <v>0</v>
      </c>
      <c r="H176" t="s">
        <v>687</v>
      </c>
    </row>
    <row r="177" spans="1:8" x14ac:dyDescent="0.2">
      <c r="A177">
        <v>8936</v>
      </c>
      <c r="B177" t="s">
        <v>357</v>
      </c>
      <c r="C177" t="s">
        <v>358</v>
      </c>
      <c r="D177">
        <v>1</v>
      </c>
      <c r="E177">
        <v>0</v>
      </c>
      <c r="F177">
        <v>0</v>
      </c>
      <c r="G177">
        <v>0</v>
      </c>
      <c r="H177" t="s">
        <v>687</v>
      </c>
    </row>
    <row r="178" spans="1:8" x14ac:dyDescent="0.2">
      <c r="A178">
        <v>8934</v>
      </c>
      <c r="B178" t="s">
        <v>359</v>
      </c>
      <c r="C178" t="s">
        <v>360</v>
      </c>
      <c r="D178">
        <v>1</v>
      </c>
      <c r="E178">
        <v>0</v>
      </c>
      <c r="F178">
        <v>0</v>
      </c>
      <c r="G178">
        <v>0</v>
      </c>
      <c r="H178" t="s">
        <v>687</v>
      </c>
    </row>
    <row r="179" spans="1:8" x14ac:dyDescent="0.2">
      <c r="A179">
        <v>4127</v>
      </c>
      <c r="B179" t="s">
        <v>361</v>
      </c>
      <c r="C179" t="s">
        <v>361</v>
      </c>
      <c r="D179">
        <v>-1</v>
      </c>
      <c r="E179">
        <v>0</v>
      </c>
      <c r="F179">
        <v>0</v>
      </c>
      <c r="G179">
        <v>0</v>
      </c>
      <c r="H179" t="s">
        <v>687</v>
      </c>
    </row>
    <row r="180" spans="1:8" x14ac:dyDescent="0.2">
      <c r="A180">
        <v>10432</v>
      </c>
      <c r="B180" t="s">
        <v>362</v>
      </c>
      <c r="C180" t="s">
        <v>363</v>
      </c>
      <c r="D180">
        <v>-1</v>
      </c>
      <c r="E180">
        <v>0</v>
      </c>
      <c r="F180">
        <v>0</v>
      </c>
      <c r="G180">
        <v>0</v>
      </c>
      <c r="H180" t="s">
        <v>687</v>
      </c>
    </row>
    <row r="181" spans="1:8" x14ac:dyDescent="0.2">
      <c r="A181">
        <v>9285</v>
      </c>
      <c r="B181" t="s">
        <v>364</v>
      </c>
      <c r="C181" t="s">
        <v>365</v>
      </c>
      <c r="D181">
        <v>-1</v>
      </c>
      <c r="E181">
        <v>0</v>
      </c>
      <c r="F181">
        <v>0</v>
      </c>
      <c r="G181">
        <v>0</v>
      </c>
      <c r="H181" t="s">
        <v>687</v>
      </c>
    </row>
    <row r="182" spans="1:8" x14ac:dyDescent="0.2">
      <c r="A182">
        <v>6666</v>
      </c>
      <c r="B182" t="s">
        <v>366</v>
      </c>
      <c r="C182" t="s">
        <v>367</v>
      </c>
      <c r="D182">
        <v>-2</v>
      </c>
      <c r="E182">
        <v>0</v>
      </c>
      <c r="F182">
        <v>0</v>
      </c>
      <c r="G182">
        <v>0</v>
      </c>
      <c r="H182" t="s">
        <v>687</v>
      </c>
    </row>
    <row r="183" spans="1:8" x14ac:dyDescent="0.2">
      <c r="A183">
        <v>7489</v>
      </c>
      <c r="B183" t="s">
        <v>368</v>
      </c>
      <c r="C183" t="s">
        <v>369</v>
      </c>
      <c r="D183">
        <v>-3</v>
      </c>
      <c r="E183">
        <v>0</v>
      </c>
      <c r="F183">
        <v>0</v>
      </c>
      <c r="G183">
        <v>0</v>
      </c>
      <c r="H183" t="s">
        <v>687</v>
      </c>
    </row>
    <row r="184" spans="1:8" x14ac:dyDescent="0.2">
      <c r="A184">
        <v>10164</v>
      </c>
      <c r="B184" t="s">
        <v>370</v>
      </c>
      <c r="C184" t="s">
        <v>371</v>
      </c>
      <c r="D184">
        <v>-3</v>
      </c>
      <c r="E184">
        <v>0</v>
      </c>
      <c r="F184">
        <v>0</v>
      </c>
      <c r="G184">
        <v>0</v>
      </c>
      <c r="H184" t="s">
        <v>687</v>
      </c>
    </row>
    <row r="185" spans="1:8" x14ac:dyDescent="0.2">
      <c r="A185">
        <v>14302</v>
      </c>
      <c r="B185" t="s">
        <v>372</v>
      </c>
      <c r="C185" t="s">
        <v>373</v>
      </c>
      <c r="D185">
        <v>-3</v>
      </c>
      <c r="E185">
        <v>0</v>
      </c>
      <c r="F185">
        <v>0</v>
      </c>
      <c r="G185">
        <v>0</v>
      </c>
      <c r="H185" t="s">
        <v>687</v>
      </c>
    </row>
    <row r="186" spans="1:8" x14ac:dyDescent="0.2">
      <c r="A186">
        <v>14638</v>
      </c>
      <c r="B186" t="s">
        <v>374</v>
      </c>
      <c r="C186" t="s">
        <v>375</v>
      </c>
      <c r="D186">
        <v>-4</v>
      </c>
      <c r="E186">
        <v>0</v>
      </c>
      <c r="F186">
        <v>0</v>
      </c>
      <c r="G186">
        <v>0</v>
      </c>
      <c r="H186" t="s">
        <v>687</v>
      </c>
    </row>
    <row r="187" spans="1:8" x14ac:dyDescent="0.2">
      <c r="A187">
        <v>14248</v>
      </c>
      <c r="B187" t="s">
        <v>376</v>
      </c>
      <c r="C187" t="s">
        <v>377</v>
      </c>
      <c r="D187">
        <v>-5</v>
      </c>
      <c r="E187">
        <v>0</v>
      </c>
      <c r="F187">
        <v>0</v>
      </c>
      <c r="G187">
        <v>0</v>
      </c>
      <c r="H187" t="s">
        <v>687</v>
      </c>
    </row>
    <row r="188" spans="1:8" x14ac:dyDescent="0.2">
      <c r="A188">
        <v>11029</v>
      </c>
      <c r="B188" t="s">
        <v>378</v>
      </c>
      <c r="C188" t="s">
        <v>379</v>
      </c>
      <c r="D188">
        <v>-6</v>
      </c>
      <c r="E188">
        <v>0</v>
      </c>
      <c r="F188">
        <v>0</v>
      </c>
      <c r="G188">
        <v>0</v>
      </c>
      <c r="H188" t="s">
        <v>687</v>
      </c>
    </row>
    <row r="189" spans="1:8" x14ac:dyDescent="0.2">
      <c r="A189">
        <v>632</v>
      </c>
      <c r="B189" t="s">
        <v>380</v>
      </c>
      <c r="C189" t="s">
        <v>381</v>
      </c>
      <c r="D189">
        <v>-7</v>
      </c>
      <c r="E189">
        <v>0</v>
      </c>
      <c r="F189">
        <v>0</v>
      </c>
      <c r="G189">
        <v>0</v>
      </c>
      <c r="H189" t="s">
        <v>687</v>
      </c>
    </row>
    <row r="190" spans="1:8" x14ac:dyDescent="0.2">
      <c r="A190">
        <v>10514</v>
      </c>
      <c r="B190" t="s">
        <v>382</v>
      </c>
      <c r="C190" t="s">
        <v>383</v>
      </c>
      <c r="D190">
        <v>-22</v>
      </c>
      <c r="E190">
        <v>0</v>
      </c>
      <c r="F190">
        <v>0</v>
      </c>
      <c r="G190">
        <v>0</v>
      </c>
      <c r="H190" t="s">
        <v>687</v>
      </c>
    </row>
    <row r="191" spans="1:8" x14ac:dyDescent="0.2">
      <c r="A191">
        <v>14032</v>
      </c>
      <c r="B191" t="s">
        <v>384</v>
      </c>
      <c r="C191" t="s">
        <v>385</v>
      </c>
      <c r="D191">
        <v>-29</v>
      </c>
      <c r="E191">
        <v>0</v>
      </c>
      <c r="F191">
        <v>0</v>
      </c>
      <c r="G191">
        <v>0</v>
      </c>
      <c r="H191" t="s">
        <v>687</v>
      </c>
    </row>
    <row r="192" spans="1:8" x14ac:dyDescent="0.2">
      <c r="A192">
        <v>13717</v>
      </c>
      <c r="B192" t="s">
        <v>386</v>
      </c>
      <c r="C192" t="s">
        <v>387</v>
      </c>
      <c r="D192">
        <v>-40</v>
      </c>
      <c r="E192">
        <v>0</v>
      </c>
      <c r="F192">
        <v>0</v>
      </c>
      <c r="G192">
        <v>0</v>
      </c>
      <c r="H192" t="s">
        <v>687</v>
      </c>
    </row>
    <row r="193" spans="1:8" x14ac:dyDescent="0.2">
      <c r="A193">
        <v>545</v>
      </c>
      <c r="B193" t="s">
        <v>388</v>
      </c>
      <c r="C193" t="s">
        <v>389</v>
      </c>
      <c r="D193">
        <v>1226</v>
      </c>
      <c r="E193">
        <v>0</v>
      </c>
      <c r="F193">
        <v>0</v>
      </c>
      <c r="G193">
        <v>0</v>
      </c>
      <c r="H193" t="s">
        <v>687</v>
      </c>
    </row>
    <row r="194" spans="1:8" x14ac:dyDescent="0.2">
      <c r="A194">
        <v>11108</v>
      </c>
      <c r="B194" t="s">
        <v>390</v>
      </c>
      <c r="C194" t="s">
        <v>391</v>
      </c>
      <c r="D194">
        <v>-81</v>
      </c>
      <c r="E194">
        <v>0</v>
      </c>
      <c r="F194">
        <v>0</v>
      </c>
      <c r="G194">
        <v>0</v>
      </c>
      <c r="H194" t="s">
        <v>687</v>
      </c>
    </row>
    <row r="195" spans="1:8" x14ac:dyDescent="0.2">
      <c r="A195">
        <v>9547</v>
      </c>
      <c r="B195" t="s">
        <v>392</v>
      </c>
      <c r="C195" t="s">
        <v>393</v>
      </c>
      <c r="D195">
        <v>1792</v>
      </c>
      <c r="E195">
        <v>0</v>
      </c>
      <c r="F195">
        <v>0</v>
      </c>
      <c r="G195">
        <v>0</v>
      </c>
      <c r="H195" t="s">
        <v>687</v>
      </c>
    </row>
    <row r="196" spans="1:8" x14ac:dyDescent="0.2">
      <c r="A196">
        <v>10337</v>
      </c>
      <c r="B196" t="s">
        <v>394</v>
      </c>
      <c r="C196" t="s">
        <v>395</v>
      </c>
      <c r="D196">
        <v>1035</v>
      </c>
      <c r="E196">
        <v>0</v>
      </c>
      <c r="F196">
        <v>0</v>
      </c>
      <c r="G196">
        <v>0</v>
      </c>
      <c r="H196" t="s">
        <v>687</v>
      </c>
    </row>
    <row r="197" spans="1:8" x14ac:dyDescent="0.2">
      <c r="A197">
        <v>8955</v>
      </c>
      <c r="B197" t="s">
        <v>396</v>
      </c>
      <c r="C197" t="s">
        <v>397</v>
      </c>
      <c r="D197">
        <v>752</v>
      </c>
      <c r="E197">
        <v>0</v>
      </c>
      <c r="F197">
        <v>0</v>
      </c>
      <c r="G197">
        <v>0</v>
      </c>
      <c r="H197" t="s">
        <v>687</v>
      </c>
    </row>
    <row r="198" spans="1:8" x14ac:dyDescent="0.2">
      <c r="A198">
        <v>9346</v>
      </c>
      <c r="B198" t="s">
        <v>398</v>
      </c>
      <c r="C198" t="s">
        <v>399</v>
      </c>
      <c r="D198">
        <v>200</v>
      </c>
      <c r="E198">
        <v>0</v>
      </c>
      <c r="F198">
        <v>0</v>
      </c>
      <c r="G198">
        <v>0</v>
      </c>
      <c r="H198" t="s">
        <v>687</v>
      </c>
    </row>
    <row r="199" spans="1:8" x14ac:dyDescent="0.2">
      <c r="A199">
        <v>8844</v>
      </c>
      <c r="B199" t="s">
        <v>400</v>
      </c>
      <c r="C199" t="s">
        <v>401</v>
      </c>
      <c r="D199">
        <v>50</v>
      </c>
      <c r="E199">
        <v>0</v>
      </c>
      <c r="F199">
        <v>0</v>
      </c>
      <c r="G199">
        <v>0</v>
      </c>
      <c r="H199" t="s">
        <v>687</v>
      </c>
    </row>
    <row r="200" spans="1:8" x14ac:dyDescent="0.2">
      <c r="A200">
        <v>14054</v>
      </c>
      <c r="B200" t="s">
        <v>402</v>
      </c>
      <c r="C200" t="s">
        <v>403</v>
      </c>
      <c r="D200">
        <v>50</v>
      </c>
      <c r="E200">
        <v>0</v>
      </c>
      <c r="F200">
        <v>0</v>
      </c>
      <c r="G200">
        <v>0</v>
      </c>
      <c r="H200" t="s">
        <v>687</v>
      </c>
    </row>
    <row r="201" spans="1:8" x14ac:dyDescent="0.2">
      <c r="A201">
        <v>8788</v>
      </c>
      <c r="B201" t="s">
        <v>404</v>
      </c>
      <c r="C201" t="s">
        <v>405</v>
      </c>
      <c r="D201">
        <v>50</v>
      </c>
      <c r="E201">
        <v>0</v>
      </c>
      <c r="F201">
        <v>0</v>
      </c>
      <c r="G201">
        <v>0</v>
      </c>
      <c r="H201" t="s">
        <v>687</v>
      </c>
    </row>
    <row r="202" spans="1:8" x14ac:dyDescent="0.2">
      <c r="A202">
        <v>11251</v>
      </c>
      <c r="B202" t="s">
        <v>406</v>
      </c>
      <c r="C202" t="s">
        <v>407</v>
      </c>
      <c r="D202">
        <v>50</v>
      </c>
      <c r="E202">
        <v>0</v>
      </c>
      <c r="F202">
        <v>0</v>
      </c>
      <c r="G202">
        <v>0</v>
      </c>
      <c r="H202" t="s">
        <v>687</v>
      </c>
    </row>
    <row r="203" spans="1:8" x14ac:dyDescent="0.2">
      <c r="A203">
        <v>13539</v>
      </c>
      <c r="B203" t="s">
        <v>408</v>
      </c>
      <c r="C203" t="s">
        <v>409</v>
      </c>
      <c r="D203">
        <v>5</v>
      </c>
      <c r="E203">
        <v>0</v>
      </c>
      <c r="F203">
        <v>0</v>
      </c>
      <c r="G203">
        <v>0</v>
      </c>
      <c r="H203" t="s">
        <v>687</v>
      </c>
    </row>
    <row r="204" spans="1:8" x14ac:dyDescent="0.2">
      <c r="A204">
        <v>6768</v>
      </c>
      <c r="B204" t="s">
        <v>410</v>
      </c>
      <c r="C204" t="s">
        <v>411</v>
      </c>
      <c r="D204">
        <v>2</v>
      </c>
      <c r="E204">
        <v>0</v>
      </c>
      <c r="F204">
        <v>0</v>
      </c>
      <c r="G204">
        <v>0</v>
      </c>
      <c r="H204" t="s">
        <v>687</v>
      </c>
    </row>
    <row r="205" spans="1:8" x14ac:dyDescent="0.2">
      <c r="A205">
        <v>3333</v>
      </c>
      <c r="B205" t="s">
        <v>412</v>
      </c>
      <c r="C205" t="s">
        <v>413</v>
      </c>
      <c r="D205">
        <v>1</v>
      </c>
      <c r="E205">
        <v>0</v>
      </c>
      <c r="F205">
        <v>0</v>
      </c>
      <c r="G205">
        <v>0</v>
      </c>
      <c r="H205" t="s">
        <v>687</v>
      </c>
    </row>
    <row r="206" spans="1:8" x14ac:dyDescent="0.2">
      <c r="A206">
        <v>6772</v>
      </c>
      <c r="B206" t="s">
        <v>414</v>
      </c>
      <c r="C206" t="s">
        <v>415</v>
      </c>
      <c r="D206">
        <v>1</v>
      </c>
      <c r="E206">
        <v>0</v>
      </c>
      <c r="F206">
        <v>0</v>
      </c>
      <c r="G206">
        <v>0</v>
      </c>
      <c r="H206" t="s">
        <v>687</v>
      </c>
    </row>
    <row r="207" spans="1:8" x14ac:dyDescent="0.2">
      <c r="A207">
        <v>183</v>
      </c>
      <c r="B207" t="s">
        <v>418</v>
      </c>
      <c r="C207" t="s">
        <v>417</v>
      </c>
      <c r="D207">
        <v>4000</v>
      </c>
      <c r="E207">
        <v>0</v>
      </c>
      <c r="F207">
        <v>0</v>
      </c>
      <c r="G207">
        <v>0</v>
      </c>
      <c r="H207" t="s">
        <v>687</v>
      </c>
    </row>
    <row r="208" spans="1:8" x14ac:dyDescent="0.2">
      <c r="A208">
        <v>3978</v>
      </c>
      <c r="B208" t="s">
        <v>420</v>
      </c>
      <c r="C208" t="s">
        <v>419</v>
      </c>
      <c r="D208">
        <v>2089</v>
      </c>
      <c r="E208">
        <v>0</v>
      </c>
      <c r="F208">
        <v>0</v>
      </c>
      <c r="G208">
        <v>0</v>
      </c>
      <c r="H208" t="s">
        <v>687</v>
      </c>
    </row>
    <row r="209" spans="1:8" x14ac:dyDescent="0.2">
      <c r="A209">
        <v>185</v>
      </c>
      <c r="B209" t="s">
        <v>422</v>
      </c>
      <c r="C209" t="s">
        <v>421</v>
      </c>
      <c r="D209">
        <v>600</v>
      </c>
      <c r="E209">
        <v>0</v>
      </c>
      <c r="F209">
        <v>0</v>
      </c>
      <c r="G209">
        <v>0</v>
      </c>
      <c r="H209" t="s">
        <v>687</v>
      </c>
    </row>
    <row r="210" spans="1:8" x14ac:dyDescent="0.2">
      <c r="A210">
        <v>181</v>
      </c>
      <c r="B210" t="s">
        <v>424</v>
      </c>
      <c r="C210" t="s">
        <v>423</v>
      </c>
      <c r="D210">
        <v>200</v>
      </c>
      <c r="E210">
        <v>0</v>
      </c>
      <c r="F210">
        <v>0</v>
      </c>
      <c r="G210">
        <v>0</v>
      </c>
      <c r="H210" t="s">
        <v>687</v>
      </c>
    </row>
    <row r="211" spans="1:8" x14ac:dyDescent="0.2">
      <c r="A211">
        <v>175</v>
      </c>
      <c r="B211" t="s">
        <v>426</v>
      </c>
      <c r="C211" t="s">
        <v>425</v>
      </c>
      <c r="D211">
        <v>97</v>
      </c>
      <c r="E211">
        <v>0</v>
      </c>
      <c r="F211">
        <v>0</v>
      </c>
      <c r="G211">
        <v>0</v>
      </c>
      <c r="H211" t="s">
        <v>687</v>
      </c>
    </row>
    <row r="212" spans="1:8" x14ac:dyDescent="0.2">
      <c r="A212">
        <v>192</v>
      </c>
      <c r="B212" t="s">
        <v>428</v>
      </c>
      <c r="C212" t="s">
        <v>427</v>
      </c>
      <c r="D212">
        <v>73</v>
      </c>
      <c r="E212">
        <v>0</v>
      </c>
      <c r="F212">
        <v>0</v>
      </c>
      <c r="G212">
        <v>0</v>
      </c>
      <c r="H212" t="s">
        <v>687</v>
      </c>
    </row>
    <row r="213" spans="1:8" x14ac:dyDescent="0.2">
      <c r="A213">
        <v>3829</v>
      </c>
      <c r="B213" t="s">
        <v>430</v>
      </c>
      <c r="C213" t="s">
        <v>429</v>
      </c>
      <c r="D213">
        <v>17</v>
      </c>
      <c r="E213">
        <v>0</v>
      </c>
      <c r="F213">
        <v>0</v>
      </c>
      <c r="G213">
        <v>0</v>
      </c>
      <c r="H213" t="s">
        <v>687</v>
      </c>
    </row>
    <row r="214" spans="1:8" x14ac:dyDescent="0.2">
      <c r="A214">
        <v>4190</v>
      </c>
      <c r="B214" t="s">
        <v>432</v>
      </c>
      <c r="C214" t="s">
        <v>431</v>
      </c>
      <c r="D214">
        <v>15</v>
      </c>
      <c r="E214">
        <v>0</v>
      </c>
      <c r="F214">
        <v>0</v>
      </c>
      <c r="G214">
        <v>0</v>
      </c>
      <c r="H214" t="s">
        <v>687</v>
      </c>
    </row>
    <row r="215" spans="1:8" x14ac:dyDescent="0.2">
      <c r="A215">
        <v>3385</v>
      </c>
      <c r="B215" t="s">
        <v>434</v>
      </c>
      <c r="C215" t="s">
        <v>433</v>
      </c>
      <c r="D215">
        <v>12</v>
      </c>
      <c r="E215">
        <v>0</v>
      </c>
      <c r="F215">
        <v>0</v>
      </c>
      <c r="G215">
        <v>0</v>
      </c>
      <c r="H215" t="s">
        <v>687</v>
      </c>
    </row>
    <row r="216" spans="1:8" x14ac:dyDescent="0.2">
      <c r="A216">
        <v>4729</v>
      </c>
      <c r="B216" t="s">
        <v>436</v>
      </c>
      <c r="C216" t="s">
        <v>435</v>
      </c>
      <c r="D216">
        <v>12</v>
      </c>
      <c r="E216">
        <v>0</v>
      </c>
      <c r="F216">
        <v>0</v>
      </c>
      <c r="G216">
        <v>0</v>
      </c>
      <c r="H216" t="s">
        <v>687</v>
      </c>
    </row>
    <row r="217" spans="1:8" x14ac:dyDescent="0.2">
      <c r="A217">
        <v>4733</v>
      </c>
      <c r="B217" t="s">
        <v>438</v>
      </c>
      <c r="C217" t="s">
        <v>437</v>
      </c>
      <c r="D217">
        <v>11</v>
      </c>
      <c r="E217">
        <v>0</v>
      </c>
      <c r="F217">
        <v>0</v>
      </c>
      <c r="G217">
        <v>0</v>
      </c>
      <c r="H217" t="s">
        <v>687</v>
      </c>
    </row>
    <row r="218" spans="1:8" x14ac:dyDescent="0.2">
      <c r="A218">
        <v>4731</v>
      </c>
      <c r="B218" t="s">
        <v>440</v>
      </c>
      <c r="C218" t="s">
        <v>439</v>
      </c>
      <c r="D218">
        <v>10</v>
      </c>
      <c r="E218">
        <v>0</v>
      </c>
      <c r="F218">
        <v>0</v>
      </c>
      <c r="G218">
        <v>0</v>
      </c>
      <c r="H218" t="s">
        <v>687</v>
      </c>
    </row>
    <row r="219" spans="1:8" x14ac:dyDescent="0.2">
      <c r="A219">
        <v>4730</v>
      </c>
      <c r="B219" t="s">
        <v>442</v>
      </c>
      <c r="C219" t="s">
        <v>441</v>
      </c>
      <c r="D219">
        <v>10</v>
      </c>
      <c r="E219">
        <v>0</v>
      </c>
      <c r="F219">
        <v>0</v>
      </c>
      <c r="G219">
        <v>0</v>
      </c>
      <c r="H219" t="s">
        <v>687</v>
      </c>
    </row>
    <row r="220" spans="1:8" x14ac:dyDescent="0.2">
      <c r="A220">
        <v>4732</v>
      </c>
      <c r="B220" t="s">
        <v>444</v>
      </c>
      <c r="C220" t="s">
        <v>443</v>
      </c>
      <c r="D220">
        <v>10</v>
      </c>
      <c r="E220">
        <v>0</v>
      </c>
      <c r="F220">
        <v>0</v>
      </c>
      <c r="G220">
        <v>0</v>
      </c>
      <c r="H220" t="s">
        <v>687</v>
      </c>
    </row>
    <row r="221" spans="1:8" x14ac:dyDescent="0.2">
      <c r="A221">
        <v>4194</v>
      </c>
      <c r="B221" t="s">
        <v>446</v>
      </c>
      <c r="C221" t="s">
        <v>445</v>
      </c>
      <c r="D221">
        <v>9</v>
      </c>
      <c r="E221">
        <v>0</v>
      </c>
      <c r="F221">
        <v>0</v>
      </c>
      <c r="G221">
        <v>0</v>
      </c>
      <c r="H221" t="s">
        <v>687</v>
      </c>
    </row>
    <row r="222" spans="1:8" x14ac:dyDescent="0.2">
      <c r="A222">
        <v>4187</v>
      </c>
      <c r="B222" t="s">
        <v>448</v>
      </c>
      <c r="C222" t="s">
        <v>447</v>
      </c>
      <c r="D222">
        <v>9</v>
      </c>
      <c r="E222">
        <v>0</v>
      </c>
      <c r="F222">
        <v>0</v>
      </c>
      <c r="G222">
        <v>0</v>
      </c>
      <c r="H222" t="s">
        <v>687</v>
      </c>
    </row>
    <row r="223" spans="1:8" x14ac:dyDescent="0.2">
      <c r="A223">
        <v>6343</v>
      </c>
      <c r="B223" t="s">
        <v>450</v>
      </c>
      <c r="C223" t="s">
        <v>449</v>
      </c>
      <c r="D223">
        <v>8</v>
      </c>
      <c r="E223">
        <v>0</v>
      </c>
      <c r="F223">
        <v>0</v>
      </c>
      <c r="G223">
        <v>0</v>
      </c>
      <c r="H223" t="s">
        <v>687</v>
      </c>
    </row>
    <row r="224" spans="1:8" x14ac:dyDescent="0.2">
      <c r="A224">
        <v>4123</v>
      </c>
      <c r="B224" t="s">
        <v>452</v>
      </c>
      <c r="C224" t="s">
        <v>451</v>
      </c>
      <c r="D224">
        <v>7</v>
      </c>
      <c r="E224">
        <v>0</v>
      </c>
      <c r="F224">
        <v>0</v>
      </c>
      <c r="G224">
        <v>0</v>
      </c>
      <c r="H224" t="s">
        <v>687</v>
      </c>
    </row>
    <row r="225" spans="1:8" x14ac:dyDescent="0.2">
      <c r="A225">
        <v>4122</v>
      </c>
      <c r="B225" t="s">
        <v>454</v>
      </c>
      <c r="C225" t="s">
        <v>453</v>
      </c>
      <c r="D225">
        <v>7</v>
      </c>
      <c r="E225">
        <v>0</v>
      </c>
      <c r="F225">
        <v>0</v>
      </c>
      <c r="G225">
        <v>0</v>
      </c>
      <c r="H225" t="s">
        <v>687</v>
      </c>
    </row>
    <row r="226" spans="1:8" x14ac:dyDescent="0.2">
      <c r="A226">
        <v>4188</v>
      </c>
      <c r="B226" t="s">
        <v>456</v>
      </c>
      <c r="C226" t="s">
        <v>455</v>
      </c>
      <c r="D226">
        <v>7</v>
      </c>
      <c r="E226">
        <v>0</v>
      </c>
      <c r="F226">
        <v>0</v>
      </c>
      <c r="G226">
        <v>0</v>
      </c>
      <c r="H226" t="s">
        <v>687</v>
      </c>
    </row>
    <row r="227" spans="1:8" x14ac:dyDescent="0.2">
      <c r="A227">
        <v>4185</v>
      </c>
      <c r="B227" t="s">
        <v>458</v>
      </c>
      <c r="C227" t="s">
        <v>457</v>
      </c>
      <c r="D227">
        <v>7</v>
      </c>
      <c r="E227">
        <v>0</v>
      </c>
      <c r="F227">
        <v>0</v>
      </c>
      <c r="G227">
        <v>0</v>
      </c>
      <c r="H227" t="s">
        <v>687</v>
      </c>
    </row>
    <row r="228" spans="1:8" x14ac:dyDescent="0.2">
      <c r="A228">
        <v>73</v>
      </c>
      <c r="B228" t="s">
        <v>460</v>
      </c>
      <c r="C228" t="s">
        <v>459</v>
      </c>
      <c r="D228">
        <v>5</v>
      </c>
      <c r="E228">
        <v>0</v>
      </c>
      <c r="F228">
        <v>0</v>
      </c>
      <c r="G228">
        <v>0</v>
      </c>
      <c r="H228" t="s">
        <v>687</v>
      </c>
    </row>
    <row r="229" spans="1:8" x14ac:dyDescent="0.2">
      <c r="A229">
        <v>4108</v>
      </c>
      <c r="B229" t="s">
        <v>462</v>
      </c>
      <c r="C229" t="s">
        <v>461</v>
      </c>
      <c r="D229">
        <v>5</v>
      </c>
      <c r="E229">
        <v>0</v>
      </c>
      <c r="F229">
        <v>0</v>
      </c>
      <c r="G229">
        <v>0</v>
      </c>
      <c r="H229" t="s">
        <v>687</v>
      </c>
    </row>
    <row r="230" spans="1:8" x14ac:dyDescent="0.2">
      <c r="A230">
        <v>4106</v>
      </c>
      <c r="B230" t="s">
        <v>464</v>
      </c>
      <c r="C230" t="s">
        <v>463</v>
      </c>
      <c r="D230">
        <v>5</v>
      </c>
      <c r="E230">
        <v>0</v>
      </c>
      <c r="F230">
        <v>0</v>
      </c>
      <c r="G230">
        <v>0</v>
      </c>
      <c r="H230" t="s">
        <v>687</v>
      </c>
    </row>
    <row r="231" spans="1:8" x14ac:dyDescent="0.2">
      <c r="A231">
        <v>4107</v>
      </c>
      <c r="B231" t="s">
        <v>466</v>
      </c>
      <c r="C231" t="s">
        <v>465</v>
      </c>
      <c r="D231">
        <v>5</v>
      </c>
      <c r="E231">
        <v>0</v>
      </c>
      <c r="F231">
        <v>0</v>
      </c>
      <c r="G231">
        <v>0</v>
      </c>
      <c r="H231" t="s">
        <v>687</v>
      </c>
    </row>
    <row r="232" spans="1:8" x14ac:dyDescent="0.2">
      <c r="A232">
        <v>4195</v>
      </c>
      <c r="B232" t="s">
        <v>468</v>
      </c>
      <c r="C232" t="s">
        <v>467</v>
      </c>
      <c r="D232">
        <v>5</v>
      </c>
      <c r="E232">
        <v>0</v>
      </c>
      <c r="F232">
        <v>0</v>
      </c>
      <c r="G232">
        <v>0</v>
      </c>
      <c r="H232" t="s">
        <v>687</v>
      </c>
    </row>
    <row r="233" spans="1:8" x14ac:dyDescent="0.2">
      <c r="A233">
        <v>4196</v>
      </c>
      <c r="B233" t="s">
        <v>470</v>
      </c>
      <c r="C233" t="s">
        <v>469</v>
      </c>
      <c r="D233">
        <v>5</v>
      </c>
      <c r="E233">
        <v>0</v>
      </c>
      <c r="F233">
        <v>0</v>
      </c>
      <c r="G233">
        <v>0</v>
      </c>
      <c r="H233" t="s">
        <v>687</v>
      </c>
    </row>
    <row r="234" spans="1:8" x14ac:dyDescent="0.2">
      <c r="A234">
        <v>4197</v>
      </c>
      <c r="B234" t="s">
        <v>472</v>
      </c>
      <c r="C234" t="s">
        <v>471</v>
      </c>
      <c r="D234">
        <v>5</v>
      </c>
      <c r="E234">
        <v>0</v>
      </c>
      <c r="F234">
        <v>0</v>
      </c>
      <c r="G234">
        <v>0</v>
      </c>
      <c r="H234" t="s">
        <v>687</v>
      </c>
    </row>
    <row r="235" spans="1:8" x14ac:dyDescent="0.2">
      <c r="A235">
        <v>4356</v>
      </c>
      <c r="B235" t="s">
        <v>474</v>
      </c>
      <c r="C235" t="s">
        <v>473</v>
      </c>
      <c r="D235">
        <v>5</v>
      </c>
      <c r="E235">
        <v>0</v>
      </c>
      <c r="F235">
        <v>0</v>
      </c>
      <c r="G235">
        <v>0</v>
      </c>
      <c r="H235" t="s">
        <v>687</v>
      </c>
    </row>
    <row r="236" spans="1:8" x14ac:dyDescent="0.2">
      <c r="A236">
        <v>4199</v>
      </c>
      <c r="B236" t="s">
        <v>476</v>
      </c>
      <c r="C236" t="s">
        <v>475</v>
      </c>
      <c r="D236">
        <v>5</v>
      </c>
      <c r="E236">
        <v>0</v>
      </c>
      <c r="F236">
        <v>0</v>
      </c>
      <c r="G236">
        <v>0</v>
      </c>
      <c r="H236" t="s">
        <v>687</v>
      </c>
    </row>
    <row r="237" spans="1:8" x14ac:dyDescent="0.2">
      <c r="A237">
        <v>4346</v>
      </c>
      <c r="B237" t="s">
        <v>478</v>
      </c>
      <c r="C237" t="s">
        <v>477</v>
      </c>
      <c r="D237">
        <v>4</v>
      </c>
      <c r="E237">
        <v>0</v>
      </c>
      <c r="F237">
        <v>0</v>
      </c>
      <c r="G237">
        <v>0</v>
      </c>
      <c r="H237" t="s">
        <v>687</v>
      </c>
    </row>
    <row r="238" spans="1:8" x14ac:dyDescent="0.2">
      <c r="A238">
        <v>4133</v>
      </c>
      <c r="B238" t="s">
        <v>480</v>
      </c>
      <c r="C238" t="s">
        <v>479</v>
      </c>
      <c r="D238">
        <v>4</v>
      </c>
      <c r="E238">
        <v>0</v>
      </c>
      <c r="F238">
        <v>0</v>
      </c>
      <c r="G238">
        <v>0</v>
      </c>
      <c r="H238" t="s">
        <v>687</v>
      </c>
    </row>
    <row r="239" spans="1:8" x14ac:dyDescent="0.2">
      <c r="A239">
        <v>3137</v>
      </c>
      <c r="B239" t="s">
        <v>482</v>
      </c>
      <c r="C239" t="s">
        <v>481</v>
      </c>
      <c r="D239">
        <v>4</v>
      </c>
      <c r="E239">
        <v>0</v>
      </c>
      <c r="F239">
        <v>0</v>
      </c>
      <c r="G239">
        <v>0</v>
      </c>
      <c r="H239" t="s">
        <v>687</v>
      </c>
    </row>
    <row r="240" spans="1:8" x14ac:dyDescent="0.2">
      <c r="A240">
        <v>4191</v>
      </c>
      <c r="B240" t="s">
        <v>484</v>
      </c>
      <c r="C240" t="s">
        <v>483</v>
      </c>
      <c r="D240">
        <v>4</v>
      </c>
      <c r="E240">
        <v>0</v>
      </c>
      <c r="F240">
        <v>0</v>
      </c>
      <c r="G240">
        <v>0</v>
      </c>
      <c r="H240" t="s">
        <v>687</v>
      </c>
    </row>
    <row r="241" spans="1:8" x14ac:dyDescent="0.2">
      <c r="A241">
        <v>4109</v>
      </c>
      <c r="B241" t="s">
        <v>486</v>
      </c>
      <c r="C241" t="s">
        <v>485</v>
      </c>
      <c r="D241">
        <v>3</v>
      </c>
      <c r="E241">
        <v>0</v>
      </c>
      <c r="F241">
        <v>0</v>
      </c>
      <c r="G241">
        <v>0</v>
      </c>
      <c r="H241" t="s">
        <v>687</v>
      </c>
    </row>
    <row r="242" spans="1:8" x14ac:dyDescent="0.2">
      <c r="A242">
        <v>4110</v>
      </c>
      <c r="B242" t="s">
        <v>488</v>
      </c>
      <c r="C242" t="s">
        <v>487</v>
      </c>
      <c r="D242">
        <v>3</v>
      </c>
      <c r="E242">
        <v>0</v>
      </c>
      <c r="F242">
        <v>0</v>
      </c>
      <c r="G242">
        <v>0</v>
      </c>
      <c r="H242" t="s">
        <v>687</v>
      </c>
    </row>
    <row r="243" spans="1:8" x14ac:dyDescent="0.2">
      <c r="A243">
        <v>4132</v>
      </c>
      <c r="B243" t="s">
        <v>490</v>
      </c>
      <c r="C243" t="s">
        <v>489</v>
      </c>
      <c r="D243">
        <v>3</v>
      </c>
      <c r="E243">
        <v>0</v>
      </c>
      <c r="F243">
        <v>0</v>
      </c>
      <c r="G243">
        <v>0</v>
      </c>
      <c r="H243" t="s">
        <v>687</v>
      </c>
    </row>
    <row r="244" spans="1:8" x14ac:dyDescent="0.2">
      <c r="A244">
        <v>4131</v>
      </c>
      <c r="B244" t="s">
        <v>492</v>
      </c>
      <c r="C244" t="s">
        <v>491</v>
      </c>
      <c r="D244">
        <v>3</v>
      </c>
      <c r="E244">
        <v>0</v>
      </c>
      <c r="F244">
        <v>0</v>
      </c>
      <c r="G244">
        <v>0</v>
      </c>
      <c r="H244" t="s">
        <v>687</v>
      </c>
    </row>
    <row r="245" spans="1:8" x14ac:dyDescent="0.2">
      <c r="A245">
        <v>4121</v>
      </c>
      <c r="B245" t="s">
        <v>494</v>
      </c>
      <c r="C245" t="s">
        <v>493</v>
      </c>
      <c r="D245">
        <v>3</v>
      </c>
      <c r="E245">
        <v>0</v>
      </c>
      <c r="F245">
        <v>0</v>
      </c>
      <c r="G245">
        <v>0</v>
      </c>
      <c r="H245" t="s">
        <v>687</v>
      </c>
    </row>
    <row r="246" spans="1:8" x14ac:dyDescent="0.2">
      <c r="A246">
        <v>4120</v>
      </c>
      <c r="B246" t="s">
        <v>496</v>
      </c>
      <c r="C246" t="s">
        <v>495</v>
      </c>
      <c r="D246">
        <v>3</v>
      </c>
      <c r="E246">
        <v>0</v>
      </c>
      <c r="F246">
        <v>0</v>
      </c>
      <c r="G246">
        <v>0</v>
      </c>
      <c r="H246" t="s">
        <v>687</v>
      </c>
    </row>
    <row r="247" spans="1:8" x14ac:dyDescent="0.2">
      <c r="A247">
        <v>4119</v>
      </c>
      <c r="B247" t="s">
        <v>498</v>
      </c>
      <c r="C247" t="s">
        <v>497</v>
      </c>
      <c r="D247">
        <v>3</v>
      </c>
      <c r="E247">
        <v>0</v>
      </c>
      <c r="F247">
        <v>0</v>
      </c>
      <c r="G247">
        <v>0</v>
      </c>
      <c r="H247" t="s">
        <v>687</v>
      </c>
    </row>
    <row r="248" spans="1:8" x14ac:dyDescent="0.2">
      <c r="A248">
        <v>4201</v>
      </c>
      <c r="B248" t="s">
        <v>500</v>
      </c>
      <c r="C248" t="s">
        <v>499</v>
      </c>
      <c r="D248">
        <v>3</v>
      </c>
      <c r="E248">
        <v>0</v>
      </c>
      <c r="F248">
        <v>0</v>
      </c>
      <c r="G248">
        <v>0</v>
      </c>
      <c r="H248" t="s">
        <v>687</v>
      </c>
    </row>
    <row r="249" spans="1:8" x14ac:dyDescent="0.2">
      <c r="A249">
        <v>4305</v>
      </c>
      <c r="B249" t="s">
        <v>502</v>
      </c>
      <c r="C249" t="s">
        <v>501</v>
      </c>
      <c r="D249">
        <v>3</v>
      </c>
      <c r="E249">
        <v>0</v>
      </c>
      <c r="F249">
        <v>0</v>
      </c>
      <c r="G249">
        <v>0</v>
      </c>
      <c r="H249" t="s">
        <v>687</v>
      </c>
    </row>
    <row r="250" spans="1:8" x14ac:dyDescent="0.2">
      <c r="A250">
        <v>6616</v>
      </c>
      <c r="B250" t="s">
        <v>504</v>
      </c>
      <c r="C250" t="s">
        <v>503</v>
      </c>
      <c r="D250">
        <v>3</v>
      </c>
      <c r="E250">
        <v>0</v>
      </c>
      <c r="F250">
        <v>0</v>
      </c>
      <c r="G250">
        <v>0</v>
      </c>
      <c r="H250" t="s">
        <v>687</v>
      </c>
    </row>
    <row r="251" spans="1:8" x14ac:dyDescent="0.2">
      <c r="A251">
        <v>384</v>
      </c>
      <c r="B251" t="s">
        <v>506</v>
      </c>
      <c r="C251" t="s">
        <v>505</v>
      </c>
      <c r="D251">
        <v>3</v>
      </c>
      <c r="E251">
        <v>0</v>
      </c>
      <c r="F251">
        <v>0</v>
      </c>
      <c r="G251">
        <v>0</v>
      </c>
      <c r="H251" t="s">
        <v>687</v>
      </c>
    </row>
    <row r="252" spans="1:8" x14ac:dyDescent="0.2">
      <c r="A252">
        <v>671</v>
      </c>
      <c r="B252" t="s">
        <v>508</v>
      </c>
      <c r="C252" t="s">
        <v>507</v>
      </c>
      <c r="D252">
        <v>3</v>
      </c>
      <c r="E252">
        <v>0</v>
      </c>
      <c r="F252">
        <v>0</v>
      </c>
      <c r="G252">
        <v>0</v>
      </c>
      <c r="H252" t="s">
        <v>687</v>
      </c>
    </row>
    <row r="253" spans="1:8" x14ac:dyDescent="0.2">
      <c r="A253">
        <v>4345</v>
      </c>
      <c r="B253" t="s">
        <v>510</v>
      </c>
      <c r="C253" t="s">
        <v>509</v>
      </c>
      <c r="D253">
        <v>3</v>
      </c>
      <c r="E253">
        <v>0</v>
      </c>
      <c r="F253">
        <v>0</v>
      </c>
      <c r="G253">
        <v>0</v>
      </c>
      <c r="H253" t="s">
        <v>687</v>
      </c>
    </row>
    <row r="254" spans="1:8" x14ac:dyDescent="0.2">
      <c r="A254">
        <v>3435</v>
      </c>
      <c r="B254" t="s">
        <v>512</v>
      </c>
      <c r="C254" t="s">
        <v>511</v>
      </c>
      <c r="D254">
        <v>2</v>
      </c>
      <c r="E254">
        <v>0</v>
      </c>
      <c r="F254">
        <v>0</v>
      </c>
      <c r="G254">
        <v>0</v>
      </c>
      <c r="H254" t="s">
        <v>687</v>
      </c>
    </row>
    <row r="255" spans="1:8" x14ac:dyDescent="0.2">
      <c r="A255">
        <v>3012</v>
      </c>
      <c r="B255" t="s">
        <v>514</v>
      </c>
      <c r="C255" t="s">
        <v>513</v>
      </c>
      <c r="D255">
        <v>2</v>
      </c>
      <c r="E255">
        <v>0</v>
      </c>
      <c r="F255">
        <v>0</v>
      </c>
      <c r="G255">
        <v>0</v>
      </c>
      <c r="H255" t="s">
        <v>687</v>
      </c>
    </row>
    <row r="256" spans="1:8" x14ac:dyDescent="0.2">
      <c r="A256">
        <v>6552</v>
      </c>
      <c r="B256" t="s">
        <v>516</v>
      </c>
      <c r="C256" t="s">
        <v>515</v>
      </c>
      <c r="D256">
        <v>2</v>
      </c>
      <c r="E256">
        <v>0</v>
      </c>
      <c r="F256">
        <v>0</v>
      </c>
      <c r="G256">
        <v>0</v>
      </c>
      <c r="H256" t="s">
        <v>687</v>
      </c>
    </row>
    <row r="257" spans="1:8" x14ac:dyDescent="0.2">
      <c r="A257">
        <v>4420</v>
      </c>
      <c r="B257" t="s">
        <v>518</v>
      </c>
      <c r="C257" t="s">
        <v>517</v>
      </c>
      <c r="D257">
        <v>2</v>
      </c>
      <c r="E257">
        <v>0</v>
      </c>
      <c r="F257">
        <v>0</v>
      </c>
      <c r="G257">
        <v>0</v>
      </c>
      <c r="H257" t="s">
        <v>687</v>
      </c>
    </row>
    <row r="258" spans="1:8" x14ac:dyDescent="0.2">
      <c r="A258">
        <v>4130</v>
      </c>
      <c r="B258" t="s">
        <v>520</v>
      </c>
      <c r="C258" t="s">
        <v>519</v>
      </c>
      <c r="D258">
        <v>2</v>
      </c>
      <c r="E258">
        <v>0</v>
      </c>
      <c r="F258">
        <v>0</v>
      </c>
      <c r="G258">
        <v>0</v>
      </c>
      <c r="H258" t="s">
        <v>687</v>
      </c>
    </row>
    <row r="259" spans="1:8" x14ac:dyDescent="0.2">
      <c r="A259">
        <v>4118</v>
      </c>
      <c r="B259" t="s">
        <v>522</v>
      </c>
      <c r="C259" t="s">
        <v>521</v>
      </c>
      <c r="D259">
        <v>2</v>
      </c>
      <c r="E259">
        <v>0</v>
      </c>
      <c r="F259">
        <v>0</v>
      </c>
      <c r="G259">
        <v>0</v>
      </c>
      <c r="H259" t="s">
        <v>687</v>
      </c>
    </row>
    <row r="260" spans="1:8" x14ac:dyDescent="0.2">
      <c r="A260">
        <v>6389</v>
      </c>
      <c r="B260" t="s">
        <v>524</v>
      </c>
      <c r="C260" t="s">
        <v>523</v>
      </c>
      <c r="D260">
        <v>2</v>
      </c>
      <c r="E260">
        <v>0</v>
      </c>
      <c r="F260">
        <v>0</v>
      </c>
      <c r="G260">
        <v>0</v>
      </c>
      <c r="H260" t="s">
        <v>687</v>
      </c>
    </row>
    <row r="261" spans="1:8" x14ac:dyDescent="0.2">
      <c r="A261">
        <v>4488</v>
      </c>
      <c r="B261" t="s">
        <v>526</v>
      </c>
      <c r="C261" t="s">
        <v>525</v>
      </c>
      <c r="D261">
        <v>2</v>
      </c>
      <c r="E261">
        <v>0</v>
      </c>
      <c r="F261">
        <v>0</v>
      </c>
      <c r="G261">
        <v>0</v>
      </c>
      <c r="H261" t="s">
        <v>687</v>
      </c>
    </row>
    <row r="262" spans="1:8" x14ac:dyDescent="0.2">
      <c r="A262">
        <v>4489</v>
      </c>
      <c r="B262" t="s">
        <v>528</v>
      </c>
      <c r="C262" t="s">
        <v>527</v>
      </c>
      <c r="D262">
        <v>2</v>
      </c>
      <c r="E262">
        <v>0</v>
      </c>
      <c r="F262">
        <v>0</v>
      </c>
      <c r="G262">
        <v>0</v>
      </c>
      <c r="H262" t="s">
        <v>687</v>
      </c>
    </row>
    <row r="263" spans="1:8" x14ac:dyDescent="0.2">
      <c r="A263">
        <v>4490</v>
      </c>
      <c r="B263" t="s">
        <v>530</v>
      </c>
      <c r="C263" t="s">
        <v>529</v>
      </c>
      <c r="D263">
        <v>2</v>
      </c>
      <c r="E263">
        <v>0</v>
      </c>
      <c r="F263">
        <v>0</v>
      </c>
      <c r="G263">
        <v>0</v>
      </c>
      <c r="H263" t="s">
        <v>687</v>
      </c>
    </row>
    <row r="264" spans="1:8" x14ac:dyDescent="0.2">
      <c r="A264">
        <v>4491</v>
      </c>
      <c r="B264" t="s">
        <v>532</v>
      </c>
      <c r="C264" t="s">
        <v>531</v>
      </c>
      <c r="D264">
        <v>2</v>
      </c>
      <c r="E264">
        <v>0</v>
      </c>
      <c r="F264">
        <v>0</v>
      </c>
      <c r="G264">
        <v>0</v>
      </c>
      <c r="H264" t="s">
        <v>687</v>
      </c>
    </row>
    <row r="265" spans="1:8" x14ac:dyDescent="0.2">
      <c r="A265">
        <v>2093</v>
      </c>
      <c r="B265" t="s">
        <v>534</v>
      </c>
      <c r="C265" t="s">
        <v>533</v>
      </c>
      <c r="D265">
        <v>2</v>
      </c>
      <c r="E265">
        <v>0</v>
      </c>
      <c r="F265">
        <v>0</v>
      </c>
      <c r="G265">
        <v>0</v>
      </c>
      <c r="H265" t="s">
        <v>687</v>
      </c>
    </row>
    <row r="266" spans="1:8" x14ac:dyDescent="0.2">
      <c r="A266">
        <v>1973</v>
      </c>
      <c r="B266" t="s">
        <v>536</v>
      </c>
      <c r="C266" t="s">
        <v>535</v>
      </c>
      <c r="D266">
        <v>2</v>
      </c>
      <c r="E266">
        <v>0</v>
      </c>
      <c r="F266">
        <v>0</v>
      </c>
      <c r="G266">
        <v>0</v>
      </c>
      <c r="H266" t="s">
        <v>687</v>
      </c>
    </row>
    <row r="267" spans="1:8" x14ac:dyDescent="0.2">
      <c r="A267">
        <v>1976</v>
      </c>
      <c r="B267" t="s">
        <v>538</v>
      </c>
      <c r="C267" t="s">
        <v>537</v>
      </c>
      <c r="D267">
        <v>2</v>
      </c>
      <c r="E267">
        <v>0</v>
      </c>
      <c r="F267">
        <v>0</v>
      </c>
      <c r="G267">
        <v>0</v>
      </c>
      <c r="H267" t="s">
        <v>687</v>
      </c>
    </row>
    <row r="268" spans="1:8" x14ac:dyDescent="0.2">
      <c r="A268">
        <v>390</v>
      </c>
      <c r="B268" t="s">
        <v>540</v>
      </c>
      <c r="C268" t="s">
        <v>539</v>
      </c>
      <c r="D268">
        <v>2</v>
      </c>
      <c r="E268">
        <v>0</v>
      </c>
      <c r="F268">
        <v>0</v>
      </c>
      <c r="G268">
        <v>0</v>
      </c>
      <c r="H268" t="s">
        <v>687</v>
      </c>
    </row>
    <row r="269" spans="1:8" x14ac:dyDescent="0.2">
      <c r="A269">
        <v>417</v>
      </c>
      <c r="B269" t="s">
        <v>542</v>
      </c>
      <c r="C269" t="s">
        <v>541</v>
      </c>
      <c r="D269">
        <v>2</v>
      </c>
      <c r="E269">
        <v>0</v>
      </c>
      <c r="F269">
        <v>0</v>
      </c>
      <c r="G269">
        <v>0</v>
      </c>
      <c r="H269" t="s">
        <v>687</v>
      </c>
    </row>
    <row r="270" spans="1:8" x14ac:dyDescent="0.2">
      <c r="A270">
        <v>4421</v>
      </c>
      <c r="B270" t="s">
        <v>544</v>
      </c>
      <c r="C270" t="s">
        <v>543</v>
      </c>
      <c r="D270">
        <v>2</v>
      </c>
      <c r="E270">
        <v>0</v>
      </c>
      <c r="F270">
        <v>0</v>
      </c>
      <c r="G270">
        <v>0</v>
      </c>
      <c r="H270" t="s">
        <v>687</v>
      </c>
    </row>
    <row r="271" spans="1:8" x14ac:dyDescent="0.2">
      <c r="A271">
        <v>4344</v>
      </c>
      <c r="B271" t="s">
        <v>546</v>
      </c>
      <c r="C271" t="s">
        <v>545</v>
      </c>
      <c r="D271">
        <v>2</v>
      </c>
      <c r="E271">
        <v>0</v>
      </c>
      <c r="F271">
        <v>0</v>
      </c>
      <c r="G271">
        <v>0</v>
      </c>
      <c r="H271" t="s">
        <v>687</v>
      </c>
    </row>
    <row r="272" spans="1:8" x14ac:dyDescent="0.2">
      <c r="A272">
        <v>4098</v>
      </c>
      <c r="B272" t="s">
        <v>548</v>
      </c>
      <c r="C272" t="s">
        <v>547</v>
      </c>
      <c r="D272">
        <v>2</v>
      </c>
      <c r="E272">
        <v>0</v>
      </c>
      <c r="F272">
        <v>0</v>
      </c>
      <c r="G272">
        <v>0</v>
      </c>
      <c r="H272" t="s">
        <v>687</v>
      </c>
    </row>
    <row r="273" spans="1:8" x14ac:dyDescent="0.2">
      <c r="A273">
        <v>6676</v>
      </c>
      <c r="B273" t="s">
        <v>550</v>
      </c>
      <c r="C273" t="s">
        <v>549</v>
      </c>
      <c r="D273">
        <v>1</v>
      </c>
      <c r="E273">
        <v>0</v>
      </c>
      <c r="F273">
        <v>0</v>
      </c>
      <c r="G273">
        <v>0</v>
      </c>
      <c r="H273" t="s">
        <v>687</v>
      </c>
    </row>
    <row r="274" spans="1:8" x14ac:dyDescent="0.2">
      <c r="A274">
        <v>6547</v>
      </c>
      <c r="B274" t="s">
        <v>552</v>
      </c>
      <c r="C274" t="s">
        <v>551</v>
      </c>
      <c r="D274">
        <v>1</v>
      </c>
      <c r="E274">
        <v>0</v>
      </c>
      <c r="F274">
        <v>0</v>
      </c>
      <c r="G274">
        <v>0</v>
      </c>
      <c r="H274" t="s">
        <v>687</v>
      </c>
    </row>
    <row r="275" spans="1:8" x14ac:dyDescent="0.2">
      <c r="A275">
        <v>6624</v>
      </c>
      <c r="B275" t="s">
        <v>554</v>
      </c>
      <c r="C275" t="s">
        <v>553</v>
      </c>
      <c r="D275">
        <v>1</v>
      </c>
      <c r="E275">
        <v>0</v>
      </c>
      <c r="F275">
        <v>0</v>
      </c>
      <c r="G275">
        <v>0</v>
      </c>
      <c r="H275" t="s">
        <v>687</v>
      </c>
    </row>
    <row r="276" spans="1:8" x14ac:dyDescent="0.2">
      <c r="A276">
        <v>6625</v>
      </c>
      <c r="B276" t="s">
        <v>556</v>
      </c>
      <c r="C276" t="s">
        <v>555</v>
      </c>
      <c r="D276">
        <v>1</v>
      </c>
      <c r="E276">
        <v>0</v>
      </c>
      <c r="F276">
        <v>0</v>
      </c>
      <c r="G276">
        <v>0</v>
      </c>
      <c r="H276" t="s">
        <v>687</v>
      </c>
    </row>
    <row r="277" spans="1:8" x14ac:dyDescent="0.2">
      <c r="A277">
        <v>6548</v>
      </c>
      <c r="B277" t="s">
        <v>558</v>
      </c>
      <c r="C277" t="s">
        <v>557</v>
      </c>
      <c r="D277">
        <v>1</v>
      </c>
      <c r="E277">
        <v>0</v>
      </c>
      <c r="F277">
        <v>0</v>
      </c>
      <c r="G277">
        <v>0</v>
      </c>
      <c r="H277" t="s">
        <v>687</v>
      </c>
    </row>
    <row r="278" spans="1:8" x14ac:dyDescent="0.2">
      <c r="A278">
        <v>124</v>
      </c>
      <c r="B278" t="s">
        <v>560</v>
      </c>
      <c r="C278" t="s">
        <v>559</v>
      </c>
      <c r="D278">
        <v>1</v>
      </c>
      <c r="E278">
        <v>0</v>
      </c>
      <c r="F278">
        <v>0</v>
      </c>
      <c r="G278">
        <v>0</v>
      </c>
      <c r="H278" t="s">
        <v>687</v>
      </c>
    </row>
    <row r="279" spans="1:8" x14ac:dyDescent="0.2">
      <c r="A279">
        <v>507</v>
      </c>
      <c r="B279" t="s">
        <v>562</v>
      </c>
      <c r="C279" t="s">
        <v>561</v>
      </c>
      <c r="D279">
        <v>1</v>
      </c>
      <c r="E279">
        <v>0</v>
      </c>
      <c r="F279">
        <v>0</v>
      </c>
      <c r="G279">
        <v>0</v>
      </c>
      <c r="H279" t="s">
        <v>687</v>
      </c>
    </row>
    <row r="280" spans="1:8" x14ac:dyDescent="0.2">
      <c r="A280">
        <v>2375</v>
      </c>
      <c r="B280" t="s">
        <v>564</v>
      </c>
      <c r="C280" t="s">
        <v>563</v>
      </c>
      <c r="D280">
        <v>1</v>
      </c>
      <c r="E280">
        <v>0</v>
      </c>
      <c r="F280">
        <v>0</v>
      </c>
      <c r="G280">
        <v>0</v>
      </c>
      <c r="H280" t="s">
        <v>687</v>
      </c>
    </row>
    <row r="281" spans="1:8" x14ac:dyDescent="0.2">
      <c r="A281">
        <v>6685</v>
      </c>
      <c r="B281" t="s">
        <v>566</v>
      </c>
      <c r="C281" t="s">
        <v>565</v>
      </c>
      <c r="D281">
        <v>1</v>
      </c>
      <c r="E281">
        <v>0</v>
      </c>
      <c r="F281">
        <v>0</v>
      </c>
      <c r="G281">
        <v>0</v>
      </c>
      <c r="H281" t="s">
        <v>687</v>
      </c>
    </row>
    <row r="282" spans="1:8" x14ac:dyDescent="0.2">
      <c r="A282">
        <v>257</v>
      </c>
      <c r="B282" t="s">
        <v>568</v>
      </c>
      <c r="C282" t="s">
        <v>567</v>
      </c>
      <c r="D282">
        <v>1</v>
      </c>
      <c r="E282">
        <v>0</v>
      </c>
      <c r="F282">
        <v>0</v>
      </c>
      <c r="G282">
        <v>0</v>
      </c>
      <c r="H282" t="s">
        <v>687</v>
      </c>
    </row>
    <row r="283" spans="1:8" x14ac:dyDescent="0.2">
      <c r="A283">
        <v>61</v>
      </c>
      <c r="B283" t="s">
        <v>570</v>
      </c>
      <c r="C283" t="s">
        <v>569</v>
      </c>
      <c r="D283">
        <v>1</v>
      </c>
      <c r="E283">
        <v>0</v>
      </c>
      <c r="F283">
        <v>0</v>
      </c>
      <c r="G283">
        <v>0</v>
      </c>
      <c r="H283" t="s">
        <v>687</v>
      </c>
    </row>
    <row r="284" spans="1:8" x14ac:dyDescent="0.2">
      <c r="A284">
        <v>331</v>
      </c>
      <c r="B284" t="s">
        <v>572</v>
      </c>
      <c r="C284" t="s">
        <v>571</v>
      </c>
      <c r="D284">
        <v>1</v>
      </c>
      <c r="E284">
        <v>0</v>
      </c>
      <c r="F284">
        <v>0</v>
      </c>
      <c r="G284">
        <v>0</v>
      </c>
      <c r="H284" t="s">
        <v>687</v>
      </c>
    </row>
    <row r="285" spans="1:8" x14ac:dyDescent="0.2">
      <c r="A285">
        <v>3011</v>
      </c>
      <c r="B285" t="s">
        <v>574</v>
      </c>
      <c r="C285" t="s">
        <v>573</v>
      </c>
      <c r="D285">
        <v>1</v>
      </c>
      <c r="E285">
        <v>0</v>
      </c>
      <c r="F285">
        <v>0</v>
      </c>
      <c r="G285">
        <v>0</v>
      </c>
      <c r="H285" t="s">
        <v>687</v>
      </c>
    </row>
    <row r="286" spans="1:8" x14ac:dyDescent="0.2">
      <c r="A286">
        <v>4484</v>
      </c>
      <c r="B286" t="s">
        <v>576</v>
      </c>
      <c r="C286" t="s">
        <v>575</v>
      </c>
      <c r="D286">
        <v>1</v>
      </c>
      <c r="E286">
        <v>0</v>
      </c>
      <c r="F286">
        <v>0</v>
      </c>
      <c r="G286">
        <v>0</v>
      </c>
      <c r="H286" t="s">
        <v>687</v>
      </c>
    </row>
    <row r="287" spans="1:8" x14ac:dyDescent="0.2">
      <c r="A287">
        <v>4485</v>
      </c>
      <c r="B287" t="s">
        <v>578</v>
      </c>
      <c r="C287" t="s">
        <v>577</v>
      </c>
      <c r="D287">
        <v>1</v>
      </c>
      <c r="E287">
        <v>0</v>
      </c>
      <c r="F287">
        <v>0</v>
      </c>
      <c r="G287">
        <v>0</v>
      </c>
      <c r="H287" t="s">
        <v>687</v>
      </c>
    </row>
    <row r="288" spans="1:8" x14ac:dyDescent="0.2">
      <c r="A288">
        <v>4486</v>
      </c>
      <c r="B288" t="s">
        <v>580</v>
      </c>
      <c r="C288" t="s">
        <v>579</v>
      </c>
      <c r="D288">
        <v>1</v>
      </c>
      <c r="E288">
        <v>0</v>
      </c>
      <c r="F288">
        <v>0</v>
      </c>
      <c r="G288">
        <v>0</v>
      </c>
      <c r="H288" t="s">
        <v>687</v>
      </c>
    </row>
    <row r="289" spans="1:8" x14ac:dyDescent="0.2">
      <c r="A289">
        <v>4100</v>
      </c>
      <c r="B289" t="s">
        <v>582</v>
      </c>
      <c r="C289" t="s">
        <v>581</v>
      </c>
      <c r="D289">
        <v>1</v>
      </c>
      <c r="E289">
        <v>0</v>
      </c>
      <c r="F289">
        <v>0</v>
      </c>
      <c r="G289">
        <v>0</v>
      </c>
      <c r="H289" t="s">
        <v>687</v>
      </c>
    </row>
    <row r="290" spans="1:8" x14ac:dyDescent="0.2">
      <c r="A290">
        <v>4200</v>
      </c>
      <c r="B290" t="s">
        <v>584</v>
      </c>
      <c r="C290" t="s">
        <v>583</v>
      </c>
      <c r="D290">
        <v>1</v>
      </c>
      <c r="E290">
        <v>0</v>
      </c>
      <c r="F290">
        <v>0</v>
      </c>
      <c r="G290">
        <v>0</v>
      </c>
      <c r="H290" t="s">
        <v>687</v>
      </c>
    </row>
    <row r="291" spans="1:8" x14ac:dyDescent="0.2">
      <c r="A291">
        <v>4189</v>
      </c>
      <c r="B291" t="s">
        <v>586</v>
      </c>
      <c r="C291" t="s">
        <v>585</v>
      </c>
      <c r="D291">
        <v>1</v>
      </c>
      <c r="E291">
        <v>0</v>
      </c>
      <c r="F291">
        <v>0</v>
      </c>
      <c r="G291">
        <v>0</v>
      </c>
      <c r="H291" t="s">
        <v>687</v>
      </c>
    </row>
    <row r="292" spans="1:8" x14ac:dyDescent="0.2">
      <c r="A292">
        <v>4400</v>
      </c>
      <c r="B292" t="s">
        <v>588</v>
      </c>
      <c r="C292" t="s">
        <v>587</v>
      </c>
      <c r="D292">
        <v>1</v>
      </c>
      <c r="E292">
        <v>0</v>
      </c>
      <c r="F292">
        <v>0</v>
      </c>
      <c r="G292">
        <v>0</v>
      </c>
      <c r="H292" t="s">
        <v>687</v>
      </c>
    </row>
    <row r="293" spans="1:8" x14ac:dyDescent="0.2">
      <c r="A293">
        <v>4487</v>
      </c>
      <c r="B293" t="s">
        <v>590</v>
      </c>
      <c r="C293" t="s">
        <v>589</v>
      </c>
      <c r="D293">
        <v>1</v>
      </c>
      <c r="E293">
        <v>0</v>
      </c>
      <c r="F293">
        <v>0</v>
      </c>
      <c r="G293">
        <v>0</v>
      </c>
      <c r="H293" t="s">
        <v>687</v>
      </c>
    </row>
    <row r="294" spans="1:8" x14ac:dyDescent="0.2">
      <c r="A294">
        <v>3316</v>
      </c>
      <c r="B294" t="s">
        <v>592</v>
      </c>
      <c r="C294" t="s">
        <v>591</v>
      </c>
      <c r="D294">
        <v>1</v>
      </c>
      <c r="E294">
        <v>0</v>
      </c>
      <c r="F294">
        <v>0</v>
      </c>
      <c r="G294">
        <v>0</v>
      </c>
      <c r="H294" t="s">
        <v>687</v>
      </c>
    </row>
    <row r="295" spans="1:8" x14ac:dyDescent="0.2">
      <c r="A295">
        <v>2567</v>
      </c>
      <c r="B295" t="s">
        <v>594</v>
      </c>
      <c r="C295" t="s">
        <v>593</v>
      </c>
      <c r="D295">
        <v>1</v>
      </c>
      <c r="E295">
        <v>0</v>
      </c>
      <c r="F295">
        <v>0</v>
      </c>
      <c r="G295">
        <v>0</v>
      </c>
      <c r="H295" t="s">
        <v>687</v>
      </c>
    </row>
    <row r="296" spans="1:8" x14ac:dyDescent="0.2">
      <c r="A296">
        <v>4211</v>
      </c>
      <c r="B296" t="s">
        <v>596</v>
      </c>
      <c r="C296" t="s">
        <v>595</v>
      </c>
      <c r="D296">
        <v>1</v>
      </c>
      <c r="E296">
        <v>0</v>
      </c>
      <c r="F296">
        <v>0</v>
      </c>
      <c r="G296">
        <v>0</v>
      </c>
      <c r="H296" t="s">
        <v>687</v>
      </c>
    </row>
    <row r="297" spans="1:8" x14ac:dyDescent="0.2">
      <c r="A297">
        <v>3149</v>
      </c>
      <c r="B297" t="s">
        <v>598</v>
      </c>
      <c r="C297" t="s">
        <v>597</v>
      </c>
      <c r="D297">
        <v>1</v>
      </c>
      <c r="E297">
        <v>0</v>
      </c>
      <c r="F297">
        <v>0</v>
      </c>
      <c r="G297">
        <v>0</v>
      </c>
      <c r="H297" t="s">
        <v>687</v>
      </c>
    </row>
    <row r="298" spans="1:8" x14ac:dyDescent="0.2">
      <c r="A298">
        <v>3129</v>
      </c>
      <c r="B298" t="s">
        <v>600</v>
      </c>
      <c r="C298" t="s">
        <v>599</v>
      </c>
      <c r="D298">
        <v>1</v>
      </c>
      <c r="E298">
        <v>0</v>
      </c>
      <c r="F298">
        <v>0</v>
      </c>
      <c r="G298">
        <v>0</v>
      </c>
      <c r="H298" t="s">
        <v>687</v>
      </c>
    </row>
    <row r="299" spans="1:8" x14ac:dyDescent="0.2">
      <c r="A299">
        <v>3131</v>
      </c>
      <c r="B299" t="s">
        <v>602</v>
      </c>
      <c r="C299" t="s">
        <v>601</v>
      </c>
      <c r="D299">
        <v>1</v>
      </c>
      <c r="E299">
        <v>0</v>
      </c>
      <c r="F299">
        <v>0</v>
      </c>
      <c r="G299">
        <v>0</v>
      </c>
      <c r="H299" t="s">
        <v>687</v>
      </c>
    </row>
    <row r="300" spans="1:8" x14ac:dyDescent="0.2">
      <c r="A300">
        <v>3153</v>
      </c>
      <c r="B300" t="s">
        <v>604</v>
      </c>
      <c r="C300" t="s">
        <v>603</v>
      </c>
      <c r="D300">
        <v>1</v>
      </c>
      <c r="E300">
        <v>0</v>
      </c>
      <c r="F300">
        <v>0</v>
      </c>
      <c r="G300">
        <v>0</v>
      </c>
      <c r="H300" t="s">
        <v>687</v>
      </c>
    </row>
    <row r="301" spans="1:8" x14ac:dyDescent="0.2">
      <c r="A301">
        <v>3134</v>
      </c>
      <c r="B301" t="s">
        <v>606</v>
      </c>
      <c r="C301" t="s">
        <v>605</v>
      </c>
      <c r="D301">
        <v>1</v>
      </c>
      <c r="E301">
        <v>0</v>
      </c>
      <c r="F301">
        <v>0</v>
      </c>
      <c r="G301">
        <v>0</v>
      </c>
      <c r="H301" t="s">
        <v>687</v>
      </c>
    </row>
    <row r="302" spans="1:8" x14ac:dyDescent="0.2">
      <c r="A302">
        <v>3136</v>
      </c>
      <c r="B302" t="s">
        <v>608</v>
      </c>
      <c r="C302" t="s">
        <v>607</v>
      </c>
      <c r="D302">
        <v>1</v>
      </c>
      <c r="E302">
        <v>0</v>
      </c>
      <c r="F302">
        <v>0</v>
      </c>
      <c r="G302">
        <v>0</v>
      </c>
      <c r="H302" t="s">
        <v>687</v>
      </c>
    </row>
    <row r="303" spans="1:8" x14ac:dyDescent="0.2">
      <c r="A303">
        <v>6544</v>
      </c>
      <c r="B303" t="s">
        <v>610</v>
      </c>
      <c r="C303" t="s">
        <v>609</v>
      </c>
      <c r="D303">
        <v>1</v>
      </c>
      <c r="E303">
        <v>0</v>
      </c>
      <c r="F303">
        <v>0</v>
      </c>
      <c r="G303">
        <v>0</v>
      </c>
      <c r="H303" t="s">
        <v>687</v>
      </c>
    </row>
    <row r="304" spans="1:8" x14ac:dyDescent="0.2">
      <c r="A304">
        <v>697</v>
      </c>
      <c r="B304" t="s">
        <v>612</v>
      </c>
      <c r="C304" t="s">
        <v>611</v>
      </c>
      <c r="D304">
        <v>1</v>
      </c>
      <c r="E304">
        <v>0</v>
      </c>
      <c r="F304">
        <v>0</v>
      </c>
      <c r="G304">
        <v>0</v>
      </c>
      <c r="H304" t="s">
        <v>687</v>
      </c>
    </row>
    <row r="305" spans="1:9" x14ac:dyDescent="0.2">
      <c r="A305">
        <v>128</v>
      </c>
      <c r="B305" t="s">
        <v>614</v>
      </c>
      <c r="C305" t="s">
        <v>613</v>
      </c>
      <c r="D305">
        <v>1</v>
      </c>
      <c r="E305">
        <v>0</v>
      </c>
      <c r="F305">
        <v>0</v>
      </c>
      <c r="G305">
        <v>0</v>
      </c>
      <c r="H305" t="s">
        <v>687</v>
      </c>
    </row>
    <row r="306" spans="1:9" x14ac:dyDescent="0.2">
      <c r="A306">
        <v>1963</v>
      </c>
      <c r="B306" t="s">
        <v>616</v>
      </c>
      <c r="C306" t="s">
        <v>615</v>
      </c>
      <c r="D306">
        <v>1</v>
      </c>
      <c r="E306">
        <v>0</v>
      </c>
      <c r="F306">
        <v>0</v>
      </c>
      <c r="G306">
        <v>0</v>
      </c>
      <c r="H306" t="s">
        <v>687</v>
      </c>
    </row>
    <row r="307" spans="1:9" x14ac:dyDescent="0.2">
      <c r="A307">
        <v>1965</v>
      </c>
      <c r="B307" t="s">
        <v>618</v>
      </c>
      <c r="C307" t="s">
        <v>617</v>
      </c>
      <c r="D307">
        <v>1</v>
      </c>
      <c r="E307">
        <v>0</v>
      </c>
      <c r="F307">
        <v>0</v>
      </c>
      <c r="G307">
        <v>0</v>
      </c>
      <c r="H307" t="s">
        <v>687</v>
      </c>
    </row>
    <row r="308" spans="1:9" x14ac:dyDescent="0.2">
      <c r="A308">
        <v>3424</v>
      </c>
      <c r="B308" t="s">
        <v>620</v>
      </c>
      <c r="C308" t="s">
        <v>619</v>
      </c>
      <c r="D308">
        <v>1</v>
      </c>
      <c r="E308">
        <v>0</v>
      </c>
      <c r="F308">
        <v>0</v>
      </c>
      <c r="G308">
        <v>0</v>
      </c>
      <c r="H308" t="s">
        <v>687</v>
      </c>
    </row>
    <row r="309" spans="1:9" x14ac:dyDescent="0.2">
      <c r="A309">
        <v>4458</v>
      </c>
      <c r="B309" t="s">
        <v>622</v>
      </c>
      <c r="C309" t="s">
        <v>621</v>
      </c>
      <c r="D309">
        <v>1</v>
      </c>
      <c r="E309">
        <v>0</v>
      </c>
      <c r="F309">
        <v>0</v>
      </c>
      <c r="G309">
        <v>0</v>
      </c>
      <c r="H309" t="s">
        <v>687</v>
      </c>
    </row>
    <row r="310" spans="1:9" x14ac:dyDescent="0.2">
      <c r="A310">
        <v>1978</v>
      </c>
      <c r="B310" t="s">
        <v>624</v>
      </c>
      <c r="C310" t="s">
        <v>623</v>
      </c>
      <c r="D310">
        <v>1</v>
      </c>
      <c r="E310">
        <v>0</v>
      </c>
      <c r="F310">
        <v>0</v>
      </c>
      <c r="G310">
        <v>0</v>
      </c>
      <c r="H310" t="s">
        <v>687</v>
      </c>
    </row>
    <row r="311" spans="1:9" x14ac:dyDescent="0.2">
      <c r="A311">
        <v>4463</v>
      </c>
      <c r="B311" t="s">
        <v>626</v>
      </c>
      <c r="C311" t="s">
        <v>625</v>
      </c>
      <c r="D311">
        <v>1</v>
      </c>
      <c r="E311">
        <v>0</v>
      </c>
      <c r="F311">
        <v>0</v>
      </c>
      <c r="G311">
        <v>0</v>
      </c>
      <c r="H311" t="s">
        <v>687</v>
      </c>
    </row>
    <row r="312" spans="1:9" x14ac:dyDescent="0.2">
      <c r="A312">
        <v>4460</v>
      </c>
      <c r="B312" t="s">
        <v>628</v>
      </c>
      <c r="C312" t="s">
        <v>627</v>
      </c>
      <c r="D312">
        <v>1</v>
      </c>
      <c r="E312">
        <v>0</v>
      </c>
      <c r="F312">
        <v>0</v>
      </c>
      <c r="G312">
        <v>0</v>
      </c>
      <c r="H312" t="s">
        <v>687</v>
      </c>
    </row>
    <row r="313" spans="1:9" x14ac:dyDescent="0.2">
      <c r="A313">
        <v>1990</v>
      </c>
      <c r="B313" t="s">
        <v>630</v>
      </c>
      <c r="C313" t="s">
        <v>629</v>
      </c>
      <c r="D313">
        <v>1</v>
      </c>
      <c r="E313">
        <v>0</v>
      </c>
      <c r="F313">
        <v>0</v>
      </c>
      <c r="G313">
        <v>0</v>
      </c>
      <c r="H313" t="s">
        <v>687</v>
      </c>
    </row>
    <row r="314" spans="1:9" x14ac:dyDescent="0.2">
      <c r="A314">
        <v>1991</v>
      </c>
      <c r="B314" t="s">
        <v>632</v>
      </c>
      <c r="C314" t="s">
        <v>631</v>
      </c>
      <c r="D314">
        <v>1</v>
      </c>
      <c r="E314">
        <v>0</v>
      </c>
      <c r="F314">
        <v>0</v>
      </c>
      <c r="G314">
        <v>0</v>
      </c>
      <c r="H314" t="s">
        <v>687</v>
      </c>
    </row>
    <row r="315" spans="1:9" x14ac:dyDescent="0.2">
      <c r="A315">
        <v>4462</v>
      </c>
      <c r="B315" t="s">
        <v>634</v>
      </c>
      <c r="C315" t="s">
        <v>633</v>
      </c>
      <c r="D315">
        <v>1</v>
      </c>
      <c r="E315">
        <v>0</v>
      </c>
      <c r="F315">
        <v>0</v>
      </c>
      <c r="G315">
        <v>0</v>
      </c>
      <c r="H315" t="s">
        <v>687</v>
      </c>
    </row>
    <row r="316" spans="1:9" x14ac:dyDescent="0.2">
      <c r="A316">
        <v>603</v>
      </c>
      <c r="B316" t="s">
        <v>636</v>
      </c>
      <c r="C316" t="s">
        <v>635</v>
      </c>
      <c r="D316">
        <v>1</v>
      </c>
      <c r="E316">
        <v>0</v>
      </c>
      <c r="F316">
        <v>0</v>
      </c>
      <c r="G316">
        <v>0</v>
      </c>
      <c r="H316" t="s">
        <v>687</v>
      </c>
    </row>
    <row r="317" spans="1:9" x14ac:dyDescent="0.2">
      <c r="A317">
        <v>405</v>
      </c>
      <c r="B317" t="s">
        <v>638</v>
      </c>
      <c r="C317" t="s">
        <v>637</v>
      </c>
      <c r="D317">
        <v>1</v>
      </c>
      <c r="E317">
        <v>0</v>
      </c>
      <c r="F317">
        <v>0</v>
      </c>
      <c r="G317">
        <v>0</v>
      </c>
      <c r="H317" t="s">
        <v>687</v>
      </c>
    </row>
    <row r="318" spans="1:9" x14ac:dyDescent="0.2">
      <c r="A318">
        <v>659</v>
      </c>
      <c r="B318" t="s">
        <v>640</v>
      </c>
      <c r="C318" t="s">
        <v>639</v>
      </c>
      <c r="D318">
        <v>1</v>
      </c>
      <c r="E318">
        <v>0</v>
      </c>
      <c r="F318">
        <v>0</v>
      </c>
      <c r="G318">
        <v>0</v>
      </c>
      <c r="H318" t="s">
        <v>687</v>
      </c>
    </row>
    <row r="319" spans="1:9" x14ac:dyDescent="0.2">
      <c r="A319">
        <v>6253</v>
      </c>
      <c r="B319" t="s">
        <v>642</v>
      </c>
      <c r="C319" t="s">
        <v>641</v>
      </c>
      <c r="D319">
        <v>993</v>
      </c>
      <c r="E319">
        <v>890</v>
      </c>
      <c r="F319">
        <v>901</v>
      </c>
      <c r="G319">
        <v>11</v>
      </c>
      <c r="H319" t="s">
        <v>688</v>
      </c>
      <c r="I319">
        <v>888</v>
      </c>
    </row>
    <row r="320" spans="1:9" x14ac:dyDescent="0.2">
      <c r="A320">
        <v>188</v>
      </c>
      <c r="B320" t="s">
        <v>644</v>
      </c>
      <c r="C320" t="s">
        <v>643</v>
      </c>
      <c r="D320">
        <v>-1</v>
      </c>
      <c r="E320">
        <v>0</v>
      </c>
      <c r="F320">
        <v>0</v>
      </c>
      <c r="G320">
        <v>0</v>
      </c>
      <c r="H320" t="s">
        <v>687</v>
      </c>
    </row>
    <row r="321" spans="1:8" x14ac:dyDescent="0.2">
      <c r="A321">
        <v>2028</v>
      </c>
      <c r="B321" t="s">
        <v>646</v>
      </c>
      <c r="C321" t="s">
        <v>645</v>
      </c>
      <c r="D321">
        <v>-1</v>
      </c>
      <c r="E321">
        <v>0</v>
      </c>
      <c r="F321">
        <v>0</v>
      </c>
      <c r="G321">
        <v>0</v>
      </c>
      <c r="H321" t="s">
        <v>687</v>
      </c>
    </row>
    <row r="322" spans="1:8" x14ac:dyDescent="0.2">
      <c r="A322">
        <v>1959</v>
      </c>
      <c r="B322" t="s">
        <v>648</v>
      </c>
      <c r="C322" t="s">
        <v>647</v>
      </c>
      <c r="D322">
        <v>-2</v>
      </c>
      <c r="E322">
        <v>0</v>
      </c>
      <c r="F322">
        <v>0</v>
      </c>
      <c r="G322">
        <v>0</v>
      </c>
      <c r="H322" t="s">
        <v>687</v>
      </c>
    </row>
    <row r="323" spans="1:8" x14ac:dyDescent="0.2">
      <c r="A323">
        <v>6681</v>
      </c>
      <c r="B323" t="s">
        <v>650</v>
      </c>
      <c r="C323" t="s">
        <v>649</v>
      </c>
      <c r="D323">
        <v>311</v>
      </c>
      <c r="E323">
        <v>0</v>
      </c>
      <c r="F323">
        <v>0</v>
      </c>
      <c r="G323">
        <v>0</v>
      </c>
      <c r="H323" t="s">
        <v>687</v>
      </c>
    </row>
    <row r="324" spans="1:8" x14ac:dyDescent="0.2">
      <c r="A324">
        <v>6682</v>
      </c>
      <c r="B324" t="s">
        <v>652</v>
      </c>
      <c r="C324" t="s">
        <v>651</v>
      </c>
      <c r="D324">
        <v>232</v>
      </c>
      <c r="E324">
        <v>0</v>
      </c>
      <c r="F324">
        <v>0</v>
      </c>
      <c r="G324">
        <v>0</v>
      </c>
      <c r="H324" t="s">
        <v>687</v>
      </c>
    </row>
    <row r="325" spans="1:8" x14ac:dyDescent="0.2">
      <c r="A325">
        <v>6680</v>
      </c>
      <c r="B325" t="s">
        <v>654</v>
      </c>
      <c r="C325" t="s">
        <v>653</v>
      </c>
      <c r="D325">
        <v>176</v>
      </c>
      <c r="E325">
        <v>0</v>
      </c>
      <c r="F325">
        <v>0</v>
      </c>
      <c r="G325">
        <v>0</v>
      </c>
      <c r="H325" t="s">
        <v>687</v>
      </c>
    </row>
    <row r="326" spans="1:8" x14ac:dyDescent="0.2">
      <c r="A326">
        <v>6683</v>
      </c>
      <c r="B326" t="s">
        <v>656</v>
      </c>
      <c r="C326" t="s">
        <v>655</v>
      </c>
      <c r="D326">
        <v>119</v>
      </c>
      <c r="E326">
        <v>0</v>
      </c>
      <c r="F326">
        <v>0</v>
      </c>
      <c r="G326">
        <v>0</v>
      </c>
      <c r="H326" t="s">
        <v>687</v>
      </c>
    </row>
    <row r="327" spans="1:8" x14ac:dyDescent="0.2">
      <c r="A327">
        <v>6684</v>
      </c>
      <c r="B327" t="s">
        <v>658</v>
      </c>
      <c r="C327" t="s">
        <v>657</v>
      </c>
      <c r="D327">
        <v>74</v>
      </c>
      <c r="E327">
        <v>0</v>
      </c>
      <c r="F327">
        <v>0</v>
      </c>
      <c r="G327">
        <v>0</v>
      </c>
      <c r="H327" t="s">
        <v>687</v>
      </c>
    </row>
    <row r="328" spans="1:8" x14ac:dyDescent="0.2">
      <c r="A328">
        <v>4099</v>
      </c>
      <c r="B328" t="s">
        <v>660</v>
      </c>
      <c r="C328" t="s">
        <v>659</v>
      </c>
      <c r="D328">
        <v>1</v>
      </c>
      <c r="E328">
        <v>0</v>
      </c>
      <c r="F328">
        <v>0</v>
      </c>
      <c r="G328">
        <v>0</v>
      </c>
      <c r="H328" t="s">
        <v>687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3E5BAF-6A41-4F7F-89F5-9B7A7539A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Foto de Inventario</vt:lpstr>
      <vt:lpstr>Consolidado conteo 1</vt:lpstr>
      <vt:lpstr>Consolidado conteo 2</vt:lpstr>
      <vt:lpstr>Consolidado  Conteo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INVENTARIOS</cp:lastModifiedBy>
  <cp:revision>1</cp:revision>
  <cp:lastPrinted>2021-10-26T17:02:47Z</cp:lastPrinted>
  <dcterms:created xsi:type="dcterms:W3CDTF">2021-06-30T13:20:34Z</dcterms:created>
  <dcterms:modified xsi:type="dcterms:W3CDTF">2023-03-10T18:45:55Z</dcterms:modified>
  <cp:category/>
</cp:coreProperties>
</file>